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 Garde Manger" sheetId="1" r:id="rId4"/>
    <sheet state="visible" name="07 Kitchen Table" sheetId="2" r:id="rId5"/>
    <sheet state="visible" name="08 Special Service Food" sheetId="3" r:id="rId6"/>
    <sheet state="visible" name="13 Test Kitchen" sheetId="4" r:id="rId7"/>
    <sheet state="visible" name="14 Pink Agave" sheetId="5" r:id="rId8"/>
    <sheet state="visible" name="15 Razzle Dazzle SCL" sheetId="6" r:id="rId9"/>
    <sheet state="visible" name="15 Razzle Dazzle VAL - RES" sheetId="7" r:id="rId10"/>
    <sheet state="visible" name="15 Razzle Dazzle Rojo - BRL" sheetId="8" r:id="rId11"/>
    <sheet state="visible" name="15 Razzle Dazzle Ariya - VAL" sheetId="9" r:id="rId12"/>
    <sheet state="visible" name="16 Extra Virgin " sheetId="10" r:id="rId13"/>
    <sheet state="visible" name="17 Wake" sheetId="11" r:id="rId14"/>
    <sheet state="visible" name="18 Gunbae" sheetId="12" r:id="rId15"/>
    <sheet state="visible" name="19 Mannor (AR) RES only" sheetId="13" r:id="rId16"/>
    <sheet state="visible" name="19 Mannor (SS) VAL only" sheetId="14" r:id="rId17"/>
    <sheet state="visible" name="19 Mannor (LOLZ) SCL only" sheetId="15" r:id="rId18"/>
    <sheet state="visible" name="19 Mannor BRL only" sheetId="16" r:id="rId19"/>
    <sheet state="visible" name="20 The Dock" sheetId="17" r:id="rId20"/>
    <sheet state="visible" name="20 The Dock- BRL only" sheetId="18" r:id="rId21"/>
    <sheet state="visible" name="21 The Pizza Place" sheetId="19" r:id="rId22"/>
    <sheet state="visible" name="22 lTS Popstar" sheetId="20" r:id="rId23"/>
    <sheet state="visible" name="23 Social Club" sheetId="21" r:id="rId24"/>
    <sheet state="visible" name="24 Sun Club" sheetId="22" r:id="rId25"/>
    <sheet state="visible" name="25 Sip Lounge" sheetId="23" r:id="rId26"/>
    <sheet state="visible" name="26 Ship Eats" sheetId="24" r:id="rId27"/>
    <sheet state="visible" name="27 Quickeze" sheetId="25" r:id="rId28"/>
    <sheet state="visible" name="28 Dine and Dash" sheetId="26" r:id="rId29"/>
    <sheet state="visible" name="29 Burger Bar" sheetId="27" r:id="rId30"/>
    <sheet state="visible" name="30 Hot Of The Press" sheetId="28" r:id="rId31"/>
    <sheet state="visible" name="32 Taco" sheetId="29" r:id="rId32"/>
    <sheet state="visible" name="33 Bento Baby" sheetId="30" r:id="rId33"/>
    <sheet state="visible" name="34 Daily Mix" sheetId="31" r:id="rId34"/>
    <sheet state="visible" name="35 Noodle Around" sheetId="32" r:id="rId35"/>
    <sheet state="visible" name="36 Bimini Beach Club " sheetId="33" r:id="rId36"/>
    <sheet state="visible" name="37 The Galley Kitchen" sheetId="34" r:id="rId37"/>
    <sheet state="visible" name="39 Chargable" sheetId="35" r:id="rId38"/>
    <sheet state="visible" name="44 Pastry &amp; Bakery" sheetId="36" r:id="rId39"/>
    <sheet state="visible" name="Liquer" sheetId="37" r:id="rId40"/>
    <sheet state="visible" name="FML March 2026" sheetId="38" r:id="rId41"/>
    <sheet state="visible" name="Unit of Measure ship March 2026" sheetId="39" r:id="rId42"/>
    <sheet state="visible" name="Sheet5" sheetId="40" r:id="rId43"/>
  </sheets>
  <externalReferences>
    <externalReference r:id="rId44"/>
  </externalReferences>
  <definedNames/>
  <calcPr/>
  <extLst>
    <ext uri="GoogleSheetsCustomDataVersion2">
      <go:sheetsCustomData xmlns:go="http://customooxmlschemas.google.com/" r:id="rId45" roundtripDataChecksum="g/Bh5BxlxwfjTZnsFLWgi8b8SIm5HdLBRdRVVnAzgQA="/>
    </ext>
  </extLst>
</workbook>
</file>

<file path=xl/sharedStrings.xml><?xml version="1.0" encoding="utf-8"?>
<sst xmlns="http://schemas.openxmlformats.org/spreadsheetml/2006/main" count="23579" uniqueCount="2767">
  <si>
    <t>06 - Garde Manger   -  13 - Canapes &amp; Circles  6/01/13</t>
  </si>
  <si>
    <t>06 - Garde Manger   -   15 - Menu Basic Preperation 01/06/15</t>
  </si>
  <si>
    <t>06 - Garde Manger   -   16 - Liquor, Alcohol, Wine   01/06/16</t>
  </si>
  <si>
    <t>06 - Garde Manger  -   10 - Vegeteables &amp; Fruits - 03/06/10</t>
  </si>
  <si>
    <t>06 - Garde Manger  -   07 - Meat - 05/06/07</t>
  </si>
  <si>
    <t>06 - Garde Manger  -   08 - Fish and Seafood - 05/06/08</t>
  </si>
  <si>
    <t>Code</t>
  </si>
  <si>
    <t xml:space="preserve">Ingredient Name </t>
  </si>
  <si>
    <t>UM</t>
  </si>
  <si>
    <t>24 JINRO 700 ML CLEAR BOTTLE VV</t>
  </si>
  <si>
    <t>BTL</t>
  </si>
  <si>
    <t>AJI MIRIN (SWEET COOKING RICE WINE)</t>
  </si>
  <si>
    <t>BAILEYS IRISH CREAM</t>
  </si>
  <si>
    <t>BEER - GOOSE ISLAND IPA BOTTLE 330ML OCI - RSSC VV</t>
  </si>
  <si>
    <t>BEER CIDER DRY STRONGBOW GOLD BREWLOCK KEG 20 LTR VV</t>
  </si>
  <si>
    <t>BOURBON BUFFALO TRACE 1LTR RCI VV NCL (USA )</t>
  </si>
  <si>
    <t>BRANDY - CHRISTIAN BROTHERS 1LTR (VV)</t>
  </si>
  <si>
    <t>CHAMBORD 750ML OCI-RSSC</t>
  </si>
  <si>
    <t>COOKING WINE MOLINOS DE DULCINEA WHITE SPAIN 4/5 LTR APV GAL OCI/ RSSC</t>
  </si>
  <si>
    <t>LTR</t>
  </si>
  <si>
    <t>COOKING WINE RED MOLINOS DE DULCINEA SPAIN 4/5 LTR APV GAL OCI/ RSSC</t>
  </si>
  <si>
    <t>CORONA EXTRA MEX.BEER BOTTLES 12 OZ RSSC/OCI VV (MEXICO)</t>
  </si>
  <si>
    <t>FILTHY BLOODY MARY MIX</t>
  </si>
  <si>
    <t>GOSLINGS GINGER BEER CAN 24/12OZ RSSC/OCI RCCL (BERMUDA)</t>
  </si>
  <si>
    <t>GRAND MARNIER</t>
  </si>
  <si>
    <t>HEINEKEN BEER BOTTLES</t>
  </si>
  <si>
    <t>KAHLUA LIQUOR</t>
  </si>
  <si>
    <t>LIQUEUR ABSINTHE VERTE ST. GEORGE 750ML</t>
  </si>
  <si>
    <t>LIQUEUR SAMBUCA ROMANA 1LTR OCI/RSSC VV (ITALY )</t>
  </si>
  <si>
    <t>MALIBU RUM LIQUEUR</t>
  </si>
  <si>
    <t>MEZCAL ROSALUNA MEZCAL 750ML VV</t>
  </si>
  <si>
    <t>PORT- CROFT FINE TAWNY 750ML RSSC VV</t>
  </si>
  <si>
    <t>RUM (FLAVOR) LIQUEUR MALIBU 1L OCI RSSC VV BSSL FLEET</t>
  </si>
  <si>
    <t>RUM DARK MYER'S ORIGINAL 1LTR (APV GAL) OCI-AMN RSSC MARELLA RCI VV (JAMAICA )</t>
  </si>
  <si>
    <t>SHAOXING COOKING WINE (FERMENTED RICE WINE)</t>
  </si>
  <si>
    <t>SHERRY FINO LUSTAU JARANA 750ML VV HAL</t>
  </si>
  <si>
    <t>SPARKLING SAINT LOUIS 750ML VV (B) BARTON ET GUESTIER</t>
  </si>
  <si>
    <t>ST GERMAINE ARTISINAL LIQUEUR, 750ML (ELDERFLOWER)</t>
  </si>
  <si>
    <t>TORRES CELESTE RIBERA DEL DUERO, SPAIN</t>
  </si>
  <si>
    <t>VERMOUTH CINZANO DRY LTR VV</t>
  </si>
  <si>
    <t>VODKA ABSOLUT LTR OCI - RSSC BSSL FLEET</t>
  </si>
  <si>
    <t>YAMAHAI JUNMAI, HAPPY OWL FUKU CHITOSE 720ML VV (B)</t>
  </si>
  <si>
    <t>LBS</t>
  </si>
  <si>
    <t>07 - The Kitchen Table   -   Menu Basic Preperation  01/07/01</t>
  </si>
  <si>
    <t xml:space="preserve">07 - The Kitchen Table   -   Vegetables &amp; Fruit  03/07/06 </t>
  </si>
  <si>
    <t>07 - The Kitchen Table   -   Meat  05/07/03</t>
  </si>
  <si>
    <t>07 - The Kitchen Table   -   Fish &amp; Seafood  05/07/04</t>
  </si>
  <si>
    <t>08 - Special Service Food   -   Crew Party Food  01/08/01</t>
  </si>
  <si>
    <t xml:space="preserve">08 - Special Service Food   -   Guest Special Request Food  01/08/02 </t>
  </si>
  <si>
    <t>13 - The Test Kitchen   -   Menu Basic Preperation  01/13/01</t>
  </si>
  <si>
    <t>13 - The Test Kitchen  -   Vegetables &amp; Fruits  03/13/06</t>
  </si>
  <si>
    <t>13 - The Test Kitchen  -  Meat  05/13/03</t>
  </si>
  <si>
    <t>13 - The Test Kitchen   -   Fish &amp; Seafood  05/13/04</t>
  </si>
  <si>
    <t xml:space="preserve"> </t>
  </si>
  <si>
    <t>14 - Pink Agave   -   Menu Basic Preperation  01/14/01</t>
  </si>
  <si>
    <t>14 - Pink Agave   -   Fruit &amp; Vegetables  03/14/06</t>
  </si>
  <si>
    <t>14 - Pink Agave  -  Meat  05/14/03</t>
  </si>
  <si>
    <t>14 - Pink Agave    -   Fish &amp; Seafood  05/14/04</t>
  </si>
  <si>
    <t>15 - Razzle Dazzle    -   Menu Basic Preperations  01/15/01</t>
  </si>
  <si>
    <t>15 - Razzle Dazzle   -   Vegetables &amp; Fruit  03/15/06</t>
  </si>
  <si>
    <t>15 - Razzle Dazzle -  Meat  05/15/03</t>
  </si>
  <si>
    <t>15 - Razzle Dazzle    -   Fish &amp; Seafood 05/15/04</t>
  </si>
  <si>
    <t>GR</t>
  </si>
  <si>
    <t>15 - Razzle Dazzle    -   Menu Basic Preperation  01/15/01</t>
  </si>
  <si>
    <t>GAL</t>
  </si>
  <si>
    <t>OZ</t>
  </si>
  <si>
    <t>CAN</t>
  </si>
  <si>
    <t>16 - Extra Virgin  -  Menu Badic Preperation  01/16/01</t>
  </si>
  <si>
    <t>16 - Extra Virgin  -   Vegetables &amp; Fruit 03/16/06</t>
  </si>
  <si>
    <t>16 - Extra Virgin  -   Meat 05/16/03</t>
  </si>
  <si>
    <t>16 - Extra Virgin  -   Fish &amp; Seafood  05/16/04</t>
  </si>
  <si>
    <t>17- The Wake  -  Menu Basic Preperation  01/17/01</t>
  </si>
  <si>
    <t>17- The Wake   -   Vegetables &amp; Fruit  03/17/06</t>
  </si>
  <si>
    <t>17- The Wake  -   Meat  05/17/03</t>
  </si>
  <si>
    <t>17- The Wake   -   Fish &amp; Seafood  05/17/04</t>
  </si>
  <si>
    <t>18 - Gunbae  -  Menu Basic  01/18/01</t>
  </si>
  <si>
    <t>18 - Gunbae   -   Vegetables &amp; Fruit 03/18/06</t>
  </si>
  <si>
    <t>18 - Gunbae  -   Meat 05/18/03</t>
  </si>
  <si>
    <t>18 - Gunbae   -   Fish &amp; seafood  05/18/04</t>
  </si>
  <si>
    <t>19 - Mannor (AR) -  Menu Basic Preperation  01/19/01</t>
  </si>
  <si>
    <t>19 - Mannor (AR)  -   Fruit &amp; Vegetables 03/19/06</t>
  </si>
  <si>
    <t>19 - Mannor (AR)  -   Meat 05/19/03</t>
  </si>
  <si>
    <t>19 - Mannor (AR)   -   Fish &amp; Seafood  05/19/04</t>
  </si>
  <si>
    <t>19 - Mannor (SS) -  Menu Basic Preperation  01/19/01</t>
  </si>
  <si>
    <t>19 - Mannor (SS)  -   Fruit &amp; Vegetables 03/19/06</t>
  </si>
  <si>
    <t>19 - Mannor (SS)  -   Meat 05/19/03</t>
  </si>
  <si>
    <t>19 - Mannor (SS)   -   Fish &amp; Seafood  05/19/04</t>
  </si>
  <si>
    <t>19 - Mannor (LOLZ) -  Menu Basic Preperation  01/19/01</t>
  </si>
  <si>
    <t>19 - Mannor (LOLZ)  -   Fruit &amp; Vegetables 03/19/06</t>
  </si>
  <si>
    <t>19 - Mannor (LOLZ)  -   Meat 05/19/03</t>
  </si>
  <si>
    <t>19 - Mannor (LOLZ)   -   Fish &amp; Seafood  05/19/04</t>
  </si>
  <si>
    <t>19 - Mannor (BRL) -  Menu Basic Preperation  01/19/01</t>
  </si>
  <si>
    <t>19 - Mannor (BRL)  -   Fruit &amp; Vegetables 03/19/06</t>
  </si>
  <si>
    <t>19 - Mannor (BRL)  -   Meat 05/19/03</t>
  </si>
  <si>
    <t>19 - Mannor (BRL)   -   Fish &amp; Seafood  05/19/04</t>
  </si>
  <si>
    <t>20 - The Dock -  Menu Basic Preperation  01/20/01</t>
  </si>
  <si>
    <t>20 - The Dock  -   Fruit &amp; Vegetables 03/20/06</t>
  </si>
  <si>
    <t>20 - The Dock  -   Meat 05/20/03</t>
  </si>
  <si>
    <t>20 - The Dock  -   Fish &amp; Seafood  05/20/04</t>
  </si>
  <si>
    <t>21 - The Pizza Place -  Menu Basic Preperation  01/21/01</t>
  </si>
  <si>
    <t>21 - The Pizza Place  - Fruit &amp; Vegetables 03/20/06</t>
  </si>
  <si>
    <t>21 - The Pizza Place  -   Meat 05/21/03</t>
  </si>
  <si>
    <t>21 - The Pizza Place  -   Fish &amp; Seafood  05/21/04</t>
  </si>
  <si>
    <t>22 - Lick Me Till I Scream, Popstar   -   Menu Basic Preperation  01/22/01</t>
  </si>
  <si>
    <t>23 Social Club   -   Menu Basic Preperation 01/23/01</t>
  </si>
  <si>
    <t>23 Social Club  -   Meat 05/23/03</t>
  </si>
  <si>
    <t>24 Sun Club  -   Menu Basic Preperation 01/24/01</t>
  </si>
  <si>
    <t>24 Sun Club  -   Fruit &amp; Vegetables 03/24/06</t>
  </si>
  <si>
    <t>24 Sun Club  -  Meat  05/24/03</t>
  </si>
  <si>
    <t>24 Sun Club  -   Fish &amp; Seafood  05/24/04</t>
  </si>
  <si>
    <t>25 - Ship Eats   -   Menu Basic Preperation 01/25/01</t>
  </si>
  <si>
    <t>25 - Ship Eats  -  Meat  05/25/03</t>
  </si>
  <si>
    <t>25 - Ship Eats  -   Fish &amp; Seafood  05/25/04</t>
  </si>
  <si>
    <t>26 - Ship Eats   -   Menu Basic Preperation 01/26/01</t>
  </si>
  <si>
    <t>26 - Ship Eats  -   Fruit &amp; Vegetables  03/26/06</t>
  </si>
  <si>
    <t>26 - Ship Eats  -  Meat  05/26/03</t>
  </si>
  <si>
    <t>26 - Ship Eats  -   Fish &amp; Seafood  05/26/04</t>
  </si>
  <si>
    <t>27 - Quickeze  -   Menu Basic Preperation  01/27/01</t>
  </si>
  <si>
    <t>27 - Quickeze  -   Fruit &amp; Vegetables  03/27/06</t>
  </si>
  <si>
    <t>27 - Quickeze  -  Meat  05/27/03</t>
  </si>
  <si>
    <t>27 - Quickeze  -   Fish &amp; Seafood  05/27/04</t>
  </si>
  <si>
    <t>28 Dine and Dash  -  Meat  05/28/03</t>
  </si>
  <si>
    <t>28 Dine and Dash  -   Fish &amp; Seafood   05/28/04</t>
  </si>
  <si>
    <t>29 Burger Bar  -  Meat  05/29/03</t>
  </si>
  <si>
    <t>29 Burger Bar  -   Fish &amp; Seafood  05/29/04</t>
  </si>
  <si>
    <t>30 - Hot of The Press  -  Meat  05/30/03</t>
  </si>
  <si>
    <t>30 - Hot of The Press  -   Fish &amp; Seafood 05/30/04</t>
  </si>
  <si>
    <t>32 - Taco  -  Meat  05/32/03</t>
  </si>
  <si>
    <t>32 - Taco   -   Fish &amp; Seafood   05/32/04</t>
  </si>
  <si>
    <t>33 - Bento Baby  -  Meat  05/33/03</t>
  </si>
  <si>
    <t>33 - Bento Baby  -  Fish and Seafood  05/33/04</t>
  </si>
  <si>
    <t>34 - Daily Mix  -  Meat  05/34/03</t>
  </si>
  <si>
    <t>34 - Daily Mix  -   Fish &amp; Seafood  05/34/04</t>
  </si>
  <si>
    <t>35 - Noodle Around  -  Meat  05/35/03</t>
  </si>
  <si>
    <t>35 - Noodle Around   -   Fish &amp; Seafood  05/35/04</t>
  </si>
  <si>
    <t>36 - Bimini Beach Club -   Menu Basic Preperation  01/36/01</t>
  </si>
  <si>
    <t>36 - Bimini Beach Club -   Fruit &amp; Vegetables  03/36/06</t>
  </si>
  <si>
    <t>36 - Bimini Beach Club  -  Meat  05/36/03</t>
  </si>
  <si>
    <t>36 - Bimini Beach Club  -   Fish &amp; Seafood  05/36/04</t>
  </si>
  <si>
    <t>37 - The Galley Kitchen -   Menu Basic Preperation  01/37/01</t>
  </si>
  <si>
    <t>37 - The Galley Kitchen -   Fruit &amp; Vegetables  03/37/06</t>
  </si>
  <si>
    <t>39 - Food Chargable  - 05/39/01</t>
  </si>
  <si>
    <t>44 - Pastry Crew  01/44/01</t>
  </si>
  <si>
    <t>44 - Pastry Sailor Venues 01/44/02</t>
  </si>
  <si>
    <t>44 - Bakery Crew  01/44/03</t>
  </si>
  <si>
    <t>44 - Bakery Sailors Venues 01/44/04</t>
  </si>
  <si>
    <t>44 - Vegetables &amp; Fruit 04/44/06</t>
  </si>
  <si>
    <t>LBs</t>
  </si>
  <si>
    <t>L</t>
  </si>
  <si>
    <t>VV - Liquer MASTER LIST 2026</t>
  </si>
  <si>
    <t>Product</t>
  </si>
  <si>
    <t>S
C
L</t>
  </si>
  <si>
    <t>V
A
L</t>
  </si>
  <si>
    <t>R
E
S</t>
  </si>
  <si>
    <t>BRL</t>
  </si>
  <si>
    <t>X</t>
  </si>
  <si>
    <t>x</t>
  </si>
  <si>
    <t>CONSUMMABLES/OTHERS</t>
  </si>
  <si>
    <t xml:space="preserve">CREAM WHIPPER THERMO WHIP NITROGEN ISI GAS CARTRIDGE </t>
  </si>
  <si>
    <t>ALUMINUM CUP, DISPOSABLE TIMBALE 4OZ</t>
  </si>
  <si>
    <t>ALUMINUM FOIL STANDARD 18"/1000 FT 7 GAUGE 18 MIC.</t>
  </si>
  <si>
    <t>BAKING CUPS SMALL 20/500 3-1/2 DDISX1-5/8 BOTTOM</t>
  </si>
  <si>
    <t>CHEESE CLOTH 70 YD 80 YD L-3504 10RL/CS</t>
  </si>
  <si>
    <t>CHEF HATS 7" 1/12</t>
  </si>
  <si>
    <t>HAIR NET FOODSERVICE SINGLE-USE DISPOSABLE 144 CT</t>
  </si>
  <si>
    <t>NET FOR BEARD - POLYPROPYLENE 100/PACK</t>
  </si>
  <si>
    <t>PAN LINERS 16-3/8X24-3/8 1M</t>
  </si>
  <si>
    <t>PASTRY CUP ROUND BROWN 2 INCH DIAMETER</t>
  </si>
  <si>
    <t>PETIT FOUR CUPS - WHITE 19-35MM (.75" X 1.3/8")</t>
  </si>
  <si>
    <t>PETIT FOUR CUPS BROWN 22X19MM CAISSED BONBON</t>
  </si>
  <si>
    <t>ROUND CARDBOARD GOLDEN SCALLOPED 10 INCH OR 25 CM</t>
  </si>
  <si>
    <t>TOWELS C-FOLD PAPER CS 2400PC</t>
  </si>
  <si>
    <t>CAISETTE TULIPCUP MARRON 175/50 PQ 200,  NORDIA - FUSEAU 4928</t>
  </si>
  <si>
    <t>ACETATE ROLL 6CM WIDE X 250M CLEAR CAKE WRAP MATFER 960104</t>
  </si>
  <si>
    <t>BUTCHER TWINE 24PLY #2 CONE RL</t>
  </si>
  <si>
    <t>CAN LINERS PLASTIC 95X110CM 70MIC BLACK</t>
  </si>
  <si>
    <t>CAN LINERS 38X58 4 MIL TRANSLUCENT LOW DENSITY</t>
  </si>
  <si>
    <t>CANDLES BIRTHDAY  C/12BX/36EA</t>
  </si>
  <si>
    <t>COVER F/80" BUN RACK 0.6MIL DISPOSABLE CLEAR PLASTIC (52X80") (NCL)</t>
  </si>
  <si>
    <t>GLOVE CHEM/RES, GREEN, ANSELL, 37-185, 22 MIL., NITRILE, SIZE  L</t>
  </si>
  <si>
    <t>GLOVE CHEM/RES, GREEN, ANSELL, 37-200, SMALL, SIZE 8</t>
  </si>
  <si>
    <t>GLOVES LONG DISPOSABLE FOR MIXING PASTRY BOX 100</t>
  </si>
  <si>
    <t>GLOVES NEOPR. POT WASH 18" ITEM # 8450 XXL</t>
  </si>
  <si>
    <t>GLOVES NEOPRENE HIGH TEMP DP ITEM # K05119</t>
  </si>
  <si>
    <t>GLOVES PLASTIC HDPE LARGE DISPOSABLE FOR DISPENSERS 10/1000/CS (POLYETHYLENE)</t>
  </si>
  <si>
    <t>GREEN SCOURING PADS 6" X 9"</t>
  </si>
  <si>
    <t>PASTRY ACETATE SHEET PLAIN 60 BY 40 CM PCB BRAND</t>
  </si>
  <si>
    <t>PASTRY BAG, 21 INCH, LRG, PLASTIC, DISPOSABLE</t>
  </si>
  <si>
    <t>PASTRY DECORATING COMB/ SMOOTHER SQUARE</t>
  </si>
  <si>
    <t>SKEWER BAMBOO 6" W/ RIBBON KNOT FRILL , P7 &amp; POOL GRILL</t>
  </si>
  <si>
    <t>SKEWER OAR/ PADDLE PICKS BAMBOO 6" INCH ED DON # 1103527</t>
  </si>
  <si>
    <t>SKEWERS BAMBOO 5.9",</t>
  </si>
  <si>
    <t>SKEWERS ORE/ PADDLE PICKS BAMBOO 3.5"</t>
  </si>
  <si>
    <t>STEAK MARKERS WOODEN "MEDIUM RARE"</t>
  </si>
  <si>
    <t>STEAK MARKERS WOODEN, "MEDIUM WELL"</t>
  </si>
  <si>
    <t>STEAK MARKERS WOODEN, "MEDIUM"</t>
  </si>
  <si>
    <t>STEAK MARKERS WOODEN, "RARE"</t>
  </si>
  <si>
    <t>STEAK MARKERS WOODEN, "WELL DONE"</t>
  </si>
  <si>
    <t>WRAP PLASTIC FOOD CLING FILM 18" X 2000 FT, 35 GAUGE W/ CUTTER BOX  - NATURES</t>
  </si>
  <si>
    <t>GLOVE CHEM/RES, GREEN, ANSELL, 37-200, MEDIUM, SIZE 9</t>
  </si>
  <si>
    <t>GLOVES VINYL LARGE POWDER FREE 10/100</t>
  </si>
  <si>
    <t>GLOVES VINYL MED POWDER FREE 10/100</t>
  </si>
  <si>
    <t>SKEWER BAMBOO 4" W/ RIBBON KNOT FRILL CS10/100 CT</t>
  </si>
  <si>
    <t>CAN LINERS NATURAL 6 MIC. 17X18 2000/CS</t>
  </si>
  <si>
    <t>TAPE, MASKING TAPE 2" 24/1</t>
  </si>
  <si>
    <t>APRONS DISPOSABLE PLASTIC 10/100 (DA2442)</t>
  </si>
  <si>
    <t>BAGS, ZIP-LOCK BAGS 6"X6" 1M</t>
  </si>
  <si>
    <t>BAGS, ZIP-LOCK BAGS 8X7 QT  250/CS  #FSL30807</t>
  </si>
  <si>
    <t>BAGS, ZIP-LOCK BAGS 9X12 GL 250/CS</t>
  </si>
  <si>
    <t>OVEN MITT 17 INCHES  PYROTEX FOR BAKER</t>
  </si>
  <si>
    <t>GLOVES SMALL LATEX POWDER FREE CS 10X100</t>
  </si>
  <si>
    <t>CLEAR ORIENTED POLYSTYRENE CAKE COLLAR BANDS 500-FOOT ROLL, 4 MIL - 2-1/2" (63MM)</t>
  </si>
  <si>
    <t>PAPER LOLLIPOP / CAKE POP STICK 4 1/2" X 5/32"</t>
  </si>
  <si>
    <t>DELI CONTAINER LIDS- EXTRA LIDS FIT ALL SIZE CONTAINERS</t>
  </si>
  <si>
    <t>SUSHI RICE COOKING NET COMMERCIAL RICE NET NAPKIN POLYESTER REUSABLE, 43" X 43", 1 PCS PER CASE</t>
  </si>
  <si>
    <t>POPSICLE STICKS, 4-1/2" LENGTH, FOOD GRADE WOODEN ICE CREAM STICKS, GREAT BULK STICKS FOR CRAFTS</t>
  </si>
  <si>
    <t>MINI SIZE NATURAL WOOD CRAFT STICKS 2.5 INCH</t>
  </si>
  <si>
    <t>ROYAL PAPER R831 5 1/2" ECO-FRIENDLY EXTRA-THICK WOOD SKEWER -</t>
  </si>
  <si>
    <t>ECOCRAFT® GR PASTRY/COOKIE BAG NK18 NATURAL - 6 X 3/4 X 6-1/2</t>
  </si>
  <si>
    <t>SUSHI GLOVES - ENBOS TEBUKURO</t>
  </si>
  <si>
    <t>OVEN2GO BAG - 70 GSM CHEF PACK PAPER - (NO ADHESIVE OR LINER). DIMENSIONS - 13+5X30</t>
  </si>
  <si>
    <t>PREXWARE 7 IN. BAMBOO PICKS PADDLE SKEWERS BBQ PICKS</t>
  </si>
  <si>
    <t>   155334</t>
  </si>
  <si>
    <t>WOOD CHIPS FOR MKN SMOKER</t>
  </si>
  <si>
    <t>WOOD CHIPS FOR SMOKING GUN</t>
  </si>
  <si>
    <t>VV - FOOD MASTER LIST 2026</t>
  </si>
  <si>
    <t>Departement</t>
  </si>
  <si>
    <t>Category</t>
  </si>
  <si>
    <t>SubCategory</t>
  </si>
  <si>
    <t>Product Name</t>
  </si>
  <si>
    <t>Type</t>
  </si>
  <si>
    <t>Brand</t>
  </si>
  <si>
    <t>UM Ship</t>
  </si>
  <si>
    <t>Has Allergens</t>
  </si>
  <si>
    <t>Pictures</t>
  </si>
  <si>
    <t>Has Nutrition Facts</t>
  </si>
  <si>
    <t>Price-U/M</t>
  </si>
  <si>
    <t>Price</t>
  </si>
  <si>
    <t>CREW/STAFF</t>
  </si>
  <si>
    <t>SCL</t>
  </si>
  <si>
    <t>VAL</t>
  </si>
  <si>
    <t>RES</t>
  </si>
  <si>
    <t>COMMENTS</t>
  </si>
  <si>
    <t>FML ADJUSTMENT COMMENTS</t>
  </si>
  <si>
    <t>Notes</t>
  </si>
  <si>
    <t>01 - BEEF</t>
  </si>
  <si>
    <t>F - FOOD</t>
  </si>
  <si>
    <t>151 - BEEF,VEAL,PORK,LAMB,POULT,KOSH,GAME</t>
  </si>
  <si>
    <t>BEEF BOTTOM ROUND GOOSENECK, CHOICE NAMP-170</t>
  </si>
  <si>
    <t>01 - FROZEN</t>
  </si>
  <si>
    <t/>
  </si>
  <si>
    <t>BEEF BRISKET US  CHOICE, NAMP-120</t>
  </si>
  <si>
    <t>CS70/LBS</t>
  </si>
  <si>
    <t>SPECIAL ONLY</t>
  </si>
  <si>
    <t>BEEF CHUCK SHORT RIB USDA CHOICE (USA) NAMP-130</t>
  </si>
  <si>
    <t>BEEF EXPORT RIBS, CAB CHOICE 18/DOWN 4/PC, 30D AGE,BLST/FRZN (USA) NAMP-109E</t>
  </si>
  <si>
    <t>RAEFORD FARMS</t>
  </si>
  <si>
    <t>Please use Sysco until depleted. EF</t>
  </si>
  <si>
    <t>BEEF FLEXOR TENDON  VV</t>
  </si>
  <si>
    <t>SWIFT/MAJOR US PACKER</t>
  </si>
  <si>
    <t>EV</t>
  </si>
  <si>
    <t>CANT GO TO EUROPE, No longer in Use, 2.24.25 pws</t>
  </si>
  <si>
    <t>BEEF GROUND CHUCK C.A.B./ ANGUS NAMP 137-2</t>
  </si>
  <si>
    <t>MAJOR US PACKER</t>
  </si>
  <si>
    <t>BEEF GROUND FINE 80/20 NAMP-136</t>
  </si>
  <si>
    <t>BEEF HANGING TENDER, 65LBS/CS NAMP-140</t>
  </si>
  <si>
    <t>BEEF INSIDE TOP ROUND CHOICE UNTRIMMED NAMP-168 EU (USA)</t>
  </si>
  <si>
    <t>BEEF MARROW BONES SPLIT (CANOE)  6" LONG POLY WRAPPED VV</t>
  </si>
  <si>
    <t>HALPERN</t>
  </si>
  <si>
    <t>CS10/LBS</t>
  </si>
  <si>
    <t>BEEF OXTAIL STEER W/LINER U.S.D.A. NAMP -1791</t>
  </si>
  <si>
    <t>EV/KT</t>
  </si>
  <si>
    <t>Can't go to Europe</t>
  </si>
  <si>
    <t>BEEF PATTIES 5.33 OZ CHUCK/BRISKET/SHORT RIB CS/10 LB  (USA) NAMP-1137</t>
  </si>
  <si>
    <t>BEEF PORTERHOUSE STEAK PRIME 60 DAY DRY AGED 32 OZ</t>
  </si>
  <si>
    <t>Greater Omaha est. 960/allen brothers</t>
  </si>
  <si>
    <t>CHARGEABLE ITEM</t>
  </si>
  <si>
    <t>BEEF RIB TOMAHAWK CHOP 32 OZ UPPER 2/3RD CHOICE  40 DAY AGED , NAMP-1103B (PSO 7-8 INCH BONE)</t>
  </si>
  <si>
    <t>HALPERNS</t>
  </si>
  <si>
    <t>Use Sysco until depletion</t>
  </si>
  <si>
    <t>BEEF SHORT RIBS BONELESS VV, NAMP-130A</t>
  </si>
  <si>
    <t>OK FOR THE EU TW 4/2023</t>
  </si>
  <si>
    <t>BEEF TENDERLOIN PEELED STRAP-ON  100 DAY GRAIN FED JBS (AUSTRALIA) NAMP-189A</t>
  </si>
  <si>
    <t>AUSTRALIA</t>
  </si>
  <si>
    <t>Please use 51534 FROM Sysco until depleted---- VV 14366</t>
  </si>
  <si>
    <t>BEEF, STRIPLOIN, BONELESS, 13 DWN, UPPER 2/3, CHOICE, ANGUS, 40 DAY AGED, 0X1, NAMP 180, USA ONLY, &lt;22 LB EA, FZN, 3/1 EA</t>
  </si>
  <si>
    <t>MAJOR PACKER</t>
  </si>
  <si>
    <t>BEEF, STRIPLOIN, BONELESS, COMMERCIAL, NON-UTILITY, 1X1, NAMP 180, &gt;8 LB EA, FZN, 5/1 EA</t>
  </si>
  <si>
    <t>CALVES FEET 35# PACKED W PLASTIC WRAP</t>
  </si>
  <si>
    <t>PC</t>
  </si>
  <si>
    <t>02 - VEAL</t>
  </si>
  <si>
    <t>03 - PORK</t>
  </si>
  <si>
    <t>VEAL DEMI GLACE CUISINE SOLUTIONS 1003743 (NO INSPECTION NEEDED) (NETHERLANDS)</t>
  </si>
  <si>
    <t>CUISINE SOLUTIONS</t>
  </si>
  <si>
    <t>Gluten - Wheat, Milk (including lactose), Soybeans</t>
  </si>
  <si>
    <t>PORK LOIN BACK RIBS 1-1/2# DOWN DOMESTIC NAMP 422 (USA)</t>
  </si>
  <si>
    <t>CAN'T GO TO EUROPE</t>
  </si>
  <si>
    <t>PORK BELLY RAW RIND-ON (USA)</t>
  </si>
  <si>
    <t>USE 24773 IN EUROPE</t>
  </si>
  <si>
    <t>PORK CHAR CHASHU PORK BELLY CS22/LBS  POCINO 42461</t>
  </si>
  <si>
    <t>POCINO FOODS</t>
  </si>
  <si>
    <t>CS22/LBS</t>
  </si>
  <si>
    <t>PORK CHEEKS W/ PLASTIC LINING</t>
  </si>
  <si>
    <t>CS60/LBS</t>
  </si>
  <si>
    <t>PORK EARS FROZEN CS30/LBS (36-49020)</t>
  </si>
  <si>
    <t>FARMLAND/PACKER</t>
  </si>
  <si>
    <t>PORK LOIN SMOKED CENTER CUT BONELESS (USA)</t>
  </si>
  <si>
    <t>Cant go to Europe</t>
  </si>
  <si>
    <t>PORK LOIN WHOLE CRYOVAC  22-24   DOWN BONE IN, NAMP411 (USA)</t>
  </si>
  <si>
    <t>PORK SHOULDER BUTT BONELESS</t>
  </si>
  <si>
    <t>CANT GO TO EUROPE</t>
  </si>
  <si>
    <t>PORK SPARE RIBS 4-1/2 - DOWN 30# NAMP416 HATFIELD 1252 (USA)</t>
  </si>
  <si>
    <t>HATFIELD</t>
  </si>
  <si>
    <t>PORK, HAM LEG, BONE IN, SHORT SHANK, SKIN ON, FRESH, NAMP 401A, &gt;23 LB EA, FZN</t>
  </si>
  <si>
    <t>04 - LAMB</t>
  </si>
  <si>
    <t>LAMB LEGS BONELESS ROLLED &amp; TIED FROZEN VAC-PAC (AUSTRALIA)</t>
  </si>
  <si>
    <t>CAN'T SEND FROM US TO EUROPE OR VANCOUVER</t>
  </si>
  <si>
    <t>LAMB HIND SHANK  FROZEN 2/PK AUSTRALIA</t>
  </si>
  <si>
    <t>EV/ RAZZLE</t>
  </si>
  <si>
    <t>CANT SEND FROM US TO EUROPE OR VANCOUVER</t>
  </si>
  <si>
    <t>LAMB RACKS CAPOFF FRENCHED 20/28 OZ FROZEN INDV VAC PAC  (NEW ZEALAND/AUSTRALIA)</t>
  </si>
  <si>
    <t>LAMB SHOULDER SQUARE CUT NECK-ON FROZEN  (AUSTRALIA)</t>
  </si>
  <si>
    <t>05 - POULTRY</t>
  </si>
  <si>
    <t>07 - GAME</t>
  </si>
  <si>
    <t>CORNISH HENS IQF USDA GRADE A</t>
  </si>
  <si>
    <t>CS24/LBS</t>
  </si>
  <si>
    <t>CHICKEN BREAST FILLET, BREADED, FRITTERS, RAW (USA)</t>
  </si>
  <si>
    <t>Soybeans, Eggs, Gluten - Wheat</t>
  </si>
  <si>
    <t>Cannot ship to Europe TW 2-1-23</t>
  </si>
  <si>
    <t>CHICKEN BREAST, BONELESS, SKINLESS, NON-MARINATED, NON-INJECTED, 6-7 OZ EA, FZN, 1/40 LB</t>
  </si>
  <si>
    <t>CHICKEN LEG QUARTERS FROZEN  PACKER (USA)</t>
  </si>
  <si>
    <t>CHICKEN LEG/THIGH BONELESS &amp; SKINLESS FROZEN</t>
  </si>
  <si>
    <t>CHICKEN LIVER RAW IQF CLEANED FROZEN</t>
  </si>
  <si>
    <t>CHICKEN NECKS/BACKS 50# SKIN-ON (PLASTIC WRAPPED) (USA)</t>
  </si>
  <si>
    <t>CS40/LBS</t>
  </si>
  <si>
    <t>CHICKEN WHOLE ANTIBIOTIC-FREE (NAKED) JOYCE FARMS</t>
  </si>
  <si>
    <t>JOYCE FARMS</t>
  </si>
  <si>
    <t>CHICKEN WINGS SMALL (WHOLE) RAW RANDOM SIZE BULK PACK (USA)</t>
  </si>
  <si>
    <t>CHICKEN WINGS WHOLE  RAW JUMBO CS4/10 LB</t>
  </si>
  <si>
    <t>HOUSE OF RED FIELD FARM</t>
  </si>
  <si>
    <t>CS5/LBS</t>
  </si>
  <si>
    <t>CHICKEN, FRYER, WOG, IND WRAPPED, NON-INJECTED, 2.50-3.25 LB EA, FZN, 12/1 EA</t>
  </si>
  <si>
    <t>DUCK FAT (TH) (VV)</t>
  </si>
  <si>
    <t>DUCK WHOLE GRADE, "A" 4.00 -  5.0LB CS6/PC</t>
  </si>
  <si>
    <t>TURKEY BREAST RAW BONE-IN WHOLE SKIN-ON, USDA "A"  8/10 LB AVG (USA)</t>
  </si>
  <si>
    <t>CAN'T SHIP TO EUROPE FROM THE US</t>
  </si>
  <si>
    <t>TURKEYS WHOLE  20/22 OR 22/24 LB GRADE "A" (USA)</t>
  </si>
  <si>
    <t>VENISON, STRIPLOIN, BONELESS, DENUDED, 4-6 LB EA, FZN</t>
  </si>
  <si>
    <t>CERVENA</t>
  </si>
  <si>
    <t>CS20/LBS</t>
  </si>
  <si>
    <t>01 - SAUSAGES</t>
  </si>
  <si>
    <t>152 - SAUSAGES,PROC. MEATS, SPEC. ITEMS</t>
  </si>
  <si>
    <t>ANDOUILLE SAUSAGE LINK (10532)</t>
  </si>
  <si>
    <t>RAZZLE AFTER DARK</t>
  </si>
  <si>
    <t>BAVARIAN LOAF, PORK/BEEF, STICK/LOG, SCHALLER WEBER (65110) FRZN</t>
  </si>
  <si>
    <t>SCHALLER WEBER</t>
  </si>
  <si>
    <t>Gluten - Wheat, Soybeans</t>
  </si>
  <si>
    <t>CAN'T GO TO EUROPE
18 LBS/ 6PC/CS VACUUM PACK  SCHALLER WEBER (6511</t>
  </si>
  <si>
    <t>BIERSCHINKEN/ HAM BOLOGNA (40700)</t>
  </si>
  <si>
    <t>BRATWURST FRYERS SAUSAGE ROUGH 10# (10032) (USA)</t>
  </si>
  <si>
    <t>CHORIZO SAUSAGE MEAT 12/14 OZ BULK OLE FOODS</t>
  </si>
  <si>
    <t>OLE FOODS</t>
  </si>
  <si>
    <t>FRANKFURTERS ALL BEEF SKINLESS 6/1 KOSHER HEBREW NATIONAL/NATHANS (USA)</t>
  </si>
  <si>
    <t>NATHANS/ HEBREW NATIONAL</t>
  </si>
  <si>
    <t>Soybeans</t>
  </si>
  <si>
    <t>ITALIAN SAUSAGE, LINK, 6INCH</t>
  </si>
  <si>
    <t>Milk (including lactose), Soybeans, Celery, Mustard</t>
  </si>
  <si>
    <t>CAN'T GO TO EUROPE- PLEASE USE 24130 UNTIL DEPLETION
1/10 MILD (USA)</t>
  </si>
  <si>
    <t>MORTADELLA W/ PISTACHIO GALBANI/ DANIELLE</t>
  </si>
  <si>
    <t>02 - CHILLED</t>
  </si>
  <si>
    <t>GALBANI/ LEVONETTO</t>
  </si>
  <si>
    <t>Tree nuts</t>
  </si>
  <si>
    <t>NDUJA TRADITIONAL SPREADABLE ARTISANS (88-83180)</t>
  </si>
  <si>
    <t>ARTISANS</t>
  </si>
  <si>
    <t>PEPPERONI SLICED FOR PIZZA, 10 LBS CASE</t>
  </si>
  <si>
    <t>SALAME CASALINO - CACCIATORINO MARTELLI</t>
  </si>
  <si>
    <t>GALBANI</t>
  </si>
  <si>
    <t>SALAME LEVONETTO MILANO LEVONI</t>
  </si>
  <si>
    <t>LEVONI</t>
  </si>
  <si>
    <t>Virgin use Prime Line pricing, not Apollo stock. TW 6-1-25</t>
  </si>
  <si>
    <t>SAUSAGE LINK BREAKFAST COOKED 0.8  OZ SKINLESS SMITHFIELD CRW (USA)</t>
  </si>
  <si>
    <t>SMITHFIELD'S</t>
  </si>
  <si>
    <t>SAUSAGE, CHICKEN APPLE BREAKFAST  SMOKED 2 OZ. SHEEP CASING AIDELLS  10000020317</t>
  </si>
  <si>
    <t>AIDELLS</t>
  </si>
  <si>
    <t>CAN'T GO TO EUROPE - PLEASE ORDER ITEM 62668 WHILE IN EUROPE (RF 6.18.24)</t>
  </si>
  <si>
    <t>SAUSAGE, TURKEY VV</t>
  </si>
  <si>
    <t>EU ONLY</t>
  </si>
  <si>
    <t>VV SHIPS - ONLY TO BE USED WHILE IN EUROPE (RF 6.18.24)</t>
  </si>
  <si>
    <t>WEISSWURST 3 OZ LINK (10232)</t>
  </si>
  <si>
    <t>KG</t>
  </si>
  <si>
    <t>Milk (including lactose)</t>
  </si>
  <si>
    <t>02 - PROCESSED MEATS</t>
  </si>
  <si>
    <t>BACON BACK SLICED</t>
  </si>
  <si>
    <t>BACON STREAKY SMOKED SLICED #2 PACKER (USA)</t>
  </si>
  <si>
    <t>PAKER</t>
  </si>
  <si>
    <t>Product is eligible for the EU. TW 5/2/24</t>
  </si>
  <si>
    <t>BACON, CANADIAN, SOLID MUSCLE, NAMP 550, FROZEN (USA)</t>
  </si>
  <si>
    <t>CANT GO TO EUROPE---Please use Sysco until depleted. EF</t>
  </si>
  <si>
    <t>BACON, NUESKE 24 HOUR  APPLEWOOD SMOKED BACON (NUESKI 2131)</t>
  </si>
  <si>
    <t>NUESKI</t>
  </si>
  <si>
    <t>COOKED HAM NATURAL JUICE (BOILED HAM EXTRA)</t>
  </si>
  <si>
    <t>GUANCIALE FROZEN CS7/LB LA QUERCIA</t>
  </si>
  <si>
    <t>LA QUERCIA</t>
  </si>
  <si>
    <t>HAM BLACK FOREST DRY CURED ADLER</t>
  </si>
  <si>
    <t>ADLER</t>
  </si>
  <si>
    <t>CAN'T GO TO EUROPE
CAN'T GO TO CANADA/VANCOUVER</t>
  </si>
  <si>
    <t>HAM SMOKED BONE-IN 18/22 (FRESH/FROZEN)</t>
  </si>
  <si>
    <t>CAN'T GP TP EUROPE</t>
  </si>
  <si>
    <t>PANCETTA COPPATA MAGRA GALBANI MP10/ SAN DANIEL</t>
  </si>
  <si>
    <t>CAN'T GO TO EUROPE OR  CANADA</t>
  </si>
  <si>
    <t>PASTRAMI BOTTOM ROUND FROZEN 25% NATIONAL DELI</t>
  </si>
  <si>
    <t>NATIONAL</t>
  </si>
  <si>
    <t>PORK, BACON, SLICED, APPLEWOOD SMOKED, LAID OUT, 18-22/LB, FZN, 1/15 LB</t>
  </si>
  <si>
    <t>CAN'T GO TO EUROPE   Use  145187 in Europe</t>
  </si>
  <si>
    <t>PROSCIUTTO DI SAN DANIELE LEVONI BONELESS 16 MONTH  RESERVE CS/16 LBS</t>
  </si>
  <si>
    <t>Vancouver</t>
  </si>
  <si>
    <t>SPANISH STYLE CHORIZO. DRIED</t>
  </si>
  <si>
    <t>PALACIOS</t>
  </si>
  <si>
    <t>RAZZLE ROJO</t>
  </si>
  <si>
    <t>TURKEY BREAST, DELI STYLE SKINLESS, SOLID MUSCLE 3 PIECE OVEN ROASTED 2/10 LB AVG</t>
  </si>
  <si>
    <t>Sulphur dioxide and sulphites, Soybeans</t>
  </si>
  <si>
    <t>CAN'T GO TO EUROPE   SHOULD NOT BE FROZEN</t>
  </si>
  <si>
    <t>01 - FROZEN FISH</t>
  </si>
  <si>
    <t>153 - FISH, SEAFOOD, CAVIAR</t>
  </si>
  <si>
    <t>ARCTIC CHAR WHOLE</t>
  </si>
  <si>
    <t>ICT BAY ICELAND (FARMED)</t>
  </si>
  <si>
    <t>Fish (e.g., bass, flounder, cod)</t>
  </si>
  <si>
    <t>NOT ACTIVE FOR VIRGIN OER EMAIL FROM LEVI 8/19/21</t>
  </si>
  <si>
    <t>BLACK COD/ SABLE FISH WHOLE 5/7 LB H&amp;G ONCE FROZEN NORTH STAR (USA)</t>
  </si>
  <si>
    <t>NORTH STAR</t>
  </si>
  <si>
    <t>MATRIX AND HOLIDAY</t>
  </si>
  <si>
    <t>COD FILLET BERING SEA 16/32 OZ FROZEN (PCH) (CHINA)</t>
  </si>
  <si>
    <t>CS25/KG</t>
  </si>
  <si>
    <t>COD, DRY SALTED (BACALAO) CANADIAN SKIN ON,1 LB PKG CFE (GERMANY)</t>
  </si>
  <si>
    <t>FLOUNDER/HAKE/POLLOCK FILLET BREADED/ BATTERED 4 OZ IQF FOR CREW CWS/10 LB  NATIONAL (USA)</t>
  </si>
  <si>
    <t>Gluten - Wheat, Fish (e.g., bass, flounder, cod)</t>
  </si>
  <si>
    <t>Use Sysco until there is depletion.</t>
  </si>
  <si>
    <t>HALIBUT FILLET, FRESH/FRZN ALASKAN</t>
  </si>
  <si>
    <t>ALASKAN</t>
  </si>
  <si>
    <t>MACKEREL WHOLE  GUTTED IQF FOR CREW CS/22 LB  ALFA (MEXICO)</t>
  </si>
  <si>
    <t>ALFA</t>
  </si>
  <si>
    <t>MAHI MAHI FILET SKIN ON UNTREATED  FROZEN (IP IS FTZ) (YEMEN)</t>
  </si>
  <si>
    <t>MASAGO FISH ROE S12/2 LB AZUMA FOODS</t>
  </si>
  <si>
    <t>AZZUMA FOODS</t>
  </si>
  <si>
    <t>CS12/2LB</t>
  </si>
  <si>
    <t>MILKFISH  BANGUS FROZEN WHOLE GUTTED (USA)</t>
  </si>
  <si>
    <t>MONKFISH WHOLE HEAD OFF 2/3 LB  FROZEN</t>
  </si>
  <si>
    <t>EV/ DOCK</t>
  </si>
  <si>
    <t>POLLOCK FILLET 4/8 OZ SKINLESS 100% NET WEIGHT (CHINA)</t>
  </si>
  <si>
    <t>RED SNAPPER FILLET SKIN-ON 1-3 LB FROZEN (IP IS FTZ) (VIETNAM)</t>
  </si>
  <si>
    <t>SALMON FILLET, ATLANTIC, PREMIUM, FROZEN, 3 - 4 LB D-TRIM INDV. CRYOVAC (CHILE)</t>
  </si>
  <si>
    <t>Marella only please use 38655 until depleted</t>
  </si>
  <si>
    <t>SALMON KETA WHOLE H&amp;G FROZEN CREW CS 50/LBS (CHILE)</t>
  </si>
  <si>
    <t>SARDINES WHOLE FROZEN NIGEL/PACKER (USA)</t>
  </si>
  <si>
    <t>SEA BASS EUROPEAN/ BRANZINO HEAD-ON GUTTED  FINISHED WEIGHT 800-1000GR POLY WRAP (HOLLAND)</t>
  </si>
  <si>
    <t>CS10/KG</t>
  </si>
  <si>
    <t>SEA TROUT FILET 4/6 OZ CREW FROZEN CS/40 LBS (USA)</t>
  </si>
  <si>
    <t>SMOKED SALMON SLAB LG. 2.0-2.5 LB VAC PK (USA)</t>
  </si>
  <si>
    <t>STRIPED BASS FILLET WILD SKIN-ON 2/3 LB  IQFCS/25 LB</t>
  </si>
  <si>
    <t>SWORDFISH LOINS 20/40 FRESH FROZEN CONNOLLY CS/40 LB AVG (USA)</t>
  </si>
  <si>
    <t>UP WITH A TWIST/DOCK</t>
  </si>
  <si>
    <t>Use BCN only for Marella, not for PCH</t>
  </si>
  <si>
    <t>TOBIKO WASABI FLYING FISH ROE CS12/500 GRAM KST</t>
  </si>
  <si>
    <t>K SEA</t>
  </si>
  <si>
    <t>12/500GR</t>
  </si>
  <si>
    <t>TUNA GROUND "RR" CS2/11LB  V.V.</t>
  </si>
  <si>
    <t>C2/11LBS</t>
  </si>
  <si>
    <t>TUNA LOIN SKINLESS FROZEN,  (IP IS FTZ) (YEMEN)</t>
  </si>
  <si>
    <t>WHITING FILET  4/6 OR 6/10 OZ FRZN (ARGENTINA)</t>
  </si>
  <si>
    <t>WHOLE RED SNAPPER FROZEN, 1-2LB</t>
  </si>
  <si>
    <t>RAZZLE LL</t>
  </si>
  <si>
    <t>YELLOWTAIL (HAMACHI) LOIN SEIKI #1 SUSHI GRADE</t>
  </si>
  <si>
    <t>SEIKI</t>
  </si>
  <si>
    <t>02 - FROZEN SEAFOOD</t>
  </si>
  <si>
    <t>CLAM LITTLE NECK / VONGOLE FROZEN CS 40/LBS WHITE WATER INT'L GROUP (USA)</t>
  </si>
  <si>
    <t>WHITE WATER INT'L GROUP</t>
  </si>
  <si>
    <t>Molluscs</t>
  </si>
  <si>
    <t>Do not ship US product to Italian ports. Product will be destroyed.</t>
  </si>
  <si>
    <t>CRAB CLAWS, SNOW COOKED FROZEN ORION/ MAZETTA</t>
  </si>
  <si>
    <t>ORION</t>
  </si>
  <si>
    <t>CS6/3LBS</t>
  </si>
  <si>
    <t>Crustacean shellfish (e.g. crab, lobster, shrimp)</t>
  </si>
  <si>
    <t>CRAB LEGS KING RED/GOLD ALASKA SPLIT COOKED 20/24 CT 20 LB CS TREASRURE OF THE SEAS</t>
  </si>
  <si>
    <t>TREASRURE OF THE SEAS</t>
  </si>
  <si>
    <t>CRAB SOFT SHELL WHOLE HOTEL FROZEN</t>
  </si>
  <si>
    <t>CS12/PC</t>
  </si>
  <si>
    <t>CRAWFISH WHOLE BLANCHED SEASONED CS10/2 LB</t>
  </si>
  <si>
    <t>GRILLED EEL/ UNAGI/ KABAYAKI (BBQ EEL SUSHI)</t>
  </si>
  <si>
    <t>CS2/11LB</t>
  </si>
  <si>
    <t>LOBSTER-MAINE-COLD WATER,SPLIT,SHELL ON-CLAW MEAT IN 1.30-1.50 # COOKED FZ,DR/TOS (CANADA)</t>
  </si>
  <si>
    <t>CS25/LBS</t>
  </si>
  <si>
    <t>MUSSEL MEAT SMALL NEW ZEALAND/CHILE BLUE IQF FROZEN 200-300 CT GOLDEN SUN (CHILE)</t>
  </si>
  <si>
    <t>OCTOPUS, FROZEN 4-6/LB FROZEN 30 LB CS POLAR</t>
  </si>
  <si>
    <t>SHRIMP 16/20 RAW P&amp;D TAIL-ON CS10/LB SURAM ROYAL WHITE (VIETNAM)</t>
  </si>
  <si>
    <t>Royal White</t>
  </si>
  <si>
    <t>SHRIMP CARABINEROS 8-10 OR 5-8 PC/KG</t>
  </si>
  <si>
    <t>CS12/KG</t>
  </si>
  <si>
    <t>NEW/ CHARGEABLE</t>
  </si>
  <si>
    <t>SHRIMP PANDALUS BOREALIS  COOKED 150/250 IQF COLD WATER P&amp;D 4/5LB CS ORION/PACKER (CANADA)</t>
  </si>
  <si>
    <t>SHRIMP TEMPURA EBI PRE COOKED LARGE125 PC V.V.</t>
  </si>
  <si>
    <t>CS135/PC</t>
  </si>
  <si>
    <t>Scallops 10/15 CT</t>
  </si>
  <si>
    <t>SQUID TUBES 8-10 FROZEN (CHINA)</t>
  </si>
  <si>
    <t>SQUID WHOLE CLEANED 5/8 CT 4/2.5 LB CS FISHERMAN`S PRIDE (CHINA)</t>
  </si>
  <si>
    <t>FISHERMAN PRIDE</t>
  </si>
  <si>
    <t>TH SHIPS:  USE #81514  - AS PER JOSER 10/03/16 - dsl</t>
  </si>
  <si>
    <t>SURIMI/WHITE FISH STICKS W/2% CRAB MEAT, COOKED -SUSHI GRADE KST (USA)</t>
  </si>
  <si>
    <t>SUSHI GRADE KST</t>
  </si>
  <si>
    <t>Soybeans, Gluten - Wheat, Crustacean shellfish (e.g. crab, lobster, shrimp), Eggs, Fish (e.g., bass, flounder, cod)</t>
  </si>
  <si>
    <t>03- CAVIAR (FLAGGED) 04- FRESH FISH &amp; SEAFOOD (FLAGGED)  05- CANNED SEAFOOD</t>
  </si>
  <si>
    <t>04 - FRESH FISH &amp; SEAFOOD (FLAGGED)</t>
  </si>
  <si>
    <t>DORADE WHOLE FRESH1.5 LB GUTTED</t>
  </si>
  <si>
    <t>BANDERA</t>
  </si>
  <si>
    <t>MUSSEL BLACK FRESH IN SHELL</t>
  </si>
  <si>
    <t>CLAMS COCKLE FRESH BAG10/LBS</t>
  </si>
  <si>
    <t>OYSTERS FRESH</t>
  </si>
  <si>
    <t>05 - CANNED SEAFOOD</t>
  </si>
  <si>
    <t>SHRIMP SALTED CS6/2 LB ASSI</t>
  </si>
  <si>
    <t>03 - DRY</t>
  </si>
  <si>
    <t>ASSI</t>
  </si>
  <si>
    <t>154 - EGG, MILK, YOGURT, CREAM, ICE CREAM</t>
  </si>
  <si>
    <t>00 - GENERAL</t>
  </si>
  <si>
    <t>YEAST ACTIVE 24/1# FRESH &amp; REFRIGERATED, FLEISCHMANS</t>
  </si>
  <si>
    <t>FLEISCHMANS</t>
  </si>
  <si>
    <t>CS24/1LB</t>
  </si>
  <si>
    <t>PURCHASE LOCAL, DO NOT SEND IN CONTAINERS!</t>
  </si>
  <si>
    <t>01 - EGGS</t>
  </si>
  <si>
    <t>EGGS-DATED, MEDIUM, REGULAR</t>
  </si>
  <si>
    <t>C360/CT</t>
  </si>
  <si>
    <t>Eggs</t>
  </si>
  <si>
    <t>EGGS-DATED, MEDIUM, CAGE-FREE</t>
  </si>
  <si>
    <t>CS360/PC</t>
  </si>
  <si>
    <t>02 - FROZEN EGG</t>
  </si>
  <si>
    <t>EGG WHITES FROZEN 6/5# PAPETTI/ 12X1KG EUROVO/15X2LB DEBEL (USA)</t>
  </si>
  <si>
    <t>DEBEL</t>
  </si>
  <si>
    <t>CS30/LBS</t>
  </si>
  <si>
    <t>EGG YOLKS FROZEN NO SUGAR OR SALT ADDED 6/5 LB SUNNY FRESH/ DEBEL (USA)</t>
  </si>
  <si>
    <t>SUNNY FRESH/ DEBEL</t>
  </si>
  <si>
    <t>EGGS, WHOLE, LIQUID, W/ CITRIC ACID, NO SUGAR, 1-5 LB/1-5 LT, FZN, 6/5 LB</t>
  </si>
  <si>
    <t>03 - MILK</t>
  </si>
  <si>
    <t>ALMOND MILK DIAMOND/ ALMOND BREEZE</t>
  </si>
  <si>
    <t>ALMOND BREEZE</t>
  </si>
  <si>
    <t>C12/32OZ</t>
  </si>
  <si>
    <t>CONDIMENT &amp; BAR</t>
  </si>
  <si>
    <t>BUTTERMILK LOCAL 10 DAYS CS9/HGAL</t>
  </si>
  <si>
    <t>CS12/QRT</t>
  </si>
  <si>
    <t>CREME FRAICHE</t>
  </si>
  <si>
    <t>QRT</t>
  </si>
  <si>
    <t>HALF &amp; HALF LONG LIFE (10-12% CREAM)</t>
  </si>
  <si>
    <t>PC/LT</t>
  </si>
  <si>
    <t>CONDIMENT</t>
  </si>
  <si>
    <t>MILK CASHEW MILK CS12/32 6 PACIFIC</t>
  </si>
  <si>
    <t>PACIFIC</t>
  </si>
  <si>
    <t>CS6/32OZ</t>
  </si>
  <si>
    <t>BAR</t>
  </si>
  <si>
    <t>MILK GOAT MILK ASEPTIC CS12/32 OZ</t>
  </si>
  <si>
    <t>MILK OAT MILK CS12/32 IZ OATLEY/PACIFIC (USA)</t>
  </si>
  <si>
    <t>CS12/32O</t>
  </si>
  <si>
    <t>MILK POWDER  NON-FAT INSTANT</t>
  </si>
  <si>
    <t>RYT WAY</t>
  </si>
  <si>
    <t>MILK, UHT, SKIM, 0.5% FAT, DRY, 12/1 LT</t>
  </si>
  <si>
    <t>MLEKOVITA</t>
  </si>
  <si>
    <t>CS12/LT</t>
  </si>
  <si>
    <t>MILK, UHT, WHOLE, 3.5% FAT, DRY, 12/1 LT</t>
  </si>
  <si>
    <t>SOY MILK  12/32 OZ SILK/ PACKER</t>
  </si>
  <si>
    <t>SLIK</t>
  </si>
  <si>
    <t>PC/32OZ</t>
  </si>
  <si>
    <t>04 - YOGURT</t>
  </si>
  <si>
    <t>YOGURT PLAIN BULK, UNSWEETENED,</t>
  </si>
  <si>
    <t>YOGURT GREEK BULK</t>
  </si>
  <si>
    <t>FAGE 5% FAT</t>
  </si>
  <si>
    <t>05 - CREAM</t>
  </si>
  <si>
    <t>CLOTTED CREAM DEVONSHIRE</t>
  </si>
  <si>
    <t>DEVON CREAM COMPANY</t>
  </si>
  <si>
    <t>PC/908GR</t>
  </si>
  <si>
    <t>Buy from BES until stock is depleted</t>
  </si>
  <si>
    <t>HEAVY CREAM UHT LONG LIFE 38%-40% 12/1LT</t>
  </si>
  <si>
    <t>SOUR CREAM LONG LIFE 24% 6/5#</t>
  </si>
  <si>
    <t>WHIPPING CREAM (35% TO 36%) UHT</t>
  </si>
  <si>
    <t>155 - BUTTER,MARGARINE,CHEESE,FINE CHEESE</t>
  </si>
  <si>
    <t>01 - BUTTER</t>
  </si>
  <si>
    <t>BUTTER, UNSALTED, 82% FAT, FZN, 50/200 G</t>
  </si>
  <si>
    <t>BUTTER SOLID UNSALTED 82% FAT 40X250 GR OR 50X200GR</t>
  </si>
  <si>
    <t>BUTTER, UNSALTED, 84% FAT, EXTRA DRY, SHEETED, CROISSANT, FZN, 5/2 KG</t>
  </si>
  <si>
    <t>ISIGNY- FRANCE</t>
  </si>
  <si>
    <t>02 - MARGARINE</t>
  </si>
  <si>
    <t>MARGARINE, BULK</t>
  </si>
  <si>
    <t>Tree nuts, Soybeans</t>
  </si>
  <si>
    <t>03 - CHEESE</t>
  </si>
  <si>
    <t xml:space="preserve">
PANEER VV ONLY</t>
  </si>
  <si>
    <t>PCS/500gr</t>
  </si>
  <si>
    <t>Euro 4.79</t>
  </si>
  <si>
    <t>VAL INDIAN</t>
  </si>
  <si>
    <t>AMERICAN CHEESE, YELLOW, SLICED, STACK PACK</t>
  </si>
  <si>
    <t>KRAFT</t>
  </si>
  <si>
    <t>Soybeans, Milk (including lactose)</t>
  </si>
  <si>
    <t>CABRALES CHEESE</t>
  </si>
  <si>
    <t>CHEDDAR BLOCK YELLOW IMP.4/11</t>
  </si>
  <si>
    <t>CHEDDAR, SMOKED</t>
  </si>
  <si>
    <t>WISCONSIN</t>
  </si>
  <si>
    <t>CS2/5LB</t>
  </si>
  <si>
    <t>SMOKED CS2/8 LB GRAFTON MARELLA &amp;  VV</t>
  </si>
  <si>
    <t>CHEESE ASIAGO VECCHIO CS20/LB AVG AMBROSI</t>
  </si>
  <si>
    <t>AMBROSI</t>
  </si>
  <si>
    <t>CHEESE COTIJA QUESO CASE 2/5 LB SUPREMO VV</t>
  </si>
  <si>
    <t>SUPREMO</t>
  </si>
  <si>
    <t>CHEESE OAXACA FRESH CS2/5LB SUPREMO VV</t>
  </si>
  <si>
    <t>CHEESE, EDAM, LOAF</t>
  </si>
  <si>
    <t>COTTAGE CHEESE,4%, LARGE CURD, TUB</t>
  </si>
  <si>
    <t>CREAM CHEESE QUESCREM/PHILADELPHIA FOR BAKERY</t>
  </si>
  <si>
    <t>QUESCREM/PHILADELPHIA</t>
  </si>
  <si>
    <t>CS4/3LBS</t>
  </si>
  <si>
    <t>EMMENTHAL LOAF / DEXPA # 7290 - 7465</t>
  </si>
  <si>
    <t>CS15/LBS</t>
  </si>
  <si>
    <t>SWISS CHEESE EMMENTHALER (FRENCH)</t>
  </si>
  <si>
    <t>FETA, IN BRINE, TUB</t>
  </si>
  <si>
    <t>CS28/LBS</t>
  </si>
  <si>
    <t>CHEESE FETA SHEEPS MILK IN BRINE</t>
  </si>
  <si>
    <t>GOAT CHEESE  CHEFS CHEVRE CS 2/4 LB LAUR CHENEL</t>
  </si>
  <si>
    <t>LAURA CHENEL USA</t>
  </si>
  <si>
    <t>CS2/4LBS</t>
  </si>
  <si>
    <t>GOUDA LOG</t>
  </si>
  <si>
    <t>CS9/LBS</t>
  </si>
  <si>
    <t>GRUYERE IGP SAVOIE CHABERT 40KG / DEXPA # 8681</t>
  </si>
  <si>
    <t>DIETZ AND WATSON</t>
  </si>
  <si>
    <t>CS2/5LBS</t>
  </si>
  <si>
    <t>MONTERREY JACK 10 LB WHEEL</t>
  </si>
  <si>
    <t>MOZZARELLA BURRATA</t>
  </si>
  <si>
    <t>BELGIOIOSO</t>
  </si>
  <si>
    <t>CS6/8OZ</t>
  </si>
  <si>
    <t>EV/ SHIP SHOW</t>
  </si>
  <si>
    <t>MOZZARELLA DI BUFFALA CHEESE FRESH ABC BRAND 10/8.8 OZ- CI16 (ITALY)</t>
  </si>
  <si>
    <t>ABC BRAND</t>
  </si>
  <si>
    <t>CS5.5/LB</t>
  </si>
  <si>
    <t>DO NOT USE THIS ITEM IF IT IS SHIPPED IN FROZEN CONTAINER. FOR CONTAINERS USE 67</t>
  </si>
  <si>
    <t>MOZZARELLA, 100%, SHREDDED, WHOLE MILK</t>
  </si>
  <si>
    <t>GRANDE</t>
  </si>
  <si>
    <t>C6/5LBS</t>
  </si>
  <si>
    <t>100% TRUE MOZZARELLA, GRANDE BRAND/MLEKOVITA ONLY</t>
  </si>
  <si>
    <t>MOZZARELLA, DOMESTIC, LOAF</t>
  </si>
  <si>
    <t>PARMESAN, GRATED</t>
  </si>
  <si>
    <t>PARMESAN CHEESE GRATED 20# O/S</t>
  </si>
  <si>
    <t>PROVOLONE, LOAF</t>
  </si>
  <si>
    <t>CS34/LBS</t>
  </si>
  <si>
    <t>RICOTTA CHEESE FRESH CALABRO</t>
  </si>
  <si>
    <t>CALABRIO HAND DIPPED</t>
  </si>
  <si>
    <t>CS18/LBS</t>
  </si>
  <si>
    <t>04 - FINE CHEESE</t>
  </si>
  <si>
    <t>BRIE MON PERE 60% 3KG / DEXPA # 53726</t>
  </si>
  <si>
    <t>CS6/LBS</t>
  </si>
  <si>
    <t>CHEESE TALEGGIO VECCHIO</t>
  </si>
  <si>
    <t>RAZZLE</t>
  </si>
  <si>
    <t>CHEESE, PARMIGIANO REGGIANO, DOP, QUARTERS, 18-20 LB EA, CHL, 2/1 EA</t>
  </si>
  <si>
    <t>CHEESE, PECORINO ROMANO</t>
  </si>
  <si>
    <t>COULOMMIER BRIE CHEESE 330 GRAMS</t>
  </si>
  <si>
    <t>GORGONZOLA DOLCE LATTE</t>
  </si>
  <si>
    <t>MAHON CHEESE 3 MONTH SOFT</t>
  </si>
  <si>
    <t>MANCHEGO, MEDIUM (MESETA)</t>
  </si>
  <si>
    <t>Milk (including lactose), Eggs</t>
  </si>
  <si>
    <t>CS14/LBS</t>
  </si>
  <si>
    <t>(MEDIUM) 2/7#</t>
  </si>
  <si>
    <t>MASCARPONE, TUB</t>
  </si>
  <si>
    <t>CS2/4LB</t>
  </si>
  <si>
    <t>MAYTAG BLUE CHEESE</t>
  </si>
  <si>
    <t>MAYTAG</t>
  </si>
  <si>
    <t>CS4/LBS</t>
  </si>
  <si>
    <t>PARMIGIANO, GRANA PADANO, QUARTERS</t>
  </si>
  <si>
    <t>Can be sub with 35311 PARMEGIANO REGGIANO, DOP, 80LB-WHEEL, AGED 8-24M</t>
  </si>
  <si>
    <t>SMOKED BUFFALA MOZZARELLA</t>
  </si>
  <si>
    <t>01 - FROZEN VEGETABLES</t>
  </si>
  <si>
    <t>156 - FROZEN VEGETABLES, FRUITS &amp; JUICES</t>
  </si>
  <si>
    <t>ARTICHOKE, BOTTOMS, WHOLE, IQF, FRZN</t>
  </si>
  <si>
    <t>BOTTOMS WHOLE FROZEN (SPAIN)</t>
  </si>
  <si>
    <t>ASPARAGUS, GREEN, MEDIUM, GRADE A, IQF, FZN, 1/10 KG</t>
  </si>
  <si>
    <t>If n/a please use 15134
 FROZEN GREEN MEDIUM GRADE A (PERU)</t>
  </si>
  <si>
    <t>AVOCADO, CHUNKY, PULP, POUCH, GRADE A, IQF, FZN, 1/10 KG</t>
  </si>
  <si>
    <t>C10/2LBS</t>
  </si>
  <si>
    <t>AVOCADO, HALVES, PITLESS, IQF, FRZN</t>
  </si>
  <si>
    <t>Marella use 145516 til depleted
HALVES, PITLESS, FROZEN, SIMPLOT/ CALAVO (PERU)</t>
  </si>
  <si>
    <t>BEANS, GREEN, FINE, GRADE A, IQF, FZN, 1/10KG</t>
  </si>
  <si>
    <t>FROZEN  GRADE A (BELGIUM)</t>
  </si>
  <si>
    <t>CHESTNUTS PEELED, FRZN,10/2LB, WHITE TOQUE</t>
  </si>
  <si>
    <t>WHITE TOQUE</t>
  </si>
  <si>
    <t>CS10/2LB</t>
  </si>
  <si>
    <t>WhiteToque 80cs/pallet - 3 pallet minimum</t>
  </si>
  <si>
    <t>CORN, COBETTES, 3", GRADE A, IQF, FZN, 1/10 KG</t>
  </si>
  <si>
    <t>CORN, WHOLE KERNEL, GRADE A, IQF, FZN, 1/10 KG</t>
  </si>
  <si>
    <t>WHOLE KERNEL, GRADE A, IQF FRZN (POLAND)</t>
  </si>
  <si>
    <t>EDAMAME, SHELLED, FRZN (GREENLAND)</t>
  </si>
  <si>
    <t>FRENCH FRIES SEASHORE STYLE SEASONED SKIN-ON CS 6/5 LB LAMB WESTON SS101</t>
  </si>
  <si>
    <t>LAMB WESTON</t>
  </si>
  <si>
    <t>CS6/5LBS</t>
  </si>
  <si>
    <t>FRENCH FRIES, SHOESTRING, LAMB WESTON / AVIKO, GRADE AO1, FRZN</t>
  </si>
  <si>
    <t>CS27/LBS</t>
  </si>
  <si>
    <t>SHOESTRING, S6/5 LBS LAMB WESTON AO1 (USA)</t>
  </si>
  <si>
    <t>HASH BROWN, ROUND, 2.5 INCH, IQF AVIKO</t>
  </si>
  <si>
    <t>AVIKO</t>
  </si>
  <si>
    <t>CS4/5LBS</t>
  </si>
  <si>
    <t>ROUND 2.5 INCH MINI IQF AVIKO (NETHERLANDS)</t>
  </si>
  <si>
    <t>MASHED POTATO PELLET PLAIN CS 4/2.5KG LUTOSA/ WHITE TOQUE (IRELAND)</t>
  </si>
  <si>
    <t>LUTOSA/ WHITE TOQUE</t>
  </si>
  <si>
    <t>C4/2.5KG</t>
  </si>
  <si>
    <t>MIXED VEGETABLES, GRADE A, IQF, FZN, 1/10 KG</t>
  </si>
  <si>
    <t>MIXED VEGETABLES FROZEN GRADE A (BELGIUM)</t>
  </si>
  <si>
    <t>MUSHROOMS CHANTERELLES FROZEN (SPAIN )</t>
  </si>
  <si>
    <t>CS/5KG</t>
  </si>
  <si>
    <t>nOT AVAILABLE IN THE US. USE FRESH TW 6/25/24</t>
  </si>
  <si>
    <t>MUSHROOMS, SLICED, FRZN, GRADE A/PREM, &lt;50 MM</t>
  </si>
  <si>
    <t>SLICED  FROZEN GRADE A PREMIUM &lt;50 MM (USA)</t>
  </si>
  <si>
    <t>ONIONS, PEARL, GRADE A, IQF, FZN, 1/10 KG</t>
  </si>
  <si>
    <t>(BELGIUM)</t>
  </si>
  <si>
    <t>PEAS, SNOW PEAS FROZEN PACKER</t>
  </si>
  <si>
    <t>C12/2LBS</t>
  </si>
  <si>
    <t>use 18613</t>
  </si>
  <si>
    <t>PESTO SAUCE FROZEN  CASA DI LISIO  (PALLET 126) (USA)</t>
  </si>
  <si>
    <t>CASA DI LISIO</t>
  </si>
  <si>
    <t>CS2/64OZ</t>
  </si>
  <si>
    <t>TH SHIPS:  USE #38250  - AS PER JOSER 10/03/16 - dsl</t>
  </si>
  <si>
    <t>PLANTAIN SLICES IQF READY TO COOK (PUERTO RICO)</t>
  </si>
  <si>
    <t>TIO JORGE</t>
  </si>
  <si>
    <t>BIMINI</t>
  </si>
  <si>
    <t>RHUBARB, CRIMSON, CUTS, IQF, FRZN</t>
  </si>
  <si>
    <t>C/10KG</t>
  </si>
  <si>
    <t>FROZEN CRIMSON   RCCL  SEA BO  PCL  HAL (BELGIUM)</t>
  </si>
  <si>
    <t>SEA BEANS FRESH</t>
  </si>
  <si>
    <t>SEAWEED, SALAD, WAKAME, FZN, 4/2 KG</t>
  </si>
  <si>
    <t>CS4/2KG</t>
  </si>
  <si>
    <t>Sesame seeds</t>
  </si>
  <si>
    <t>SPINACH, LEAF, GRADE A, IQF, FZN, 1/10 KG</t>
  </si>
  <si>
    <t>CS/10KG</t>
  </si>
  <si>
    <t>GRADE A (BELGIUM)</t>
  </si>
  <si>
    <t>YUCCA FRIES THIN CUT FROZEN TIO JORGE</t>
  </si>
  <si>
    <t>02 - FROZEN FRUITS &amp; BERRIES</t>
  </si>
  <si>
    <t>ACAI FRUIT PUREE 60X3.5OZ SAMBAZON</t>
  </si>
  <si>
    <t>SAMBAZON</t>
  </si>
  <si>
    <t>6/10.5OZ</t>
  </si>
  <si>
    <t>BANANA LEAVES, 30/1 LB, SUN VOI (THAILAND)</t>
  </si>
  <si>
    <t>SUN VOI</t>
  </si>
  <si>
    <t>BLACK CURRANT WHOLE FROZEN CS5/1KG WHITE TOQUE</t>
  </si>
  <si>
    <t>CS5/KG</t>
  </si>
  <si>
    <t>USE CODE 42264</t>
  </si>
  <si>
    <t>BLACKBERRIES, WHOLE, IQF, FRZN</t>
  </si>
  <si>
    <t>IQF FROZEN (CHILE)</t>
  </si>
  <si>
    <t>BLUEBERRIES, WHOLE, IQF, FRZN</t>
  </si>
  <si>
    <t>WHOLE IQF SIMPLOT/DIRAFROST (NETHERLANDS)</t>
  </si>
  <si>
    <t>CHERRIES, DARK SWEET PITTED, WHOLE, IQF, FRZN</t>
  </si>
  <si>
    <t>IQF FROZEN WHOLE (SPAIN)</t>
  </si>
  <si>
    <t>COCONUT MEAT FROZEN CS11/1LB EXOTIC SUPER FOODS</t>
  </si>
  <si>
    <t>EXOTIC SUPER FOODS</t>
  </si>
  <si>
    <t>PK1/LB</t>
  </si>
  <si>
    <t>PUREE COCUNUT, SUGAR ADDED, BOIRON/LAFRUTIERE/SICOLY   FRZN 6/1 KG</t>
  </si>
  <si>
    <t>BOIRON</t>
  </si>
  <si>
    <t>use 28415
FROZEN  (BOIRON IN USA SICOLY IN EUROPE) (FRANCE )</t>
  </si>
  <si>
    <t>FRUIT PUREE YUZU LUXE  SOUR 6/30 OZ PERFECT PUREE</t>
  </si>
  <si>
    <t>PERFECT PUREE</t>
  </si>
  <si>
    <t>CS6/30OZ</t>
  </si>
  <si>
    <t>MANGO CHUNKS  FROZEN (PERU)</t>
  </si>
  <si>
    <t>DOLE</t>
  </si>
  <si>
    <t>PUREE MANGO, BOIRON/LAFRUTIERE/SICOLY   FRZN 6/1 KG</t>
  </si>
  <si>
    <t>BOIRON/ SICOLY</t>
  </si>
  <si>
    <t>If N/A use 15246</t>
  </si>
  <si>
    <t>MOUNTAIN HUCKLEBERRY FROZEN PKG 1/LB</t>
  </si>
  <si>
    <t>FREEDOM FRESH</t>
  </si>
  <si>
    <t>RAZZLE/ TEST KITCHEN</t>
  </si>
  <si>
    <t>PUREE PASSION FRUIT ,  BOIRON/SICOLY  FRZN 6/1 KG</t>
  </si>
  <si>
    <t>use 27391
FROZEN BOIRON (FRANCE)</t>
  </si>
  <si>
    <t>PINEAPPLE CHUNK FROZEN  CS2/5LB DOLE</t>
  </si>
  <si>
    <t>PUREE APRICOT ,  BOIRON/SICOLY  FRZN 6/1 KG</t>
  </si>
  <si>
    <t>PUREE BLACK CHERRY  BOIRON 6/1 KG, VV</t>
  </si>
  <si>
    <t>C/6KG</t>
  </si>
  <si>
    <t>use 141706</t>
  </si>
  <si>
    <t>PUREE BLACK CURRANT(CASSIS) ,  BOIRON/SICOLY  FRZN 6/1 KG</t>
  </si>
  <si>
    <t>use 48528
FROZEN  (BOIRON IN USA SICOLY IN EUROPE) (FRANCE )</t>
  </si>
  <si>
    <t>PUREE FRUIT, BLACKBERRY, BOIRON/SICOLY, KG, FRZN</t>
  </si>
  <si>
    <t>CS6/KG</t>
  </si>
  <si>
    <t>use 108799
 BLACKBERRY SICOLY 6/1 KG,</t>
  </si>
  <si>
    <t>PUREE GUAVA ,  BOIRON/SICOLY  FRZN 6/1 KG</t>
  </si>
  <si>
    <t>PUREE WHITE PEACH ,  BOIRON/SICOLY  FRZN 6/1 KG</t>
  </si>
  <si>
    <t>use 27395
 BOIRON 6/1 KG, (FRANCE)</t>
  </si>
  <si>
    <t>PUREE MANDARIN ,  BOIRON/SICOLY  FRZN 6/1 KG</t>
  </si>
  <si>
    <t>PUREE TAMARIND CS6/30 OZ PERFECT PUREE</t>
  </si>
  <si>
    <t>PUREE RASPBERRY , SUGAR ADDED, BOIRON/LAFRUTIERE/SICOLY    FRZN 6/1 KG</t>
  </si>
  <si>
    <t>If n/a use 27392</t>
  </si>
  <si>
    <t>STRAWBERRIES, WHOLE, IQF, FRZN</t>
  </si>
  <si>
    <t>FROZEN (CHILE)</t>
  </si>
  <si>
    <t>PUREE STRAWBERRY, SUGAR ADDED,   BOIRON/LAFRUTIERE/SICOLY   FRZN 6/1 KG</t>
  </si>
  <si>
    <t>If N?A use 27393</t>
  </si>
  <si>
    <t>03 - FROZEN JUICES</t>
  </si>
  <si>
    <t>BEV BASE, APPLE, NESTLE - VITALITY, 12560101, FZN, 12/32 OZ</t>
  </si>
  <si>
    <t>VITALITY</t>
  </si>
  <si>
    <t>C6/64OZ</t>
  </si>
  <si>
    <t>COCKTAIL FROZEN CONCENTRATE  12/32 OZ 80CS/PL VITALITY 12560101  NCL (USA )</t>
  </si>
  <si>
    <t>BEV BASE, FRUIT PUNCH, NESTLE - VITALITY, 12560125, FZN, 12/32 OZ</t>
  </si>
  <si>
    <t>CS6/64OZ</t>
  </si>
  <si>
    <t>FRZN CONC, 12/32OZ, 80CS/PL, VITALITY, 12560125 NCL (USA)</t>
  </si>
  <si>
    <t>BEV BASE, LEMONADE, NESTLE - VITALITY, 12560120, FZN, 12/32 OZ</t>
  </si>
  <si>
    <t>JUICE FROZEN CONCENTRATE 12/32 OZ 80CS/PL VITALITY 12560120 NCL  (USA )</t>
  </si>
  <si>
    <t>BEV BASE, ORANGE, 45%, NESTLE - VITALITY, 12560122, FZN, 12/32 OZ</t>
  </si>
  <si>
    <t>45% FZC 12/32OZ 80CS/PL VITALITY 12560122  (USA ) NCL</t>
  </si>
  <si>
    <t>BEV BASE, PASSION-ORANGE-GUAVA, NESTLE - VITALITY, 12560124, FZN, 12/32 OZ</t>
  </si>
  <si>
    <t>BEV BASE, PINEAPPLE, NESTLE - VITALITY, 12560123, FZN, 12/32 OZ</t>
  </si>
  <si>
    <t>PINEAPPLE JUICE FROZEN CONCENTRATE 12/32OZ 80CS/PL VITALITY 12560123 NCL (USA )</t>
  </si>
  <si>
    <t>13 - FROZEN VEGETABLES - UNCALIBRATED</t>
  </si>
  <si>
    <t>BABY CARROTS FROZEN STANDARD DUJARDIN (USA)</t>
  </si>
  <si>
    <t>BEAN GREEN CUT FROZEN STANDARD NAVARRA</t>
  </si>
  <si>
    <t>NAVARRA</t>
  </si>
  <si>
    <t>Please use 38185 for VV OK from Levi</t>
  </si>
  <si>
    <t>BROCCOLI, FLORETS, GRADE A, IQF, FZN, 1/10 KG</t>
  </si>
  <si>
    <t>BRUSSEL SPROUTS, MEDIUM, GRADE A, FRZN</t>
  </si>
  <si>
    <t>FROZEN GRADE A (BELGIUM)</t>
  </si>
  <si>
    <t>CAULIFLOWER, FLORETS, GRADE A, IQF, FZN, 1/10 KG</t>
  </si>
  <si>
    <t>PEAS, GREEN, GRADE A, IQF, FZN, 1/10 KG</t>
  </si>
  <si>
    <t>01 - FLOURS</t>
  </si>
  <si>
    <t>157 - BAKERY PRODUCTS, COOKIES &amp; MIXES</t>
  </si>
  <si>
    <t>AQUAFABA POWDER EGG REPLACER SAHELI PK 300GR</t>
  </si>
  <si>
    <t>SAHELI</t>
  </si>
  <si>
    <t>BREAD IMPROVER 50 LB PURATOS S-500 VV</t>
  </si>
  <si>
    <t>PURATOS</t>
  </si>
  <si>
    <t>CS50/LBS</t>
  </si>
  <si>
    <t>Gluten - Wheat</t>
  </si>
  <si>
    <t>CORN FLOUR 50  LB</t>
  </si>
  <si>
    <t>BOB'S RED MILL</t>
  </si>
  <si>
    <t>CORNSTARCH BULK</t>
  </si>
  <si>
    <t>ARGO</t>
  </si>
  <si>
    <t>DARK RYE FLOUR (KING ARTHUR)</t>
  </si>
  <si>
    <t>KING ARTHUR</t>
  </si>
  <si>
    <t>Per Levi, for VV in Europe sub with 47943</t>
  </si>
  <si>
    <t>FLOUR ALL PURPOSE SIR GALAHAD BAG50/LBS KING ARTHUR</t>
  </si>
  <si>
    <t>BG50/LBS</t>
  </si>
  <si>
    <t>Per Levi, for VV in Europe sub with 37963</t>
  </si>
  <si>
    <t>FLOUR CAKE KING ARTHUR</t>
  </si>
  <si>
    <t>Per Levi, for VV in Europe sub with 23976</t>
  </si>
  <si>
    <t>FLOUR CHICK PEA FLOUR BESAN/PACKER</t>
  </si>
  <si>
    <t>ANOTHER ROSE</t>
  </si>
  <si>
    <t>All ships please sub with item 109635 til depleted</t>
  </si>
  <si>
    <t>FLOUR SEMOLINA BAG 50/LBS DURAKOTA/BAY STATE (USA)</t>
  </si>
  <si>
    <t>BOBS RED MILL</t>
  </si>
  <si>
    <t>FLOUR SIR LANCELOT HIGH GLUTEN  50 LB KING ARTHUR</t>
  </si>
  <si>
    <t>Per Levi, for VV in Europe sub with 47945</t>
  </si>
  <si>
    <t>FLOUR TEMPURA FLOUR BULK</t>
  </si>
  <si>
    <t>Milk (including lactose), Eggs, Gluten - Wheat</t>
  </si>
  <si>
    <t>FLOUR WHOLE WHEAT BAG50/LBS KING ARTHUR</t>
  </si>
  <si>
    <t>Per Levi, for VV in Europe sub with 47944</t>
  </si>
  <si>
    <t>FLOUR, FARINA TIPO "00" ITALIAN FOR PASTA  BARILLA/CAPUTO RF20</t>
  </si>
  <si>
    <t>CAPUTO</t>
  </si>
  <si>
    <t>GRAIN FARRO PEARLED AMBROSIA/ROLAND (USA)</t>
  </si>
  <si>
    <t>ROLAND</t>
  </si>
  <si>
    <t>LB</t>
  </si>
  <si>
    <t>MASA HARINA CS4/22OZ BOBS RED MILL</t>
  </si>
  <si>
    <t>CS4/22OZ</t>
  </si>
  <si>
    <t>PASTRY FLOUR (KING ARTHUR)</t>
  </si>
  <si>
    <t>Per Levi, for VV in Europe sub with 47946</t>
  </si>
  <si>
    <t>POTATO FLAKES BAG 25/LBS BOBS RED MILL</t>
  </si>
  <si>
    <t>POTATO STARCH TOTIGI/ BOBS RED MILL</t>
  </si>
  <si>
    <t>QUINOA FLOUR</t>
  </si>
  <si>
    <t>SOY LECITHIN PKG 1 LB CUISINE TECH</t>
  </si>
  <si>
    <t>CUISINE TECH</t>
  </si>
  <si>
    <t>PKG1/LB</t>
  </si>
  <si>
    <t>TAPIOCA FLOUR BOBS RED MILL</t>
  </si>
  <si>
    <t>WHEAT, BULGUR WHEAT CS6/2LB INHARVEST</t>
  </si>
  <si>
    <t>INHARVEST</t>
  </si>
  <si>
    <t>02 - SUGAR</t>
  </si>
  <si>
    <t>GARLIC MINCED BADIA</t>
  </si>
  <si>
    <t>BADIA</t>
  </si>
  <si>
    <t>GLUCOSE PURE 7 KG</t>
  </si>
  <si>
    <t>FUSEAU</t>
  </si>
  <si>
    <t>edited 5.22.25 pws</t>
  </si>
  <si>
    <t>PALM SUGAR PURE THAILAND DUN G JONG/ TASTY JOY (THAILAND)</t>
  </si>
  <si>
    <t>DUN G JONG/ TASTY JOY</t>
  </si>
  <si>
    <t>PILONCILLO CONO-PANELA CS25/8OZ  GOYA</t>
  </si>
  <si>
    <t>GOYA</t>
  </si>
  <si>
    <t>CS25/8OZ</t>
  </si>
  <si>
    <t>POWDER, SUGAR SNOW, NEIGE DECOR, SUCRE NIEGE PASTISFR#6080</t>
  </si>
  <si>
    <t>PATISFRANCE</t>
  </si>
  <si>
    <t>SUGAR  ORGANIC CANE  CS 6/4LB CHUNG JUNG ONE BRAND</t>
  </si>
  <si>
    <t>CHUNG JUNG ONE BRAND</t>
  </si>
  <si>
    <t>SUGAR BROWN DARK  24/1LB  DOMINO (404310) (USA)</t>
  </si>
  <si>
    <t>DOMINO</t>
  </si>
  <si>
    <t>SUGAR BROWN LIGHT 24LB  DOMINO (404309)</t>
  </si>
  <si>
    <t>SUGAR CUBES BROWN CANNES 750 GRS MORCEAUX BRUT</t>
  </si>
  <si>
    <t>LA PERRUCHE</t>
  </si>
  <si>
    <t>SUGAR CUBES WHITE 12/1LB 433055</t>
  </si>
  <si>
    <t>SUGAR IN RAW PACKETS 1000 COUNT (433494) (USA)</t>
  </si>
  <si>
    <t>SUGAR IN THE RAW</t>
  </si>
  <si>
    <t>C1000/PC</t>
  </si>
  <si>
    <t>SUGAR IN THE RAW  CS12/2 LB</t>
  </si>
  <si>
    <t>SUGAR LIGHT BROWN CS6/24 OZ WHOLESOME</t>
  </si>
  <si>
    <t>WHOLESOME</t>
  </si>
  <si>
    <t>CS6/24OZ</t>
  </si>
  <si>
    <t>SUGAR PACKET SCROLL "SUGAR"  CS/2000 (406209) (USA)</t>
  </si>
  <si>
    <t>C2000/EA</t>
  </si>
  <si>
    <t>SUGAR PEARL</t>
  </si>
  <si>
    <t>SUGAR, POWDERED, W/ CORNSTARCH, DRY, 24/1 LB</t>
  </si>
  <si>
    <t>SUGAR SANDING BLUE CS4/8LB SPRINKLE KING</t>
  </si>
  <si>
    <t>SPRINKLE KING</t>
  </si>
  <si>
    <t>CS4/8LBS</t>
  </si>
  <si>
    <t>SUGAR SANDING GREEN CS4/8LB SPRINKLE KING</t>
  </si>
  <si>
    <t>SUGAR SANDING RED  PKG1/ LB CK PRODUCTS</t>
  </si>
  <si>
    <t>CK PRODUCTS</t>
  </si>
  <si>
    <t>SUGAR SANDING YELLOW  PKG1/ LB CK PRODUCTS</t>
  </si>
  <si>
    <t>SUGAR, GRANULATED, ICUMSA 150, SUGARCANE, DRY, 1/50 LB</t>
  </si>
  <si>
    <t>ICUMSA</t>
  </si>
  <si>
    <t>SWEETENER PACKET 2000CT SPLENDA BRANDED (USA)</t>
  </si>
  <si>
    <t>SPLENDA BRANDED</t>
  </si>
  <si>
    <t>C2000/PC</t>
  </si>
  <si>
    <t>SWEETENER PACKETS 2000 CT  SWEET &amp; LOW BRANDED</t>
  </si>
  <si>
    <t>SWEET &amp; LOW</t>
  </si>
  <si>
    <t>SWEETENER, BLUE GENERIC  412823- CS/2000 LIKE "EQUAL" (USA)</t>
  </si>
  <si>
    <t>EQUAL</t>
  </si>
  <si>
    <t>CS/2000</t>
  </si>
  <si>
    <t>C/2000PC</t>
  </si>
  <si>
    <t>03 - CHOCOLATE ( FLAGGED)</t>
  </si>
  <si>
    <t>CHOCOLATE ,PERLES CRAQUANTES (CRUNCH) DARK  CS3/3 KG VALRHONA</t>
  </si>
  <si>
    <t>VALRHONA</t>
  </si>
  <si>
    <t>Tree nuts, Eggs, Peanuts</t>
  </si>
  <si>
    <t>CHOCOLATE CHIP BITS 20KG CALLEBAUT/ COCOA BARRY</t>
  </si>
  <si>
    <t>CALLEBAUT/ COCOA BARRY</t>
  </si>
  <si>
    <t>CHOCOLATE COUVERTURE BLACK CALLETS 58.7% CALLEBAUT</t>
  </si>
  <si>
    <t>CALLEBAUT</t>
  </si>
  <si>
    <t>C8/2.5KG</t>
  </si>
  <si>
    <t>CHOCOLATE COUVERTURE CARAMEL 36% CO38 FELCHLIN</t>
  </si>
  <si>
    <t>FELCHLIN</t>
  </si>
  <si>
    <t>CHOCOLATE COUVERTURE DARK 70% CALLETS CALLEBAUT</t>
  </si>
  <si>
    <t>CHOCOLATE GOLD CALLETS CS 4/2.5 KGCALLEBAULT</t>
  </si>
  <si>
    <t>CALLEBAULT</t>
  </si>
  <si>
    <t>Milk (including lactose), Soybeans</t>
  </si>
  <si>
    <t>CHOCOLATE GRUE DE CACAO, 100% ROASTED COCOA NIBS CS 10/1 KG VALHRONA</t>
  </si>
  <si>
    <t>Milk (including lactose), Eggs, Soybeans, Tree nuts, Gluten - Wheat</t>
  </si>
  <si>
    <t>CHOCOLATE MEXIQUE 70% - ORIGINE DARK CHOCOLATE CS4/2.5 KG COCOA BARRY</t>
  </si>
  <si>
    <t>COCOA BARRY</t>
  </si>
  <si>
    <t>CHOCOLATE STIX 300 CT 1.6 KG CALLEBAUT (FRANCE)</t>
  </si>
  <si>
    <t>CS300/PC</t>
  </si>
  <si>
    <t>CHOCOLATE WHITE COUVERTURE CALLETS CALLEBAUT</t>
  </si>
  <si>
    <t>C5/5KG</t>
  </si>
  <si>
    <t>CHOCOLATE, MILK CHOCOLATE COUVERTURE CALLETS 35%, CALLEBAUT (FRANCE)</t>
  </si>
  <si>
    <t>CHOCOLATE, SURFINE, SPRINKLER, 10GR PATISFRANCE #5760/ HARKINS</t>
  </si>
  <si>
    <t>CS2/KG</t>
  </si>
  <si>
    <t>COCOA BUTTER CALLEBAUT/ COCOA BARRY</t>
  </si>
  <si>
    <t>COCOA EXTRA BRUT 6/1 KG. RED COCOA POWDER CALLEBAUT/ COCOA BARRY</t>
  </si>
  <si>
    <t>COCOA POWDER BLACK CACAO NOEL/  KING ARTHUR</t>
  </si>
  <si>
    <t>CACAO NOEL/ KING ARTHUR</t>
  </si>
  <si>
    <t>PATE A GLACER IVOIRE  COCOA BARRY</t>
  </si>
  <si>
    <t>SPRINKLES MULTI COLOR/RAINBOW</t>
  </si>
  <si>
    <t>04 - BAKING GROCERY</t>
  </si>
  <si>
    <t xml:space="preserve">
ROOHAFZA SYRUP VV ONLY</t>
  </si>
  <si>
    <t>Hamdard</t>
  </si>
  <si>
    <t>LT</t>
  </si>
  <si>
    <t>BTL 800ML</t>
  </si>
  <si>
    <t>Euro 2.29</t>
  </si>
  <si>
    <t>ACID CITRIC  1 KG L. FRANCOIS CUISINE TECH</t>
  </si>
  <si>
    <t>AGAR AGAR POWDER CUISINE TECH</t>
  </si>
  <si>
    <t>CUSINE TECH</t>
  </si>
  <si>
    <t>CS6/1LB</t>
  </si>
  <si>
    <t>ALMOND BLANCHED FLOUR (USA )</t>
  </si>
  <si>
    <t>MANDELIN</t>
  </si>
  <si>
    <t>APRICOT GLAZING 14KG/CS</t>
  </si>
  <si>
    <t>CS14/KG</t>
  </si>
  <si>
    <t>ASCORBIC ACID CUISINE TECH/ALBERT USTER  PKG 1/KG</t>
  </si>
  <si>
    <t>BAKING POWDER 50 LB</t>
  </si>
  <si>
    <t>CALBER GIRL</t>
  </si>
  <si>
    <t>BAKING SODA</t>
  </si>
  <si>
    <t>CS12/LBS</t>
  </si>
  <si>
    <t>TH SHIPS:  USE #39704  - AS PER JOSER 10/03/16 - dsl</t>
  </si>
  <si>
    <t>CHESTNUT PASTE WITH SUGAR CS24/500 GR CLEMENT FAUGIER</t>
  </si>
  <si>
    <t>CLEMENT FAUGIER</t>
  </si>
  <si>
    <t>C12/31OZ</t>
  </si>
  <si>
    <t>CHOCOLATE GLAZE PATE A GLACER BRUNE (DARK) CS 20/ LB COCOA BARRY</t>
  </si>
  <si>
    <t>COCONUT MILK CS24/14OZ  17% TO 18%</t>
  </si>
  <si>
    <t>PC/13.5Z</t>
  </si>
  <si>
    <t>COCONUT SHREDDED MEDIUM</t>
  </si>
  <si>
    <t>EGG SHELL NATURAL  BROWN CUT TOP PKG15/PC JB PRINCE</t>
  </si>
  <si>
    <t>JB PRINCE</t>
  </si>
  <si>
    <t>EA</t>
  </si>
  <si>
    <t>GELATIN LEAVES 160BLOOM 1KG/PACK /400 LEAVES PASTISFRANCE/ GELITA</t>
  </si>
  <si>
    <t>GELITA</t>
  </si>
  <si>
    <t>PACK/1KG</t>
  </si>
  <si>
    <t>GLUCOSE POWDER KITCHEN ALCHEMY</t>
  </si>
  <si>
    <t>KITCHEN ALCHEMY</t>
  </si>
  <si>
    <t>C6/400GR</t>
  </si>
  <si>
    <t>GREEN TEA POWDER MATCHA (PASTRY) DRY/FROZEN</t>
  </si>
  <si>
    <t>GUAR GUM CS 8/8 OZ BOBS RED MILL</t>
  </si>
  <si>
    <t>CS8/8OZ</t>
  </si>
  <si>
    <t>HAZELNUT FLOUR (OCL)</t>
  </si>
  <si>
    <t>HONEY 6/5 LB GROEB/MELONIA/SWEET HARVEST</t>
  </si>
  <si>
    <t>MELANIA/SWEET HARVEST</t>
  </si>
  <si>
    <t>KAPPA CARRAGEENAN MODERNIST PANTRY</t>
  </si>
  <si>
    <t>MODERNIST PANTRY</t>
  </si>
  <si>
    <t>LEAVENER YEAST INSTANT DRY (NETHERLANDS)</t>
  </si>
  <si>
    <t>ZEUS-LLEVATS</t>
  </si>
  <si>
    <t>C20/500G</t>
  </si>
  <si>
    <t>MALT POWDER NON-DIASTATIC CS/50LB  MODERNIST PANTRY</t>
  </si>
  <si>
    <t>MALT POWDER, NESTLE-CARNATION 6/2.5 LB</t>
  </si>
  <si>
    <t>NESTLE-CARNATION</t>
  </si>
  <si>
    <t>CS2.5/LB</t>
  </si>
  <si>
    <t>Milk (including lactose), Soybeans, Gluten - Wheat</t>
  </si>
  <si>
    <t>MALTODEXTRINE</t>
  </si>
  <si>
    <t>MILK, EVAPORATED MILK 24/12OZ 01501</t>
  </si>
  <si>
    <t>TIN/320G</t>
  </si>
  <si>
    <t>CS6/97oz</t>
  </si>
  <si>
    <t>MOLASSES 4/1 GALLON GRANDMAS/ TORINO (USA )</t>
  </si>
  <si>
    <t>GRANDMAS/ TORINO</t>
  </si>
  <si>
    <t>CS4/GAL</t>
  </si>
  <si>
    <t>MOLASSES POMEGRANATE CS12/10OZ AL WADI</t>
  </si>
  <si>
    <t>AL WADI</t>
  </si>
  <si>
    <t>C12/10OZ</t>
  </si>
  <si>
    <t>PASTE ALMOND 33% MINIMUM</t>
  </si>
  <si>
    <t>AMERICAN ALMOND</t>
  </si>
  <si>
    <t>PASTE PISTACHIO PATISFRANCE/CALLEBAUT</t>
  </si>
  <si>
    <t>PASTE, HAZELNUT PRALINE  PASTE (FILBERT PASTE)</t>
  </si>
  <si>
    <t>COCOA BERRY</t>
  </si>
  <si>
    <t>PECTIN APPLE CS6/1 LB CUISINE TECH</t>
  </si>
  <si>
    <t>CS6/1LBS</t>
  </si>
  <si>
    <t>RAINBOW NON-PAREIL SPRINKLES MAVALARIO</t>
  </si>
  <si>
    <t>MAVALERIO</t>
  </si>
  <si>
    <t>SPIRULINA FRONTEIR HERB</t>
  </si>
  <si>
    <t>SPRINKLES CONFETTI  PKG 1/KG IFI</t>
  </si>
  <si>
    <t>IFI</t>
  </si>
  <si>
    <t>PKG1/KG</t>
  </si>
  <si>
    <t>SUGAR CRYSTALS ISOMALT 55LB</t>
  </si>
  <si>
    <t>SUGAR INVERTED TRIMOLINE</t>
  </si>
  <si>
    <t>TRIMOLINE</t>
  </si>
  <si>
    <t>CS15/KG</t>
  </si>
  <si>
    <t>SYRUP CORN DARK KARO/ HARTLEYS CS 4/1 GAL (USA)</t>
  </si>
  <si>
    <t>KARO/ HARTLEYS</t>
  </si>
  <si>
    <t>TAFFY SALT WATER ASSORTED WRAPPED BAG5/LBS SHRIVERS</t>
  </si>
  <si>
    <t>SHRIVER</t>
  </si>
  <si>
    <t>BAG5/LBS</t>
  </si>
  <si>
    <t>Peanuts, Tree nuts</t>
  </si>
  <si>
    <t>VERSAWHIP WHIPPING AGENT AMULAR</t>
  </si>
  <si>
    <t>XANTHAN GUM (AUSTRIA)</t>
  </si>
  <si>
    <t>04- BAKING GROCERY</t>
  </si>
  <si>
    <t>IOTA CARRAGEENAN MODERNIST PANTRY</t>
  </si>
  <si>
    <t>05 - SEEDS &amp; NUTS</t>
  </si>
  <si>
    <t>ALMONDS BLANCHED SLICED</t>
  </si>
  <si>
    <t>ALMONDS HICKORY SMOKED CS9/9OZ BACK TO NATURE SMOKED</t>
  </si>
  <si>
    <t>BACK TO NATURE</t>
  </si>
  <si>
    <t>CS9/9OZ</t>
  </si>
  <si>
    <t>ALMONDS SHELLED WHOLE</t>
  </si>
  <si>
    <t>ALMONDS SLIVERED BLANCHED 5 LBS</t>
  </si>
  <si>
    <t>BASIL SEEDS PKG 1 LB   KALUSTYANS</t>
  </si>
  <si>
    <t>KALUSTYANS</t>
  </si>
  <si>
    <t>CARAWAY SEEDS WHOLE 16 OZ D BADIA</t>
  </si>
  <si>
    <t>CASHEWS, RAW, WHOLE, #320, DRY, 1/50 LB</t>
  </si>
  <si>
    <t>HIALEAH/ TROPICAL</t>
  </si>
  <si>
    <t>CHIA SEEDS (MEXICO)</t>
  </si>
  <si>
    <t>D'ALLESANDRO</t>
  </si>
  <si>
    <t>PC/200GR</t>
  </si>
  <si>
    <t>FLAX MEAL BOBS RED MILL</t>
  </si>
  <si>
    <t>FLAX SEED WHOLE</t>
  </si>
  <si>
    <t>PASTISFRANCE</t>
  </si>
  <si>
    <t>HAZELNUT WHOLE BLANCHED</t>
  </si>
  <si>
    <t>HIALEAH</t>
  </si>
  <si>
    <t>MACADAMIA NUTS RAW UNSALTED</t>
  </si>
  <si>
    <t>MORINGA POWDER</t>
  </si>
  <si>
    <t>PECANS, HALVES, FANCY, JUMBO, DRY, 1/30 LB</t>
  </si>
  <si>
    <t>PINE NUTS WHOLE</t>
  </si>
  <si>
    <t>NUTLAND</t>
  </si>
  <si>
    <t>PISTACHIO NUTS WHOLE SHELLED RAW NUTLAND</t>
  </si>
  <si>
    <t>PISTACHIOS, IRANIAN BAZZINI</t>
  </si>
  <si>
    <t>BAZZINI</t>
  </si>
  <si>
    <t>PUMPKIN SEEDS WHOLE SHELLED RAW 10 LB HIALEAH/ D`ALLESANDRO</t>
  </si>
  <si>
    <t>HIALEAH/ D`ALLESANDRO</t>
  </si>
  <si>
    <t>SESAME SEED BLACK</t>
  </si>
  <si>
    <t>SESAME SEEDS WHITE BADIA (USA )</t>
  </si>
  <si>
    <t>C6/16OZ</t>
  </si>
  <si>
    <t>SUNFLOWER SEEDS WHOLE SHELL-OFF RAW  HIALEAH (USA )</t>
  </si>
  <si>
    <t>HIALEAN</t>
  </si>
  <si>
    <t>WALNUTS LARGE HALVES</t>
  </si>
  <si>
    <t>07 - FLAVORS, EXTRACTS &amp; COLORS</t>
  </si>
  <si>
    <t>COATING CHOCOLATE  CORIANDOLINA CS 2/6.6 LB PREGEL</t>
  </si>
  <si>
    <t>PREGEL</t>
  </si>
  <si>
    <t>C2/6.6LB</t>
  </si>
  <si>
    <t>COFFEE EXTRACT, TRABLIT  12/1 LT</t>
  </si>
  <si>
    <t>TRABLIT</t>
  </si>
  <si>
    <t>ships cannot order temporarily due to excessive overstocking</t>
  </si>
  <si>
    <t>EXTRACT ALMOND PURE BITTER 1/KG SEVAROME DREIDOPPEL</t>
  </si>
  <si>
    <t>SEVAROME DREIDOPPEL</t>
  </si>
  <si>
    <t>FLAVOR BLACK CURRANT FORTEFRUTTO CS 2/6.6 LB PREGEL</t>
  </si>
  <si>
    <t>FLAVOR COCOPAT TRADITIONAL PASTE CS 2/13.2 LB PREGEL</t>
  </si>
  <si>
    <t>2/13.2LB</t>
  </si>
  <si>
    <t>Soybeans, Peanuts, Tree nuts</t>
  </si>
  <si>
    <t>FLAVOR CREMA WHISKEY CS 2/6.6 LB PREGEL</t>
  </si>
  <si>
    <t>FLAVOR GIANDUIOTTO ROCK PASTE CS 2/11 LB PREGEL</t>
  </si>
  <si>
    <t>FLAVOR GREEN APPLE FORTEFRUTTO  CS2/6.6LB PREGEL</t>
  </si>
  <si>
    <t>FLAVOR PINEAPPLE FORTEFRUTTO  CS2/6.6LB PREGEL</t>
  </si>
  <si>
    <t>FLAVOR RASPBERRY FORTEFRUTTO CS 2/6.6 LB PREGEL</t>
  </si>
  <si>
    <t>FLAVOR ROASTED ALMOND TRADITIONAL PASTE CS 2/13.2 LB PREGEL</t>
  </si>
  <si>
    <t>FLAVOR VANILLA BOURBON ROYALE FOR ICE CREAM 1 GALLON PASTRY STAR (USA)</t>
  </si>
  <si>
    <t>PASTRY STAR</t>
  </si>
  <si>
    <t>FOOD COLOR BLACK  CHEF RUBBER</t>
  </si>
  <si>
    <t>CHEF RUBBER</t>
  </si>
  <si>
    <t>CUP/125G</t>
  </si>
  <si>
    <t>FOOD COLOR BLUE 1/ 10.5 OZ CHEFMASTER</t>
  </si>
  <si>
    <t>CHEFMASTER</t>
  </si>
  <si>
    <t>FOOD COLOR GREEN 1/10.5 OZ CHEFMASTER</t>
  </si>
  <si>
    <t>CS6/PT</t>
  </si>
  <si>
    <t>https://www.amazon.com/dp/B0025U73V2?ref_=cm_sw_r_cp_ud_dp_2BSTTH7FYX2N5MTT1PCA</t>
  </si>
  <si>
    <t>FOOD COLOR ORANGE  BTL 10.5/OZ CHEFMASTER</t>
  </si>
  <si>
    <t>BT10.5OZ</t>
  </si>
  <si>
    <t>FOOD COLOR PURPLE  BTL 10.5/OZ CHEFMASTER</t>
  </si>
  <si>
    <t>FOOD COLOR RED 1/10.5 OZ CHEFMASTER</t>
  </si>
  <si>
    <t>BTL/10OZ</t>
  </si>
  <si>
    <t>FOOD COLOR WHITE 1/3.5 OZ CHEFMASTER</t>
  </si>
  <si>
    <t>BT2.7/OZ</t>
  </si>
  <si>
    <t>FOOD COLOR YELLOW 1/10.5 OZ CHEFMASTER</t>
  </si>
  <si>
    <t>FOOD COLOR YELLOW FAT SOLUBLE BTL 1/ OZ  PASTRY IDEALE</t>
  </si>
  <si>
    <t>PASTRY IDEALE</t>
  </si>
  <si>
    <t>BTL1/OZ</t>
  </si>
  <si>
    <t>PASSION FRUIT ARABESCHI CS 6/1 KG  PREGEL</t>
  </si>
  <si>
    <t>PASTE VANILLA FLAVOR 35 OZ PASTRY STAR #00057</t>
  </si>
  <si>
    <t>BTL/35OZ</t>
  </si>
  <si>
    <t>PREGEL GELATO BASE ALLEGRA # 82404 (ITALY)</t>
  </si>
  <si>
    <t>C8/2KG</t>
  </si>
  <si>
    <t>BG2/KG</t>
  </si>
  <si>
    <t>ROSE ESSENCE ANGEL BAKE VV</t>
  </si>
  <si>
    <t>SAENA FOOD</t>
  </si>
  <si>
    <t>PKG2/LBS</t>
  </si>
  <si>
    <t>STRAWBERRY POWDER CS6/4OZ NUTS</t>
  </si>
  <si>
    <t>NUTS</t>
  </si>
  <si>
    <t>08 - MIXES</t>
  </si>
  <si>
    <t>A&amp;S BUCKWHEAT FLOUR (USA ) 60168.14</t>
  </si>
  <si>
    <t>ABEL &amp; SHAFER</t>
  </si>
  <si>
    <t>A&amp;S SALT PRETZEL (A&amp;S USA &amp; A&amp;S 10607.02) (GERMANY )</t>
  </si>
  <si>
    <t>CREME BRULE BASE MIX 4/5 LB  PASTRY STAR (FRANCE)</t>
  </si>
  <si>
    <t>EGG WHITE POWDER</t>
  </si>
  <si>
    <t>JAR/800G</t>
  </si>
  <si>
    <t>GELATO BASE  ALWAYS FRESCO CS8/4LB PREGEL</t>
  </si>
  <si>
    <t>CS8/4LB</t>
  </si>
  <si>
    <t>GELATO BASE  BUTTER PECAN SPRINT  CS 12/2LB PREGEL</t>
  </si>
  <si>
    <t>GELATO BASE ALWAYS FRESCO FRUIT CS12/2.4 LB PREGEL</t>
  </si>
  <si>
    <t>12/2.4LB</t>
  </si>
  <si>
    <t>GELATO BASE FIBRA PLUS  CS 12/2.2 LB PREGEL</t>
  </si>
  <si>
    <t>12/2.2LB</t>
  </si>
  <si>
    <t>GELATO BASE SUBLIME  CS 8/4.4 LB PREGEL</t>
  </si>
  <si>
    <t>C8/4.4LB</t>
  </si>
  <si>
    <t>GELATO BASE VANILLA STEVIA CS12/2.2LB PREGEL</t>
  </si>
  <si>
    <t>GELATO BASE VELUTINA CS 2/6.5 LB PREGEL</t>
  </si>
  <si>
    <t>C2/6.5LB</t>
  </si>
  <si>
    <t>PASTRY CREAM, READY MIX-INSTANT, CREW</t>
  </si>
  <si>
    <t>Milk (including lactose), Gluten - Wheat, Tree nuts</t>
  </si>
  <si>
    <t>AUI #734111 Instant Pastry Cream 12X2lb pws 2.11.25</t>
  </si>
  <si>
    <t>SODIUM HYDROXIDE/LYE/CAUSTIC SODA, FOOD GRADE, DRY, 1/50 LB</t>
  </si>
  <si>
    <t>06 - CHEMICALS</t>
  </si>
  <si>
    <t>PAIL22/L</t>
  </si>
  <si>
    <t>SORBET STABILIZER CREMODAN 64 CS6/1LB CUISINE TECH</t>
  </si>
  <si>
    <t>SORBETTO BASE FRUTTOSA   CS 8/4.4 LB PREGEL</t>
  </si>
  <si>
    <t>TAPIOCA MALTODEXTRIN PKG 1.5LB CUISINE TECH</t>
  </si>
  <si>
    <t>PK1.5/LB</t>
  </si>
  <si>
    <t>09 - BISCUITS, CRACKERS &amp; CRUMBS</t>
  </si>
  <si>
    <t>BREAD CRUMBS PANKO 25 LB KIKKOMAN #05010 (USA)</t>
  </si>
  <si>
    <t>KIKKOMAN</t>
  </si>
  <si>
    <t>CRACKER CRUMBS GRAHAM (USA)</t>
  </si>
  <si>
    <t>NABISCO</t>
  </si>
  <si>
    <t>FOOD  CONES COCOA CS312/PC AUSSIE BLENDS</t>
  </si>
  <si>
    <t>AUSSIE BLENDS</t>
  </si>
  <si>
    <t>CS312/PC</t>
  </si>
  <si>
    <t>FOOD CONES NATURAL WAFFLE 312 /PC AUSSIE BLENDS</t>
  </si>
  <si>
    <t>CA312/PC</t>
  </si>
  <si>
    <t>FOOD CONES RED VELVET CS/312  PC  AUSSIE BLANDS</t>
  </si>
  <si>
    <t>10 - DRY FRUITS</t>
  </si>
  <si>
    <t>APRICOTS DRIED 27.5 LB HIALEAH</t>
  </si>
  <si>
    <t>Sulphur dioxide and sulphites</t>
  </si>
  <si>
    <t>CHERRIES TART FREEZE DRIED</t>
  </si>
  <si>
    <t>RAW ORGANIC</t>
  </si>
  <si>
    <t>CHERRIES, RED DRIED SWEET (USA)</t>
  </si>
  <si>
    <t>CRANBERRIES DRIED 10 LB OCEAN SPRAY (USA)</t>
  </si>
  <si>
    <t>OCEAN SPRAY</t>
  </si>
  <si>
    <t>CURRANTS DRIED HIALEAH</t>
  </si>
  <si>
    <t>DATES PITTED DRIED</t>
  </si>
  <si>
    <t>FIGS, TURKISH, DRIED (TURKEY)</t>
  </si>
  <si>
    <t>GINGER, CRYSTALLIZED (USA)</t>
  </si>
  <si>
    <t>C20/KG</t>
  </si>
  <si>
    <t>MANGO DRIED 11 LB HIALEAH/ PACKER</t>
  </si>
  <si>
    <t>CS11/LBS</t>
  </si>
  <si>
    <t>PRUNES PITTED DRIED</t>
  </si>
  <si>
    <t>RAISINS GOLDEN SEEDLESS</t>
  </si>
  <si>
    <t>SUN MAID</t>
  </si>
  <si>
    <t>Marella partial sub with 109630 til depleted</t>
  </si>
  <si>
    <t>RAISINS, THOMPSON, MEDIUM, SEEDLESS, BLACK, CHL, 1/30 LB</t>
  </si>
  <si>
    <t>SHREDDED COCONUT MED RAW ORGANIC 25LB</t>
  </si>
  <si>
    <t>PHILDESCO</t>
  </si>
  <si>
    <t>11 - SPECIALTY PASTRY ITEMS</t>
  </si>
  <si>
    <t>COLORANT SCINTILLANT OR INCA 30 CC</t>
  </si>
  <si>
    <t>JAR/2OZ</t>
  </si>
  <si>
    <t>GOLD LEAVES, 23K - BOOK DECO RELIEF/SWIFT 2.75" SQUARE</t>
  </si>
  <si>
    <t>MALTITOL CS25/KG  PR35 HK PASTRY STAR</t>
  </si>
  <si>
    <t>DO NOT ORDER FROM SWISS CHALET AS PER C.P.</t>
  </si>
  <si>
    <t>PCB BUOYS- 4.5 CM VV LOGO WHITE CHOCOLATE</t>
  </si>
  <si>
    <t>PCB CREATIONS</t>
  </si>
  <si>
    <t>CS80/PC</t>
  </si>
  <si>
    <t>PC6.7/GR</t>
  </si>
  <si>
    <t>PECTINE 325 NH 95  1KG FRANCOIS L.,</t>
  </si>
  <si>
    <t>FRANCOIS L.</t>
  </si>
  <si>
    <t>STRAIGHT EDGE BUTTER MINI TARTLET, SWEET</t>
  </si>
  <si>
    <t>C/192PC</t>
  </si>
  <si>
    <t>TRANSFER SHEET 40 X 25 CM  RAZZLE DAZZLE VV  PK/125SHEET</t>
  </si>
  <si>
    <t>PK25/SHT</t>
  </si>
  <si>
    <t>03 - CEREALS</t>
  </si>
  <si>
    <t>158 - BREAD,JELLO,CEREAL,JAMS,SYRUP</t>
  </si>
  <si>
    <t>01 - BREAD</t>
  </si>
  <si>
    <t>PANI PURI (CR) UNCOOKED READY TO FRY 200GR</t>
  </si>
  <si>
    <t>CS4/40OZ</t>
  </si>
  <si>
    <t>Discontinued by Eric for PCH Ships - 08/11/17
KELLOGGS BRAND ONLY 380000891 CAW</t>
  </si>
  <si>
    <t>CERAL RAISIN BRAN CS6/36 OZ KELLOGGS</t>
  </si>
  <si>
    <t>KELLOGG'S</t>
  </si>
  <si>
    <t>CEREAL CHEERIOS BULK CS4/29OZ GENERAL MILLS</t>
  </si>
  <si>
    <t>GENERAL MILLS</t>
  </si>
  <si>
    <t>PK/43OZ</t>
  </si>
  <si>
    <t>CEREAL CREW  HONEY GRAHAM  TOASTERS MALT O MEAL (USA)</t>
  </si>
  <si>
    <t>MALT-O-MEAL</t>
  </si>
  <si>
    <t>CS4/32OZ</t>
  </si>
  <si>
    <t>KELLOGGS ONLY 3800001691 CAW 22.22 - 30 CS/PALLET (USA)</t>
  </si>
  <si>
    <t>CEREAL CREW HONEY NUT TOASTED OATS   4/44 OZ BEST NATURAL</t>
  </si>
  <si>
    <t>BEST NATURAL</t>
  </si>
  <si>
    <t>CS4/26OZ</t>
  </si>
  <si>
    <t>Discontinued by Eric for PCH Ships - 08/11/17
4/26OZ  KELLOGGS VV</t>
  </si>
  <si>
    <t>CEREAL CREW RAISIN BRAN 6/36 OZ BEST NATURAL (USA)</t>
  </si>
  <si>
    <t>CS4/46OZ</t>
  </si>
  <si>
    <t>CEREAL CREW RICE CRISPY 4/32 OZ MALT-O-MEAL</t>
  </si>
  <si>
    <t>CS4/44OZ</t>
  </si>
  <si>
    <t>Tree nuts, Gluten - Wheat</t>
  </si>
  <si>
    <t>CEREAL FRUIT LOOPS</t>
  </si>
  <si>
    <t>CS6/36OZ</t>
  </si>
  <si>
    <t>CEREAL FRUITY PEBBLES CS 4/40 OZ POST</t>
  </si>
  <si>
    <t>POST</t>
  </si>
  <si>
    <t>CEREAL, CORN FLAKES, BULK, KELLOGS</t>
  </si>
  <si>
    <t>C12/42OZ</t>
  </si>
  <si>
    <t>CEREAL, FROSTED FLAKES, BULK, KELLOGGS ONLY 380000891 CAW 16.67</t>
  </si>
  <si>
    <t>CEREAL, MUESLI MIX, CRUNCHY KELLOGGS /BOB'S RED MILL</t>
  </si>
  <si>
    <t>CEREAL, SPECIAL K, BULK, KELLOGGS ONLY 3800001691 CAW 22.22</t>
  </si>
  <si>
    <t>C4/40OZ</t>
  </si>
  <si>
    <t>GRITS 8/ 5LB QUAKER</t>
  </si>
  <si>
    <t>QUAKER</t>
  </si>
  <si>
    <t>PKG36/OZ</t>
  </si>
  <si>
    <t>MOCHI MINI RAINBOW GLUTEN FREE CS24/10.8  OZ TEA ZONE</t>
  </si>
  <si>
    <t>TEA ZONE</t>
  </si>
  <si>
    <t>CS4/29OZ</t>
  </si>
  <si>
    <t>PKG29/OZ</t>
  </si>
  <si>
    <t>OAT, OATMEAL QUICK, 42OZ TUB</t>
  </si>
  <si>
    <t>RALSTON/QUAKER</t>
  </si>
  <si>
    <t>Tree nuts, Milk (including lactose), Gluten - Wheat</t>
  </si>
  <si>
    <t>OATS, ROLLED, WHOLE GRAIN, OLD FASHIONED, DRY, 1/50 LB</t>
  </si>
  <si>
    <t>AVELINA</t>
  </si>
  <si>
    <t>PK/24OZ</t>
  </si>
  <si>
    <t>ROLLED OATS, STEEL CUT BOBS RED MILL</t>
  </si>
  <si>
    <t>WHEN NOT AVAILABLE SUB with 15935 
40 Bags to a PLT from PO</t>
  </si>
  <si>
    <t>04 - JAMS,SPREADS,PUREES &amp; JELLIES</t>
  </si>
  <si>
    <t>GUAVA PASTE GLUTEN FREE ALL NATURAL 14 OZ (400GR) CONCHITA/ GOYA</t>
  </si>
  <si>
    <t>CONCHITA/ GOYA</t>
  </si>
  <si>
    <t>C24/14OZ</t>
  </si>
  <si>
    <t>PKG/14OZ</t>
  </si>
  <si>
    <t>Discontinued by Eric for PCH Ships - 08/11/17</t>
  </si>
  <si>
    <t>HEAVENLY ORGANICS, 100% RAW ACACIA HONEY ORGANIC</t>
  </si>
  <si>
    <t>LANGNESE</t>
  </si>
  <si>
    <t>PC/13OZ</t>
  </si>
  <si>
    <t>JAM APRICOT PURE, BULK</t>
  </si>
  <si>
    <t>C6/6.5LB</t>
  </si>
  <si>
    <t>Edited 5.15.25 pws</t>
  </si>
  <si>
    <t>JAM BLUEBERRY, BULK</t>
  </si>
  <si>
    <t>BONNE MAMNAN</t>
  </si>
  <si>
    <t>Edited 5.14.25 pws</t>
  </si>
  <si>
    <t>JAM RASPBERRY NO SEEDS, BULK</t>
  </si>
  <si>
    <t>C5/KG</t>
  </si>
  <si>
    <t>JAM STRAWBERRY, BULK</t>
  </si>
  <si>
    <t>AMERO FOODS</t>
  </si>
  <si>
    <t>CS6/10LB</t>
  </si>
  <si>
    <t>JELLY APPLE MINT  CS 6/4LB SMUCKERS</t>
  </si>
  <si>
    <t>SMUCKERS</t>
  </si>
  <si>
    <t>CS6/4LB</t>
  </si>
  <si>
    <t>JELLY GRAPE CS 6/4LB SMUCKERS</t>
  </si>
  <si>
    <t>MANGO CHUTNEY (THAILAND)</t>
  </si>
  <si>
    <t>PC/18OZ</t>
  </si>
  <si>
    <t>BERLIN USE 40175</t>
  </si>
  <si>
    <t>NUTELLA SPREAD CS 12/26 OZ JAR 87011 FERRARO (ITALY)</t>
  </si>
  <si>
    <t>FERRARO</t>
  </si>
  <si>
    <t>JR/26OZ</t>
  </si>
  <si>
    <t>Milk (including lactose), Soybeans, Tree nuts</t>
  </si>
  <si>
    <t>PEANUT BUTTER CREAMY 6/4LB (USA)</t>
  </si>
  <si>
    <t>JIFF</t>
  </si>
  <si>
    <t>Peanuts, Soybeans</t>
  </si>
  <si>
    <t>PEANUT BUTTER CRUNCHY</t>
  </si>
  <si>
    <t>AZAR</t>
  </si>
  <si>
    <t>Peanuts</t>
  </si>
  <si>
    <t>QUINCE PASTE "MEMBRILLO"</t>
  </si>
  <si>
    <t>05 - SYRUP</t>
  </si>
  <si>
    <t>SYRUP, MAPLE, 100% PURE, GRADE A, AMBER, DRY, 4/4 LT</t>
  </si>
  <si>
    <t>JAKMAN</t>
  </si>
  <si>
    <t>BOX/4LTR</t>
  </si>
  <si>
    <t>02 - TEA</t>
  </si>
  <si>
    <t>159 - COFFEE,TEA &amp; HOT CHOCOLATE</t>
  </si>
  <si>
    <t>BEV BASE, KIWI STRWBERRY FLAVORED WATER, NESTLE - VITALITY, 12560126, DRY, 12/32 OZ</t>
  </si>
  <si>
    <t>BEV BASE, MANGO FLAVORED WATER, NESTLE - VITALITY, 12560121, DRY, 12/32 OZ</t>
  </si>
  <si>
    <t>BEV BASE, TEA, CONCENTRATE, NESTLE - VITALITY, 12560127, DRY, 12/32 OZ</t>
  </si>
  <si>
    <t>CS8/64OZ</t>
  </si>
  <si>
    <t>For Oceania and Regent ships substiture iwth 107697 Tea, Dammann China Black (Cl</t>
  </si>
  <si>
    <t>TEA BAGS HOT 10/100 CT YELLOW LIPTON (USA)</t>
  </si>
  <si>
    <t>LIPTON</t>
  </si>
  <si>
    <t>C10/100P</t>
  </si>
  <si>
    <t>TEA, TWININGS DECAF ENGLISH BREAKFAST (USA)</t>
  </si>
  <si>
    <t>TWINING'S</t>
  </si>
  <si>
    <t>CS6/25CT</t>
  </si>
  <si>
    <t>TEA, TWININGS EARL GREY (USA)</t>
  </si>
  <si>
    <t>CS6/25PC</t>
  </si>
  <si>
    <t>TEA, TWININGS ENGLISH BREAKFAST (USA)</t>
  </si>
  <si>
    <t>TEA, TWININGS JASMINE GREEN TEA (USA)</t>
  </si>
  <si>
    <t>TEA, TWININGS PEPPERMINT (USA)</t>
  </si>
  <si>
    <t>PK/20PC</t>
  </si>
  <si>
    <t>TEA, TWININGS PURE CHAMOMILE (USA)</t>
  </si>
  <si>
    <t>CS6/20PC</t>
  </si>
  <si>
    <t>02 - RICE</t>
  </si>
  <si>
    <t>160 - SWEETS, RICE, BEANS, PASTA &amp; SNACKS</t>
  </si>
  <si>
    <t>RICE ARBORIO RISOTTO</t>
  </si>
  <si>
    <t>RICE BLACK CS 6/2LB IN HARVEST</t>
  </si>
  <si>
    <t>IN HARVEST</t>
  </si>
  <si>
    <t>CS6/2LB</t>
  </si>
  <si>
    <t>RICE BROWN 25 LB PRODUCERS/ PAR EXCELLENCE</t>
  </si>
  <si>
    <t>PAR EXCELLENCE</t>
  </si>
  <si>
    <t>RICE PARBOILED 50 LB SUNRISE</t>
  </si>
  <si>
    <t>SUNRISE</t>
  </si>
  <si>
    <t>RICE ROUND PAELLA</t>
  </si>
  <si>
    <t>RICE TAMAKI GOLD/MATSURI KOSHIHIKARI/MARUYU</t>
  </si>
  <si>
    <t>TAMAKI GOLD</t>
  </si>
  <si>
    <t>RICE, BASMATI, FULL GRAIN, AGED, DRY, 1/40 LB</t>
  </si>
  <si>
    <t>CS/50LB</t>
  </si>
  <si>
    <t>RICE, JASMINE, &lt;4% BROKEN KERNELS, DRY, 1/50 LB</t>
  </si>
  <si>
    <t>RICE, LONG GRAIN, WHITE 5% OR LESS BROKEN</t>
  </si>
  <si>
    <t>03 - DRY BEANS</t>
  </si>
  <si>
    <t>BEAN PERUANO (MAYOCOBA) BEAN DRY</t>
  </si>
  <si>
    <t>C24/16OZ</t>
  </si>
  <si>
    <t>BEANS BLACK COMMERCIAL DE LEGUMBRES/ TORINO</t>
  </si>
  <si>
    <t>COMMERCIAL DE LEGUMBRES/ TORINO</t>
  </si>
  <si>
    <t>TH SHIPS:  USE #40667  - AS PER JOSER 10/03/16 - dsl</t>
  </si>
  <si>
    <t>BEANS BLACK EYE PEAS DRY BULK</t>
  </si>
  <si>
    <t>BEANS CHICK PEAS DRY BULK</t>
  </si>
  <si>
    <t>COMMERCIAL DE LEGUMBRES</t>
  </si>
  <si>
    <t>BEANS CRANBERRY DRY CS10/LBS D'ALLESANDRO</t>
  </si>
  <si>
    <t>D`ALLESANDRO</t>
  </si>
  <si>
    <t>BEANS LENTILS BLACK BELUGA D`ALLESANDRO</t>
  </si>
  <si>
    <t>CS48/LBS</t>
  </si>
  <si>
    <t>BEANS LENTILS RED SPLIT, DHAL MASSOR 20 LB BOX C&amp;F/ D`ALLESANDRO</t>
  </si>
  <si>
    <t>BOX C&amp;F/ D`ALLESANDRO</t>
  </si>
  <si>
    <t>BEANS SPLIT PEA GREEN DRY 20 LB BOX C&amp;F</t>
  </si>
  <si>
    <t>BOX C&amp;F</t>
  </si>
  <si>
    <t>BEANS SPLIT PEAS YELLOW DRY 20 LB BOX C&amp;F</t>
  </si>
  <si>
    <t>BEANS, NAVY, UNCOOKED, GRADE A, DRY, 1/50 LB</t>
  </si>
  <si>
    <t>BEANS, PINTO DRY (VV)</t>
  </si>
  <si>
    <t>LENTILS - URAD DAL VV</t>
  </si>
  <si>
    <t>LENTILS, GREEN, DRIED, DRY, 1/20 LB</t>
  </si>
  <si>
    <t>MUNG BEAN PEELED DRIED HULLED ASSI</t>
  </si>
  <si>
    <t>CS4/27OZ</t>
  </si>
  <si>
    <t>SOY BEANS DRY ORGANIC CS25LBS IDF</t>
  </si>
  <si>
    <t>04 - PASTA</t>
  </si>
  <si>
    <t>COUSCOUS ISRAELI TRADITIONAL LARGE GRAIN</t>
  </si>
  <si>
    <t>SHIP SHOW</t>
  </si>
  <si>
    <t>GLASS NOOODLES KOREAN SWEET POTATO STARCH ASSI</t>
  </si>
  <si>
    <t>HS TEOKOKKI RICE CAKE STICK</t>
  </si>
  <si>
    <t>HANSANG/USAJONGGA</t>
  </si>
  <si>
    <t>NOODLE STEAMED EGG NOODLE CS6/5 LB SINCERE</t>
  </si>
  <si>
    <t>SINCERE</t>
  </si>
  <si>
    <t>RAZZLE LL/KT</t>
  </si>
  <si>
    <t>NOODLES RAMEN FROZEN SUN NOODLE BRAND ONLY VV 5OZ</t>
  </si>
  <si>
    <t>SUN NOODLE</t>
  </si>
  <si>
    <t>CS50/5OZ</t>
  </si>
  <si>
    <t>PKG5/OZ</t>
  </si>
  <si>
    <t>NOODLES UDON FROZEN CS30/250 GR SANUKI</t>
  </si>
  <si>
    <t>SANUKI</t>
  </si>
  <si>
    <t>30/24OGR</t>
  </si>
  <si>
    <t>PASTA ELBOW MACARONI - BARILLA/DIVELLA (ITALY/USA)</t>
  </si>
  <si>
    <t>BARILLA/DIVELLA</t>
  </si>
  <si>
    <t>PASTA FREGOLA SARDA CS 12/500 GR CASA DEL GRANO</t>
  </si>
  <si>
    <t>CASA DEL GRANO</t>
  </si>
  <si>
    <t>PASTA LASAGNA - BARILLA/DIVELLA</t>
  </si>
  <si>
    <t>PK/500GR</t>
  </si>
  <si>
    <t>PASTA LINGUINI (BAVETINNI) BARILLA/DIVELLA</t>
  </si>
  <si>
    <t>PASTA ORECCHIETTE - BARILLA BR56/ DE CECCO</t>
  </si>
  <si>
    <t>BARILLA BR56/ DE CECCO</t>
  </si>
  <si>
    <t>PASTA PENNE (RIGATE)-BARILLA/DIVELLA</t>
  </si>
  <si>
    <t>PASTA SPAGHETTI #5 BARILLA/DIVELLA 2/10LB 1000354005</t>
  </si>
  <si>
    <t>PASTA TAGLIATELLE EGG BARILLA/DIVELLA</t>
  </si>
  <si>
    <t>Gluten - Wheat, Eggs</t>
  </si>
  <si>
    <t>PASTA, ORZO,  BARILLA/DIVELLA</t>
  </si>
  <si>
    <t>161 - SWEETS, RICE, BEANS, PASTA &amp; SNACKS</t>
  </si>
  <si>
    <t>5 - PASTA</t>
  </si>
  <si>
    <t>SABUDANA TAPIOCA PEARLS</t>
  </si>
  <si>
    <t>Parivar</t>
  </si>
  <si>
    <t xml:space="preserve">PCS/700gr </t>
  </si>
  <si>
    <t>Euro 1.35</t>
  </si>
  <si>
    <t>05 - SNACKS</t>
  </si>
  <si>
    <t>BHEL SNACK MIX</t>
  </si>
  <si>
    <t>Garvi Gujarat</t>
  </si>
  <si>
    <t>CS10/737gr</t>
  </si>
  <si>
    <t>CHIPS POTATO CHIPS BULK</t>
  </si>
  <si>
    <t>DO NOT SEND THIS ITEM IN CONTAINERS DUE TO SHELF LIFE - BUY LOCAL - AAA 1/31/20</t>
  </si>
  <si>
    <t>CHIPS, TORTILLA, TRIANGLE FOR NACHOS</t>
  </si>
  <si>
    <t>CALIDAD</t>
  </si>
  <si>
    <t>CS4/16OZ</t>
  </si>
  <si>
    <t>PKG16/OZ</t>
  </si>
  <si>
    <t>GUMMY BEARS ASSORTED  HARIBO</t>
  </si>
  <si>
    <t>HARIBO</t>
  </si>
  <si>
    <t>LICORICE ORIGINAL RED TWISTS RED VINES CS4/3.5LB  AMERICAN LICORICE</t>
  </si>
  <si>
    <t>AMERICAN LICORICE</t>
  </si>
  <si>
    <t>C4/3.5LB</t>
  </si>
  <si>
    <t>NUTS PEANUTS DRY ROASTED UNSALTED PLANTERS, 6/52 OZ</t>
  </si>
  <si>
    <t>PLANTERS</t>
  </si>
  <si>
    <t>C6/52OZ</t>
  </si>
  <si>
    <t>Peanuts, Celery</t>
  </si>
  <si>
    <t>POPCORN KERNELS YELLOW 50LB PACKER (USA)</t>
  </si>
  <si>
    <t>POP WEAVER GOLD</t>
  </si>
  <si>
    <t>PRETZEL MILK CHOCOLATE COVERED MICRO MINI  CS10/LBS  JR TOPPERS</t>
  </si>
  <si>
    <t>JR TOPPERS</t>
  </si>
  <si>
    <t>SHIP EATS</t>
  </si>
  <si>
    <t>SNACK PRETZELS TINY TWISTS  BAR SNACKS CS6/1LBS  PCH</t>
  </si>
  <si>
    <t>TINY TWISTS</t>
  </si>
  <si>
    <t>SWEDISH FISH CANDY ASSORTED  MONDELEZ</t>
  </si>
  <si>
    <t>MONDELEZ</t>
  </si>
  <si>
    <t>C4/1.9LB</t>
  </si>
  <si>
    <t>161 - SPICES</t>
  </si>
  <si>
    <t>ACHIOTE PASTE CS 12/3.5OZ EL YUCATECO</t>
  </si>
  <si>
    <t>WOODLAND FARMS</t>
  </si>
  <si>
    <t>ACHIOTE/ ANNATTO SEED WHOLE PKG1.38LBS TERRA SPICE</t>
  </si>
  <si>
    <t>TERRA SPICE</t>
  </si>
  <si>
    <t>PK1.38LB</t>
  </si>
  <si>
    <t>AJI AMARILLO PASTE CS12/7.5OZ BELMONT</t>
  </si>
  <si>
    <t>BELMONT</t>
  </si>
  <si>
    <t>C12/7.5O</t>
  </si>
  <si>
    <t>ALEPPO PEPPER  PKG 1/LB  LA BOITE</t>
  </si>
  <si>
    <t>LE BOITE</t>
  </si>
  <si>
    <t>ALLSPICE BADIA</t>
  </si>
  <si>
    <t>UNIT/1LB</t>
  </si>
  <si>
    <t>ANISE STAR BADIA</t>
  </si>
  <si>
    <t>UNIT/8OZ</t>
  </si>
  <si>
    <t>ASAFOETIDA // HING</t>
  </si>
  <si>
    <t>LG HING</t>
  </si>
  <si>
    <t>BAY LEAVES WHOLE D`ALLESANDRO/ SPICECO</t>
  </si>
  <si>
    <t>D`ALLESANDRO/ SPICE CO</t>
  </si>
  <si>
    <t>BEE POLLEN FRONTIER HERB</t>
  </si>
  <si>
    <t>FRONTIER HERB</t>
  </si>
  <si>
    <t>PEA1/OZ</t>
  </si>
  <si>
    <t>BIRYANI MASALA INDIAN SPICE SHAN</t>
  </si>
  <si>
    <t>Shan</t>
  </si>
  <si>
    <t>CS144/50gr</t>
  </si>
  <si>
    <t>BLACK SALT POWDER (KALA NAMAK)-VV ONLY</t>
  </si>
  <si>
    <t>PCS/130gr</t>
  </si>
  <si>
    <t>Euro 0.79</t>
  </si>
  <si>
    <t>BRAKEN DRIED CS15/8OZ ASSI</t>
  </si>
  <si>
    <t>CAJUN SEASONING BADIA (USA )</t>
  </si>
  <si>
    <t>CARDAMOM GROUND</t>
  </si>
  <si>
    <t>CARDAMOM POD GREEN TERRA SPICE</t>
  </si>
  <si>
    <t>JR32/OZ</t>
  </si>
  <si>
    <t>CARDAMOM PODS WHITE CHEFS WAREHOUSE PKG14OZ CHEFS WHSE</t>
  </si>
  <si>
    <t>CHERS WAREHOUSE</t>
  </si>
  <si>
    <t>CARDAMOM WHOLE PKG1/LB FRONTIER HERB</t>
  </si>
  <si>
    <t>CELERY SALT 32 OZ D`ALLESANDRO/ SPICE CO</t>
  </si>
  <si>
    <t>JAR/32OZ</t>
  </si>
  <si>
    <t>09/17/09 active for Oceania by EB</t>
  </si>
  <si>
    <t>CELERY SEEDS WHOLE 16 OZ D`ALLESANDRO/ SPICE CO</t>
  </si>
  <si>
    <t>JAR/6OZ</t>
  </si>
  <si>
    <t>Celery</t>
  </si>
  <si>
    <t>CHAAT MASALA POWDER, INDIAN SPICE 10/100 GR MDH/SHAN</t>
  </si>
  <si>
    <t>MDH/SHAN</t>
  </si>
  <si>
    <t>CHILI PEPPER RED CRUSHED D`ALLESANDRO/ SPICECO</t>
  </si>
  <si>
    <t>UNT/12OZ</t>
  </si>
  <si>
    <t>CHILI PEPPER THREADS KOREAN WHOLE PKG 1  OZ  SPICEOLOGY</t>
  </si>
  <si>
    <t>SPICEOLOGY</t>
  </si>
  <si>
    <t>PK/1.5OZ</t>
  </si>
  <si>
    <t>162 - SPICES</t>
  </si>
  <si>
    <t>1 - GENERAL</t>
  </si>
  <si>
    <t>CHILI ANCHO  DRY CS5/LBS</t>
  </si>
  <si>
    <t>SPICE INC</t>
  </si>
  <si>
    <t>CHILI POWDER 16 OZ D`ALLESANDRO/ SPICECO</t>
  </si>
  <si>
    <t>CHINESE FIVE SPICE 16 OZ D`ALLESANDRO/ SPICECO</t>
  </si>
  <si>
    <t>PK/8OZ</t>
  </si>
  <si>
    <t>CINNAMON GROUND</t>
  </si>
  <si>
    <t>EA16/OZ</t>
  </si>
  <si>
    <t>CINNAMON STICKS BADIA (USA)</t>
  </si>
  <si>
    <t>CLOVES GROUND PKG 16 OZ BADIA (USA )</t>
  </si>
  <si>
    <t>CLOVES WHOLE D`ALLESANDRO/ SPICECO</t>
  </si>
  <si>
    <t>CORIANDER GROUND BADIA (USA )</t>
  </si>
  <si>
    <t>CS6/140Z</t>
  </si>
  <si>
    <t>CORIANDER WHOLE BADIA (USA )</t>
  </si>
  <si>
    <t>CUMIN GROUND D`ALLESANDRO/ SPICECO (USA )</t>
  </si>
  <si>
    <t>CUMIN SEED WHOLE BADIA (USA )</t>
  </si>
  <si>
    <t>CS6/16OZ</t>
  </si>
  <si>
    <t>CURRY POWDER BADIA (USA )</t>
  </si>
  <si>
    <t>DRIED CHILTEPIN PEPPERS (CHILI TEPIN)</t>
  </si>
  <si>
    <t>Morel</t>
  </si>
  <si>
    <t>FUTURE USE</t>
  </si>
  <si>
    <t>FENNEL SEED WHOLE BADIA (USA )</t>
  </si>
  <si>
    <t>CS6/14OZ</t>
  </si>
  <si>
    <t>FLEUR DE SEL / SEL DE GUERANDE 1 KG PAIL</t>
  </si>
  <si>
    <t>PAIL</t>
  </si>
  <si>
    <t>GARAM MASALA POWDER INDIAN SPICE D`ALLESANDRO/MAYA</t>
  </si>
  <si>
    <t>D`ALLESANDRO/MAYA</t>
  </si>
  <si>
    <t>PK/14OZ</t>
  </si>
  <si>
    <t>GARLIC, POWDER, DRY, 12/16 OZ</t>
  </si>
  <si>
    <t>UNT/20OZ</t>
  </si>
  <si>
    <t>GINGER GROUND D`ALLESANDRO/ SPICECO</t>
  </si>
  <si>
    <t>GOCHUGARU KOREAN CHILI RED PEPPER FLAKES ASSI</t>
  </si>
  <si>
    <t>IZAK PKG 1/LB  LA BOITE</t>
  </si>
  <si>
    <t>LA BOITE</t>
  </si>
  <si>
    <t>DOCK BRL</t>
  </si>
  <si>
    <t>JUNIPER BERRIES 11 OZ D`ALLESANDRO/ SPICECO</t>
  </si>
  <si>
    <t>CS6/12OZ</t>
  </si>
  <si>
    <t>KASHMIRI CHILLI POWDER INDIAN SPICE - SWAD  14 OZ</t>
  </si>
  <si>
    <t>SWAD</t>
  </si>
  <si>
    <t>ANOTHER ROSE/KT</t>
  </si>
  <si>
    <t>LAVENDER DRY CS6/4 OZ</t>
  </si>
  <si>
    <t>CS6/4OZ</t>
  </si>
  <si>
    <t>MUSTARD POWDER ENGLISH 12/16 OZ COLEMAN</t>
  </si>
  <si>
    <t>COLEMAN</t>
  </si>
  <si>
    <t>Mustard</t>
  </si>
  <si>
    <t>MUSTARD SEED 24 OZ D`ALLESANDRO/ SPICECO</t>
  </si>
  <si>
    <t>MUSTARD SEEDS BLACK INDIAN SPICE - SWAD 14 OZ</t>
  </si>
  <si>
    <t>Rani</t>
  </si>
  <si>
    <t>CS10/800gr</t>
  </si>
  <si>
    <t>NUTMEG GROUND D`ALLESANDRO/ SPICECO (USA)</t>
  </si>
  <si>
    <t>OLD BAY SEASONING 16 OZ MC CORMICK</t>
  </si>
  <si>
    <t>MC CORMICK</t>
  </si>
  <si>
    <t>C12/16OZ</t>
  </si>
  <si>
    <t>Mustard, Soybeans</t>
  </si>
  <si>
    <t>TIN16/OZ</t>
  </si>
  <si>
    <t>ONION MINCED BADIA</t>
  </si>
  <si>
    <t>ONION POWDER</t>
  </si>
  <si>
    <t>OREGANO LEAVES WHOLE D`ALLESANDRO/ SPICECO</t>
  </si>
  <si>
    <t>PC/5OZ</t>
  </si>
  <si>
    <t>OREGANO MEXICAN DRY CS1/LBS TERRA SPICE</t>
  </si>
  <si>
    <t>PKG1/LBS</t>
  </si>
  <si>
    <t>PANCH PURAN INDIAN 5 SPICE MIX WHOLE</t>
  </si>
  <si>
    <t>CS20/100gr</t>
  </si>
  <si>
    <t>PAPRIKA SMOKED PKG 26.46  OZ LA CHINATA</t>
  </si>
  <si>
    <t>LA CHINATA</t>
  </si>
  <si>
    <t>PAPRIKA SPANISH MUNOZ Y PUJANTE/ D`ALLESANDRO/ SPICECO</t>
  </si>
  <si>
    <t>PARSLEY FLAKES DRIED CS6/3 OZ BADIA</t>
  </si>
  <si>
    <t>CS6/2OZ</t>
  </si>
  <si>
    <t>PK2/OZ</t>
  </si>
  <si>
    <t>BIMINI/UP WITH A TWIST</t>
  </si>
  <si>
    <t>PASTE CURRY GREEN MAE PLOY (THAILAND)</t>
  </si>
  <si>
    <t>MAE PLOY</t>
  </si>
  <si>
    <t>C12/35OZ</t>
  </si>
  <si>
    <t>PASTE CURRY RED MAE PLOY (THAILAND)</t>
  </si>
  <si>
    <t>PEPPER ARBOL  D'ALLESANDRO CS/5LB</t>
  </si>
  <si>
    <t>PEPPER BLACK GROUND BADIA (USA )</t>
  </si>
  <si>
    <t>PEPPER CAYENNE GROUND BADIA (USA )</t>
  </si>
  <si>
    <t>PEPPER CHILI DRIED CASCABEL PKG1/LB</t>
  </si>
  <si>
    <t>CASCABE</t>
  </si>
  <si>
    <t>PEPPER CHILI DRIED MORITA  PKG1/LB WOODLAND FARMS</t>
  </si>
  <si>
    <t>PEPPER GUAJILLO  DRIED CS5/LB MI BARRIO</t>
  </si>
  <si>
    <t>MI BARRIO</t>
  </si>
  <si>
    <t>PEPPER WHITE GROUND D`ALLESANDRO/ SPICECO</t>
  </si>
  <si>
    <t>PEPPERCORN PINK WHOLE</t>
  </si>
  <si>
    <t>UNIT/4OZ</t>
  </si>
  <si>
    <t>PEPPERCORN SZECHWAN 8 OZ D`ALLESANDRO/ PACKER</t>
  </si>
  <si>
    <t>D`ALLESANDRO/ PACKER</t>
  </si>
  <si>
    <t>PEPPERCORN WHITE WHOLE D`ALLESANDRO/ SPICECO</t>
  </si>
  <si>
    <t>PEPPERCORN WHOLE GREEN IN WATER, TINNED, ROLAND/ PACKER</t>
  </si>
  <si>
    <t>ROLAND/ PACKER</t>
  </si>
  <si>
    <t>CN/3.5OZ</t>
  </si>
  <si>
    <t>PEPPERCORN, BLACK, WHOLE, DRY, 6/420 G</t>
  </si>
  <si>
    <t>PICKLE MASALA SPICE MIX POWDER</t>
  </si>
  <si>
    <t>CS20/200gr</t>
  </si>
  <si>
    <t>PIERRE POIVRE PEPPER (LA BOITE A EPICE BRAND)</t>
  </si>
  <si>
    <t>UNT/16OZ</t>
  </si>
  <si>
    <t>POMEGRANATE POWDER CS6/8OZ VAVITAS</t>
  </si>
  <si>
    <t>NAVITAS</t>
  </si>
  <si>
    <t>ROGAN JOSH MASALA SPICE MIX POWDER</t>
  </si>
  <si>
    <t>CS144/850gr</t>
  </si>
  <si>
    <t>ROSE PETAL DRIED CS6/1.3OZ D''ALLESANDRO</t>
  </si>
  <si>
    <t>C6/1.3OZ</t>
  </si>
  <si>
    <t>PK1.3/OZ</t>
  </si>
  <si>
    <t>ROSEMARY WHOLE 8 OZ BADIA (USA )</t>
  </si>
  <si>
    <t>PC/8OZ</t>
  </si>
  <si>
    <t>SAFFRON POWDER MANCHA 1 OZ (IRAN)</t>
  </si>
  <si>
    <t>MANCHA</t>
  </si>
  <si>
    <t>CAN/1-OZ</t>
  </si>
  <si>
    <t>SALT CURING PRAGUE #1 2.5 LB HOOSIER HILL</t>
  </si>
  <si>
    <t>HOOSIER HILL</t>
  </si>
  <si>
    <t>PK2.5/LB</t>
  </si>
  <si>
    <t>SALT KOSHER GRANULATED</t>
  </si>
  <si>
    <t>DIAMOND CRYSTAL</t>
  </si>
  <si>
    <t>SALT SEA COARSE 12/CS ROLAND (ITALY)</t>
  </si>
  <si>
    <t>C12/26OZ</t>
  </si>
  <si>
    <t>SALT, GRANULATED, IODIZED, DRY, 12/26 OZ</t>
  </si>
  <si>
    <t>C24/26OZ</t>
  </si>
  <si>
    <t>SALT, NON-IODIZED, FINE, DRY, 1/50 LB</t>
  </si>
  <si>
    <t>RSSC/OCI- USE ONLY FOR ECOLOX MACHINES- AK-2022-12-01</t>
  </si>
  <si>
    <t>SAMBAR SPICE MIX POWDER VV ONLY</t>
  </si>
  <si>
    <t>MTR</t>
  </si>
  <si>
    <t>JAR/1LBS</t>
  </si>
  <si>
    <t>CS10/100gr</t>
  </si>
  <si>
    <t>SHAWARMA EAST 1/LB  LA BOITE</t>
  </si>
  <si>
    <t>SHICHIMI TOGARASHI CHINESE 7 FLAVOR CHILI PEPPERS</t>
  </si>
  <si>
    <t>SMOKED SALT MALDON</t>
  </si>
  <si>
    <t>MALDON</t>
  </si>
  <si>
    <t>SPICE BLEND REIMS LA BOITE</t>
  </si>
  <si>
    <t>SPICE DEGI MIRCHI POWDER M*D*H</t>
  </si>
  <si>
    <t>MDH</t>
  </si>
  <si>
    <t>LINK
Amazon.com : MDH Deggi Mirch (Chilli Powder for Curries), 17.5-Ounce Box</t>
  </si>
  <si>
    <t>SPICE KASOORI METHIMDH/ EVEREST</t>
  </si>
  <si>
    <t>METHIMDH/ EVEREST</t>
  </si>
  <si>
    <t>SPICE SAFFRON THREADS SPANISH (SPAIN)</t>
  </si>
  <si>
    <t>SUMAC POWDER CHEFS WAREHOUSE</t>
  </si>
  <si>
    <t>THE CHEF'S WAREHOUSE</t>
  </si>
  <si>
    <t>TANDOORI PASTE PATAKS</t>
  </si>
  <si>
    <t>PATAKS</t>
  </si>
  <si>
    <t>CS6/11OZ</t>
  </si>
  <si>
    <t>TANDOORI POWDER D`ALLESANDRO/ SPICECO (INDIA)</t>
  </si>
  <si>
    <t>PK/22OZ</t>
  </si>
  <si>
    <t>Celery, Mustard</t>
  </si>
  <si>
    <t>TURMERIC GROUND</t>
  </si>
  <si>
    <t>VADOUVAN  SPICE BLEND NO. 28 LA BOITE</t>
  </si>
  <si>
    <t>WASABI POWDER SANWA JAPANESE</t>
  </si>
  <si>
    <t>SANWA JAPANESE</t>
  </si>
  <si>
    <t>ZA'ATAR SPICE CS 6/16 OZ WOODLAND FARMS</t>
  </si>
  <si>
    <t>01 - SAUCES &amp; BASES</t>
  </si>
  <si>
    <t>162 - SAUCES,CONDIMENTS,CANNED GOODS,OILS</t>
  </si>
  <si>
    <t>APPLE SAUCE 6/10 CAN ATALANTA/PREMIUM/MONACO (USA)</t>
  </si>
  <si>
    <t>ATALANTA/PREMIUM/MONACO</t>
  </si>
  <si>
    <t>CN/6.5LB</t>
  </si>
  <si>
    <t>BARBEQUE SAUCE, HICKORY</t>
  </si>
  <si>
    <t>SMOKED 4/1 GALLON HEINZ   10013000539507 (USA)</t>
  </si>
  <si>
    <t>BEEF SAUCE BASE CREW/ STAFF</t>
  </si>
  <si>
    <t>BRANSTON PICKLE (GIELOW)</t>
  </si>
  <si>
    <t>BRANSTON</t>
  </si>
  <si>
    <t>C6/360GR</t>
  </si>
  <si>
    <t>CHEESE PROCESSED VELVEETA POUCH KRAFT</t>
  </si>
  <si>
    <t>CHEEZE WHIZ CS6/6.5LB KRAFT</t>
  </si>
  <si>
    <t>CN6.5/LB</t>
  </si>
  <si>
    <t>CHICKEN STOCK  CS4.5 LT SAVORY CHOICE  FLAVOR</t>
  </si>
  <si>
    <t>SAVORY CHOICE</t>
  </si>
  <si>
    <t>CS4.5/LT</t>
  </si>
  <si>
    <t>LITER</t>
  </si>
  <si>
    <t>CHILI SAUCE, HEINZ, 6/10'S</t>
  </si>
  <si>
    <t>HEINZ</t>
  </si>
  <si>
    <t>6/10  HEINZ  00130005118000 (GERMANY)</t>
  </si>
  <si>
    <t>CRANBERRY SAUCE, WHOLE BERRY</t>
  </si>
  <si>
    <t>WHOLE BERRY 6/10 OCEAN SPRAY 01435 (USA)</t>
  </si>
  <si>
    <t>DESSERT SAUCE CHOCOLATE 24/24 OZ HERSHEYS</t>
  </si>
  <si>
    <t>HERSHEY'S</t>
  </si>
  <si>
    <t>C24/24OZ</t>
  </si>
  <si>
    <t>DOENJANG SOY BEAN PASTE  ASSI</t>
  </si>
  <si>
    <t>CHUNG JUNG ONE</t>
  </si>
  <si>
    <t>CS6/3KG</t>
  </si>
  <si>
    <t>FISH SAUCE, BTL (REQUIRES INSPECTION)</t>
  </si>
  <si>
    <t>SQUID</t>
  </si>
  <si>
    <t>C12/24OZ</t>
  </si>
  <si>
    <t>BTL 12/24 OZ TIPAROS/SQUID</t>
  </si>
  <si>
    <t>HOISIN SAUCE</t>
  </si>
  <si>
    <t>Gluten - Wheat, Sesame seeds, Soybeans</t>
  </si>
  <si>
    <t>32913 (8x10) (China)</t>
  </si>
  <si>
    <t>HOT SAUCE CHOLULAS</t>
  </si>
  <si>
    <t>CHOLULA</t>
  </si>
  <si>
    <t>CS24/6OZ</t>
  </si>
  <si>
    <t>LIME POWDER DEHYDRATED 5 LB INES</t>
  </si>
  <si>
    <t>LIQUID SMOKE WRIGHTS</t>
  </si>
  <si>
    <t>WRIGHTS</t>
  </si>
  <si>
    <t>LOBSTER BROTH SAVORY CHOICE CS4.5/LITER FLAVOR</t>
  </si>
  <si>
    <t>LOUISIANA HOT SAUCE 24/06OZ -CREW &amp; STAFF (USA)</t>
  </si>
  <si>
    <t>LOUISIANA</t>
  </si>
  <si>
    <t>MARELLA USE 108487</t>
  </si>
  <si>
    <t>MISO MOROMI (HISHIO) CS24/26.4 OZ MARUFUKU</t>
  </si>
  <si>
    <t>MARUFKU</t>
  </si>
  <si>
    <t>MOJO MARINADE LIQUID BADIA 1 GALLON</t>
  </si>
  <si>
    <t>OYSTER SAUCE MSG FREE</t>
  </si>
  <si>
    <t>AMBROSIA CS6/5 LB (CHINA )</t>
  </si>
  <si>
    <t>RAMEN SOUP BASE MISO CS 6/4.4LB SUN NOODLE</t>
  </si>
  <si>
    <t>C6/4.4LB</t>
  </si>
  <si>
    <t>RAMEN SOUP BASE TONKOTSU</t>
  </si>
  <si>
    <t>CS8/4LBS</t>
  </si>
  <si>
    <t>PKG4/LBS</t>
  </si>
  <si>
    <t>SAMBAL OELEK CHILI SAUCE</t>
  </si>
  <si>
    <t>SAMBAL OELEK</t>
  </si>
  <si>
    <t>C12/18OZ</t>
  </si>
  <si>
    <t>HUY FONG</t>
  </si>
  <si>
    <t>SAUCE TABASCO RED  2 OZ</t>
  </si>
  <si>
    <t>TABASCO</t>
  </si>
  <si>
    <t>CS24/2OZ</t>
  </si>
  <si>
    <t>SAUCE, SOY, REG, DRY, 4/1 GAL</t>
  </si>
  <si>
    <t>4/1 GALLON FLAYCO (USA)</t>
  </si>
  <si>
    <t>SAUCE, SWEET CHILI, MAE PLOY, SWCHIX730, DRY, 12/32 OZ</t>
  </si>
  <si>
    <t>MEA PLOY</t>
  </si>
  <si>
    <t>MARELLA, VIRGIN &amp; PCH PLEASE USE 143411 UNTIL DEPLETED</t>
  </si>
  <si>
    <t>SEAFOOD BASE</t>
  </si>
  <si>
    <t>Fish (e.g., bass, flounder, cod), Crustacean shellfish (e.g. crab, lobster, shrimp), Milk (including lactose), Soybeans, Molluscs</t>
  </si>
  <si>
    <t>SESAME PASTE BLACK 1.1 LB  MARUHON</t>
  </si>
  <si>
    <t>MARUHON</t>
  </si>
  <si>
    <t>SHITAKE MUSHROOM POWDER CS6/8OZ D'ALLESANDRO</t>
  </si>
  <si>
    <t>SOY BEAN POWDER CS30/1 LB ASSI</t>
  </si>
  <si>
    <t>CS30/1LB</t>
  </si>
  <si>
    <t>SOY SAUCE 4/1 GALLON KIKKOMAN</t>
  </si>
  <si>
    <t>SOY SAUCE BREWED GLUTEN FREE SEMPIO CS 12/930</t>
  </si>
  <si>
    <t>SEMPIO</t>
  </si>
  <si>
    <t>CS12/BTL</t>
  </si>
  <si>
    <t>BT/60 OZ</t>
  </si>
  <si>
    <t>SOY SAUCE DARK CS 12/4LB CHINESE</t>
  </si>
  <si>
    <t>PEARL RIVER BRIDGE</t>
  </si>
  <si>
    <t>DIM SUM/ RAZZLE LL</t>
  </si>
  <si>
    <t>SOY SAUCE KETJAP MANIS 12/21OZ ABC</t>
  </si>
  <si>
    <t>ABC</t>
  </si>
  <si>
    <t>BTL/21OZ</t>
  </si>
  <si>
    <t>SOY SAUCE LOWER SODIUM CS6/64OZ KIKKOMAN #00130 (USA)</t>
  </si>
  <si>
    <t>SOY SAUCE LOWER SODIUM TABLE DISPENSER 12/5 OZ KIKKOMAN #00125</t>
  </si>
  <si>
    <t>BTL/5OZ</t>
  </si>
  <si>
    <t>SOY SAUCE TABLE DISPENSER 12/5 OZ BOTTLE KIKKOMANV (JAPAN)</t>
  </si>
  <si>
    <t>CS12/5OZ</t>
  </si>
  <si>
    <t>SOY SAUCE WHITE BTL 750ML HAMIAMATSU HOMINTO</t>
  </si>
  <si>
    <t>HAMMIAMATSU HOMINTO</t>
  </si>
  <si>
    <t>C6/750ML</t>
  </si>
  <si>
    <t>BT/750ML</t>
  </si>
  <si>
    <t>SOY SAUCE YAMAROKU 4 YEARS AGED TSURU BISIHO, 5 OUNCE</t>
  </si>
  <si>
    <t>YAMAROKU</t>
  </si>
  <si>
    <t>SRIRACHA, HOT CHILI SAUCE, HUY FONG, 28OZ</t>
  </si>
  <si>
    <t>BT/17OZ</t>
  </si>
  <si>
    <t>Please deplete no. 109678 (HUY FONG 17oz) First. PWS 10.25.24</t>
  </si>
  <si>
    <t>STEAK SAUCE  24/5 OZ HEINZ 57 10013000526606</t>
  </si>
  <si>
    <t>24/5oz.</t>
  </si>
  <si>
    <t xml:space="preserve">STEAK SAUCE HP. 12/10 OZ HEINZ </t>
  </si>
  <si>
    <t>TOBANJAN SAUCE CS12/17 OZ YOUKI</t>
  </si>
  <si>
    <t>TOUKI</t>
  </si>
  <si>
    <t>TOMATO, WHOLE, PEELED, IN JUICE, DRY, 6/#10</t>
  </si>
  <si>
    <t>VEGETABLE STOCK LIQUID  CS 4.5/ LITER SAVORY CHOICE</t>
  </si>
  <si>
    <t>WORCESTERSHIRE SAUCE 5 OZ LEA &amp; PERRINS</t>
  </si>
  <si>
    <t>LEA PERRINS</t>
  </si>
  <si>
    <t>CS24/5OZ</t>
  </si>
  <si>
    <t>24/5 OZ LEA &amp; PERRINS (UK)</t>
  </si>
  <si>
    <t>02 - CONDIMENTS</t>
  </si>
  <si>
    <t>APPLE CIDER VINEGAR SPARROW LANE V</t>
  </si>
  <si>
    <t>SPARROW LANE</t>
  </si>
  <si>
    <t>GOCHUJANG PASTE SEMPIO</t>
  </si>
  <si>
    <t>RHEE BROTHERS</t>
  </si>
  <si>
    <t>HORSERADISH WHITE, PREPARED</t>
  </si>
  <si>
    <t>4/1 GALLON SEMINOLE/ SILVER SPRING (USA)</t>
  </si>
  <si>
    <t>KETCHUP RED GOLD/ HOUSE RECIPE CS6/10 (USA)</t>
  </si>
  <si>
    <t>RED GOLD</t>
  </si>
  <si>
    <t>KETCHUP, HEINZ, 51290, DRY, 6/#10</t>
  </si>
  <si>
    <t>6/10 TINS (NOT IN A POUCH)  HEINZ  00130005129000 (USA)</t>
  </si>
  <si>
    <t>MARINADE SOUR ORANGE NARANJA AGRIO  CS4/1 GAL BADIA</t>
  </si>
  <si>
    <t>CS4/1GAL</t>
  </si>
  <si>
    <t>MAYONNAISE HEAVY DUTY, GALLON</t>
  </si>
  <si>
    <t>HELLMANN'S</t>
  </si>
  <si>
    <t>Eggs, Mustard, Soybeans</t>
  </si>
  <si>
    <t>TH SHIPS:  USE #40674  - AS PER JOSER 10/03/16 - dsl</t>
  </si>
  <si>
    <t>MAYONNAISE VEGAN FOLLOW YOUR HEART</t>
  </si>
  <si>
    <t>FOLLOW YOUR HEART</t>
  </si>
  <si>
    <t>MAYONNAISE, UNILEVER - HELLMANN'S, 4800126530, DRY, 4/1 GAL</t>
  </si>
  <si>
    <t>HELLMANNS</t>
  </si>
  <si>
    <t>Eggs, Soybeans</t>
  </si>
  <si>
    <t>MUSTARD  TUB GREY POUPON - DIJON MUSTARD PLAIN (FRANCE)</t>
  </si>
  <si>
    <t>GREY POUPON</t>
  </si>
  <si>
    <t>CS6/48OZ</t>
  </si>
  <si>
    <t>MUSTARD BROWN 4/1 GALLON GULDENS (FRANCE)</t>
  </si>
  <si>
    <t>GULDENS</t>
  </si>
  <si>
    <t>MUSTARD YELLOW, PREPARED, GAL FRENCH`S</t>
  </si>
  <si>
    <t>FRENCH'S</t>
  </si>
  <si>
    <t>YELLOW, PREPARED 4/1 GAL FRENCH`S</t>
  </si>
  <si>
    <t>MUSTARD, GRAINED, JAR</t>
  </si>
  <si>
    <t>CS6/7OZ</t>
  </si>
  <si>
    <t>JAR 12 / 7 OZ ROLAND</t>
  </si>
  <si>
    <t>VINEGAR 18 YEAR AGED BALSAMIC  MIMIS/ DI NIGRIS</t>
  </si>
  <si>
    <t>MIMI'S</t>
  </si>
  <si>
    <t>BTL375/M</t>
  </si>
  <si>
    <t>VINEGAR CABERNET SPARROW LANE</t>
  </si>
  <si>
    <t>VINEGAR CHAMPAGNE WINE SPARROW LANE/ PACKER</t>
  </si>
  <si>
    <t>VINEGAR DARK BALSAMIC CS 4/1 GAL  SPARROW LANE</t>
  </si>
  <si>
    <t>VINEGAR GOLDEN BALSAMIC CS 4/1 GAL  SPARROW LANE</t>
  </si>
  <si>
    <t>VINEGAR PLUM</t>
  </si>
  <si>
    <t>ML</t>
  </si>
  <si>
    <t>https://store.edenfoods.com/ume-plum-vinegar-5-fl-oz/</t>
  </si>
  <si>
    <t>VINEGAR RASPBERRY 12/33.8 OZ ROLAND</t>
  </si>
  <si>
    <t>C12/34OZ</t>
  </si>
  <si>
    <t>VINEGAR SHERRY 20 YEAR CS122/12.7 OZ CAPIRETE</t>
  </si>
  <si>
    <t>CAPIRETE</t>
  </si>
  <si>
    <t>C12/12.7</t>
  </si>
  <si>
    <t>VINEGAR SHERRY/ XERES CS4/5 LT ROLAND</t>
  </si>
  <si>
    <t>VINEGAR, MALT VINEGAR, HEINZ, BOTTLE</t>
  </si>
  <si>
    <t>C12/12OZ</t>
  </si>
  <si>
    <t>MALT VINEGAR 12/ 12 OZ BOTTLE HEINZ 00130000017900</t>
  </si>
  <si>
    <t>VINEGAR, RED WINE VINEGAR</t>
  </si>
  <si>
    <t>MARINA</t>
  </si>
  <si>
    <t>BTL/5LT</t>
  </si>
  <si>
    <t>VINEGAR, RICE WINE, UNSEASONED, JUG</t>
  </si>
  <si>
    <t>AMBROSIA</t>
  </si>
  <si>
    <t>RICE WINE, UNSEASONED 4X1GAL (VIETNAM)</t>
  </si>
  <si>
    <t>VINEGAR, WHITE DISTILLED</t>
  </si>
  <si>
    <t>03 - CANNED SEAFOOD</t>
  </si>
  <si>
    <t>ANCHOVIES DRIED CS100/4OZ IKAN-TERI*BILIS</t>
  </si>
  <si>
    <t>IKAN-TERI*BILIS</t>
  </si>
  <si>
    <t>C100/4OZ</t>
  </si>
  <si>
    <t>ANCHOVY FILLETS IN OLIVE OIL</t>
  </si>
  <si>
    <t>CANTABRIAN</t>
  </si>
  <si>
    <t>CAN/28OZ</t>
  </si>
  <si>
    <t>AMBROSIA/ROLAND/EL CONSORCIO/REALMAR</t>
  </si>
  <si>
    <t>ANCHOVY PASTE 12/1 LB ROLAND</t>
  </si>
  <si>
    <t>BOQUERONE IN VINEGAR</t>
  </si>
  <si>
    <t>BEMKA</t>
  </si>
  <si>
    <t>CLAM JUICE BLENDED 12/46OZ (USA)</t>
  </si>
  <si>
    <t>BAR HARBOR</t>
  </si>
  <si>
    <t>C12/46OZ</t>
  </si>
  <si>
    <t>CLAMS OCEAN CHOPPED CANNED 12/51OZ SNOW (USA)</t>
  </si>
  <si>
    <t>C12/51OZ</t>
  </si>
  <si>
    <t>CRAB MEAT LUMP, PASTEURIZED CANNED, CS12/1 TRANS GLOBAL (INDIA)</t>
  </si>
  <si>
    <t>TUNA ALBACORE SOLID PACK  IN WATER 66 OZ PREMIUM/ CELEBRITY (INDONESIA)</t>
  </si>
  <si>
    <t>PREMIUM</t>
  </si>
  <si>
    <t>CS6/66OZ</t>
  </si>
  <si>
    <t>04 - CANNED FRUITS</t>
  </si>
  <si>
    <t>APRICOT HALVES, UNPEELED</t>
  </si>
  <si>
    <t>6/#10</t>
  </si>
  <si>
    <t>FIGS, KADOTA, LIGHT SYRUP</t>
  </si>
  <si>
    <t>C12/15OZ</t>
  </si>
  <si>
    <t>IN LIGHT SYRUP CAN ROLAND/CANDELS (GREECE)</t>
  </si>
  <si>
    <t>FRUIT COCKTAIL, CHOICE, LIGHT SYRUP</t>
  </si>
  <si>
    <t>CHOICE</t>
  </si>
  <si>
    <t>C6/3KG</t>
  </si>
  <si>
    <t>CHOICE IN LIGHT SYRUP 6/#1</t>
  </si>
  <si>
    <t>JACKFRUIT IN SYRUP CANNED</t>
  </si>
  <si>
    <t>Chaokoh</t>
  </si>
  <si>
    <t>C10/30OZ</t>
  </si>
  <si>
    <t>PCS</t>
  </si>
  <si>
    <t>Euro 1.59</t>
  </si>
  <si>
    <t>LYCHEES WHOLE IN HEAVY SURUP (CHINA)</t>
  </si>
  <si>
    <t>NN</t>
  </si>
  <si>
    <t>CAN/20OZ</t>
  </si>
  <si>
    <t>C24/20OZ</t>
  </si>
  <si>
    <t>PEACH HALVES, LIGHT SYRUP</t>
  </si>
  <si>
    <t>30/40CT 6XA10 IN LIGHT SYRUP (SPAIN)</t>
  </si>
  <si>
    <t>PEAR HALVES, LIGHT SYRUP</t>
  </si>
  <si>
    <t>35/40CT 6XA10 IN LIGHT SYRUP (CHINA)</t>
  </si>
  <si>
    <t>PINEAPPLE, SLICED, IN JUICE</t>
  </si>
  <si>
    <t>6/10 PREMIUM (USA)</t>
  </si>
  <si>
    <t>PRUNES W PIT IN SYRUP - MONTAVISTA 6#10 (USA)</t>
  </si>
  <si>
    <t>MONTAVISTA</t>
  </si>
  <si>
    <t>05 - CANNED VEGETABLES</t>
  </si>
  <si>
    <t>ARTICHOKE "ROMANA STYLE" CS2/3 KG</t>
  </si>
  <si>
    <t>BELARIA</t>
  </si>
  <si>
    <t>CS2/3KG</t>
  </si>
  <si>
    <t>VV - PLEASE ORDER FROM CHEF - RF 11/28</t>
  </si>
  <si>
    <t>BEAN SPROUTS, MUNG, DRY, 6/#10</t>
  </si>
  <si>
    <t>DIAMIR</t>
  </si>
  <si>
    <t>Inactive for OCI ships  per Eric as of 11-22-17 - AAA 11/22/17</t>
  </si>
  <si>
    <t>BEANS, BAKED, VEGETARIAN, DRY, 6/#10</t>
  </si>
  <si>
    <t>BUSHES</t>
  </si>
  <si>
    <t>6/10 CELORRIO/BELLA VISTA VEGETARIAN (SPAIN)
BCN ONLY FOR BSSL</t>
  </si>
  <si>
    <t>BEANS BLACK, 6/#10 CAN</t>
  </si>
  <si>
    <t>BEANS RED KIDNEY DARK 6/10 CANS (SPAIN)</t>
  </si>
  <si>
    <t>SPAIN</t>
  </si>
  <si>
    <t>BEETS SLICED 3KG</t>
  </si>
  <si>
    <t>(SPAIN)</t>
  </si>
  <si>
    <t>BLACK TRUFFLE FRESH</t>
  </si>
  <si>
    <t>CANNELLINI BEANS CS12/15 OZ FIELD DAY</t>
  </si>
  <si>
    <t>FIELD DAY</t>
  </si>
  <si>
    <t>CHESTNUTS, WATER CHESTNUTS SLICED</t>
  </si>
  <si>
    <t>SLICED 6/#10 ROLAND (FRANCE)</t>
  </si>
  <si>
    <t>CORN BABY WHOLE 6/10 CAN AMBROSIA/ROLAND</t>
  </si>
  <si>
    <t>AMBROSIA/ROLAND</t>
  </si>
  <si>
    <t>CORN KERNELS SWEET CANNED 6/10 CELORIO/PREMIUM (USA)</t>
  </si>
  <si>
    <t>CELORIO/PREMIUM</t>
  </si>
  <si>
    <t>FRIED SHALLOTS LA RUSTICHELLA</t>
  </si>
  <si>
    <t>LA RUSTICHELLA</t>
  </si>
  <si>
    <t>uom removed from disc by BM 11/27</t>
  </si>
  <si>
    <t>GARBANZO BEANS 6/10 CANS (SPAIN)</t>
  </si>
  <si>
    <t xml:space="preserve">GRAPE LEAVES CS6/8OZ DIVINA  </t>
  </si>
  <si>
    <t>DIVINA</t>
  </si>
  <si>
    <t>MENMA SEASONED BAMBOO SHOOT CS10/1KG</t>
  </si>
  <si>
    <t>MENIMA</t>
  </si>
  <si>
    <t>CS10/1KG</t>
  </si>
  <si>
    <t>Soybeans, Gluten - Wheat</t>
  </si>
  <si>
    <t>OLIVES  PITTED CASTELVETRANO</t>
  </si>
  <si>
    <t>PEAS PIGEON CANNED CS24/15 OZ VV</t>
  </si>
  <si>
    <t>BIMINI/Eat and Drink</t>
  </si>
  <si>
    <t>PEPPER PEPPADEW RED CHERRY PEPPER WHOLE SWEET PIQUANTE 2/6.5 LB</t>
  </si>
  <si>
    <t>SWEET PIQUANTE</t>
  </si>
  <si>
    <t>2/6.5LB</t>
  </si>
  <si>
    <t>PEPPERS  CALABRIAN CHILIES IN OIL CS2/2KG BELARIA</t>
  </si>
  <si>
    <t>CS2/2KG</t>
  </si>
  <si>
    <t>PEPPERS JALAPENO WHOLE 6/10 CASA DIVA/ GLOBAL (PERU)</t>
  </si>
  <si>
    <t>CASA DIVE</t>
  </si>
  <si>
    <t>PEPPERS RED ROASTED 6X#10</t>
  </si>
  <si>
    <t>PLEASE USE CODE 24620 UNTIL DEPLETED IN FULL
RAMON</t>
  </si>
  <si>
    <t>ACHAR SWEET PICKLE LIME/DEEP  VV</t>
  </si>
  <si>
    <t>Deep</t>
  </si>
  <si>
    <t>CS12/500GR</t>
  </si>
  <si>
    <t>CS12/700gr</t>
  </si>
  <si>
    <t>PIMENTON DULCE DE LA VERA</t>
  </si>
  <si>
    <t>CARMENCITA</t>
  </si>
  <si>
    <t>PIQUILLO PIMIENTOS WHOLE ROASTED &amp; PEELED 6/#10</t>
  </si>
  <si>
    <t>u</t>
  </si>
  <si>
    <t>SAUERKRAUT SHREDDED 6/#10 CAN SILVER FLOSS/ SENECA</t>
  </si>
  <si>
    <t>SILVER FLOSS/ SENECA</t>
  </si>
  <si>
    <t>CN/2.5KG</t>
  </si>
  <si>
    <t>TOMATO, PASTE, HEINZ, 57310, DRY, 6/#10</t>
  </si>
  <si>
    <t>TOMATO, SUN-DRIED, HALVES, STANDARD, DRY, 4/5 LB</t>
  </si>
  <si>
    <t>06 - CANNED JUICES</t>
  </si>
  <si>
    <t>YUZU JUICE PURE UNSEASONED SHIBORI YAKAMI ORCHARD</t>
  </si>
  <si>
    <t>YAKAMI ORCHARD</t>
  </si>
  <si>
    <t>JUICE, 100% PINEAPPLE, NOT FROM CONC, DRY, 12/1 LT</t>
  </si>
  <si>
    <t>DEL MONTE</t>
  </si>
  <si>
    <t>12/46 OZ OR 12/1 LT RUBY KIST/DOLE/COFRUTOS  NCL  (SPAIN)</t>
  </si>
  <si>
    <t>JUICE, CRANBERRY, COCKTAIL, FROM CONC, DRY, 8/46 OZ</t>
  </si>
  <si>
    <t>Cranberry Cocktail Juice</t>
  </si>
  <si>
    <t>JUICE, 100% APPLE, FROM CONC, DRY, 12/1 LT</t>
  </si>
  <si>
    <t>/ COFRUTOS / ZUMO DE MANZANA 1LTR NCL (SPAIN)</t>
  </si>
  <si>
    <t>COCONUT WATER 1 LT OR 24/16.5OZ</t>
  </si>
  <si>
    <t>VITA COCO</t>
  </si>
  <si>
    <t>07 - OIL &amp; SHORTENING</t>
  </si>
  <si>
    <t>COCONUT OIL LA TOURANGELLE</t>
  </si>
  <si>
    <t>TOURANGELLE</t>
  </si>
  <si>
    <t>OIL CHILI SESAME RAYU/ LA YU</t>
  </si>
  <si>
    <t>RAYU/ LA YU</t>
  </si>
  <si>
    <t>CS6/BTL</t>
  </si>
  <si>
    <t>OIL GRAPESEED (USA)</t>
  </si>
  <si>
    <t>C12/17OZ</t>
  </si>
  <si>
    <t xml:space="preserve">OIL PUMPKIN SEED CS6/250 ML LA TOURANGELLE </t>
  </si>
  <si>
    <t>LA TOURANGELLE</t>
  </si>
  <si>
    <t>CS6/250M</t>
  </si>
  <si>
    <t>OIL, 100% OLIVE, EXTRA VIRGIN, DRY, 4/5 LT</t>
  </si>
  <si>
    <t>CS4/5LT</t>
  </si>
  <si>
    <t>OIL, 100% SESAME, TOASTED, DRY, 10/56 OZ</t>
  </si>
  <si>
    <t>BT/56OZ</t>
  </si>
  <si>
    <t>OIL, 100% VEGETABLE SOYBEAN, DRY, 4/5 LT</t>
  </si>
  <si>
    <t>C2/17.5L</t>
  </si>
  <si>
    <t>PC/17.5L</t>
  </si>
  <si>
    <t>OIL, FRYING, 100% SOYBEAN, TRANS FAT FREE, FLASHPOINT &gt;600F, DRY, 4/5 LT</t>
  </si>
  <si>
    <t>OIL, HAZELNUT</t>
  </si>
  <si>
    <t>OLIVE OIL TERRE BORMANE CITRON 500 ML  CS6/500ML</t>
  </si>
  <si>
    <t>TERRE BORMANE</t>
  </si>
  <si>
    <t>C6/500ML</t>
  </si>
  <si>
    <t>BT/500ML</t>
  </si>
  <si>
    <t>OLIVE/CANOLA BLEND OIL</t>
  </si>
  <si>
    <t>FLORA</t>
  </si>
  <si>
    <t>PAN SPRAY NON STICK (USA)</t>
  </si>
  <si>
    <t>PAM</t>
  </si>
  <si>
    <t>WHITE TRUFFLE OIL</t>
  </si>
  <si>
    <t>MARKYS/ MORRA TARTUFI</t>
  </si>
  <si>
    <t>BT/250ML</t>
  </si>
  <si>
    <t>08 - GROCERY</t>
  </si>
  <si>
    <t>BARLEY PEARLED</t>
  </si>
  <si>
    <t>BONITO FLAKES 6X1LB</t>
  </si>
  <si>
    <t>PK/1LB</t>
  </si>
  <si>
    <t>CHOCOLATE TAHINI PASTE MACEDONIAN</t>
  </si>
  <si>
    <t>SOOM</t>
  </si>
  <si>
    <t>6/350GR</t>
  </si>
  <si>
    <t>COARSE CORNMEAL BOBS RED MILL</t>
  </si>
  <si>
    <t>CORN MEAL YELLOW BULK</t>
  </si>
  <si>
    <t>COUSCOUS PRE-COOKED 20/17.6  OZ ROLAND</t>
  </si>
  <si>
    <t>C20/17.5</t>
  </si>
  <si>
    <t>FAR FAR WHEEL PAPADUMS</t>
  </si>
  <si>
    <t>PARIVAR</t>
  </si>
  <si>
    <t>CS 20/200gr</t>
  </si>
  <si>
    <t>HIBISCUS FLOWER DRY6/3 OZ  D`ALLESANDRO</t>
  </si>
  <si>
    <t>JAR/3OZ</t>
  </si>
  <si>
    <t>HONDASHI BONITO SOUP STOCK CS 10/1KG AJINOMOTO (RED GINGER)</t>
  </si>
  <si>
    <t>AJINOMOTO</t>
  </si>
  <si>
    <t>Milk (including lactose), Fish (e.g., bass, flounder, cod)</t>
  </si>
  <si>
    <t>KOMBU SQUARE DASHI KST</t>
  </si>
  <si>
    <t>PK/5LBS</t>
  </si>
  <si>
    <t>discontinued per Eric e-mail 1/19 - AAA 1/26</t>
  </si>
  <si>
    <t>MAG 140 OZ SWTND CONDENSED MILK</t>
  </si>
  <si>
    <t>EAGLE BRAND</t>
  </si>
  <si>
    <t>CN/140OZ</t>
  </si>
  <si>
    <t>Do Not ship to China!!! AAA 05-10-18
CONDENSED MILK SWEET MAGNOLIA/ EAGLE/MILK</t>
  </si>
  <si>
    <t>MARSHMALLOW DEHYDRATED CS3/LB HOOSIER HILL</t>
  </si>
  <si>
    <t>HOOSIER HILL FARM</t>
  </si>
  <si>
    <t>MARSHMALLOW LARGE 12/16 OZ KRAFT  06006996611600</t>
  </si>
  <si>
    <t>MISO PASTE RED JAPANESE 12/1KG  MIKO/ K-SEA</t>
  </si>
  <si>
    <t>MIKO/ K-SEA</t>
  </si>
  <si>
    <t>MISO PASTE WHITE, TUB</t>
  </si>
  <si>
    <t>PC/2.2LB</t>
  </si>
  <si>
    <t>JAPANESE TETSUJIN 10X2.2LB (CHINA)</t>
  </si>
  <si>
    <t>MUSHROOM KIKURAGE /WOODEAR DRIED</t>
  </si>
  <si>
    <t>MUSHROOM MOREL DRY</t>
  </si>
  <si>
    <t>MUSHROOM PORCINI/ BOLETUS DRY 1 LB MARKYS/URBANI/ROLAND (USA)</t>
  </si>
  <si>
    <t>MARK'S</t>
  </si>
  <si>
    <t>MUSHROOM SHITAKI DRY  URBANI/MARKY`S</t>
  </si>
  <si>
    <t>URBANI/MARKY`S</t>
  </si>
  <si>
    <t>NOODLE GLASS MUNG BEAN PINE BRAND CS100/8.8OZ</t>
  </si>
  <si>
    <t>PINE</t>
  </si>
  <si>
    <t>RAZZLE LL/ KT</t>
  </si>
  <si>
    <t>NOODLE, VERMICELLI, GLASS NOODLES, PACKER</t>
  </si>
  <si>
    <t>PACKER</t>
  </si>
  <si>
    <t>C100/8.8</t>
  </si>
  <si>
    <t>VERMICELLI, GLASS NOODLES LUNGKOW/ PACKE</t>
  </si>
  <si>
    <t>NOODLES BAHMI CS12/12 OZ PACKER (HOLLAND)</t>
  </si>
  <si>
    <t>HOLLAND</t>
  </si>
  <si>
    <t>NOODLES ORIENTAL RICE STICK NOODLE MED FLAT 30/16 OZ ERAWAN (CHINA)</t>
  </si>
  <si>
    <t>ERAWAN</t>
  </si>
  <si>
    <t>C30/16OZ</t>
  </si>
  <si>
    <t>NOODLES, CHINESE EGG NOODLES, PACKER</t>
  </si>
  <si>
    <t>Eggs, Gluten - Wheat</t>
  </si>
  <si>
    <t>NORI SHEETS, 50CT (FULL SHEET)</t>
  </si>
  <si>
    <t>ONE</t>
  </si>
  <si>
    <t>CS500/PC</t>
  </si>
  <si>
    <t>10/ 50 SHEET PKGS PREPARED SEAWEED YAKITORI</t>
  </si>
  <si>
    <t>PAPADUMS 80 CT</t>
  </si>
  <si>
    <t>C20/200G</t>
  </si>
  <si>
    <t>80 CT SUPHANA/ PACKER VV</t>
  </si>
  <si>
    <t>POLENTA MEDIUM</t>
  </si>
  <si>
    <t>MORETTI</t>
  </si>
  <si>
    <t>CS4/5LB</t>
  </si>
  <si>
    <t>this item should be sent only in chilled containers due to possibility of bugs.</t>
  </si>
  <si>
    <t>PORCINI POWDER</t>
  </si>
  <si>
    <t>CS6/12 OZ  WOODLAND FARMS</t>
  </si>
  <si>
    <t>QUINOA WHITE</t>
  </si>
  <si>
    <t>RICE PAPER, ROUND, 22CM</t>
  </si>
  <si>
    <t>C44/30CT</t>
  </si>
  <si>
    <t>ships cannot order temporarily due to excessive overstocking
GALETTES DE RIZ BA</t>
  </si>
  <si>
    <t>RICE SYRUP CJO OLIGO CS20/700GR</t>
  </si>
  <si>
    <t>CJ</t>
  </si>
  <si>
    <t>SEAWEED DULCE DRIED BROWNE TRADING</t>
  </si>
  <si>
    <t>BROWNE TRADING</t>
  </si>
  <si>
    <t>SEAWEED SEA LETTUCE DRIED BROWNE TRADING</t>
  </si>
  <si>
    <t>SHELLS, TACO, HARD, CORN, 14CM</t>
  </si>
  <si>
    <t>MEXICAN ORGINAL</t>
  </si>
  <si>
    <t>HARD SHELL, 200 COUNT PONCHO VILLA/ MEXICAN ORIGINAL/ MISSION</t>
  </si>
  <si>
    <t>SOOJI WHEAT FARINA FINE</t>
  </si>
  <si>
    <t>PK/250GR</t>
  </si>
  <si>
    <t>PCS/800gr</t>
  </si>
  <si>
    <t>Euro 0.99</t>
  </si>
  <si>
    <t>TAHINI PASTE  CS12/1LB SOOM</t>
  </si>
  <si>
    <t>CS12/1LB</t>
  </si>
  <si>
    <t>TAMARI, GLUTEN FREE SOY SAUCE IH 11/20</t>
  </si>
  <si>
    <t>TAMARI</t>
  </si>
  <si>
    <t>C6/10OZ</t>
  </si>
  <si>
    <t>TARTLETS, MINI, SALTED, 2"</t>
  </si>
  <si>
    <t>Milk (including lactose), Gluten - Wheat, Eggs</t>
  </si>
  <si>
    <t>240PC/CS (HAFNER/ DUCOURTIEUX) REF#6751021 (FRANCE)</t>
  </si>
  <si>
    <t>WAKAME DRY FOR MISO SOUP K-SEA  MA/RV (USA)</t>
  </si>
  <si>
    <t>K-SEA</t>
  </si>
  <si>
    <t>09 - PICKLES, OLIVES &amp; ONIONS</t>
  </si>
  <si>
    <t>BERNAL MANZANILLA OLIVES (WITH PIT)</t>
  </si>
  <si>
    <t>CAMPOS DE ALMAZ</t>
  </si>
  <si>
    <t>CAPER BERRIES STEMMED 6/64 OZ DEL DESTINO/ ROLAND</t>
  </si>
  <si>
    <t>MINA</t>
  </si>
  <si>
    <t>CAPERS, NON-PAREIL, IN VINEGAR, DRY, 6X850GR</t>
  </si>
  <si>
    <t>SANNITI SPANISH</t>
  </si>
  <si>
    <t>MONACO/AMBROSIA/ROLAND(10X6) (USA)</t>
  </si>
  <si>
    <t>CHILI GUINDILLA CHILI IN JUICE PICKLED</t>
  </si>
  <si>
    <t>CS6/2KG</t>
  </si>
  <si>
    <t>CHIPOTLE PEPPER CANNED SAN MARCOS IN ADOBO</t>
  </si>
  <si>
    <t>SAN MARCOS</t>
  </si>
  <si>
    <t>CAN/7OZ</t>
  </si>
  <si>
    <t>GINGER PICKLED PINK CHINESE K SEA/SE FOODS 20 LB</t>
  </si>
  <si>
    <t>OLIVES KALAMATA PITTED AMBROSIA 16122 (8X5) (TURKEY)</t>
  </si>
  <si>
    <t>OLIVES QUEEN STUFFED 100/110CT 4/1GALLON PREMIUM/ DEL DESTINO</t>
  </si>
  <si>
    <t>DEL DESTINO</t>
  </si>
  <si>
    <t>OLIVES, BLACK, PITTED, MEDIUM</t>
  </si>
  <si>
    <t>ROYAL ANN</t>
  </si>
  <si>
    <t>ONIONS PEARL, JAR</t>
  </si>
  <si>
    <t>6/32 OZ JAR AMBROSIA/ ROLAND/ PACKER
C3/4.1KG (2/29/24)</t>
  </si>
  <si>
    <t>PICHOLINE OLIVES BEL ARIA</t>
  </si>
  <si>
    <t>BEL ARIA</t>
  </si>
  <si>
    <t>PICKLE RELISH SWEET NATURAL B&amp;G  4/1 GALLON B&amp;G (USA)</t>
  </si>
  <si>
    <t>B&amp;G</t>
  </si>
  <si>
    <t>PICKLE, CORNICHON/GHERKIN</t>
  </si>
  <si>
    <t>MAILLE</t>
  </si>
  <si>
    <t>PICKLES  (PICKLED GHERKINS) 6/5KG AMBROSIA 25240 (7X5)</t>
  </si>
  <si>
    <t>PICKLES KOSHER DRY B&amp;G (USA)</t>
  </si>
  <si>
    <t>PRESERVED LEMON BRINE CAN/ 2KG BELDI</t>
  </si>
  <si>
    <t>BELDI</t>
  </si>
  <si>
    <t>CS3/2KG</t>
  </si>
  <si>
    <t>SALTED SPICY RADISH</t>
  </si>
  <si>
    <t>163 - VEGET./VEGAN GLUTEN FREE/SUGAR FREE/BABY</t>
  </si>
  <si>
    <t>01 - VEGETARIAN</t>
  </si>
  <si>
    <t>BEYOND MEAT VEGAN  ORIGINAL BRAT, 3.52 OUNCE CS50/CT BEYOND MEAT</t>
  </si>
  <si>
    <t>BEYOND</t>
  </si>
  <si>
    <t>CS50/CT</t>
  </si>
  <si>
    <t>CAVIAROLI  OLIVE OIL/ TRUFFLE   APPETIZER</t>
  </si>
  <si>
    <t>CAVIAROLI</t>
  </si>
  <si>
    <t>C10/50GR</t>
  </si>
  <si>
    <t>PC50/GR</t>
  </si>
  <si>
    <t>EDIBLE CHARCOAL POWDER VEGAN PKG 2LB AMERICAN HARDWOOD (USA)</t>
  </si>
  <si>
    <t>AMERICAN HARWOOD</t>
  </si>
  <si>
    <t>EGG REPLACER BOB'S RED MILL</t>
  </si>
  <si>
    <t>TOFU EXTRA FIRM, TUB</t>
  </si>
  <si>
    <t>TOFU FIRM, TUB</t>
  </si>
  <si>
    <t>For Marella use code 109967
TOFU FIRM (MOMEN TOFU) MORI-NU BLUE (CHINA)</t>
  </si>
  <si>
    <t>TOFU SILKY SOFT (KINU TOFU)</t>
  </si>
  <si>
    <t>MORI-NO</t>
  </si>
  <si>
    <t>VEGGIE BURGER 48/3.5 OZ BOCA  CREW</t>
  </si>
  <si>
    <t>BOCA</t>
  </si>
  <si>
    <t>Soybeans, Gluten - Wheat, Sesame seeds</t>
  </si>
  <si>
    <t>02 - GLUTEN-FREE MIX</t>
  </si>
  <si>
    <t>FLOUR GLUTEN FREE/ SUGAR FREE  CUP 4 CUP CS25/ LB</t>
  </si>
  <si>
    <t>CUP 4 CUP</t>
  </si>
  <si>
    <t>FLOUR GLUTENOUS RICE FLOUR</t>
  </si>
  <si>
    <t>GLUTEN FREE CHICKPEA FLOUR SONALI/ PARIVAR</t>
  </si>
  <si>
    <t>SPNALI/ PAVIVAR</t>
  </si>
  <si>
    <t>approved by PF112618 for Marella</t>
  </si>
  <si>
    <t>GLUTEN FREE WHITE RICE FLOUR</t>
  </si>
  <si>
    <t>can sub with 109634</t>
  </si>
  <si>
    <t>MIX COOKIE CHOCOLATE CHIP GLUTEN FREE BOBS RED MILL</t>
  </si>
  <si>
    <t>03 - GLUTEN-FREE PASTA</t>
  </si>
  <si>
    <t>MACARONI PASTA GLUTEN-FREE 12/8 OZ ANCIENT HARVEST</t>
  </si>
  <si>
    <t>ANCIENT HARVEST</t>
  </si>
  <si>
    <t>CS12/8OZ</t>
  </si>
  <si>
    <t>04 - GLUTEN FREE</t>
  </si>
  <si>
    <t>GLUTEN FREE BREAD WHITE RICE 6/16 OZ KINNICKKNICK/UDI'S</t>
  </si>
  <si>
    <t>KINNICKKNICK</t>
  </si>
  <si>
    <t>GLUTEN FREE BUN HOT DOG 6/10 OZ KINNICKKNICK</t>
  </si>
  <si>
    <t>GLUTEN-FREE BAGEL TAPIOCA RICE PLAIN 6X12.1 OZ KINNIKINNICK</t>
  </si>
  <si>
    <t>C6/12.1O</t>
  </si>
  <si>
    <t>GLUTEN-FREE ENGLISH MUFFIN  6X13.5 OZ KINNIKINNICK/ UDI'S</t>
  </si>
  <si>
    <t>C6/13.5O</t>
  </si>
  <si>
    <t>PENNE PASTA GLUTEN-FREE BANZA CS11/LB</t>
  </si>
  <si>
    <t>BANZA FOODSERVICE</t>
  </si>
  <si>
    <t>PIZZA CRUST GLUTEN-FREE BANZA  CS20/PC</t>
  </si>
  <si>
    <t>To replace #44839 for all RSSC/OCI ships-AK</t>
  </si>
  <si>
    <t>07 - VEGAN</t>
  </si>
  <si>
    <t>AGAVE RAW AMBER MADHAVA</t>
  </si>
  <si>
    <t>MADHAVA</t>
  </si>
  <si>
    <t>AGAVE SYRUP VEGAN BLUE GREEN VS4/1GAL (USA)</t>
  </si>
  <si>
    <t>BLUE GREEN</t>
  </si>
  <si>
    <t>ALMOND BUTTER VEGAN ONCE AGAIN CS6/12 OZ (USA)</t>
  </si>
  <si>
    <t>ONCE AGAIN</t>
  </si>
  <si>
    <t>C6/8OZ</t>
  </si>
  <si>
    <t>PLANT BASE CHI-RIZO</t>
  </si>
  <si>
    <t>CHIRIZO</t>
  </si>
  <si>
    <t>NEW ITEM</t>
  </si>
  <si>
    <t>BUTTER ALTERNATIVE VEGAN PLANT PERFECT (USA)</t>
  </si>
  <si>
    <t>PLANT PERFECT</t>
  </si>
  <si>
    <t>TUB/30LB</t>
  </si>
  <si>
    <t>CHEESE VEGAN CREAM CHEESE</t>
  </si>
  <si>
    <t>VIO LIFE</t>
  </si>
  <si>
    <t>CHEESE VEGAN MOZZARELLA BLOCK CS12.5KG VIOLIFE</t>
  </si>
  <si>
    <t>CHEESE VEGAN PROVOLONE</t>
  </si>
  <si>
    <t>VIOLIVE</t>
  </si>
  <si>
    <t>CS8/7OZ</t>
  </si>
  <si>
    <t>CHOCOLATE WHITE VEGAN CS10/2.82 OZ PASCHA</t>
  </si>
  <si>
    <t>PASCHA</t>
  </si>
  <si>
    <t>CLASSICO SEASONING CS12/4OZ  TAJIN</t>
  </si>
  <si>
    <t>TAJIN</t>
  </si>
  <si>
    <t>HOT DOG VEGAN LIGHTLIFE CS 12/13.5 OZ</t>
  </si>
  <si>
    <t>LIGHTLIFE</t>
  </si>
  <si>
    <t>NUTRITIONAL YEAST FLAKES VEGAN C6/5OZ BOBS RED ,MILL (USA)</t>
  </si>
  <si>
    <t>CS6/5OZ</t>
  </si>
  <si>
    <t>PLAIN PLANT BASED YOGURT (BULK PACK)</t>
  </si>
  <si>
    <t>FORAGER/ KITE HILL</t>
  </si>
  <si>
    <t>SOUR CREAM ALTERNATIVE VEGAN PLANT PERFECT</t>
  </si>
  <si>
    <t>VEGAN GROUND BEEF ALTERNATIVE IMPOSSIBLE BULK</t>
  </si>
  <si>
    <t>IMPOSSIBLE</t>
  </si>
  <si>
    <t>Soybeans, Tree nuts</t>
  </si>
  <si>
    <t>VEGAN SUGAR ORGANIC (BONE CHAR FREE ) WHOLESOME</t>
  </si>
  <si>
    <t>WHOLESOME (BONE CHAR FREE )</t>
  </si>
  <si>
    <t>VEGGIE PATTIES IMPOSSIBLE BURGER CS40/4 OZ</t>
  </si>
  <si>
    <t>IMOSSIBLE BURGER</t>
  </si>
  <si>
    <t>VEGAN CHOCOLATE DARK ENJOY LIFE CS20/LBS</t>
  </si>
  <si>
    <t>PC/9OZ</t>
  </si>
  <si>
    <t>166 - MISCELLANEOUS</t>
  </si>
  <si>
    <t>ALMONDS MARCONA CS/11LBS SAVOR IMPORTS</t>
  </si>
  <si>
    <t>SAVOR IMPORTS</t>
  </si>
  <si>
    <t>BISCOFF SPREAD CS8/14 OZ BISCOFF</t>
  </si>
  <si>
    <t>BISCOFF</t>
  </si>
  <si>
    <t>CS8/14OZ</t>
  </si>
  <si>
    <t>RAZZLE MENU B</t>
  </si>
  <si>
    <t>COCONUT FLAKES UNSWEETENED BOBS RED MILL CS4/24OZ</t>
  </si>
  <si>
    <t>CS4/24OZ</t>
  </si>
  <si>
    <t>FEUILLETINE CS4/2.5KG BARRY (LADY FINGER)</t>
  </si>
  <si>
    <t>CS2KG</t>
  </si>
  <si>
    <t>Milk (including lactose), Tree nuts</t>
  </si>
  <si>
    <t>GOJI BERRIES DRIED CS10/LBS WOODLAND FARMS</t>
  </si>
  <si>
    <t>MISO PASTE CHIC PEA CS6/16OZ MISO MASTER</t>
  </si>
  <si>
    <t>MISO MASTER</t>
  </si>
  <si>
    <t>SILICA GEL PACKS FOOD GRADE 2 GRAM CS/3000 PC ULINE S3903</t>
  </si>
  <si>
    <t>U-LINE</t>
  </si>
  <si>
    <t>SYRUP BARLEY MALT CS 12/20 OZ EDEN</t>
  </si>
  <si>
    <t>EDEN</t>
  </si>
  <si>
    <t>PT</t>
  </si>
  <si>
    <t>TRANSGLUTAMINASE PROTEIN GLUE</t>
  </si>
  <si>
    <t>ACTIVA</t>
  </si>
  <si>
    <t>VEGAN WORCESTERSHIRE SAUCE CS12/8 OZ ANNIES</t>
  </si>
  <si>
    <t>ANNIES</t>
  </si>
  <si>
    <t>01 - FROZEN BAKING GOODS</t>
  </si>
  <si>
    <t>168 - FROZEN BAKING, PASTA &amp; BREAD</t>
  </si>
  <si>
    <t>COOKIE DOUGH  CHOCOLATE CHIP  CS144/1.5  OZ  MAUI FOODS V</t>
  </si>
  <si>
    <t>MAUI FOODS</t>
  </si>
  <si>
    <t>Eggs, Milk (including lactose), Gluten - Wheat, Soybeans</t>
  </si>
  <si>
    <t>CS144/PC</t>
  </si>
  <si>
    <t>COOKIE DOUGH  CHOCOLATE CHIP MACADAMIA NUT  CS144/1.5  OZ  MAUI FOODS V</t>
  </si>
  <si>
    <t>Gluten - Wheat, Eggs, Soybeans, Tree nuts, Milk (including lactose)</t>
  </si>
  <si>
    <t>COOKIE DOUGH  OATMEAL RAISIN  CS144/1.5 OZ  MAUI FOODS V</t>
  </si>
  <si>
    <t>Milk (including lactose), Tree nuts, Eggs, Gluten - Wheat</t>
  </si>
  <si>
    <t>COOKIE DOUGH  PEANUT BUTTER  CS144/1.5 OZ  MAUI FOODS V</t>
  </si>
  <si>
    <t>Soybeans, Peanuts, Gluten - Wheat, Milk (including lactose), Eggs</t>
  </si>
  <si>
    <t>COOKIE DOUGH  S'MORES  CS144/1.5 OZ  MAUI FOODS V</t>
  </si>
  <si>
    <t>Eggs, Fish (e.g., bass, flounder, cod), Gluten - Wheat, Milk (including lactose), Soybeans</t>
  </si>
  <si>
    <t>COOKIE DOUGH  SUGAR FREE CHOCOLATE CHIP  CS144/1.5  OZ  MAUI FOODS</t>
  </si>
  <si>
    <t>Gluten - Wheat, Eggs, Milk (including lactose)</t>
  </si>
  <si>
    <t>COOKIE DOUGH  WHITE CHOCOLATE MACADAMIA  CS144/1.5 OZ  MAUI FOODS V</t>
  </si>
  <si>
    <t>Milk (including lactose), Eggs, Gluten - Wheat, Soybeans, Tree nuts</t>
  </si>
  <si>
    <t>COOKIE DOUGH GLUTEN FREE BELGIAN CHOCOLATE CHIP  CS144/1.5  OZ  MAUI FOODS</t>
  </si>
  <si>
    <t>Soybeans, Eggs, Milk (including lactose)</t>
  </si>
  <si>
    <t>COOKIE DOUGH GLUTEN FREE CHOCOLATE CHUNK  CS144/1.5  OZ  MAUI FOODS</t>
  </si>
  <si>
    <t>Milk (including lactose), Soybeans, Eggs</t>
  </si>
  <si>
    <t>DOUGH FILO SHEETS ATHENS/ KONTOS 80012 (USA )</t>
  </si>
  <si>
    <t>ATHENS/ KONTOS</t>
  </si>
  <si>
    <t>MUFFIN BATTER BLUEBERRY 18  LB  PAIL MAUII FOODS - # 1800 (USA)</t>
  </si>
  <si>
    <t>MAUI</t>
  </si>
  <si>
    <t>MUFFIN BATTER CHOCOLATE CHIP 18  LB  PAIL MAUII FOODS - # 1859 (USA)</t>
  </si>
  <si>
    <t>Soybeans, Gluten - Wheat, Eggs, Milk (including lactose)</t>
  </si>
  <si>
    <t>MUFFIN BATTER CRANBERRY 18  LB  PAIL MAUII FOODS - # 1801 (USA)</t>
  </si>
  <si>
    <t>MUFFIN BATTER MAUI MORNING 18  LB  PAIL MAUII FOODS - # 1808 (USA)</t>
  </si>
  <si>
    <t>Eggs, Gluten - Wheat, Tree nuts</t>
  </si>
  <si>
    <t>MUFFIN BATTER NEW ENGLAND CORN 18  LB  PAIL MAUII FOODS - # 1853 (USA)</t>
  </si>
  <si>
    <t>Eggs, Gluten - Wheat, Milk (including lactose)</t>
  </si>
  <si>
    <t>MUFFIN BATTER VEGAN BLUEBERRY BANANA PAIL9/ LBS MAUI</t>
  </si>
  <si>
    <t>EA9/LBS</t>
  </si>
  <si>
    <t>Milk (including lactose), Gluten - Wheat</t>
  </si>
  <si>
    <t>MUFFIN BATTER VEGAN MAUI MORNING PAIL9/ LBS MAUI</t>
  </si>
  <si>
    <t>PUFF PASTRY, SLAB, FZN, 2/15 LB</t>
  </si>
  <si>
    <t>PENNANT</t>
  </si>
  <si>
    <t>CS2/15LB</t>
  </si>
  <si>
    <t>PUFF PASTRY FROZEN 2/15 LB 1902511016  PENNANT (USA)</t>
  </si>
  <si>
    <t>SPRING ROLL WRAPPERS (CHINA)</t>
  </si>
  <si>
    <t>C40/25SH</t>
  </si>
  <si>
    <t>WONTON WRAPPERS, SQUARE, FRZN</t>
  </si>
  <si>
    <t>CS12/LB</t>
  </si>
  <si>
    <t>12/1LB GOLDEN TIGER</t>
  </si>
  <si>
    <t>WRAPPERS, WONTON HONG KONG</t>
  </si>
  <si>
    <t>TWIN MARQUIS</t>
  </si>
  <si>
    <t>03 - FROZEN BREAD</t>
  </si>
  <si>
    <t>BAGELS BLUEBERRY SLICED 48/4 OZ O`PELLE</t>
  </si>
  <si>
    <t>O'PELLE</t>
  </si>
  <si>
    <t>BAGELS MULTIGRAIN SLICED 48/4 OZ O`PELLE</t>
  </si>
  <si>
    <t>BAGELS, PLAIN  SLICED 4 OZ SLICED O`PELLE (USA)</t>
  </si>
  <si>
    <t>use item 24766 or 145501. Same item</t>
  </si>
  <si>
    <t>BREAD SOURDOUGH COUNTRY WHEAT BRD40B19  1KG LOAF  ZAK THE BAKER</t>
  </si>
  <si>
    <t>ZACK THE BAKER</t>
  </si>
  <si>
    <t>CS7/LV</t>
  </si>
  <si>
    <t>LV</t>
  </si>
  <si>
    <t>HAMBURGER BUNS 4  INCH SESAME SEEDED  CS8/12 PC</t>
  </si>
  <si>
    <t>Sesame seeds, Gluten - Wheat</t>
  </si>
  <si>
    <t>HOT DOG ROLLS STADIUM ALPHA BAKERS/ BLOCK &amp; BARREL</t>
  </si>
  <si>
    <t>BLOCK AND BARREL</t>
  </si>
  <si>
    <t>MUFFIN, ENGLISH, PLAIN, EASY SPLIT, 2 OZ EA, FZN, 6/12 EA</t>
  </si>
  <si>
    <t>THOMAS</t>
  </si>
  <si>
    <t>C12/12PC</t>
  </si>
  <si>
    <t>BREAD, PARATHA, KAWAN - AMAN, 9556074988115, FZN, 8/25 EA</t>
  </si>
  <si>
    <t>KAWAN/OMAN</t>
  </si>
  <si>
    <t>TORTILLA CORN 4.5 INCH CS6/50PC MISSION</t>
  </si>
  <si>
    <t>MISSION</t>
  </si>
  <si>
    <t>CS6/50PC</t>
  </si>
  <si>
    <t>TORTILLA, FLOUR, SOFT, 10INCH, FRZN</t>
  </si>
  <si>
    <t>SOFT FROZEN 10" TACOMEX/ MISSION/ CASA SOLANA (MEXICO)</t>
  </si>
  <si>
    <t>169 - FRESH FRUITS &amp; BERRIES</t>
  </si>
  <si>
    <t>01 - FRESH  BERRIES &amp; SEASONAL FRUITS</t>
  </si>
  <si>
    <t>BLACKBERRIES FRESH 12 1/2 PT 4.5#</t>
  </si>
  <si>
    <t>BLUEBERRIES FRESH 12 1/2 PT 4.5#</t>
  </si>
  <si>
    <t>CHERRIES FRESH BING #1 18/20#</t>
  </si>
  <si>
    <t>PASSION FRUIT 28-32 CT. 10#</t>
  </si>
  <si>
    <t>PEACHES LAYERED #1 1 1/2-2" FREESTONE 85CT 10#</t>
  </si>
  <si>
    <t>PLUM #1 54 CT. 10#</t>
  </si>
  <si>
    <t>RASPBERRIES FRESH 12 1/2 PT PINK 4.5#</t>
  </si>
  <si>
    <t>STAR FRUIT 16-30 CT. 7#</t>
  </si>
  <si>
    <t>BIMINI/RAZZLE BRUNCH</t>
  </si>
  <si>
    <t>STRAWBERRIES DRISCOL CAL. LIGHT RED, PINTS</t>
  </si>
  <si>
    <t>02 - FRESH FRUITS</t>
  </si>
  <si>
    <t>APPLES GALA  125 CI</t>
  </si>
  <si>
    <t>APPLES GOLDEN DELICIOUS 125CT WASHINGTON FANCY 40#/CS</t>
  </si>
  <si>
    <t>APPLES GRANNY SMITH 88CT 40#/CS</t>
  </si>
  <si>
    <t>REGENT USE 15377</t>
  </si>
  <si>
    <t>APPLES RED DELICIOUS WASHINGTON EXTRA FANCY 125CT 40#/CS</t>
  </si>
  <si>
    <t>AVOCADOS HASS FRESH CA-48PC FL-12/14PC 20#</t>
  </si>
  <si>
    <t>BANANAS STAGE #3</t>
  </si>
  <si>
    <t>BANANAS STAGE #5</t>
  </si>
  <si>
    <t>GRAPEFRUITS #1 CA. 32CT HI-BRIGHT, PINK 40#</t>
  </si>
  <si>
    <t>GRAPES RED LARGE SEEDLESS CHILE 18#</t>
  </si>
  <si>
    <t>GRAPES WHITE. LARGE CHILE SEEDLESS 18#</t>
  </si>
  <si>
    <t>KIWI, NEW ZEALAND/CALIFORNIA, RIPE</t>
  </si>
  <si>
    <t>LEMONS FRESH FIRM FANCY CALIF. SUNKIST #1 200CT 40#</t>
  </si>
  <si>
    <t>LIMES, FRESH, CAVIAR (FINGER LIMES)</t>
  </si>
  <si>
    <t>LIMES, FRESH, FIRM #1 200CT 40#</t>
  </si>
  <si>
    <t>MANDARINS FRESH</t>
  </si>
  <si>
    <t>MANGOS, RIPE 9/12 CT, 10#/CS</t>
  </si>
  <si>
    <t>MELON CANTALOUPE 12 CT, 40#/CS</t>
  </si>
  <si>
    <t>TH USE# 38407</t>
  </si>
  <si>
    <t>MELON HONEYDEW #1 6/8CT. 25#</t>
  </si>
  <si>
    <t>ORANGES CAL. SUNKIST FANCY, VALENCIA NAVEL,88CT 40#</t>
  </si>
  <si>
    <t>PAPAYA (9-12CT), GREEN</t>
  </si>
  <si>
    <t>PAPAYA (9-12CT), RIPE</t>
  </si>
  <si>
    <t>BIMNI/ KT</t>
  </si>
  <si>
    <t>PEARS #1, BARTLETT, 120CT 40#</t>
  </si>
  <si>
    <t>PEARS ASIAN FRESH 12/16 CT</t>
  </si>
  <si>
    <t>PINEAPPLES, CROWNLESS, GOLD, FRESH</t>
  </si>
  <si>
    <t>PLANTAINS, GREEN 50#</t>
  </si>
  <si>
    <t>POMEGRANATE 20-35 CT. 22#</t>
  </si>
  <si>
    <t>PUMPKIN/CALABASA, FRESH</t>
  </si>
  <si>
    <t>TANGERINES #1, CAL, FL 80CT 40#</t>
  </si>
  <si>
    <t>WATERMELONS SEEDLESS 4CT/6C 32#</t>
  </si>
  <si>
    <t>171 - FRESH VEGETABLES</t>
  </si>
  <si>
    <t>01 - FRESH VEGETABLES</t>
  </si>
  <si>
    <t>AMARANTH CRESS</t>
  </si>
  <si>
    <t>CS12/4OZ</t>
  </si>
  <si>
    <t>ARTICHOKE, JERUSALEM, FRESH</t>
  </si>
  <si>
    <t>ASIAN LONG RED CHILI, FRESH MEDIUM HOT</t>
  </si>
  <si>
    <t>ASPARAGUS WHITE FRESH</t>
  </si>
  <si>
    <t>ASPARAGUS, FRESH, LARGE, FULL 11# BOX, 17 PC/BOX</t>
  </si>
  <si>
    <t>BABY TURNIP</t>
  </si>
  <si>
    <t>BEANS FRESH EXTRA FINE GREEN (FRENCH) 1/5 (HARICOT VERT)</t>
  </si>
  <si>
    <t>BUY FROM MEEDER WHENEVER POSSIBLE.</t>
  </si>
  <si>
    <t>BEET ROOTS LARGE 1/25#</t>
  </si>
  <si>
    <t>BEETS CHIOGGA FRESH</t>
  </si>
  <si>
    <t>BEETS YELLOW FRESH</t>
  </si>
  <si>
    <t>BELGIAN ENDIVES 10#</t>
  </si>
  <si>
    <t>BOK CHOY BABY</t>
  </si>
  <si>
    <t>BROCCOLI LARGE FANCY, GREEN UMBRELLA 14 CT 20#</t>
  </si>
  <si>
    <t>BROCCOLINI FRESH</t>
  </si>
  <si>
    <t>BRUSSELS SPROUTS SMALL</t>
  </si>
  <si>
    <t>CABBAGE GREEN COMM MED/LG TRIMMED 50#</t>
  </si>
  <si>
    <t>CABBAGE NAPA 12CT 30#</t>
  </si>
  <si>
    <t>CABBAGE RED COMM MED/LG TRIMMED 50#</t>
  </si>
  <si>
    <t>CABBAGE SAVOY LARGE 40#</t>
  </si>
  <si>
    <t>CACTUS PEAR RED  XOCONOSTLE 30/36 CT</t>
  </si>
  <si>
    <t>CARROTS CLIP TOP 50#</t>
  </si>
  <si>
    <t>CARROTS LOOSE CAL. JUMBO, 50LBS</t>
  </si>
  <si>
    <t>CARROTS MINI W/TOPS, PEELED, 1/5LB, VAC. PACK</t>
  </si>
  <si>
    <t>CARROTS RAINBOW FRESH</t>
  </si>
  <si>
    <t>CAULIFLOWER #1 CAL. 12 CT 25#</t>
  </si>
  <si>
    <t>CAULIFLOWER ORANGE 12CT (28LB)</t>
  </si>
  <si>
    <t>CAULIFLOWER PURPLR FRESH</t>
  </si>
  <si>
    <t>CELERIAC (CELERY ROOT) 20#</t>
  </si>
  <si>
    <t>CELERY #1 CAL. 36CT 60#</t>
  </si>
  <si>
    <t>CELERY MICRO HARPKE FAMILY FARM - PK/5 OZ PACKED IN 60 OZ CLAM SHELL</t>
  </si>
  <si>
    <t>HARPKE FARMS/ TRUE LEAF</t>
  </si>
  <si>
    <t>PK/5OZ</t>
  </si>
  <si>
    <t>CHAYOTE, SELECT, 48CT 40#/CS</t>
  </si>
  <si>
    <t>CHILI FRESNO FRESH</t>
  </si>
  <si>
    <t>CHILI PEPPERS GREEN FRESH</t>
  </si>
  <si>
    <t>CHILI PEPPERS RED FRESH</t>
  </si>
  <si>
    <t>CORN ON THE COB FRESH</t>
  </si>
  <si>
    <t>CUCUMBER ENGLISH SEEDLESS, LARGE</t>
  </si>
  <si>
    <t>CUCUMBER MINI PERSIAN</t>
  </si>
  <si>
    <t>CUCUMBERS SEEDLESS LARGE, PLASTIC WRAPPED 13#</t>
  </si>
  <si>
    <t>DAIKON 20#/CS</t>
  </si>
  <si>
    <t>EGGPLANT JAPANESE 10#/CS</t>
  </si>
  <si>
    <t>EGGPLANT MEDIUM, 225 - 300 MM</t>
  </si>
  <si>
    <t>ESCAROLE FRESH CS25/LBS</t>
  </si>
  <si>
    <t>FENNEL FRESH CAL. 40#</t>
  </si>
  <si>
    <t>FINGERLING POTATOES</t>
  </si>
  <si>
    <t>GALANGAL</t>
  </si>
  <si>
    <t>GARLIC BLACK PEELED</t>
  </si>
  <si>
    <t>GARLIC CRATE JUMBO 30# 8 CT</t>
  </si>
  <si>
    <t>GARLIC PEELED</t>
  </si>
  <si>
    <t>GINGER FRESH</t>
  </si>
  <si>
    <t>HABANERO PEPPERS FRESH</t>
  </si>
  <si>
    <t>HORSERADISH ROOTS FRESH #</t>
  </si>
  <si>
    <t>JICAMA FRESH</t>
  </si>
  <si>
    <t>KAFFIR LIME LEAVES FRESH</t>
  </si>
  <si>
    <t>KALE GREEN  FRESH CS15/LBS</t>
  </si>
  <si>
    <t>KOHLRABI FRESH</t>
  </si>
  <si>
    <t>LEEKS LARGE FRESH 12 BU 15#</t>
  </si>
  <si>
    <t>LETTUCE BABY GEM FRESH CS24/CT</t>
  </si>
  <si>
    <t>LETTUCE BOSTON 24HD</t>
  </si>
  <si>
    <t>LETTUCE FRISEE 4#</t>
  </si>
  <si>
    <t>LETTUCE GREEN LEAF CAL. 24HD 20#/CS</t>
  </si>
  <si>
    <t>LETTUCE ICEBERG, CALIF. AVGE 50# CASE 24HD</t>
  </si>
  <si>
    <t>TH USE# 38353</t>
  </si>
  <si>
    <t>LETTUCE RED OAK, 2#/CS</t>
  </si>
  <si>
    <t>LETTUCE ROMAINE, CAL., CRISP 24HD 38#</t>
  </si>
  <si>
    <t>LETTUCE, MESCLUN  3#/CS</t>
  </si>
  <si>
    <t>LOTUS ROOT FRESH</t>
  </si>
  <si>
    <t>TH USE # 21703 - FOR PCH SHIPS: WHEN YOU CANNOT SEND FRESH IN CONTAINERS, SUB WI</t>
  </si>
  <si>
    <t>MAITAKE MUSHROOM FRESH</t>
  </si>
  <si>
    <t>MARIGOLD FLOWERS FRESH 50 CT (4 OZ)</t>
  </si>
  <si>
    <t>MICRO GREEN FLOWER BLEND PKG 8 OZ</t>
  </si>
  <si>
    <t>TRUE LEAF OR CHEF'S GARDEN</t>
  </si>
  <si>
    <t>PKG/8OZ</t>
  </si>
  <si>
    <t>PKG4/OZ</t>
  </si>
  <si>
    <t>MICRO GREEN MINT FRESH PKG/4OZ</t>
  </si>
  <si>
    <t>MICRO GREEN NASTURDIUM  PKG/8OZ</t>
  </si>
  <si>
    <t>MICRO GREEN PLUM SORREL PURPLR PKG 8 OZ</t>
  </si>
  <si>
    <t>CS50/4OZ</t>
  </si>
  <si>
    <t>MICRO GREENS BASIL FRESH HARPKE FAMILY FARMS - PK/5 OZ PACKED IN 60 OZ CLAM SHELL SIZE</t>
  </si>
  <si>
    <t>MICRO LEMON BALM</t>
  </si>
  <si>
    <t>MICRO SPINACH NEW ZEALAND</t>
  </si>
  <si>
    <t>MUSHROOM HON SHIMEJII BROIWNFRESH CS3/LB</t>
  </si>
  <si>
    <t>CS3/LBS</t>
  </si>
  <si>
    <t>MUSHROOM KING TRUMPET</t>
  </si>
  <si>
    <t>MUSHROOM, CRIMINI</t>
  </si>
  <si>
    <t>MUSHROOMS CHANTERELLES FRESH</t>
  </si>
  <si>
    <t>MUSHROOMS OYSTER 1/5#</t>
  </si>
  <si>
    <t>MUSHROOMS PORTOBELLO FRESH</t>
  </si>
  <si>
    <t>MUSHROOMS SHIITAKE  FRESH NO 1</t>
  </si>
  <si>
    <t>MUSHROOMS, FRESH WHITE, 8 OZ CELLO PACK</t>
  </si>
  <si>
    <t>ONLY FOR USE VIA MIAMI, EVERYWHERE ELSE USE 15495.  **** MARELLA USE 38363 IN EU</t>
  </si>
  <si>
    <t>MUSTARD GREENS FRESH</t>
  </si>
  <si>
    <t>OKRA FRESH 10#</t>
  </si>
  <si>
    <t>ANOTHER ROSE/RAZZLE/KT</t>
  </si>
  <si>
    <t>ONION WHITE BIG FRESH</t>
  </si>
  <si>
    <t>ONIONS RED, MEDIUM 25#</t>
  </si>
  <si>
    <t>ONIONS, PEARL ONIONS RED FRESH 1/12PT 4#/CS</t>
  </si>
  <si>
    <t>ONIONS, YELLOW, MEDIUM, SPANISH #1, 50#</t>
  </si>
  <si>
    <t>PARSNIP 20#/CS</t>
  </si>
  <si>
    <t>PEA FLOWERS FRESH</t>
  </si>
  <si>
    <t>PEA SHOOTS  FRESH</t>
  </si>
  <si>
    <t>PEAS ENGLISH IN POD  FRESH CS5/LBS</t>
  </si>
  <si>
    <t>PEPPER JALAPENO RED FRESH</t>
  </si>
  <si>
    <t>PEPPER THAI LONG GREEN FRESH  CS3/LBS</t>
  </si>
  <si>
    <t>PEPPERS GREEN, MEDIUM, CHOICE, 88-100 MM</t>
  </si>
  <si>
    <t>PEPPERS HOT, JALAPENOS 10#</t>
  </si>
  <si>
    <t>PEPPERS RED, MEDIUM, 88-100 MM</t>
  </si>
  <si>
    <t>PEPPERS YELLOW, MEDIUM, 88-100 MM</t>
  </si>
  <si>
    <t>PEPPERS, POBLANO CHILI #</t>
  </si>
  <si>
    <t>POTATO PEE WEE MULTI COLORED MARBLE</t>
  </si>
  <si>
    <t>POTATO RUSSET  110 CT</t>
  </si>
  <si>
    <t>POTATOES CHEF (BAG) 50#</t>
  </si>
  <si>
    <t>POTATOES RED BLISS B-1 50#</t>
  </si>
  <si>
    <t>POTATOES YUKON GOLD, LARGE, FRESH</t>
  </si>
  <si>
    <t>POTATOES, BAKING, IDAHO #1, 100CT 50#/CS</t>
  </si>
  <si>
    <t>POTATOES, SWEET, JUMBO, 40# BAG</t>
  </si>
  <si>
    <t>RADICCIO LARGE HEADS 9 HD 6# FLAT</t>
  </si>
  <si>
    <t>RADISH WATERMELON</t>
  </si>
  <si>
    <t>RADISHES, FRESH, BULK 40#</t>
  </si>
  <si>
    <t>RED RIBBON SORREL FRESH</t>
  </si>
  <si>
    <t>SCALLIONS FRESH - ICELESS</t>
  </si>
  <si>
    <t>SEAWEED FRESH</t>
  </si>
  <si>
    <t>SERRANO PEPPERS FRESH</t>
  </si>
  <si>
    <t>Ocean Star Cruises</t>
  </si>
  <si>
    <t>SHALLOTS CLOVES #1 FRESH 5#</t>
  </si>
  <si>
    <t>SHISHITO PEPPER FRESH</t>
  </si>
  <si>
    <t>SNOW PEAS, FRESH</t>
  </si>
  <si>
    <t>ANOTHER ROSE/LUCKY LOTUS</t>
  </si>
  <si>
    <t>SPINACH FLAT LEAF, FRESH, CRISP 4/2.5# 10#</t>
  </si>
  <si>
    <t>SPINACH, BABY LEAF</t>
  </si>
  <si>
    <t>SPROUTS GREEN PEA TENDRIL</t>
  </si>
  <si>
    <t>PKG8/OZ</t>
  </si>
  <si>
    <t>SPROUTS, SOY BEAN 5 LBS</t>
  </si>
  <si>
    <t>SQUASH BLOSSOM FRESH</t>
  </si>
  <si>
    <t>SQUASH BUTTERNUT 40#</t>
  </si>
  <si>
    <t>SQUASH KABOCHA FRESH</t>
  </si>
  <si>
    <t>SQUASH PATTY PAN ASSORTED COLORS</t>
  </si>
  <si>
    <t>SQUASH SPAGHETTI FRESH CS40/LBS</t>
  </si>
  <si>
    <t>SQUASH YELLOW, STRAIGHT NK FANCY 1/2 BUSHEL 20#, 180-210 MM</t>
  </si>
  <si>
    <t>SUGAR SNAP PEAS, FRESH</t>
  </si>
  <si>
    <t>SWEET POTATOES PURPLE YAM OR UBE</t>
  </si>
  <si>
    <t>SWISS CHARD 24 BU 20#</t>
  </si>
  <si>
    <t>TOMATOES 6X6 #1 18# RED RIPE, FIRM (LAYERED), 55-65 MM</t>
  </si>
  <si>
    <t>USE# 38350</t>
  </si>
  <si>
    <t>TOMATOES CHERRY #1 (GRAPE) 10 PINK, RED, FIRM SMALL</t>
  </si>
  <si>
    <t>TOMATOES CHERRY MIXED HEIRLOOM</t>
  </si>
  <si>
    <t>TOMATOES GREEN</t>
  </si>
  <si>
    <t>RAZZLE DAZZLE</t>
  </si>
  <si>
    <t>TOMATOES, RED BEEFSTEAK TOMATOES, HEIRLOOM</t>
  </si>
  <si>
    <t>TOMATOES, TOMATILLOS 10#</t>
  </si>
  <si>
    <t>TURMERIC FRESH</t>
  </si>
  <si>
    <t>TURNIPS 25# WHITE FIRM LARGE</t>
  </si>
  <si>
    <t>VIOLAS, FRESH FLOWER</t>
  </si>
  <si>
    <t>ZUCCHINI MEDIUM #1 FANCY 20#/CS, 180-210 MM</t>
  </si>
  <si>
    <t>03 - FRESH HERBS</t>
  </si>
  <si>
    <t>ARUGULA, BABY</t>
  </si>
  <si>
    <t>TO BE ORDERED IN MIAMI ONLY.   EVERYWHERE ELSE USE 15599 HYDRO LEAVES PER S.L.</t>
  </si>
  <si>
    <t>BASIL (12 BUNCH) HYDROPONIC OR REGULAR 1 LB/CS</t>
  </si>
  <si>
    <t>BASIL BLOSSOMS FRESH TRAY 6/POTS HARPKE FARMS</t>
  </si>
  <si>
    <t>HARPKE FARMS</t>
  </si>
  <si>
    <t>CHERVIL, FRESH, 12BU 1 LB/CS</t>
  </si>
  <si>
    <t>CHIVES (12 BUNCH), 1 LB/CS</t>
  </si>
  <si>
    <t>CILANTRO (12 BUNCH) 1 LB/CS DOMESTIC</t>
  </si>
  <si>
    <t>CILANTRO MICRO FRESH HARPKE FAMILY FARM PK/5 OZ PACKED IN 60 OZ SIZE CLAM SHELL</t>
  </si>
  <si>
    <t>CURRY LEAVES</t>
  </si>
  <si>
    <t>TH-N/A EU NO ENTRY - 053117mb - no sub ships / mngt advised.</t>
  </si>
  <si>
    <t>DILL</t>
  </si>
  <si>
    <t>LEMONGRASS 12 STICKS/BUNCH 1#/BUNCH</t>
  </si>
  <si>
    <t>MARJORAM (12 BUNCH), 1 LB/CS</t>
  </si>
  <si>
    <t>MINT (12 BUNCH), 1 LB/CS</t>
  </si>
  <si>
    <t>OREGANO FRESH</t>
  </si>
  <si>
    <t>PARSLEY ITALIAN,  20#/CS</t>
  </si>
  <si>
    <t>RADISH SPROUT MICRO PURPLE FRESH HARPKE FARMS - PK/6 OZ PACKED IN 60 OZ CLAM SHELL SIZE</t>
  </si>
  <si>
    <t>ROMANESCO FRESH</t>
  </si>
  <si>
    <t>ROSEMARY (12 BUNCH) 1 LB/CS</t>
  </si>
  <si>
    <t>SAGE FRESH</t>
  </si>
  <si>
    <t>SORREL FRESH</t>
  </si>
  <si>
    <t>TARRAGON (12 BUNCH), 1 LB/CS</t>
  </si>
  <si>
    <t>THYME FRESH</t>
  </si>
  <si>
    <t>WATERCRESS (FULL BX) 10# 24BH "B &amp; W, FRESH, ICE PACKED" 1BX</t>
  </si>
  <si>
    <t>173 - REGIONAL &amp; SEASONAL ITEMS</t>
  </si>
  <si>
    <t>TUNA BELLIE CHUTORO BLUEFIN</t>
  </si>
  <si>
    <t>04 - FISH &amp; SEAFOOD</t>
  </si>
  <si>
    <t>SEA URCHIN 50GR/JAR, (EU ONLY)</t>
  </si>
  <si>
    <t>YAMA SEAFOOD</t>
  </si>
  <si>
    <t>SQUID INK 17 OZ BOTTLE MARKY`S</t>
  </si>
  <si>
    <t>MARKY'S</t>
  </si>
  <si>
    <t>BAG/4GR</t>
  </si>
  <si>
    <t>CRABMEAT, JUMBO</t>
  </si>
  <si>
    <t>NEW/CHARGEABLE ITEM</t>
  </si>
  <si>
    <t>06 - PROCESSED MEATS</t>
  </si>
  <si>
    <t>JAMON IBERICO DE BELLOTA</t>
  </si>
  <si>
    <t>SAAVEDRA</t>
  </si>
  <si>
    <t>07 - SPECIALTY ITEMS (FLAGGED)</t>
  </si>
  <si>
    <t>SALT SEA MALDON</t>
  </si>
  <si>
    <t>TRUFFLE AESTIVUM-SUMMER PEELINGS HENRAS (FRANCE)</t>
  </si>
  <si>
    <t>PLANTIN</t>
  </si>
  <si>
    <t>08 - CAVIAR (FLAGGED)</t>
  </si>
  <si>
    <t>CAVIAR SIBERIAN STURGEON 3.5 OZ</t>
  </si>
  <si>
    <t>SIBERIAN</t>
  </si>
  <si>
    <t>JR3.5/OZ</t>
  </si>
  <si>
    <t>CAVIAR WHITE STURGEON CAN 250 GRAM</t>
  </si>
  <si>
    <t>1KG/CAN</t>
  </si>
  <si>
    <t>JAR/1OZ</t>
  </si>
  <si>
    <t>10 - CHEESE</t>
  </si>
  <si>
    <t>IDIAZABAL CHEESE</t>
  </si>
  <si>
    <t>11 - BAKERY PRODUCTS, COOKIES &amp; MIXES</t>
  </si>
  <si>
    <t>MATFER GREEN FOOD COLORING MAT #410141, BTL/125ML (EUROPE ONLY)</t>
  </si>
  <si>
    <t>MATFER</t>
  </si>
  <si>
    <t>BT/125ML</t>
  </si>
  <si>
    <t>NAVIGATOR USE 15671</t>
  </si>
  <si>
    <t>13 - SPICES</t>
  </si>
  <si>
    <t>SPICE RAZ EL HANOUT TUNISIA PACKER, (EU ONLY)</t>
  </si>
  <si>
    <t>14 - SAUCES,CONDIMENTS,CANNED GOODS,OILS</t>
  </si>
  <si>
    <t>HARISSA RED CHILI SPREAD</t>
  </si>
  <si>
    <t>C6/28OZ</t>
  </si>
  <si>
    <t>OIL OLIVE EXTRA VIRGIN ESPLENDIDO DOURO  500 ML - PORTUGAL</t>
  </si>
  <si>
    <t>ESPLENDIDO</t>
  </si>
  <si>
    <t>BTL/500M</t>
  </si>
  <si>
    <t>In Miami VV, buy from PLD</t>
  </si>
  <si>
    <t>174 - LOCAL PURCHASES &amp; EMERGENCY FOOD</t>
  </si>
  <si>
    <t>03 - SPECIAL REQUESTS</t>
  </si>
  <si>
    <t>ASSORTED FRESH FISH &amp; SEAFOOD - CHARGEABLE ONLY (VV)</t>
  </si>
  <si>
    <t>175 - SPECIAL REQUEST OFFICE ONLY</t>
  </si>
  <si>
    <t>ASSORTED FRESH FISH &amp; SEAFOOD</t>
  </si>
  <si>
    <t>Fish (e.g., bass, flounder, cod), Crustacean shellfish (e.g. crab, lobster, shrimp)</t>
  </si>
  <si>
    <t>LOCAL PURCHASES</t>
  </si>
  <si>
    <t>LOCAL FOOD PURCHASE FROM OFFICE</t>
  </si>
  <si>
    <t>B - BAR</t>
  </si>
  <si>
    <t>270 - BAR-MISCELLANEOUS</t>
  </si>
  <si>
    <t>00-GENERAL</t>
  </si>
  <si>
    <t>BEET POWDER</t>
  </si>
  <si>
    <t>MACA POWDER</t>
  </si>
  <si>
    <t>PENDING</t>
  </si>
  <si>
    <t>USE NARRAGANSETT</t>
  </si>
  <si>
    <t>SHEFFIELD'S SHERRY DRY (GALLO)</t>
  </si>
  <si>
    <t xml:space="preserve">BUFFALO TRACE </t>
  </si>
  <si>
    <t>Name</t>
  </si>
  <si>
    <t>U\M</t>
  </si>
  <si>
    <t>Active</t>
  </si>
  <si>
    <t>Order</t>
  </si>
  <si>
    <t xml:space="preserve">
Chef eric has given approval to sub up to 50 % of PC 14457 Gooseneck round with PC 149028 outside flats for the PCH ships. </t>
  </si>
  <si>
    <t>BEEF EXPORT RIB, LIGHT GRAIN FED ANGUS MB2+ AGED 40DAYS JBS / KILCOY EBONY (AUSTRALIA.) NAMP-109E</t>
  </si>
  <si>
    <t>if N/a SUB with 34727</t>
  </si>
  <si>
    <t>Use 148688</t>
  </si>
  <si>
    <t>ship 70% 102748 and sub 30% of 108595 ok per Eric DK 10/2</t>
  </si>
  <si>
    <t>Ple</t>
  </si>
  <si>
    <t>VEAL HIND SHANK MILK FED, 11-12OZ, SLCD 1.5 INCH THICK CTR CUT (100 CS) - (3533711) (NETHERLANDS)</t>
  </si>
  <si>
    <t>For Vancouver use only Sysco Miami</t>
  </si>
  <si>
    <t>VEAL OSSO BUCCO</t>
  </si>
  <si>
    <t>PCH USE 14506 TW 3/2/23</t>
  </si>
  <si>
    <t>PORK CAUL FAT PLASTIC WRAPPED (USA)/50-00932</t>
  </si>
  <si>
    <t>Can not go to the EU.</t>
  </si>
  <si>
    <t xml:space="preserve">PORK SHOULDER BUTT BONELESS </t>
  </si>
  <si>
    <t>Can't ship to Europe</t>
  </si>
  <si>
    <t>QUAIL WHOLE SEMI-BONELESS 4 OZ BONELESS</t>
  </si>
  <si>
    <t>BEEF FRANKS 6/1 SKINLESS 6-INCH NATHANS 88313-97108.</t>
  </si>
  <si>
    <t>COTECHINI SAUSAGE</t>
  </si>
  <si>
    <t>Not EU Approved. For EU please use 155914 - RF 2/26/26</t>
  </si>
  <si>
    <t>CAN'T GO TO EUROPE
1/10 MILD (USA)</t>
  </si>
  <si>
    <t>SALAME CAMPAGNOLO - BIG GRAIN MARTELLI</t>
  </si>
  <si>
    <t>BACON PORK SLICED SMOKED LAYOUT 18/22 CT  POLAND</t>
  </si>
  <si>
    <t>USE ONL;Y IN EUROPE IF NECESSARY. USE IEM 14541 EVERYWHERE ELSE  TW 3/23</t>
  </si>
  <si>
    <t>ONLY WHEN IS NOT AVAILABLE  SUB W/ 14541. MB 11/06/25</t>
  </si>
  <si>
    <t>CAN'T GP TP EUROPE 
BSSL WINTER 26 USE 38182 IN EUROPE FOR CANARIES</t>
  </si>
  <si>
    <t xml:space="preserve">SCALLOPS 10/15 CT </t>
  </si>
  <si>
    <t>PK500/GR</t>
  </si>
  <si>
    <t>CS120/PC</t>
  </si>
  <si>
    <t>TOBIKO RED/ORANGE COLOR (FLYING FISH ROE) (TH)</t>
  </si>
  <si>
    <t xml:space="preserve">CAN BE LOADED FROZEN. </t>
  </si>
  <si>
    <t>QT</t>
  </si>
  <si>
    <t>YOGURT GREEK BULK 5% FAT</t>
  </si>
  <si>
    <t>BUTTER, UNSALTED, 82% FAT, FZN, 50/200 G / 1LB PRINTS</t>
  </si>
  <si>
    <t xml:space="preserve">CHEDDAR, SMOKED </t>
  </si>
  <si>
    <t>ONLY IN EU FOR VV - IF ITEM IS N/A PLEASE SUB WITH 15010. RF - 8.6.25</t>
  </si>
  <si>
    <t>USE 11158 UNTIL DEPLETED</t>
  </si>
  <si>
    <t>CREAM CHEESE, BULK</t>
  </si>
  <si>
    <t>SMITHFIELD 30 LB BULK FOR BUFFET &amp; CANAPES</t>
  </si>
  <si>
    <t>MOZZARELLA DI BUFALA CHEESE FRESH ABC BRAND 10/8.8 OZ- CI16 (ITALY)</t>
  </si>
  <si>
    <t>PC/8.8OZ</t>
  </si>
  <si>
    <t>DO NOT USE THIS ITEM IF IT IS SHIPPED IN FROZEN CONTAINER. FOR CONTAINERS USE 67963 FOR FROZEN BUFFALO MOZZARELLA</t>
  </si>
  <si>
    <t>PANEER VV ONLY</t>
  </si>
  <si>
    <t>GORGONZOLA DOLCELATTE</t>
  </si>
  <si>
    <t>SMOKED BUFFALO MOZZARELLA</t>
  </si>
  <si>
    <t>BEANS, GREEN, FINE, HARICOT VERTS, GRADE A, IQF, FZN, 1/10KG</t>
  </si>
  <si>
    <t>FROZEN  GRADE A, HARICOT VERT, FINE GREEN BEAN, WHOLE. pws</t>
  </si>
  <si>
    <t>FOR VV PLEASE USE US FOOD BR PRICE ,VENDOR CODE 1100640 SB 2/13/2026</t>
  </si>
  <si>
    <t>BANANA LEAVES, 30/1 LB</t>
  </si>
  <si>
    <t xml:space="preserve">BLUEBERRIES, WHOLE, IQF, FRZN </t>
  </si>
  <si>
    <t>CRANBERRIES, WHOLE, IQF, FRZN</t>
  </si>
  <si>
    <t>FROZEN (NETHERLANDS )</t>
  </si>
  <si>
    <t xml:space="preserve">PUREE BLACK CHERRY BOIRON 6/1 KG, VV </t>
  </si>
  <si>
    <t>V.V. Specific Item. PWS 2.16.26</t>
  </si>
  <si>
    <t>PUREE CHERRY BOIRON 6/1 KG,  (FRANCE )</t>
  </si>
  <si>
    <t>CS6/1KG</t>
  </si>
  <si>
    <t>use 111937</t>
  </si>
  <si>
    <t>PUREE COCONUT, SUGAR ADDED, BOIRON/LAFRUTIERE/SICOLY   FRZN 6/1 KG</t>
  </si>
  <si>
    <t>PUREE FRUIT, BLACKBERRY, SICOLY, KG, FRZN FRZN 6/1 KG</t>
  </si>
  <si>
    <t>PC/64OZ</t>
  </si>
  <si>
    <t>FLOUR ALL PURPOSE WHITE</t>
  </si>
  <si>
    <t>Purchase locally!! Do not send by container from Miami
JRB 12/15/09</t>
  </si>
  <si>
    <t>FLOUR RYE MIX PLANCHOT (EU ONLY)</t>
  </si>
  <si>
    <t>USe 109640</t>
  </si>
  <si>
    <t>FLOUR SAVEUR PLANCHOT T65 - CAKE FLOUR 25 KG, (EU ONLY)</t>
  </si>
  <si>
    <t>FLOUR, CAKE FLOUR</t>
  </si>
  <si>
    <t>FLOUR, PLANCHOT BRIOCHE FORCE T55 (EU ONLY)</t>
  </si>
  <si>
    <t>FLOUR, WHOLE WHEAT, PLANCHOT (EU ONLY)</t>
  </si>
  <si>
    <t>for Miami use 111697 if you have BCN order from BCN.</t>
  </si>
  <si>
    <t>PK500GR</t>
  </si>
  <si>
    <t xml:space="preserve">edited 5.22.25 pws </t>
  </si>
  <si>
    <t xml:space="preserve">SUGAR CUBES BROWN CANNES 750 GRS MORCEAUX BRUT </t>
  </si>
  <si>
    <t>PK</t>
  </si>
  <si>
    <t>SUGAR, POWDERED, (ICING SUGAR) DRY, 24/1 LB</t>
  </si>
  <si>
    <t xml:space="preserve">BAKING SODA </t>
  </si>
  <si>
    <t>TH SHIPS:  USE #39704  - AS PER JOSER 10/03/16 - dsl  VERY OLD NOTE
I REMOVED THE UM FROM THE PRODUCT NAME. PWS 07.24.25</t>
  </si>
  <si>
    <t>CAKE SPRINKLES HALLOWEEN 4OZ MANVSCAKES</t>
  </si>
  <si>
    <t>https://www.amazon.com/gp/product/B08DRKTRQ5/ref=ox_sc_act_title_17?smid=A1UHP6HEXNHMH4&amp;psc=1</t>
  </si>
  <si>
    <t>USE CODE 102790</t>
  </si>
  <si>
    <t>GELLAN GUM LOW ACYL CUISINE TECH</t>
  </si>
  <si>
    <t>https://modernistpantry.com/products/iota-carrageenan.html</t>
  </si>
  <si>
    <t>https://modernistpantry.com/products/kappa-carrageenan.html</t>
  </si>
  <si>
    <t>https://modernistpantry.com/products/non-diastatic-malt-powder.html</t>
  </si>
  <si>
    <t>: For VV, please only order from Miami – SB 2/12/26.</t>
  </si>
  <si>
    <t>PIE FILLING PUMPKIN 6/10 SOLID PACK PUMPKIN</t>
  </si>
  <si>
    <t>item discontinued by Eric 3/21/19 - AAA</t>
  </si>
  <si>
    <t>ROOHAFZA SYRUP VV ONLY</t>
  </si>
  <si>
    <t>VALENTINE'S SPRINKLE MIX SPRINKLES DECO</t>
  </si>
  <si>
    <t>https://www.amazon.com/Manvscakes-Valentine-sprinkles-Jimmies-Sprinkle/dp/B08QYLMMJP/ref=sr_1_4_sspa?crid=2IE033S77HG48&amp;dib=eyJ2IjoiMSJ9.Dp9Di2f6km0jcUt_qCtmxsBotEHhh0T-dabdjZ9JBWaIMKDt7j5ELW6chAbjM5Dz00dXb0oX-GePhd4J59ba1pHwzuFNTAW0rK2_cUwJg5Z9dC1oQeMuO_N01vQ7it63dw1agf0bWHwKxMKZfSKPXC1TA6-zdcRQ8DD-dlxIkBj9Hg71-0biRejRgcmw2p_SFAhV35RDjzFQaQBi5uhnEen33b1sF0m4V_t4KFYKIup95lhYGKcnYMwv5gTmOVnq45oiPo_FT8dKVL2g7eiezKY-CS5kFjUPCUrn7XMa1ZE.nduqLgzp1i9bcnYk5Ewd7ae4Jy4jkH8wAFSbUpKNfF8&amp;dib_tag=se&amp;keywords=valentine+edible+confetti&amp;qid=1731951625&amp;sprefix=valentine+edible+confetti%2Caps%2C304&amp;sr=8-4-spons&amp;sp_csd=d2lkZ2V0TmFtZT1zcF9hdGY&amp;psc=1</t>
  </si>
  <si>
    <t xml:space="preserve">FLAX SEED WHOLE </t>
  </si>
  <si>
    <t>HAZELNUTS, SHELLED, WHOLE, PEEL ON, CLASS I, DRY, 1/25 LB</t>
  </si>
  <si>
    <t>PISTACHIOS, INSHELL, ROASTED LIGHT SALT, FANCY</t>
  </si>
  <si>
    <t>SESAME SEEDS WHITE</t>
  </si>
  <si>
    <t>SUNFLOWER SEEDS WHOLE SHELL-OFF RAW</t>
  </si>
  <si>
    <t>PKG2/OZ</t>
  </si>
  <si>
    <t xml:space="preserve">STRAIGHT EDGE BUTTER MINI TARTLET, SWEET </t>
  </si>
  <si>
    <t>PK/200GR</t>
  </si>
  <si>
    <t>PK/44OZ</t>
  </si>
  <si>
    <t>CEREAL CREW OATS &amp; HONEY 4/46 OZ BEST NATURAL</t>
  </si>
  <si>
    <t>PK/46OZ</t>
  </si>
  <si>
    <t>PK/36OZ</t>
  </si>
  <si>
    <t>PK/32OZ</t>
  </si>
  <si>
    <t>Discontinued by Eric for PCH Ships - 08/11/17
KELLOGGS BRAND ONLY 380000891 CAW 16.67 - 40 CS/PALLET</t>
  </si>
  <si>
    <t>CAN/42OZ</t>
  </si>
  <si>
    <t>CN/4LBS</t>
  </si>
  <si>
    <t>For Oceania and Regent ships substiture iwth 107697 Tea, Dammann China Black (Classic Iced Tea), 107698 Tea, Dammann Nuit D’ete (Caffeine Free), 107699 Tea, Miss Dammann Green Ginger (Flavored)</t>
  </si>
  <si>
    <t>BX/100PK</t>
  </si>
  <si>
    <t>PK/25PC</t>
  </si>
  <si>
    <t>BOX/25PC</t>
  </si>
  <si>
    <t>this item should be sent only in chilled containers due to possibility of bugs.  if you do not have a chilled container or truck from Miami, buy from BCN - AAA 10/17/17
4/5 LB  ROLAND</t>
  </si>
  <si>
    <t>BG2/LBS</t>
  </si>
  <si>
    <t>BEANS KIDNEY LIGHT RED DRY 20 LB BOX C&amp;F/TORINO</t>
  </si>
  <si>
    <t>HUITLACOCHE/ CORM MUSHROOM</t>
  </si>
  <si>
    <t>30/250GR</t>
  </si>
  <si>
    <t>TRADITIONAL RICE CAKE SOUP, SHAPED, CHEWY STICKY, TTEOKBOKKI, TRADITIONAL RICE CAKE SOUP, TTEOKGUK, VEGAN, GLUTEN FREE AND NON-GMO</t>
  </si>
  <si>
    <t>PC/52OZ</t>
  </si>
  <si>
    <t>VERY SHORT SELF LIFE! ORDER SMALL QTY</t>
  </si>
  <si>
    <t>BIRYANI MASALA INDIAN SPICE  SHAN</t>
  </si>
  <si>
    <t>BLACK SALT (KALA NAMAK) (CR-IN)</t>
  </si>
  <si>
    <t>CARDAMOM PODS WHITE PKG14OZ</t>
  </si>
  <si>
    <t xml:space="preserve">FLEUR DE SEL / SEL DE GUERANDE 1 KG PAIL </t>
  </si>
  <si>
    <t>CS8/5LB</t>
  </si>
  <si>
    <t xml:space="preserve">MUSTARD SEEDS BLACK INDIAN SPICE </t>
  </si>
  <si>
    <t>ORGANIC PEPPERMINT EXTRACT  CS6/2 OZ WATKINS</t>
  </si>
  <si>
    <t xml:space="preserve">New pack size, 6/3oz Cviviano. 6/2oz was discontinued </t>
  </si>
  <si>
    <t>PC/35OZ</t>
  </si>
  <si>
    <t>PEPPERCORN CRACKED BLACK COARSE 14 OZ D`ALLESANDRO/ SPICECO (USA)</t>
  </si>
  <si>
    <t>EA/14OZ</t>
  </si>
  <si>
    <t>SALT FINE NON-IODIZED (NO ADDITIVES)</t>
  </si>
  <si>
    <t>FOR VV ECOLOX MACHINES</t>
  </si>
  <si>
    <t>PKG/1LB</t>
  </si>
  <si>
    <t>LINK
Amazon.com : MDH Deggi Mirch (Chilli Powder for Curries), 17.5-Ounce Boxes (Pack of 6) : Chili Powder : Grocery &amp; Gourmet Food</t>
  </si>
  <si>
    <t>CAN/11OZ</t>
  </si>
  <si>
    <t>CAN/24OZ</t>
  </si>
  <si>
    <t>DNR H.P. "THE ORIGINAL" BROWN SAUCE" DNR</t>
  </si>
  <si>
    <t>BT/255ML</t>
  </si>
  <si>
    <t>Use item 16451 - EL-</t>
  </si>
  <si>
    <t>BTL/24OZ</t>
  </si>
  <si>
    <t>CAN/5LBS</t>
  </si>
  <si>
    <t>BTL/6OZ</t>
  </si>
  <si>
    <t>JELLIED CRANBERRY SAUCE, OCEAN SPRAY</t>
  </si>
  <si>
    <t>CAN/5LB</t>
  </si>
  <si>
    <t>BT/18OZ</t>
  </si>
  <si>
    <t>BTL/2OZ</t>
  </si>
  <si>
    <t>BTL/64OZ</t>
  </si>
  <si>
    <t>PC5/OZ</t>
  </si>
  <si>
    <t>STEAK SAUCE HP 12/10 OZ HEINZ 10013000515655</t>
  </si>
  <si>
    <t xml:space="preserve"> HEINZ  00130005129000 (USA)</t>
  </si>
  <si>
    <t>JAR/48OZ</t>
  </si>
  <si>
    <t>JAR7/OZ</t>
  </si>
  <si>
    <t>BT/5OZ</t>
  </si>
  <si>
    <t>BTL/34OZ</t>
  </si>
  <si>
    <t>BT/12.7O</t>
  </si>
  <si>
    <t>BTL/12OZ</t>
  </si>
  <si>
    <t>CAN/1LB</t>
  </si>
  <si>
    <t>CN/46OZ</t>
  </si>
  <si>
    <t>CAN/51OZ</t>
  </si>
  <si>
    <t>CAN/66OZ</t>
  </si>
  <si>
    <t>CAN/3KG</t>
  </si>
  <si>
    <t>ACHAR SWEET LIME PICKLE/DEEP VV</t>
  </si>
  <si>
    <t>JR500/GR</t>
  </si>
  <si>
    <t>CAN15/OZ</t>
  </si>
  <si>
    <t>TIN/3KG</t>
  </si>
  <si>
    <t>B32.2/OZ</t>
  </si>
  <si>
    <t>BTL/17OZ</t>
  </si>
  <si>
    <t>OIL HEMP COLD PRESSED MANITOBA HARVEST</t>
  </si>
  <si>
    <t>OIL OLIVE ABASA/DI STEFANO/ANNABELL'S EXTRA VIRGIN (SPAIN) DNR USE 52602</t>
  </si>
  <si>
    <t>BTL/3LT</t>
  </si>
  <si>
    <t>USE CODE 52602</t>
  </si>
  <si>
    <t>C4/5LT</t>
  </si>
  <si>
    <t xml:space="preserve">OLIVE/CANOLA BLEND OIL </t>
  </si>
  <si>
    <t>CAN/14OZ</t>
  </si>
  <si>
    <t>P/17.5OZ</t>
  </si>
  <si>
    <t>C3/140OZ</t>
  </si>
  <si>
    <t>Do Not ship to China!!! AAA 05-10-18
MOQ : 1530 CS - TRUCK LOAD ( FOR STOCK)
CONDENSED MILK SWEET MAGNOLIA/ EAGLE/MILK FACTORY (ENGLISH LABEL)</t>
  </si>
  <si>
    <t>100/8.8O</t>
  </si>
  <si>
    <t>PK/8.8OZ</t>
  </si>
  <si>
    <t>PK/1LBS</t>
  </si>
  <si>
    <t>PK/16OZ</t>
  </si>
  <si>
    <t>PK/50PC</t>
  </si>
  <si>
    <t>PC/12OZ</t>
  </si>
  <si>
    <t>PK/12OZ</t>
  </si>
  <si>
    <t>ships cannot order temporarily due to excessive overstocking
GALETTES DE RIZ BANH TRANG 22 CM  CS  40//12 OZ</t>
  </si>
  <si>
    <t>BT/1.2KG</t>
  </si>
  <si>
    <t>PC/10OZ</t>
  </si>
  <si>
    <t>USE PRODUCT IN STOCK UNTIL DEPLETED</t>
  </si>
  <si>
    <t>CAN/64OZ</t>
  </si>
  <si>
    <t>CAN/32OZ</t>
  </si>
  <si>
    <t>CAN/2KG</t>
  </si>
  <si>
    <t>CN/32OZ</t>
  </si>
  <si>
    <t>TOFU SILKY SOFT (KINU TOFU) MORI-NU RED</t>
  </si>
  <si>
    <t>PC/16OZ</t>
  </si>
  <si>
    <t>PC 12/OZ</t>
  </si>
  <si>
    <t>PC24/OZ</t>
  </si>
  <si>
    <t>EB Instructed on 8.28 that PCH was no longer using this product. PWS</t>
  </si>
  <si>
    <t>EB instructed on 8.28 that PCH was no longer using this product. PWS</t>
  </si>
  <si>
    <t>https://www.amazon.com/gp/product/B00L5IP0ZQ/ref=ox_sc_act_title_1?smid=A2Q1LRYTXHYQ2K&amp;psc=1</t>
  </si>
  <si>
    <t>EB instructed on 8.28 that PCH is no longer using this product. PWS</t>
  </si>
  <si>
    <t>BT/566GR</t>
  </si>
  <si>
    <t>https://modernistpantry.com/products/moo-gloo-rm-transglutaminase.html</t>
  </si>
  <si>
    <t>PK/25SH</t>
  </si>
  <si>
    <t xml:space="preserve">SPEC: VEGAN 
This product is specific due to thickness requirement and VEGAN. </t>
  </si>
  <si>
    <t>CS/200PC</t>
  </si>
  <si>
    <t>PK/12PC</t>
  </si>
  <si>
    <t xml:space="preserve">
</t>
  </si>
  <si>
    <t>FAVA BEANS FRESH</t>
  </si>
  <si>
    <t>TH USE # 21703 - FOR PCH SHIPS: WHEN YOU CANNOT SEND FRESH IN CONTAINERS, SUB WITH 21703.  IF NO FROZEN CONTAINER FROM BCN, ORDER FROM FREEDOM - THEY WILL BLANCH FRESH AND VACUUM PACK AND WE SEND IN FROZEN CONTAINER -AAA 1/20/20</t>
  </si>
  <si>
    <t>ONLY FOR USE VIA MIAMI, EVERYWHERE ELSE USE 15495.  **** MARELLA USE 38363 IN EUROPE.</t>
  </si>
  <si>
    <t xml:space="preserve">TOMATOES GREEN </t>
  </si>
  <si>
    <t>TOMATOES YELLOW VINE</t>
  </si>
  <si>
    <t xml:space="preserve">TURMERIC FRESH </t>
  </si>
  <si>
    <t>TO BE ORDERED IN MIAMI ONLY.   EVERYWHERE ELSE USE 15599 HYDRO LEAVES PER S.L.
NR 4/15/17
MARELLA USE # 38397 -mb112917</t>
  </si>
  <si>
    <t>MINI PEPPERMINT CANDY</t>
  </si>
  <si>
    <t>https://www.amazon.com/Brachs-Mini-Candy-Canes-Count/dp/B0BK1XJS26/ref=sr_1_5?crid=2ENYKKUSJI4BF&amp;dib=eyJ2IjoiMSJ9.WW9BPtfg1rvD4NhQGtNwzon-A6YH_Ej-iNydi3YNtKRo0bL4ryRLl0HR6BNXKCx5MJVRVw-b8BCg7B3Tf0dOsLjEQ0dDVr4IT3NMBR6kNWwyh4b5DsWzL1Pfr4dXybd-almli3rRNiq5x1nJQAfWo78Ac0zjARetUYEzH4FqHX_GL_7HJiVyUoFKNqTVo2z6MJqsD31EGI4rnerX4QjBA5rxCFnERYOvNto8Tj58QXVEjEueRgXqlZ1_bSQ4nPPRhQZRXdSRnoys7xg1z2D7l_w-ze4w5p7FGhjwx6FkhNI.H3ZnzxDgyE_x5jufeSpwKj72XfC2SNNHne7_aq5phIc&amp;dib_tag=se&amp;keywords=peppermint%2Bcandy%2Bcanes&amp;qid=1727795183&amp;sprefix=peppermint%2Bcandy%2Caps%2C518&amp;sr=8-5&amp;th=1</t>
  </si>
  <si>
    <t>PC/50GR</t>
  </si>
  <si>
    <t>DUCK LIVER   (NOT FOIE GRAS)</t>
  </si>
  <si>
    <t>TRUFFLE JUICE</t>
  </si>
  <si>
    <t>CN/400GR</t>
  </si>
  <si>
    <t>JAR/250G</t>
  </si>
  <si>
    <t>BTL9/OZ</t>
  </si>
  <si>
    <t>PC/25OZ</t>
  </si>
  <si>
    <t>Sub Category: 03 - FRESH HERBS</t>
  </si>
  <si>
    <t>Category: 172 - HOLIDAY ITEMS</t>
  </si>
  <si>
    <t>Sub Category: 02 - CHRISTMAS/NEW YEARS</t>
  </si>
  <si>
    <t>Sub Category: 04 - THANKSGIVING</t>
  </si>
  <si>
    <t>Category: 173 - REGIONAL &amp; SEASONAL ITEMS</t>
  </si>
  <si>
    <t>Sub Category: 00 - GENERAL</t>
  </si>
  <si>
    <t>Sub Category: 01 - BEEF</t>
  </si>
  <si>
    <t>Sub Category: 04 - FISH &amp; SEAFOOD</t>
  </si>
  <si>
    <t>Sub Category: 07 - SPECIALTY ITEMS (FLAGGED)</t>
  </si>
  <si>
    <t>Sub Category: 08 - CAVIAR (FLAGGED)</t>
  </si>
  <si>
    <t>Sub Category: 11 - BAKERY PRODUCTS, COOKIES &amp; MIXES</t>
  </si>
  <si>
    <t>Sub Category: 13 - SPICES</t>
  </si>
  <si>
    <t>Sub Category: 14 - SAUCES,CONDIMENTS,CANNED GOODS,OILS</t>
  </si>
  <si>
    <t>Category: 174 - LOCAL PURCHASES &amp; EMERGENCY FOOD</t>
  </si>
  <si>
    <t>Sub Category: 03 - SPECIAL REQUESTS</t>
  </si>
  <si>
    <t>Category: 175 - SPECIAL REQUEST OFFICE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</si>
</sst>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5">
    <font>
      <sz val="11.0"/>
      <color theme="1"/>
      <name val="Calibri"/>
      <scheme val="minor"/>
    </font>
    <font>
      <sz val="11.0"/>
      <color theme="1"/>
      <name val="Calibri"/>
    </font>
    <font/>
    <font>
      <sz val="9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9.0"/>
      <color rgb="FF000000"/>
      <name val="Arial"/>
    </font>
    <font>
      <sz val="9.0"/>
      <color theme="1"/>
      <name val="Arial"/>
    </font>
    <font>
      <sz val="9.0"/>
      <color theme="1"/>
      <name val="System-ui"/>
    </font>
    <font>
      <sz val="12.0"/>
      <color theme="1"/>
      <name val="Calibri"/>
    </font>
    <font>
      <color rgb="FFFF0000"/>
      <name val="Calibri"/>
      <scheme val="minor"/>
    </font>
    <font>
      <sz val="11.0"/>
      <color rgb="FFFF0000"/>
      <name val="Calibri"/>
    </font>
    <font>
      <color rgb="FF000000"/>
      <name val="Calibri"/>
      <scheme val="minor"/>
    </font>
    <font>
      <sz val="9.0"/>
      <color rgb="FF000000"/>
      <name val="Calibri"/>
    </font>
    <font>
      <color theme="1"/>
      <name val="Arial"/>
    </font>
    <font>
      <sz val="10.0"/>
      <color theme="1"/>
      <name val="Arial"/>
    </font>
    <font>
      <sz val="11.0"/>
      <color rgb="FF495057"/>
      <name val="Calibri"/>
    </font>
    <font>
      <sz val="11.0"/>
      <color rgb="FF495057"/>
      <name val="System-ui"/>
    </font>
    <font>
      <sz val="12.0"/>
      <color rgb="FF495057"/>
      <name val="System-ui"/>
    </font>
    <font>
      <sz val="11.0"/>
      <color theme="1"/>
      <name val="Arial"/>
    </font>
    <font>
      <color rgb="FF000000"/>
      <name val="Arial"/>
    </font>
    <font>
      <sz val="11.0"/>
      <color rgb="FF0000FF"/>
      <name val="Calibri"/>
    </font>
    <font>
      <color rgb="FFFF0000"/>
      <name val="Arial"/>
    </font>
    <font>
      <sz val="10.0"/>
      <color rgb="FF000000"/>
      <name val="Calibri"/>
    </font>
    <font>
      <sz val="12.0"/>
      <color rgb="FF000000"/>
      <name val="Calibri"/>
    </font>
    <font>
      <b/>
      <sz val="16.0"/>
      <color rgb="FFFF0000"/>
      <name val="Calibri"/>
    </font>
    <font>
      <b/>
      <sz val="12.0"/>
      <color theme="1"/>
      <name val="Aptos Narrow"/>
    </font>
    <font>
      <b/>
      <sz val="12.0"/>
      <color theme="1"/>
      <name val="Arial"/>
    </font>
    <font>
      <b/>
      <sz val="11.0"/>
      <color rgb="FFFF0000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Quattrocento Sans"/>
    </font>
    <font>
      <sz val="12.0"/>
      <color rgb="FFFF0000"/>
      <name val="Calibri"/>
    </font>
    <font>
      <sz val="10.0"/>
      <color rgb="FF000000"/>
      <name val="Arial"/>
    </font>
    <font>
      <b/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4F6F8"/>
        <bgColor rgb="FFF4F6F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hair">
        <color rgb="FFC00000"/>
      </left>
      <right style="hair">
        <color rgb="FFC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dotted">
        <color rgb="FFFF0000"/>
      </left>
      <right style="dotted">
        <color rgb="FFFF0000"/>
      </right>
      <bottom style="hair">
        <color theme="1"/>
      </bottom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hair">
        <color rgb="FFC00000"/>
      </bottom>
    </border>
    <border>
      <left style="hair">
        <color rgb="FFC00000"/>
      </left>
      <right style="hair">
        <color rgb="FFC00000"/>
      </right>
      <bottom style="hair">
        <color rgb="FFC00000"/>
      </bottom>
    </border>
    <border>
      <right style="hair">
        <color rgb="FFC00000"/>
      </right>
      <bottom style="hair">
        <color rgb="FFC00000"/>
      </bottom>
    </border>
    <border>
      <left style="hair">
        <color rgb="FFC00000"/>
      </left>
      <bottom style="hair">
        <color rgb="FFC00000"/>
      </bottom>
    </border>
    <border>
      <left style="hair">
        <color rgb="FFC00000"/>
      </left>
      <right style="hair">
        <color rgb="FFC00000"/>
      </right>
      <top/>
      <bottom style="hair">
        <color rgb="FFC00000"/>
      </bottom>
    </border>
    <border>
      <left style="hair">
        <color rgb="FFC00000"/>
      </left>
      <right style="hair">
        <color rgb="FFC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C00000"/>
      </left>
      <right/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hair">
        <color rgb="FFC00000"/>
      </left>
    </border>
    <border>
      <left/>
      <right style="hair">
        <color rgb="FFC00000"/>
      </right>
      <top/>
      <bottom/>
    </border>
    <border>
      <right style="hair">
        <color rgb="FFC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Font="1"/>
    <xf borderId="0" fillId="0" fontId="4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5" fillId="3" fontId="3" numFmtId="0" xfId="0" applyAlignment="1" applyBorder="1" applyFont="1">
      <alignment horizontal="center" vertical="center"/>
    </xf>
    <xf borderId="0" fillId="4" fontId="1" numFmtId="0" xfId="0" applyFill="1" applyFont="1"/>
    <xf borderId="0" fillId="4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1" numFmtId="0" xfId="0" applyAlignment="1" applyFont="1">
      <alignment horizontal="right" readingOrder="0" vertical="bottom"/>
    </xf>
    <xf borderId="6" fillId="4" fontId="1" numFmtId="0" xfId="0" applyAlignment="1" applyBorder="1" applyFont="1">
      <alignment horizontal="right" vertical="bottom"/>
    </xf>
    <xf borderId="6" fillId="4" fontId="1" numFmtId="0" xfId="0" applyAlignment="1" applyBorder="1" applyFont="1">
      <alignment horizontal="right" vertical="bottom"/>
    </xf>
    <xf borderId="6" fillId="4" fontId="1" numFmtId="0" xfId="0" applyAlignment="1" applyBorder="1" applyFont="1">
      <alignment horizontal="right" readingOrder="0" vertical="bottom"/>
    </xf>
    <xf borderId="0" fillId="0" fontId="4" numFmtId="0" xfId="0" applyFont="1"/>
    <xf borderId="0" fillId="0" fontId="1" numFmtId="0" xfId="0" applyAlignment="1" applyFont="1">
      <alignment horizontal="right"/>
    </xf>
    <xf borderId="0" fillId="0" fontId="13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vertical="center"/>
    </xf>
    <xf borderId="0" fillId="4" fontId="10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14" numFmtId="0" xfId="0" applyAlignment="1" applyFont="1">
      <alignment horizontal="right" readingOrder="0" shrinkToFit="0" wrapText="0"/>
    </xf>
    <xf borderId="0" fillId="0" fontId="12" numFmtId="0" xfId="0" applyFont="1"/>
    <xf borderId="0" fillId="0" fontId="1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readingOrder="0" shrinkToFit="0" vertical="bottom" wrapText="0"/>
    </xf>
    <xf borderId="0" fillId="4" fontId="15" numFmtId="0" xfId="0" applyAlignment="1" applyFont="1">
      <alignment horizontal="right" vertical="center"/>
    </xf>
    <xf borderId="0" fillId="0" fontId="5" numFmtId="0" xfId="0" applyAlignment="1" applyFont="1">
      <alignment readingOrder="0" vertical="bottom"/>
    </xf>
    <xf borderId="0" fillId="4" fontId="5" numFmtId="0" xfId="0" applyAlignment="1" applyFont="1">
      <alignment horizontal="right" readingOrder="0" vertical="bottom"/>
    </xf>
    <xf borderId="9" fillId="0" fontId="5" numFmtId="0" xfId="0" applyAlignment="1" applyBorder="1" applyFont="1">
      <alignment horizontal="right" readingOrder="0" vertical="bottom"/>
    </xf>
    <xf borderId="9" fillId="4" fontId="15" numFmtId="0" xfId="0" applyAlignment="1" applyBorder="1" applyFont="1">
      <alignment horizontal="right" vertical="center"/>
    </xf>
    <xf borderId="9" fillId="4" fontId="15" numFmtId="0" xfId="0" applyAlignment="1" applyBorder="1" applyFont="1">
      <alignment horizontal="left" vertical="center"/>
    </xf>
    <xf borderId="0" fillId="4" fontId="5" numFmtId="0" xfId="0" applyAlignment="1" applyFont="1">
      <alignment readingOrder="0" shrinkToFit="0" wrapText="0"/>
    </xf>
    <xf borderId="0" fillId="4" fontId="4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4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4" fontId="11" numFmtId="0" xfId="0" applyAlignment="1" applyFont="1">
      <alignment horizontal="right" readingOrder="0" vertical="bottom"/>
    </xf>
    <xf borderId="0" fillId="4" fontId="11" numFmtId="0" xfId="0" applyAlignment="1" applyFont="1">
      <alignment horizontal="right" vertical="bottom"/>
    </xf>
    <xf borderId="0" fillId="0" fontId="0" numFmtId="0" xfId="0" applyFont="1"/>
    <xf borderId="0" fillId="0" fontId="1" numFmtId="0" xfId="0" applyAlignment="1" applyFont="1">
      <alignment horizontal="center" vertical="bottom"/>
    </xf>
    <xf borderId="0" fillId="4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4" fontId="17" numFmtId="0" xfId="0" applyAlignment="1" applyFont="1">
      <alignment readingOrder="0"/>
    </xf>
    <xf borderId="0" fillId="4" fontId="0" numFmtId="0" xfId="0" applyFont="1"/>
    <xf borderId="0" fillId="4" fontId="18" numFmtId="0" xfId="0" applyAlignment="1" applyFont="1">
      <alignment readingOrder="0"/>
    </xf>
    <xf borderId="10" fillId="3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2" numFmtId="0" xfId="0" applyFont="1"/>
    <xf borderId="0" fillId="0" fontId="10" numFmtId="0" xfId="0" applyFont="1"/>
    <xf borderId="0" fillId="0" fontId="1" numFmtId="0" xfId="0" applyAlignment="1" applyFont="1">
      <alignment horizontal="center"/>
    </xf>
    <xf borderId="0" fillId="0" fontId="1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14" numFmtId="0" xfId="0" applyAlignment="1" applyFont="1">
      <alignment vertical="bottom"/>
    </xf>
    <xf borderId="1" fillId="5" fontId="14" numFmtId="0" xfId="0" applyAlignment="1" applyBorder="1" applyFill="1" applyFont="1">
      <alignment vertical="bottom"/>
    </xf>
    <xf borderId="2" fillId="5" fontId="1" numFmtId="0" xfId="0" applyAlignment="1" applyBorder="1" applyFont="1">
      <alignment horizontal="center"/>
    </xf>
    <xf borderId="2" fillId="5" fontId="14" numFmtId="0" xfId="0" applyAlignment="1" applyBorder="1" applyFont="1">
      <alignment vertical="bottom"/>
    </xf>
    <xf borderId="3" fillId="5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1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 shrinkToFit="0" wrapText="1"/>
    </xf>
    <xf borderId="0" fillId="0" fontId="14" numFmtId="0" xfId="0" applyAlignment="1" applyFont="1">
      <alignment horizontal="right" vertical="bottom"/>
    </xf>
    <xf borderId="0" fillId="0" fontId="1" numFmtId="0" xfId="0" applyAlignment="1" applyFont="1">
      <alignment horizontal="center" shrinkToFit="0" wrapText="1"/>
    </xf>
    <xf borderId="0" fillId="4" fontId="14" numFmtId="0" xfId="0" applyAlignment="1" applyFont="1">
      <alignment horizontal="right" vertical="bottom"/>
    </xf>
    <xf borderId="0" fillId="4" fontId="19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4" fontId="19" numFmtId="0" xfId="0" applyAlignment="1" applyFont="1">
      <alignment horizontal="center" readingOrder="0" vertical="bottom"/>
    </xf>
    <xf borderId="0" fillId="4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9" numFmtId="0" xfId="0" applyAlignment="1" applyFont="1">
      <alignment horizontal="center" vertical="bottom"/>
    </xf>
    <xf borderId="0" fillId="4" fontId="14" numFmtId="0" xfId="0" applyAlignment="1" applyFont="1">
      <alignment horizontal="right" vertical="bottom"/>
    </xf>
    <xf borderId="12" fillId="0" fontId="19" numFmtId="0" xfId="0" applyAlignment="1" applyBorder="1" applyFont="1">
      <alignment horizontal="center" vertical="bottom"/>
    </xf>
    <xf borderId="0" fillId="4" fontId="19" numFmtId="0" xfId="0" applyAlignment="1" applyFont="1">
      <alignment horizontal="center" vertical="bottom"/>
    </xf>
    <xf borderId="0" fillId="4" fontId="19" numFmtId="0" xfId="0" applyAlignment="1" applyFont="1">
      <alignment horizontal="center" vertical="bottom"/>
    </xf>
    <xf borderId="12" fillId="4" fontId="14" numFmtId="0" xfId="0" applyAlignment="1" applyBorder="1" applyFont="1">
      <alignment horizontal="right" vertical="bottom"/>
    </xf>
    <xf borderId="0" fillId="0" fontId="0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4" fontId="14" numFmtId="0" xfId="0" applyAlignment="1" applyFont="1">
      <alignment horizontal="right" readingOrder="0" vertical="bottom"/>
    </xf>
    <xf borderId="0" fillId="4" fontId="20" numFmtId="0" xfId="0" applyAlignment="1" applyFont="1">
      <alignment horizontal="right" vertical="bottom"/>
    </xf>
    <xf borderId="0" fillId="0" fontId="5" numFmtId="0" xfId="0" applyAlignment="1" applyFont="1">
      <alignment horizontal="center" shrinkToFit="0" wrapText="1"/>
    </xf>
    <xf borderId="0" fillId="4" fontId="5" numFmtId="0" xfId="0" applyAlignment="1" applyFont="1">
      <alignment horizontal="center" shrinkToFit="0" wrapText="1"/>
    </xf>
    <xf borderId="0" fillId="4" fontId="21" numFmtId="0" xfId="0" applyAlignment="1" applyFont="1">
      <alignment horizontal="right" vertical="bottom"/>
    </xf>
    <xf borderId="0" fillId="4" fontId="21" numFmtId="0" xfId="0" applyAlignment="1" applyFont="1">
      <alignment horizontal="center" shrinkToFit="0" wrapText="1"/>
    </xf>
    <xf borderId="0" fillId="0" fontId="21" numFmtId="0" xfId="0" applyAlignment="1" applyFont="1">
      <alignment horizontal="right" vertical="bottom"/>
    </xf>
    <xf borderId="0" fillId="4" fontId="14" numFmtId="0" xfId="0" applyAlignment="1" applyFont="1">
      <alignment vertical="bottom"/>
    </xf>
    <xf borderId="12" fillId="4" fontId="14" numFmtId="0" xfId="0" applyAlignment="1" applyBorder="1" applyFont="1">
      <alignment horizontal="right" vertical="bottom"/>
    </xf>
    <xf borderId="0" fillId="0" fontId="22" numFmtId="0" xfId="0" applyAlignment="1" applyFont="1">
      <alignment readingOrder="0"/>
    </xf>
    <xf borderId="0" fillId="0" fontId="14" numFmtId="0" xfId="0" applyFont="1"/>
    <xf borderId="0" fillId="4" fontId="14" numFmtId="0" xfId="0" applyAlignment="1" applyFont="1">
      <alignment vertical="bottom"/>
    </xf>
    <xf borderId="0" fillId="5" fontId="1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11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6" fontId="3" numFmtId="0" xfId="0" applyAlignment="1" applyFont="1">
      <alignment horizontal="center" shrinkToFit="0" vertical="center" wrapText="1"/>
    </xf>
    <xf borderId="15" fillId="3" fontId="3" numFmtId="0" xfId="0" applyAlignment="1" applyBorder="1" applyFont="1">
      <alignment horizontal="center" vertical="center"/>
    </xf>
    <xf borderId="0" fillId="0" fontId="1" numFmtId="0" xfId="0" applyFont="1"/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11" fillId="4" fontId="3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0" fontId="1" numFmtId="0" xfId="0" applyFont="1"/>
    <xf borderId="0" fillId="0" fontId="23" numFmtId="0" xfId="0" applyAlignment="1" applyFont="1">
      <alignment horizontal="center" shrinkToFit="0" wrapText="1"/>
    </xf>
    <xf borderId="16" fillId="0" fontId="1" numFmtId="0" xfId="0" applyAlignment="1" applyBorder="1" applyFont="1">
      <alignment horizontal="center"/>
    </xf>
    <xf borderId="17" fillId="5" fontId="1" numFmtId="0" xfId="0" applyAlignment="1" applyBorder="1" applyFont="1">
      <alignment horizontal="center" readingOrder="0"/>
    </xf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right" readingOrder="0" shrinkToFit="0" vertical="bottom" wrapText="0"/>
    </xf>
    <xf borderId="0" fillId="0" fontId="24" numFmtId="0" xfId="0" applyAlignment="1" applyFont="1">
      <alignment horizontal="center" shrinkToFit="0" wrapText="1"/>
    </xf>
    <xf borderId="0" fillId="0" fontId="23" numFmtId="0" xfId="0" applyAlignment="1" applyFont="1">
      <alignment horizontal="center"/>
    </xf>
    <xf borderId="0" fillId="7" fontId="1" numFmtId="0" xfId="0" applyAlignment="1" applyFill="1" applyFont="1">
      <alignment horizontal="center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bottom"/>
    </xf>
    <xf borderId="0" fillId="8" fontId="1" numFmtId="0" xfId="0" applyAlignment="1" applyFill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0" fillId="4" fontId="5" numFmtId="0" xfId="0" applyAlignment="1" applyFont="1">
      <alignment horizontal="left" vertical="bottom"/>
    </xf>
    <xf borderId="0" fillId="4" fontId="12" numFmtId="0" xfId="0" applyAlignment="1" applyFont="1">
      <alignment horizontal="left"/>
    </xf>
    <xf borderId="6" fillId="4" fontId="5" numFmtId="0" xfId="0" applyAlignment="1" applyBorder="1" applyFont="1">
      <alignment horizontal="left" vertical="bottom"/>
    </xf>
    <xf borderId="6" fillId="4" fontId="5" numFmtId="0" xfId="0" applyAlignment="1" applyBorder="1" applyFont="1">
      <alignment horizontal="left" vertical="bottom"/>
    </xf>
    <xf borderId="0" fillId="4" fontId="12" numFmtId="0" xfId="0" applyAlignment="1" applyFont="1">
      <alignment horizontal="left" readingOrder="0"/>
    </xf>
    <xf borderId="0" fillId="4" fontId="12" numFmtId="0" xfId="0" applyAlignment="1" applyFont="1">
      <alignment horizontal="left" shrinkToFit="0" wrapText="1"/>
    </xf>
    <xf borderId="0" fillId="4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12" numFmtId="0" xfId="0" applyAlignment="1" applyFont="1">
      <alignment horizontal="left"/>
    </xf>
    <xf borderId="0" fillId="0" fontId="25" numFmtId="0" xfId="0" applyAlignment="1" applyFont="1">
      <alignment readingOrder="0"/>
    </xf>
    <xf borderId="0" fillId="0" fontId="9" numFmtId="0" xfId="0" applyAlignment="1" applyFont="1">
      <alignment horizontal="right" readingOrder="0" vertical="bottom"/>
    </xf>
    <xf borderId="21" fillId="0" fontId="26" numFmtId="0" xfId="0" applyAlignment="1" applyBorder="1" applyFont="1">
      <alignment vertical="bottom"/>
    </xf>
    <xf borderId="21" fillId="0" fontId="27" numFmtId="0" xfId="0" applyAlignment="1" applyBorder="1" applyFont="1">
      <alignment vertical="bottom"/>
    </xf>
    <xf borderId="21" fillId="0" fontId="14" numFmtId="0" xfId="0" applyAlignment="1" applyBorder="1" applyFont="1">
      <alignment shrinkToFit="0" vertical="bottom" wrapText="1"/>
    </xf>
    <xf borderId="21" fillId="0" fontId="14" numFmtId="0" xfId="0" applyAlignment="1" applyBorder="1" applyFont="1">
      <alignment shrinkToFit="0" textRotation="255" vertical="bottom" wrapText="1"/>
    </xf>
    <xf borderId="0" fillId="0" fontId="9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14" numFmtId="0" xfId="0" applyAlignment="1" applyFont="1">
      <alignment horizontal="right"/>
    </xf>
    <xf borderId="0" fillId="0" fontId="29" numFmtId="0" xfId="0" applyAlignment="1" applyFont="1">
      <alignment horizontal="right" vertical="bottom"/>
    </xf>
    <xf borderId="9" fillId="0" fontId="1" numFmtId="0" xfId="0" applyAlignment="1" applyBorder="1" applyFont="1">
      <alignment vertical="bottom"/>
    </xf>
    <xf borderId="0" fillId="0" fontId="25" numFmtId="0" xfId="0" applyFont="1"/>
    <xf borderId="0" fillId="0" fontId="1" numFmtId="164" xfId="0" applyFont="1" applyNumberFormat="1"/>
    <xf borderId="0" fillId="0" fontId="1" numFmtId="2" xfId="0" applyAlignment="1" applyFont="1" applyNumberFormat="1">
      <alignment vertical="bottom"/>
    </xf>
    <xf borderId="22" fillId="0" fontId="30" numFmtId="0" xfId="0" applyAlignment="1" applyBorder="1" applyFont="1">
      <alignment horizontal="center"/>
    </xf>
    <xf borderId="22" fillId="0" fontId="30" numFmtId="0" xfId="0" applyAlignment="1" applyBorder="1" applyFont="1">
      <alignment horizontal="right"/>
    </xf>
    <xf borderId="23" fillId="0" fontId="30" numFmtId="0" xfId="0" applyAlignment="1" applyBorder="1" applyFont="1">
      <alignment horizontal="center"/>
    </xf>
    <xf borderId="24" fillId="0" fontId="30" numFmtId="0" xfId="0" applyAlignment="1" applyBorder="1" applyFont="1">
      <alignment horizontal="center"/>
    </xf>
    <xf borderId="22" fillId="0" fontId="30" numFmtId="0" xfId="0" applyBorder="1" applyFont="1"/>
    <xf borderId="25" fillId="0" fontId="30" numFmtId="164" xfId="0" applyBorder="1" applyFont="1" applyNumberFormat="1"/>
    <xf borderId="24" fillId="0" fontId="30" numFmtId="164" xfId="0" applyBorder="1" applyFont="1" applyNumberFormat="1"/>
    <xf borderId="22" fillId="0" fontId="30" numFmtId="164" xfId="0" applyBorder="1" applyFont="1" applyNumberFormat="1"/>
    <xf borderId="0" fillId="0" fontId="30" numFmtId="0" xfId="0" applyAlignment="1" applyFont="1">
      <alignment horizontal="center" textRotation="255" vertical="bottom"/>
    </xf>
    <xf borderId="26" fillId="9" fontId="30" numFmtId="0" xfId="0" applyAlignment="1" applyBorder="1" applyFill="1" applyFont="1">
      <alignment vertical="bottom"/>
    </xf>
    <xf borderId="10" fillId="10" fontId="1" numFmtId="0" xfId="0" applyBorder="1" applyFill="1" applyFont="1"/>
    <xf borderId="27" fillId="10" fontId="14" numFmtId="0" xfId="0" applyAlignment="1" applyBorder="1" applyFont="1">
      <alignment vertical="bottom"/>
    </xf>
    <xf borderId="27" fillId="10" fontId="1" numFmtId="0" xfId="0" applyAlignment="1" applyBorder="1" applyFont="1">
      <alignment vertical="bottom"/>
    </xf>
    <xf borderId="27" fillId="10" fontId="1" numFmtId="0" xfId="0" applyBorder="1" applyFont="1"/>
    <xf borderId="28" fillId="10" fontId="1" numFmtId="0" xfId="0" applyAlignment="1" applyBorder="1" applyFont="1">
      <alignment vertical="bottom"/>
    </xf>
    <xf borderId="27" fillId="10" fontId="1" numFmtId="164" xfId="0" applyBorder="1" applyFont="1" applyNumberFormat="1"/>
    <xf borderId="29" fillId="10" fontId="1" numFmtId="164" xfId="0" applyBorder="1" applyFont="1" applyNumberFormat="1"/>
    <xf borderId="30" fillId="10" fontId="1" numFmtId="0" xfId="0" applyAlignment="1" applyBorder="1" applyFont="1">
      <alignment vertical="bottom"/>
    </xf>
    <xf borderId="27" fillId="10" fontId="1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9" fillId="0" fontId="14" numFmtId="0" xfId="0" applyAlignment="1" applyBorder="1" applyFont="1">
      <alignment horizontal="right"/>
    </xf>
    <xf borderId="28" fillId="0" fontId="14" numFmtId="0" xfId="0" applyAlignment="1" applyBorder="1" applyFont="1">
      <alignment vertical="bottom"/>
    </xf>
    <xf borderId="9" fillId="0" fontId="14" numFmtId="0" xfId="0" applyBorder="1" applyFont="1"/>
    <xf borderId="9" fillId="0" fontId="1" numFmtId="0" xfId="0" applyBorder="1" applyFont="1"/>
    <xf borderId="9" fillId="0" fontId="14" numFmtId="164" xfId="0" applyBorder="1" applyFont="1" applyNumberFormat="1"/>
    <xf borderId="31" fillId="0" fontId="1" numFmtId="164" xfId="0" applyBorder="1" applyFont="1" applyNumberFormat="1"/>
    <xf borderId="30" fillId="0" fontId="1" numFmtId="0" xfId="0" applyAlignment="1" applyBorder="1" applyFont="1">
      <alignment horizontal="center" vertical="bottom"/>
    </xf>
    <xf borderId="32" fillId="9" fontId="1" numFmtId="0" xfId="0" applyAlignment="1" applyBorder="1" applyFont="1">
      <alignment vertical="bottom"/>
    </xf>
    <xf borderId="27" fillId="9" fontId="1" numFmtId="0" xfId="0" applyAlignment="1" applyBorder="1" applyFont="1">
      <alignment vertical="bottom"/>
    </xf>
    <xf borderId="9" fillId="0" fontId="1" numFmtId="164" xfId="0" applyBorder="1" applyFont="1" applyNumberFormat="1"/>
    <xf borderId="32" fillId="9" fontId="22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0" fillId="0" fontId="14" numFmtId="0" xfId="0" applyAlignment="1" applyFont="1">
      <alignment shrinkToFit="0" wrapText="1"/>
    </xf>
    <xf borderId="9" fillId="0" fontId="1" numFmtId="0" xfId="0" applyAlignment="1" applyBorder="1" applyFont="1">
      <alignment horizontal="right" vertical="bottom"/>
    </xf>
    <xf borderId="28" fillId="0" fontId="1" numFmtId="0" xfId="0" applyAlignment="1" applyBorder="1" applyFont="1">
      <alignment vertical="bottom"/>
    </xf>
    <xf borderId="28" fillId="0" fontId="14" numFmtId="0" xfId="0" applyBorder="1" applyFont="1"/>
    <xf borderId="9" fillId="0" fontId="1" numFmtId="0" xfId="0" applyAlignment="1" applyBorder="1" applyFont="1">
      <alignment vertical="bottom"/>
    </xf>
    <xf borderId="33" fillId="0" fontId="1" numFmtId="0" xfId="0" applyAlignment="1" applyBorder="1" applyFont="1">
      <alignment vertical="bottom"/>
    </xf>
    <xf borderId="33" fillId="0" fontId="22" numFmtId="0" xfId="0" applyAlignment="1" applyBorder="1" applyFont="1">
      <alignment vertical="bottom"/>
    </xf>
    <xf borderId="0" fillId="0" fontId="14" numFmtId="0" xfId="0" applyAlignment="1" applyFont="1">
      <alignment horizontal="right"/>
    </xf>
    <xf borderId="0" fillId="0" fontId="14" numFmtId="164" xfId="0" applyFont="1" applyNumberFormat="1"/>
    <xf borderId="10" fillId="9" fontId="1" numFmtId="0" xfId="0" applyAlignment="1" applyBorder="1" applyFont="1">
      <alignment vertical="bottom"/>
    </xf>
    <xf borderId="9" fillId="0" fontId="9" numFmtId="0" xfId="0" applyAlignment="1" applyBorder="1" applyFont="1">
      <alignment horizontal="right" vertical="bottom"/>
    </xf>
    <xf borderId="28" fillId="0" fontId="31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9" numFmtId="164" xfId="0" applyAlignment="1" applyBorder="1" applyFont="1" applyNumberFormat="1">
      <alignment horizontal="right" vertical="bottom"/>
    </xf>
    <xf borderId="9" fillId="0" fontId="9" numFmtId="164" xfId="0" applyAlignment="1" applyBorder="1" applyFont="1" applyNumberFormat="1">
      <alignment horizontal="center" vertical="bottom"/>
    </xf>
    <xf borderId="31" fillId="0" fontId="1" numFmtId="164" xfId="0" applyAlignment="1" applyBorder="1" applyFont="1" applyNumberFormat="1">
      <alignment vertical="bottom"/>
    </xf>
    <xf borderId="33" fillId="0" fontId="32" numFmtId="0" xfId="0" applyAlignment="1" applyBorder="1" applyFont="1">
      <alignment vertical="bottom"/>
    </xf>
    <xf borderId="10" fillId="9" fontId="22" numFmtId="0" xfId="0" applyAlignment="1" applyBorder="1" applyFont="1">
      <alignment vertical="bottom"/>
    </xf>
    <xf borderId="28" fillId="0" fontId="14" numFmtId="0" xfId="0" applyAlignment="1" applyBorder="1" applyFont="1">
      <alignment shrinkToFit="0" vertical="bottom" wrapText="1"/>
    </xf>
    <xf borderId="32" fillId="9" fontId="22" numFmtId="0" xfId="0" applyAlignment="1" applyBorder="1" applyFont="1">
      <alignment horizontal="center" vertical="bottom"/>
    </xf>
    <xf borderId="31" fillId="0" fontId="1" numFmtId="0" xfId="0" applyBorder="1" applyFont="1"/>
    <xf borderId="29" fillId="10" fontId="1" numFmtId="0" xfId="0" applyBorder="1" applyFont="1"/>
    <xf borderId="0" fillId="0" fontId="1" numFmtId="2" xfId="0" applyFont="1" applyNumberFormat="1"/>
    <xf borderId="0" fillId="0" fontId="1" numFmtId="0" xfId="0" applyAlignment="1" applyFont="1">
      <alignment vertical="center"/>
    </xf>
    <xf borderId="9" fillId="0" fontId="15" numFmtId="0" xfId="0" applyBorder="1" applyFont="1"/>
    <xf borderId="9" fillId="0" fontId="15" numFmtId="0" xfId="0" applyAlignment="1" applyBorder="1" applyFont="1">
      <alignment horizontal="right" vertical="center"/>
    </xf>
    <xf borderId="9" fillId="0" fontId="15" numFmtId="0" xfId="0" applyAlignment="1" applyBorder="1" applyFont="1">
      <alignment horizontal="left" vertical="center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9" fillId="0" fontId="33" numFmtId="0" xfId="0" applyAlignment="1" applyBorder="1" applyFont="1">
      <alignment horizontal="left" vertical="center"/>
    </xf>
    <xf borderId="9" fillId="0" fontId="33" numFmtId="164" xfId="0" applyAlignment="1" applyBorder="1" applyFont="1" applyNumberFormat="1">
      <alignment horizontal="left" vertical="center"/>
    </xf>
    <xf borderId="9" fillId="0" fontId="1" numFmtId="0" xfId="0" applyAlignment="1" applyBorder="1" applyFont="1">
      <alignment vertical="center"/>
    </xf>
    <xf borderId="27" fillId="9" fontId="15" numFmtId="0" xfId="0" applyBorder="1" applyFont="1"/>
    <xf borderId="9" fillId="0" fontId="33" numFmtId="0" xfId="0" applyAlignment="1" applyBorder="1" applyFont="1">
      <alignment horizontal="center" vertical="center"/>
    </xf>
    <xf borderId="27" fillId="11" fontId="15" numFmtId="0" xfId="0" applyBorder="1" applyFill="1" applyFont="1"/>
    <xf borderId="27" fillId="11" fontId="15" numFmtId="0" xfId="0" applyAlignment="1" applyBorder="1" applyFont="1">
      <alignment horizontal="right" vertical="center"/>
    </xf>
    <xf borderId="27" fillId="11" fontId="15" numFmtId="0" xfId="0" applyAlignment="1" applyBorder="1" applyFont="1">
      <alignment horizontal="left" vertical="center"/>
    </xf>
    <xf borderId="27" fillId="11" fontId="33" numFmtId="0" xfId="0" applyAlignment="1" applyBorder="1" applyFont="1">
      <alignment horizontal="center" vertical="center"/>
    </xf>
    <xf borderId="27" fillId="11" fontId="33" numFmtId="0" xfId="0" applyAlignment="1" applyBorder="1" applyFont="1">
      <alignment horizontal="left" vertical="center"/>
    </xf>
    <xf borderId="27" fillId="11" fontId="33" numFmtId="164" xfId="0" applyAlignment="1" applyBorder="1" applyFont="1" applyNumberFormat="1">
      <alignment horizontal="left" vertical="center"/>
    </xf>
    <xf borderId="27" fillId="11" fontId="1" numFmtId="0" xfId="0" applyAlignment="1" applyBorder="1" applyFont="1">
      <alignment vertical="center"/>
    </xf>
    <xf borderId="27" fillId="9" fontId="34" numFmtId="0" xfId="0" applyBorder="1" applyFont="1"/>
    <xf borderId="27" fillId="11" fontId="34" numFmtId="0" xfId="0" applyBorder="1" applyFont="1"/>
    <xf borderId="10" fillId="11" fontId="15" numFmtId="0" xfId="0" applyBorder="1" applyFont="1"/>
    <xf borderId="10" fillId="11" fontId="15" numFmtId="0" xfId="0" applyAlignment="1" applyBorder="1" applyFont="1">
      <alignment horizontal="right" vertical="center"/>
    </xf>
    <xf borderId="10" fillId="11" fontId="15" numFmtId="0" xfId="0" applyAlignment="1" applyBorder="1" applyFont="1">
      <alignment horizontal="left" vertical="center"/>
    </xf>
    <xf borderId="10" fillId="11" fontId="33" numFmtId="0" xfId="0" applyAlignment="1" applyBorder="1" applyFont="1">
      <alignment horizontal="center" vertical="center"/>
    </xf>
    <xf borderId="10" fillId="11" fontId="33" numFmtId="0" xfId="0" applyAlignment="1" applyBorder="1" applyFont="1">
      <alignment horizontal="left" vertical="center"/>
    </xf>
    <xf borderId="10" fillId="11" fontId="33" numFmtId="164" xfId="0" applyAlignment="1" applyBorder="1" applyFont="1" applyNumberFormat="1">
      <alignment horizontal="left" vertical="center"/>
    </xf>
    <xf borderId="10" fillId="11" fontId="1" numFmtId="0" xfId="0" applyAlignment="1" applyBorder="1" applyFont="1">
      <alignment vertical="center"/>
    </xf>
    <xf borderId="10" fillId="11" fontId="34" numFmtId="0" xfId="0" applyBorder="1" applyFont="1"/>
    <xf borderId="0" fillId="0" fontId="19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34" fillId="0" fontId="29" numFmtId="0" xfId="0" applyBorder="1" applyFont="1"/>
    <xf borderId="34" fillId="0" fontId="29" numFmtId="0" xfId="0" applyAlignment="1" applyBorder="1" applyFont="1">
      <alignment horizontal="center"/>
    </xf>
    <xf borderId="0" fillId="0" fontId="1" numFmtId="164" xfId="0" applyAlignment="1" applyFont="1" applyNumberFormat="1">
      <alignment vertical="bottom"/>
    </xf>
    <xf borderId="34" fillId="0" fontId="1" numFmtId="0" xfId="0" applyBorder="1" applyFont="1"/>
    <xf borderId="34" fillId="0" fontId="1" numFmtId="0" xfId="0" applyBorder="1" applyFont="1"/>
    <xf borderId="34" fillId="0" fontId="1" numFmtId="0" xfId="0" applyBorder="1" applyFont="1"/>
    <xf borderId="34" fillId="0" fontId="29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externalLink" Target="externalLinks/externalLink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timme/Desktop/Ordering%20template/_SCL-%20Ingredients%20Codes%20by%20Venues%20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mplate"/>
      <sheetName val="01 - Pastry for Crew"/>
      <sheetName val="02 - Bakery for Crew"/>
      <sheetName val="03 - Hot Galley"/>
      <sheetName val="04 - Cold Galley"/>
      <sheetName val="05 - Pastry Production"/>
      <sheetName val="06 - Bakery Production"/>
      <sheetName val="07 - Meat Main Galley"/>
      <sheetName val="07 - Kitchen Table "/>
      <sheetName val="08 - Fish and Seafood Main G"/>
      <sheetName val="09 - Spices All Locations"/>
      <sheetName val="13 - Canapes &amp; Amenities"/>
      <sheetName val="14 - Fine Cheese All Alocations"/>
      <sheetName val="15 - Basic Preparation "/>
      <sheetName val="16 - Galley Liquor, Alcohol &amp; W"/>
      <sheetName val="13 - Test Kitchen"/>
      <sheetName val="14 - Pink Agave"/>
      <sheetName val="Food Master "/>
      <sheetName val="15- Razzle Dazzle "/>
      <sheetName val="16 - Extra Virgin"/>
      <sheetName val="17 - The Wake"/>
      <sheetName val="18 - Gunbae"/>
      <sheetName val="19 - Manor - Another Rose RES o"/>
      <sheetName val="19 - Manor - Supper Club- SCL, "/>
      <sheetName val="20 - Dock"/>
      <sheetName val="21 - Pizza Place"/>
      <sheetName val="22 - Pop Star"/>
      <sheetName val="23 - Social Club"/>
      <sheetName val="23.1 - Social Club - Pastry"/>
      <sheetName val="24 - Sun Club"/>
      <sheetName val="25 - SIP Lounge "/>
      <sheetName val="26-Ship Eats"/>
      <sheetName val="27- Quickeze- Grab N GO"/>
      <sheetName val="28 - Dine&amp;Dash"/>
      <sheetName val="29 - Burger Bar "/>
      <sheetName val="30 - Hot Of The Press"/>
      <sheetName val="32 - Taco"/>
      <sheetName val="33 - Bento Baby"/>
      <sheetName val="34 - Daily Mix "/>
      <sheetName val="35 - Noodles Around"/>
      <sheetName val="36-Bimini Beach Club"/>
      <sheetName val="39 - Food Charg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57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7" width="2.43"/>
    <col customWidth="1" min="18" max="18" width="8.71"/>
    <col customWidth="1" min="19" max="19" width="59.57"/>
    <col customWidth="1" min="20" max="20" width="11.57"/>
    <col customWidth="1" min="21" max="21" width="2.43"/>
    <col customWidth="1" min="22" max="22" width="8.71"/>
    <col customWidth="1" min="23" max="23" width="59.57"/>
    <col customWidth="1" min="24" max="24" width="11.57"/>
    <col customWidth="1" min="25" max="26" width="2.43"/>
  </cols>
  <sheetData>
    <row r="1">
      <c r="B1" s="1" t="s">
        <v>0</v>
      </c>
      <c r="C1" s="2"/>
      <c r="D1" s="3"/>
      <c r="F1" s="1" t="s">
        <v>1</v>
      </c>
      <c r="G1" s="2"/>
      <c r="H1" s="3"/>
      <c r="J1" s="1" t="s">
        <v>2</v>
      </c>
      <c r="K1" s="2"/>
      <c r="L1" s="3"/>
      <c r="N1" s="1" t="s">
        <v>3</v>
      </c>
      <c r="O1" s="2"/>
      <c r="P1" s="3"/>
      <c r="R1" s="1" t="s">
        <v>4</v>
      </c>
      <c r="S1" s="2"/>
      <c r="T1" s="3"/>
      <c r="V1" s="1" t="s">
        <v>5</v>
      </c>
      <c r="W1" s="2"/>
      <c r="X1" s="3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  <c r="R2" s="4" t="s">
        <v>6</v>
      </c>
      <c r="S2" s="5" t="s">
        <v>7</v>
      </c>
      <c r="T2" s="4" t="s">
        <v>8</v>
      </c>
      <c r="V2" s="4" t="s">
        <v>6</v>
      </c>
      <c r="W2" s="5" t="s">
        <v>7</v>
      </c>
      <c r="X2" s="4" t="s">
        <v>8</v>
      </c>
    </row>
    <row r="3">
      <c r="B3" s="6">
        <v>110102.0</v>
      </c>
      <c r="C3" s="7" t="str">
        <f>VLOOKUP(B3,'FML March 2026'!E:F,2,false)</f>
        <v>AGAVE RAW AMBER MADHAVA</v>
      </c>
      <c r="D3" s="7" t="str">
        <f>VLOOKUP(B3,'Unit of Measure ship March 2026'!A:C,3,false)</f>
        <v>LBS</v>
      </c>
      <c r="F3" s="8">
        <v>110017.0</v>
      </c>
      <c r="G3" s="9" t="str">
        <f>VLOOKUP(F3,'FML March 2026'!E:F,2,false)</f>
        <v>ACAI FRUIT PUREE 60X3.5OZ SAMBAZON</v>
      </c>
      <c r="H3" s="9" t="str">
        <f>VLOOKUP(F3,'Unit of Measure ship March 2026'!A:C,3,false)</f>
        <v>LBS</v>
      </c>
      <c r="J3" s="10">
        <v>147985.0</v>
      </c>
      <c r="K3" s="11" t="s">
        <v>9</v>
      </c>
      <c r="L3" s="12" t="s">
        <v>10</v>
      </c>
      <c r="N3" s="13">
        <v>110061.0</v>
      </c>
      <c r="O3" s="9" t="str">
        <f>VLOOKUP(N3,'FML March 2026'!E:F,2,false)</f>
        <v>APPLES GALA  125 CI</v>
      </c>
      <c r="P3" s="9" t="str">
        <f>VLOOKUP(N3,'Unit of Measure ship March 2026'!A:C,3,false)</f>
        <v>LBS</v>
      </c>
      <c r="R3" s="14">
        <v>148887.0</v>
      </c>
      <c r="S3" s="15" t="str">
        <f>VLOOKUP(R3,'FML March 2026'!E:F,2,false)</f>
        <v>BEEF TENDERLOIN PEELED STRAP-ON  100 DAY GRAIN FED JBS (AUSTRALIA) NAMP-189A</v>
      </c>
      <c r="T3" s="15" t="str">
        <f>VLOOKUP(R3,'Unit of Measure ship March 2026'!A:C,3,false)</f>
        <v>LBS</v>
      </c>
      <c r="V3" s="16">
        <v>42269.0</v>
      </c>
      <c r="W3" s="15" t="str">
        <f>VLOOKUP(V3,'FML March 2026'!E:F,2,false)</f>
        <v>SHRIMP 16/20 RAW P&amp;D TAIL-ON CS10/LB SURAM ROYAL WHITE (VIETNAM)</v>
      </c>
      <c r="X3" s="15" t="str">
        <f>VLOOKUP(V3,'Unit of Measure ship March 2026'!A:C,3,false)</f>
        <v>LBS</v>
      </c>
    </row>
    <row r="4">
      <c r="B4" s="6">
        <v>111083.0</v>
      </c>
      <c r="C4" s="7" t="str">
        <f>VLOOKUP(B4,'FML March 2026'!E:F,2,false)</f>
        <v>ALEPPO PEPPER  PKG 1/LB  LA BOITE</v>
      </c>
      <c r="D4" s="7" t="str">
        <f>VLOOKUP(B4,'Unit of Measure ship March 2026'!A:C,3,false)</f>
        <v>LBS</v>
      </c>
      <c r="F4" s="17">
        <v>110102.0</v>
      </c>
      <c r="G4" s="9" t="str">
        <f>VLOOKUP(F4,'FML March 2026'!E:F,2,false)</f>
        <v>AGAVE RAW AMBER MADHAVA</v>
      </c>
      <c r="H4" s="9" t="str">
        <f>VLOOKUP(F4,'Unit of Measure ship March 2026'!A:C,3,false)</f>
        <v>LBS</v>
      </c>
      <c r="J4" s="10">
        <v>20877.0</v>
      </c>
      <c r="K4" s="11" t="s">
        <v>11</v>
      </c>
      <c r="L4" s="12" t="s">
        <v>10</v>
      </c>
      <c r="N4" s="13">
        <v>15370.0</v>
      </c>
      <c r="O4" s="9" t="str">
        <f>VLOOKUP(N4,'FML March 2026'!E:F,2,false)</f>
        <v>APPLES GOLDEN DELICIOUS 125CT WASHINGTON FANCY 40#/CS</v>
      </c>
      <c r="P4" s="9" t="str">
        <f>VLOOKUP(N4,'Unit of Measure ship March 2026'!A:C,3,false)</f>
        <v>LBS</v>
      </c>
      <c r="R4" s="14">
        <v>34728.0</v>
      </c>
      <c r="S4" s="15" t="str">
        <f>VLOOKUP(R4,'FML March 2026'!E:F,2,false)</f>
        <v>BEEF, STRIPLOIN, BONELESS, 13 DWN, UPPER 2/3, CHOICE, ANGUS, 40 DAY AGED, 0X1, NAMP 180, USA ONLY, &lt;22 LB EA, FZN, 3/1 EA</v>
      </c>
      <c r="T4" s="15" t="str">
        <f>VLOOKUP(R4,'Unit of Measure ship March 2026'!A:C,3,false)</f>
        <v>LBS</v>
      </c>
      <c r="V4" s="18">
        <v>14686.0</v>
      </c>
      <c r="W4" s="15" t="str">
        <f>VLOOKUP(V4,'FML March 2026'!E:F,2,false)</f>
        <v>SHRIMP PANDALUS BOREALIS  COOKED 150/250 IQF COLD WATER P&amp;D 4/5LB CS ORION/PACKER (CANADA)</v>
      </c>
      <c r="X4" s="15" t="str">
        <f>VLOOKUP(V4,'Unit of Measure ship March 2026'!A:C,3,false)</f>
        <v>LBS</v>
      </c>
    </row>
    <row r="5">
      <c r="B5" s="6">
        <v>16262.0</v>
      </c>
      <c r="C5" s="7" t="str">
        <f>VLOOKUP(B5,'FML March 2026'!E:F,2,false)</f>
        <v>ALLSPICE BADIA</v>
      </c>
      <c r="D5" s="7" t="str">
        <f>VLOOKUP(B5,'Unit of Measure ship March 2026'!A:C,3,false)</f>
        <v>LBS</v>
      </c>
      <c r="F5" s="8">
        <v>111083.0</v>
      </c>
      <c r="G5" s="9" t="str">
        <f>VLOOKUP(F5,'FML March 2026'!E:F,2,false)</f>
        <v>ALEPPO PEPPER  PKG 1/LB  LA BOITE</v>
      </c>
      <c r="H5" s="9" t="str">
        <f>VLOOKUP(F5,'Unit of Measure ship March 2026'!A:C,3,false)</f>
        <v>LBS</v>
      </c>
      <c r="J5" s="10">
        <v>10690.0</v>
      </c>
      <c r="K5" s="11" t="s">
        <v>12</v>
      </c>
      <c r="L5" s="12" t="s">
        <v>10</v>
      </c>
      <c r="N5" s="13">
        <v>23757.0</v>
      </c>
      <c r="O5" s="9" t="str">
        <f>VLOOKUP(N5,'FML March 2026'!E:F,2,false)</f>
        <v>APPLES GRANNY SMITH 88CT 40#/CS</v>
      </c>
      <c r="P5" s="9" t="str">
        <f>VLOOKUP(N5,'Unit of Measure ship March 2026'!A:C,3,false)</f>
        <v>LBS</v>
      </c>
      <c r="R5" s="14">
        <v>11690.0</v>
      </c>
      <c r="S5" s="15" t="str">
        <f>VLOOKUP(R5,'FML March 2026'!E:F,2,false)</f>
        <v>CHICKEN BREAST, BONELESS, SKINLESS, NON-MARINATED, NON-INJECTED, 6-7 OZ EA, FZN, 1/40 LB</v>
      </c>
      <c r="T5" s="15" t="str">
        <f>VLOOKUP(R5,'Unit of Measure ship March 2026'!A:C,3,false)</f>
        <v>LBS</v>
      </c>
      <c r="V5" s="16">
        <v>14651.0</v>
      </c>
      <c r="W5" s="15" t="str">
        <f>VLOOKUP(V5,'FML March 2026'!E:F,2,false)</f>
        <v>TUNA LOIN SKINLESS FROZEN,  (IP IS FTZ) (YEMEN)</v>
      </c>
      <c r="X5" s="15" t="str">
        <f>VLOOKUP(V5,'Unit of Measure ship March 2026'!A:C,3,false)</f>
        <v>LBS</v>
      </c>
    </row>
    <row r="6">
      <c r="B6" s="6">
        <v>109664.0</v>
      </c>
      <c r="C6" s="7" t="str">
        <f>VLOOKUP(B6,'FML March 2026'!E:F,2,false)</f>
        <v>APPLE CIDER VINEGAR SPARROW LANE V</v>
      </c>
      <c r="D6" s="7" t="str">
        <f>VLOOKUP(B6,'Unit of Measure ship March 2026'!A:C,3,false)</f>
        <v>GAL</v>
      </c>
      <c r="F6" s="8">
        <v>109224.0</v>
      </c>
      <c r="G6" s="9" t="str">
        <f>VLOOKUP(F6,'FML March 2026'!E:F,2,false)</f>
        <v>ALMOND BUTTER VEGAN ONCE AGAIN CS6/12 OZ (USA)</v>
      </c>
      <c r="H6" s="9" t="str">
        <f>VLOOKUP(F6,'Unit of Measure ship March 2026'!A:C,3,false)</f>
        <v>PC 12/OZ</v>
      </c>
      <c r="J6" s="10">
        <v>110724.0</v>
      </c>
      <c r="K6" s="11" t="s">
        <v>13</v>
      </c>
      <c r="L6" s="12" t="s">
        <v>10</v>
      </c>
      <c r="N6" s="13">
        <v>15375.0</v>
      </c>
      <c r="O6" s="9" t="str">
        <f>VLOOKUP(N6,'FML March 2026'!E:F,2,false)</f>
        <v>APPLES RED DELICIOUS WASHINGTON EXTRA FANCY 125CT 40#/CS</v>
      </c>
      <c r="P6" s="9" t="str">
        <f>VLOOKUP(N6,'Unit of Measure ship March 2026'!A:C,3,false)</f>
        <v>LBS</v>
      </c>
      <c r="R6" s="16">
        <v>11695.0</v>
      </c>
      <c r="S6" s="15" t="str">
        <f>VLOOKUP(R6,'FML March 2026'!E:F,2,false)</f>
        <v>CHICKEN LEG/THIGH BONELESS &amp; SKINLESS FROZEN</v>
      </c>
      <c r="T6" s="15" t="str">
        <f>VLOOKUP(R6,'Unit of Measure ship March 2026'!A:C,3,false)</f>
        <v>LBS</v>
      </c>
    </row>
    <row r="7">
      <c r="B7" s="6">
        <v>15651.0</v>
      </c>
      <c r="C7" s="7" t="str">
        <f>VLOOKUP(B7,'FML March 2026'!E:F,2,false)</f>
        <v>BAKING POWDER 50 LB</v>
      </c>
      <c r="D7" s="7" t="str">
        <f>VLOOKUP(B7,'Unit of Measure ship March 2026'!A:C,3,false)</f>
        <v>LBS</v>
      </c>
      <c r="F7" s="8">
        <v>14978.0</v>
      </c>
      <c r="G7" s="9" t="str">
        <f>VLOOKUP(F7,'FML March 2026'!E:F,2,false)</f>
        <v>AMERICAN CHEESE, YELLOW, SLICED, STACK PACK</v>
      </c>
      <c r="H7" s="9" t="str">
        <f>VLOOKUP(F7,'Unit of Measure ship March 2026'!A:C,3,false)</f>
        <v>LBS</v>
      </c>
      <c r="J7" s="10">
        <v>107283.0</v>
      </c>
      <c r="K7" s="11" t="s">
        <v>14</v>
      </c>
      <c r="L7" s="12" t="s">
        <v>10</v>
      </c>
      <c r="N7" s="15">
        <v>24182.0</v>
      </c>
      <c r="O7" s="9" t="str">
        <f>VLOOKUP(N7,'FML March 2026'!E:F,2,false)</f>
        <v>ARUGULA, BABY</v>
      </c>
      <c r="P7" s="9" t="str">
        <f>VLOOKUP(N7,'Unit of Measure ship March 2026'!A:C,3,false)</f>
        <v>LBS</v>
      </c>
      <c r="R7" s="16">
        <v>14576.0</v>
      </c>
      <c r="S7" s="15" t="str">
        <f>VLOOKUP(R7,'FML March 2026'!E:F,2,false)</f>
        <v>CHICKEN, FRYER, WOG, IND WRAPPED, NON-INJECTED, 2.50-3.25 LB EA, FZN, 12/1 EA</v>
      </c>
      <c r="T7" s="15" t="str">
        <f>VLOOKUP(R7,'Unit of Measure ship March 2026'!A:C,3,false)</f>
        <v>LBS</v>
      </c>
      <c r="V7" s="16"/>
    </row>
    <row r="8">
      <c r="B8" s="6">
        <v>16250.0</v>
      </c>
      <c r="C8" s="7" t="str">
        <f>VLOOKUP(B8,'FML March 2026'!E:F,2,false)</f>
        <v>BAY LEAVES WHOLE D`ALLESANDRO/ SPICECO</v>
      </c>
      <c r="D8" s="7" t="str">
        <f>VLOOKUP(B8,'Unit of Measure ship March 2026'!A:C,3,false)</f>
        <v>LBS</v>
      </c>
      <c r="F8" s="17">
        <v>16013.0</v>
      </c>
      <c r="G8" s="9" t="str">
        <f>VLOOKUP(F8,'FML March 2026'!E:F,2,false)</f>
        <v>ANCHOVY PASTE 12/1 LB ROLAND</v>
      </c>
      <c r="H8" s="9" t="str">
        <f>VLOOKUP(F8,'Unit of Measure ship March 2026'!A:C,3,false)</f>
        <v>CAN/1LB</v>
      </c>
      <c r="J8" s="10">
        <v>111289.0</v>
      </c>
      <c r="K8" s="11" t="s">
        <v>15</v>
      </c>
      <c r="L8" s="12" t="s">
        <v>10</v>
      </c>
      <c r="N8" s="15">
        <v>15572.0</v>
      </c>
      <c r="O8" s="9" t="str">
        <f>VLOOKUP(N8,'FML March 2026'!E:F,2,false)</f>
        <v>ASPARAGUS, FRESH, LARGE, FULL 11# BOX, 17 PC/BOX</v>
      </c>
      <c r="P8" s="9" t="str">
        <f>VLOOKUP(N8,'Unit of Measure ship March 2026'!A:C,3,false)</f>
        <v>LBS</v>
      </c>
      <c r="R8" s="16">
        <v>24773.0</v>
      </c>
      <c r="S8" s="15" t="str">
        <f>VLOOKUP(R8,'FML March 2026'!E:F,2,false)</f>
        <v>PORK BELLY RAW RIND-ON (USA)</v>
      </c>
      <c r="T8" s="15" t="str">
        <f>VLOOKUP(R8,'Unit of Measure ship March 2026'!A:C,3,false)</f>
        <v>LBS</v>
      </c>
    </row>
    <row r="9">
      <c r="B9" s="6">
        <v>32730.0</v>
      </c>
      <c r="C9" s="7" t="str">
        <f>VLOOKUP(B9,'FML March 2026'!E:F,2,false)</f>
        <v>BEANS BLACK, 6/#10 CAN</v>
      </c>
      <c r="D9" s="7" t="str">
        <f>VLOOKUP(B9,'Unit of Measure ship March 2026'!A:C,3,false)</f>
        <v>CN/6.5LB</v>
      </c>
      <c r="F9" s="8">
        <v>109664.0</v>
      </c>
      <c r="G9" s="9" t="str">
        <f>VLOOKUP(F9,'FML March 2026'!E:F,2,false)</f>
        <v>APPLE CIDER VINEGAR SPARROW LANE V</v>
      </c>
      <c r="H9" s="9" t="str">
        <f>VLOOKUP(F9,'Unit of Measure ship March 2026'!A:C,3,false)</f>
        <v>GAL</v>
      </c>
      <c r="J9" s="10">
        <v>112300.0</v>
      </c>
      <c r="K9" s="11" t="s">
        <v>16</v>
      </c>
      <c r="L9" s="12" t="s">
        <v>10</v>
      </c>
      <c r="N9" s="13">
        <v>15378.0</v>
      </c>
      <c r="O9" s="9" t="str">
        <f>VLOOKUP(N9,'FML March 2026'!E:F,2,false)</f>
        <v>AVOCADOS HASS FRESH CA-48PC FL-12/14PC 20#</v>
      </c>
      <c r="P9" s="9" t="str">
        <f>VLOOKUP(N9,'Unit of Measure ship March 2026'!A:C,3,false)</f>
        <v>LBS</v>
      </c>
      <c r="R9" s="16">
        <v>14399.0</v>
      </c>
      <c r="S9" s="15" t="str">
        <f>VLOOKUP(R9,'FML March 2026'!E:F,2,false)</f>
        <v>PORK LOIN WHOLE CRYOVAC  22-24   DOWN BONE IN, NAMP411 (USA)</v>
      </c>
      <c r="T9" s="15" t="str">
        <f>VLOOKUP(R9,'Unit of Measure ship March 2026'!A:C,3,false)</f>
        <v>LBS</v>
      </c>
    </row>
    <row r="10">
      <c r="B10" s="6">
        <v>16015.0</v>
      </c>
      <c r="C10" s="7" t="str">
        <f>VLOOKUP(B10,'FML March 2026'!E:F,2,false)</f>
        <v>CAPERS, NON-PAREIL, IN VINEGAR, DRY, 6X850GR</v>
      </c>
      <c r="D10" s="7" t="str">
        <f>VLOOKUP(B10,'Unit of Measure ship March 2026'!A:C,3,false)</f>
        <v>CAN/32OZ</v>
      </c>
      <c r="F10" s="8">
        <v>15910.0</v>
      </c>
      <c r="G10" s="9" t="str">
        <f>VLOOKUP(F10,'FML March 2026'!E:F,2,false)</f>
        <v>BAGELS, PLAIN  SLICED 4 OZ SLICED O`PELLE (USA)</v>
      </c>
      <c r="H10" s="9" t="str">
        <f>VLOOKUP(F10,'Unit of Measure ship March 2026'!A:C,3,false)</f>
        <v>EA</v>
      </c>
      <c r="J10" s="10">
        <v>10742.0</v>
      </c>
      <c r="K10" s="11" t="s">
        <v>17</v>
      </c>
      <c r="L10" s="12" t="s">
        <v>10</v>
      </c>
      <c r="N10" s="15">
        <v>111708.0</v>
      </c>
      <c r="O10" s="9" t="str">
        <f>VLOOKUP(N10,'FML March 2026'!E:F,2,false)</f>
        <v>BABY TURNIP</v>
      </c>
      <c r="P10" s="9" t="str">
        <f>VLOOKUP(N10,'Unit of Measure ship March 2026'!A:C,3,false)</f>
        <v>LBS</v>
      </c>
    </row>
    <row r="11">
      <c r="B11" s="6">
        <v>111930.0</v>
      </c>
      <c r="C11" s="7" t="str">
        <f>VLOOKUP(B11,'FML March 2026'!E:F,2,false)</f>
        <v>CHEESE OAXACA FRESH CS2/5LB SUPREMO VV</v>
      </c>
      <c r="D11" s="7" t="str">
        <f>VLOOKUP(B11,'Unit of Measure ship March 2026'!A:C,3,false)</f>
        <v>LBS</v>
      </c>
      <c r="F11" s="8">
        <v>16250.0</v>
      </c>
      <c r="G11" s="9" t="str">
        <f>VLOOKUP(F11,'FML March 2026'!E:F,2,false)</f>
        <v>BAY LEAVES WHOLE D`ALLESANDRO/ SPICECO</v>
      </c>
      <c r="H11" s="9" t="str">
        <f>VLOOKUP(F11,'Unit of Measure ship March 2026'!A:C,3,false)</f>
        <v>LBS</v>
      </c>
      <c r="J11" s="10">
        <v>24137.0</v>
      </c>
      <c r="K11" s="11" t="s">
        <v>18</v>
      </c>
      <c r="L11" s="12" t="s">
        <v>19</v>
      </c>
      <c r="N11" s="13">
        <v>43516.0</v>
      </c>
      <c r="O11" s="9" t="str">
        <f>VLOOKUP(N11,'FML March 2026'!E:F,2,false)</f>
        <v>BANANAS STAGE #3</v>
      </c>
      <c r="P11" s="9" t="str">
        <f>VLOOKUP(N11,'Unit of Measure ship March 2026'!A:C,3,false)</f>
        <v>LBS</v>
      </c>
    </row>
    <row r="12" ht="15.75" customHeight="1">
      <c r="B12" s="6">
        <v>16288.0</v>
      </c>
      <c r="C12" s="7" t="str">
        <f>VLOOKUP(B12,'FML March 2026'!E:F,2,false)</f>
        <v>CORIANDER WHOLE BADIA (USA )</v>
      </c>
      <c r="D12" s="7" t="str">
        <f>VLOOKUP(B12,'Unit of Measure ship March 2026'!A:C,3,false)</f>
        <v>LBS</v>
      </c>
      <c r="F12" s="17">
        <v>26627.0</v>
      </c>
      <c r="G12" s="9" t="str">
        <f>VLOOKUP(F12,'FML March 2026'!E:F,2,false)</f>
        <v>BEANS CHICK PEAS DRY BULK</v>
      </c>
      <c r="H12" s="9" t="str">
        <f>VLOOKUP(F12,'Unit of Measure ship March 2026'!A:C,3,false)</f>
        <v>LBS</v>
      </c>
      <c r="J12" s="10">
        <v>24136.0</v>
      </c>
      <c r="K12" s="11" t="s">
        <v>20</v>
      </c>
      <c r="L12" s="12" t="s">
        <v>19</v>
      </c>
      <c r="N12" s="13">
        <v>43517.0</v>
      </c>
      <c r="O12" s="9" t="str">
        <f>VLOOKUP(N12,'FML March 2026'!E:F,2,false)</f>
        <v>BANANAS STAGE #5</v>
      </c>
      <c r="P12" s="9" t="str">
        <f>VLOOKUP(N12,'Unit of Measure ship March 2026'!A:C,3,false)</f>
        <v>LBS</v>
      </c>
    </row>
    <row r="13">
      <c r="B13" s="6">
        <v>11882.0</v>
      </c>
      <c r="C13" s="7" t="str">
        <f>VLOOKUP(B13,'FML March 2026'!E:F,2,false)</f>
        <v>CREME FRAICHE</v>
      </c>
      <c r="D13" s="7" t="str">
        <f>VLOOKUP(B13,'Unit of Measure ship March 2026'!A:C,3,false)</f>
        <v>QRT</v>
      </c>
      <c r="F13" s="8">
        <v>111962.0</v>
      </c>
      <c r="G13" s="9" t="str">
        <f>VLOOKUP(F13,'FML March 2026'!E:F,2,false)</f>
        <v>BOQUERONE IN VINEGAR</v>
      </c>
      <c r="H13" s="9" t="str">
        <f>VLOOKUP(F13,'Unit of Measure ship March 2026'!A:C,3,false)</f>
        <v>LBS</v>
      </c>
      <c r="J13" s="10">
        <v>10914.0</v>
      </c>
      <c r="K13" s="11" t="s">
        <v>21</v>
      </c>
      <c r="L13" s="12" t="s">
        <v>10</v>
      </c>
      <c r="N13" s="15">
        <v>15429.0</v>
      </c>
      <c r="O13" s="9" t="str">
        <f>VLOOKUP(N13,'FML March 2026'!E:F,2,false)</f>
        <v>BASIL (12 BUNCH) HYDROPONIC OR REGULAR 1 LB/CS</v>
      </c>
      <c r="P13" s="9" t="str">
        <f>VLOOKUP(N13,'Unit of Measure ship March 2026'!A:C,3,false)</f>
        <v>LBS</v>
      </c>
      <c r="V13" s="19"/>
    </row>
    <row r="14">
      <c r="B14" s="6">
        <v>16264.0</v>
      </c>
      <c r="C14" s="7" t="str">
        <f>VLOOKUP(B14,'FML March 2026'!E:F,2,false)</f>
        <v>CUMIN SEED WHOLE BADIA (USA )</v>
      </c>
      <c r="D14" s="7" t="str">
        <f>VLOOKUP(B14,'Unit of Measure ship March 2026'!A:C,3,false)</f>
        <v>LBS</v>
      </c>
      <c r="F14" s="8">
        <v>109712.0</v>
      </c>
      <c r="G14" s="9" t="str">
        <f>VLOOKUP(F14,'FML March 2026'!E:F,2,false)</f>
        <v>BREAD SOURDOUGH COUNTRY WHEAT BRD40B19  1KG LOAF  ZAK THE BAKER</v>
      </c>
      <c r="H14" s="9" t="str">
        <f>VLOOKUP(F14,'Unit of Measure ship March 2026'!A:C,3,false)</f>
        <v>LV</v>
      </c>
      <c r="J14" s="20">
        <v>112970.0</v>
      </c>
      <c r="K14" s="21" t="s">
        <v>22</v>
      </c>
      <c r="L14" s="12" t="s">
        <v>10</v>
      </c>
      <c r="N14" s="15">
        <v>111119.0</v>
      </c>
      <c r="O14" s="9" t="str">
        <f>VLOOKUP(N14,'FML March 2026'!E:F,2,false)</f>
        <v>BASIL BLOSSOMS FRESH TRAY 6/POTS HARPKE FARMS</v>
      </c>
      <c r="P14" s="9" t="str">
        <f>VLOOKUP(N14,'Unit of Measure ship March 2026'!A:C,3,false)</f>
        <v>LBS</v>
      </c>
      <c r="V14" s="19"/>
    </row>
    <row r="15">
      <c r="B15" s="6">
        <v>16257.0</v>
      </c>
      <c r="C15" s="7" t="str">
        <f>VLOOKUP(B15,'FML March 2026'!E:F,2,false)</f>
        <v>CURRY POWDER BADIA (USA )</v>
      </c>
      <c r="D15" s="7" t="str">
        <f>VLOOKUP(B15,'Unit of Measure ship March 2026'!A:C,3,false)</f>
        <v>LBS</v>
      </c>
      <c r="F15" s="17">
        <v>16981.0</v>
      </c>
      <c r="G15" s="9" t="str">
        <f>VLOOKUP(F15,'FML March 2026'!E:F,2,false)</f>
        <v>BRIE MON PERE 60% 3KG / DEXPA # 53726</v>
      </c>
      <c r="H15" s="9" t="str">
        <f>VLOOKUP(F15,'Unit of Measure ship March 2026'!A:C,3,false)</f>
        <v>LBS</v>
      </c>
      <c r="J15" s="10">
        <v>10920.0</v>
      </c>
      <c r="K15" s="11" t="s">
        <v>23</v>
      </c>
      <c r="L15" s="12" t="s">
        <v>10</v>
      </c>
      <c r="N15" s="15">
        <v>15605.0</v>
      </c>
      <c r="O15" s="9" t="str">
        <f>VLOOKUP(N15,'FML March 2026'!E:F,2,false)</f>
        <v>BEANS FRESH EXTRA FINE GREEN (FRENCH) 1/5 (HARICOT VERT)</v>
      </c>
      <c r="P15" s="9" t="str">
        <f>VLOOKUP(N15,'Unit of Measure ship March 2026'!A:C,3,false)</f>
        <v>LBS</v>
      </c>
      <c r="R15" s="19"/>
      <c r="V15" s="19"/>
    </row>
    <row r="16">
      <c r="B16" s="6">
        <v>15026.0</v>
      </c>
      <c r="C16" s="7" t="str">
        <f>VLOOKUP(B16,'FML March 2026'!E:F,2,false)</f>
        <v>EGGS, WHOLE, LIQUID, W/ CITRIC ACID, NO SUGAR, 1-5 LB/1-5 LT, FZN, 6/5 LB</v>
      </c>
      <c r="D16" s="7" t="str">
        <f>VLOOKUP(B16,'Unit of Measure ship March 2026'!A:C,3,false)</f>
        <v>LBS</v>
      </c>
      <c r="F16" s="8">
        <v>15016.0</v>
      </c>
      <c r="G16" s="9" t="str">
        <f>VLOOKUP(F16,'FML March 2026'!E:F,2,false)</f>
        <v>BUTTER, UNSALTED, 82% FAT, FZN, 50/200 G</v>
      </c>
      <c r="H16" s="9" t="str">
        <f>VLOOKUP(F16,'Unit of Measure ship March 2026'!A:C,3,false)</f>
        <v>LBS</v>
      </c>
      <c r="J16" s="10">
        <v>10658.0</v>
      </c>
      <c r="K16" s="11" t="s">
        <v>24</v>
      </c>
      <c r="L16" s="12" t="s">
        <v>10</v>
      </c>
      <c r="N16" s="15">
        <v>15449.0</v>
      </c>
      <c r="O16" s="9" t="str">
        <f>VLOOKUP(N16,'FML March 2026'!E:F,2,false)</f>
        <v>BEET ROOTS LARGE 1/25#</v>
      </c>
      <c r="P16" s="9" t="str">
        <f>VLOOKUP(N16,'Unit of Measure ship March 2026'!A:C,3,false)</f>
        <v>LBS</v>
      </c>
      <c r="R16" s="19"/>
      <c r="V16" s="19"/>
    </row>
    <row r="17">
      <c r="B17" s="6">
        <v>16259.0</v>
      </c>
      <c r="C17" s="7" t="str">
        <f>VLOOKUP(B17,'FML March 2026'!E:F,2,false)</f>
        <v>FENNEL SEED WHOLE BADIA (USA )</v>
      </c>
      <c r="D17" s="7" t="str">
        <f>VLOOKUP(B17,'Unit of Measure ship March 2026'!A:C,3,false)</f>
        <v>LBS</v>
      </c>
      <c r="F17" s="8">
        <v>14893.0</v>
      </c>
      <c r="G17" s="9" t="str">
        <f>VLOOKUP(F17,'FML March 2026'!E:F,2,false)</f>
        <v>BUTTERMILK LOCAL 10 DAYS CS9/HGAL</v>
      </c>
      <c r="H17" s="9" t="str">
        <f>VLOOKUP(F17,'Unit of Measure ship March 2026'!A:C,3,false)</f>
        <v>QRT</v>
      </c>
      <c r="J17" s="10">
        <v>10866.0</v>
      </c>
      <c r="K17" s="11" t="s">
        <v>25</v>
      </c>
      <c r="L17" s="12" t="s">
        <v>10</v>
      </c>
      <c r="N17" s="13">
        <v>15333.0</v>
      </c>
      <c r="O17" s="9" t="str">
        <f>VLOOKUP(N17,'FML March 2026'!E:F,2,false)</f>
        <v>BLACKBERRIES FRESH 12 1/2 PT 4.5#</v>
      </c>
      <c r="P17" s="9" t="str">
        <f>VLOOKUP(N17,'Unit of Measure ship March 2026'!A:C,3,false)</f>
        <v>LBS</v>
      </c>
      <c r="R17" s="19"/>
      <c r="V17" s="19"/>
    </row>
    <row r="18">
      <c r="B18" s="6">
        <v>14990.0</v>
      </c>
      <c r="C18" s="7" t="str">
        <f>VLOOKUP(B18,'FML March 2026'!E:F,2,false)</f>
        <v>FETA, IN BRINE, TUB</v>
      </c>
      <c r="D18" s="7" t="str">
        <f>VLOOKUP(B18,'Unit of Measure ship March 2026'!A:C,3,false)</f>
        <v>LBS</v>
      </c>
      <c r="F18" s="8">
        <v>11938.0</v>
      </c>
      <c r="G18" s="9" t="str">
        <f>VLOOKUP(F18,'FML March 2026'!E:F,2,false)</f>
        <v>CAPER BERRIES STEMMED 6/64 OZ DEL DESTINO/ ROLAND</v>
      </c>
      <c r="H18" s="9" t="str">
        <f>VLOOKUP(F18,'Unit of Measure ship March 2026'!A:C,3,false)</f>
        <v>CAN/64OZ</v>
      </c>
      <c r="J18" s="10">
        <v>10662.0</v>
      </c>
      <c r="K18" s="11" t="s">
        <v>26</v>
      </c>
      <c r="L18" s="12" t="s">
        <v>10</v>
      </c>
      <c r="N18" s="13">
        <v>15335.0</v>
      </c>
      <c r="O18" s="9" t="str">
        <f>VLOOKUP(N18,'FML March 2026'!E:F,2,false)</f>
        <v>BLUEBERRIES FRESH 12 1/2 PT 4.5#</v>
      </c>
      <c r="P18" s="9" t="str">
        <f>VLOOKUP(N18,'Unit of Measure ship March 2026'!A:C,3,false)</f>
        <v>LBS</v>
      </c>
      <c r="R18" s="19"/>
      <c r="V18" s="19"/>
    </row>
    <row r="19">
      <c r="B19" s="6">
        <v>31226.0</v>
      </c>
      <c r="C19" s="7" t="str">
        <f>VLOOKUP(B19,'FML March 2026'!E:F,2,false)</f>
        <v>FLEUR DE SEL / SEL DE GUERANDE 1 KG PAIL</v>
      </c>
      <c r="D19" s="7" t="str">
        <f>VLOOKUP(B19,'Unit of Measure ship March 2026'!A:C,3,false)</f>
        <v>LBS</v>
      </c>
      <c r="F19" s="17">
        <v>16015.0</v>
      </c>
      <c r="G19" s="9" t="str">
        <f>VLOOKUP(F19,'FML March 2026'!E:F,2,false)</f>
        <v>CAPERS, NON-PAREIL, IN VINEGAR, DRY, 6X850GR</v>
      </c>
      <c r="H19" s="9" t="str">
        <f>VLOOKUP(F19,'Unit of Measure ship March 2026'!A:C,3,false)</f>
        <v>CAN/32OZ</v>
      </c>
      <c r="J19" s="10">
        <v>112126.0</v>
      </c>
      <c r="K19" s="22" t="s">
        <v>27</v>
      </c>
      <c r="L19" s="12" t="s">
        <v>10</v>
      </c>
      <c r="N19" s="15">
        <v>15450.0</v>
      </c>
      <c r="O19" s="9" t="str">
        <f>VLOOKUP(N19,'FML March 2026'!E:F,2,false)</f>
        <v>BROCCOLI LARGE FANCY, GREEN UMBRELLA 14 CT 20#</v>
      </c>
      <c r="P19" s="9" t="str">
        <f>VLOOKUP(N19,'Unit of Measure ship March 2026'!A:C,3,false)</f>
        <v>LBS</v>
      </c>
      <c r="R19" s="19"/>
      <c r="V19" s="19"/>
    </row>
    <row r="20">
      <c r="B20" s="6">
        <v>111865.0</v>
      </c>
      <c r="C20" s="7" t="str">
        <f>VLOOKUP(B20,'FML March 2026'!E:F,2,false)</f>
        <v>FLOUR ALL PURPOSE SIR GALAHAD BAG50/LBS KING ARTHUR</v>
      </c>
      <c r="D20" s="7" t="str">
        <f>VLOOKUP(B20,'Unit of Measure ship March 2026'!A:C,3,false)</f>
        <v>LBS</v>
      </c>
      <c r="F20" s="17">
        <v>48393.0</v>
      </c>
      <c r="G20" s="9" t="str">
        <f>VLOOKUP(F20,'FML March 2026'!E:F,2,false)</f>
        <v>CHAAT MASALA POWDER, INDIAN SPICE 10/100 GR MDH/SHAN</v>
      </c>
      <c r="H20" s="9" t="str">
        <f>VLOOKUP(F20,'Unit of Measure ship March 2026'!A:C,3,false)</f>
        <v>LBS</v>
      </c>
      <c r="J20" s="10">
        <v>10685.0</v>
      </c>
      <c r="K20" s="11" t="s">
        <v>28</v>
      </c>
      <c r="L20" s="12" t="s">
        <v>10</v>
      </c>
      <c r="N20" s="15">
        <v>15454.0</v>
      </c>
      <c r="O20" s="9" t="str">
        <f>VLOOKUP(N20,'FML March 2026'!E:F,2,false)</f>
        <v>CABBAGE GREEN COMM MED/LG TRIMMED 50#</v>
      </c>
      <c r="P20" s="9" t="str">
        <f>VLOOKUP(N20,'Unit of Measure ship March 2026'!A:C,3,false)</f>
        <v>LBS</v>
      </c>
      <c r="R20" s="19"/>
      <c r="V20" s="19"/>
    </row>
    <row r="21" ht="15.75" customHeight="1">
      <c r="B21" s="6">
        <v>112068.0</v>
      </c>
      <c r="C21" s="7" t="str">
        <f>VLOOKUP(B21,'FML March 2026'!E:F,2,false)</f>
        <v>GOAT CHEESE  CHEFS CHEVRE CS 2/4 LB LAUR CHENEL</v>
      </c>
      <c r="D21" s="7" t="str">
        <f>VLOOKUP(B21,'Unit of Measure ship March 2026'!A:C,3,false)</f>
        <v>LBS</v>
      </c>
      <c r="F21" s="8">
        <v>14984.0</v>
      </c>
      <c r="G21" s="9" t="str">
        <f>VLOOKUP(F21,'FML March 2026'!E:F,2,false)</f>
        <v>CHEDDAR BLOCK YELLOW IMP.4/11</v>
      </c>
      <c r="H21" s="9" t="str">
        <f>VLOOKUP(F21,'Unit of Measure ship March 2026'!A:C,3,false)</f>
        <v>LBS</v>
      </c>
      <c r="J21" s="10">
        <v>10427.0</v>
      </c>
      <c r="K21" s="11" t="s">
        <v>29</v>
      </c>
      <c r="L21" s="12" t="s">
        <v>10</v>
      </c>
      <c r="N21" s="15">
        <v>15456.0</v>
      </c>
      <c r="O21" s="9" t="str">
        <f>VLOOKUP(N21,'FML March 2026'!E:F,2,false)</f>
        <v>CABBAGE NAPA 12CT 30#</v>
      </c>
      <c r="P21" s="9" t="str">
        <f>VLOOKUP(N21,'Unit of Measure ship March 2026'!A:C,3,false)</f>
        <v>LBS</v>
      </c>
      <c r="R21" s="19"/>
      <c r="V21" s="19"/>
    </row>
    <row r="22" ht="15.75" customHeight="1">
      <c r="B22" s="6">
        <v>15658.0</v>
      </c>
      <c r="C22" s="7" t="str">
        <f>VLOOKUP(B22,'FML March 2026'!E:F,2,false)</f>
        <v>HONEY 6/5 LB GROEB/MELONIA/SWEET HARVEST</v>
      </c>
      <c r="D22" s="7" t="str">
        <f>VLOOKUP(B22,'Unit of Measure ship March 2026'!A:C,3,false)</f>
        <v>KG</v>
      </c>
      <c r="F22" s="8">
        <v>111144.0</v>
      </c>
      <c r="G22" s="9" t="str">
        <f>VLOOKUP(F22,'FML March 2026'!E:F,2,false)</f>
        <v>CHEESE ASIAGO VECCHIO CS20/LB AVG AMBROSI</v>
      </c>
      <c r="H22" s="9" t="str">
        <f>VLOOKUP(F22,'Unit of Measure ship March 2026'!A:C,3,false)</f>
        <v>LBS</v>
      </c>
      <c r="J22" s="10">
        <v>146757.0</v>
      </c>
      <c r="K22" s="11" t="s">
        <v>30</v>
      </c>
      <c r="L22" s="12" t="s">
        <v>10</v>
      </c>
      <c r="N22" s="15">
        <v>15455.0</v>
      </c>
      <c r="O22" s="9" t="str">
        <f>VLOOKUP(N22,'FML March 2026'!E:F,2,false)</f>
        <v>CABBAGE RED COMM MED/LG TRIMMED 50#</v>
      </c>
      <c r="P22" s="9" t="str">
        <f>VLOOKUP(N22,'Unit of Measure ship March 2026'!A:C,3,false)</f>
        <v>LBS</v>
      </c>
      <c r="R22" s="19"/>
      <c r="V22" s="19"/>
    </row>
    <row r="23" ht="15.75" customHeight="1">
      <c r="B23" s="6">
        <v>109680.0</v>
      </c>
      <c r="C23" s="7" t="str">
        <f>VLOOKUP(B23,'FML March 2026'!E:F,2,false)</f>
        <v>HOT SAUCE CHOLULAS</v>
      </c>
      <c r="D23" s="7" t="str">
        <f>VLOOKUP(B23,'Unit of Measure ship March 2026'!A:C,3,false)</f>
        <v>BTL/6OZ</v>
      </c>
      <c r="F23" s="17">
        <v>109527.0</v>
      </c>
      <c r="G23" s="9" t="str">
        <f>VLOOKUP(F23,'FML March 2026'!E:F,2,false)</f>
        <v>CHEESE VEGAN MOZZARELLA BLOCK CS12.5KG VIOLIFE</v>
      </c>
      <c r="H23" s="9" t="str">
        <f>VLOOKUP(F23,'Unit of Measure ship March 2026'!A:C,3,false)</f>
        <v>LBS</v>
      </c>
      <c r="J23" s="10">
        <v>21301.0</v>
      </c>
      <c r="K23" s="11" t="s">
        <v>31</v>
      </c>
      <c r="L23" s="12" t="s">
        <v>10</v>
      </c>
      <c r="N23" s="15">
        <v>15545.0</v>
      </c>
      <c r="O23" s="9" t="str">
        <f>VLOOKUP(N23,'FML March 2026'!E:F,2,false)</f>
        <v>CABBAGE SAVOY LARGE 40#</v>
      </c>
      <c r="P23" s="9" t="str">
        <f>VLOOKUP(N23,'Unit of Measure ship March 2026'!A:C,3,false)</f>
        <v>LBS</v>
      </c>
      <c r="R23" s="19"/>
      <c r="V23" s="19"/>
    </row>
    <row r="24" ht="15.75" customHeight="1">
      <c r="B24" s="6">
        <v>37989.0</v>
      </c>
      <c r="C24" s="7" t="str">
        <f>VLOOKUP(B24,'FML March 2026'!E:F,2,false)</f>
        <v>LEAVENER YEAST INSTANT DRY (NETHERLANDS)</v>
      </c>
      <c r="D24" s="7" t="str">
        <f>VLOOKUP(B24,'Unit of Measure ship March 2026'!A:C,3,false)</f>
        <v>LBS</v>
      </c>
      <c r="F24" s="17">
        <v>109529.0</v>
      </c>
      <c r="G24" s="9" t="str">
        <f>VLOOKUP(F24,'FML March 2026'!E:F,2,false)</f>
        <v>CHEESE VEGAN PROVOLONE</v>
      </c>
      <c r="H24" s="9" t="str">
        <f>VLOOKUP(F24,'Unit of Measure ship March 2026'!A:C,3,false)</f>
        <v>LBS</v>
      </c>
      <c r="J24" s="10">
        <v>10427.0</v>
      </c>
      <c r="K24" s="11" t="s">
        <v>32</v>
      </c>
      <c r="L24" s="12" t="s">
        <v>10</v>
      </c>
      <c r="N24" s="15">
        <v>15458.0</v>
      </c>
      <c r="O24" s="9" t="str">
        <f>VLOOKUP(N24,'FML March 2026'!E:F,2,false)</f>
        <v>CARROTS CLIP TOP 50#</v>
      </c>
      <c r="P24" s="9" t="str">
        <f>VLOOKUP(N24,'Unit of Measure ship March 2026'!A:C,3,false)</f>
        <v>LBS</v>
      </c>
      <c r="R24" s="19"/>
      <c r="V24" s="19"/>
    </row>
    <row r="25" ht="15.75" customHeight="1">
      <c r="B25" s="6">
        <v>109667.0</v>
      </c>
      <c r="C25" s="7" t="str">
        <f>VLOOKUP(B25,'FML March 2026'!E:F,2,false)</f>
        <v>MAYONNAISE, UNILEVER - HELLMANN'S, 4800126530, DRY, 4/1 GAL</v>
      </c>
      <c r="D25" s="7" t="str">
        <f>VLOOKUP(B25,'Unit of Measure ship March 2026'!A:C,3,false)</f>
        <v>GAL</v>
      </c>
      <c r="F25" s="17">
        <v>27418.0</v>
      </c>
      <c r="G25" s="9" t="str">
        <f>VLOOKUP(F25,'FML March 2026'!E:F,2,false)</f>
        <v>CHEESE, PARMIGIANO REGGIANO, DOP, QUARTERS, 18-20 LB EA, CHL, 2/1 EA</v>
      </c>
      <c r="H25" s="9" t="str">
        <f>VLOOKUP(F25,'Unit of Measure ship March 2026'!A:C,3,false)</f>
        <v>LBS</v>
      </c>
      <c r="J25" s="10">
        <v>10398.0</v>
      </c>
      <c r="K25" s="11" t="s">
        <v>33</v>
      </c>
      <c r="L25" s="12" t="s">
        <v>10</v>
      </c>
      <c r="N25" s="15">
        <v>15559.0</v>
      </c>
      <c r="O25" s="9" t="str">
        <f>VLOOKUP(N25,'FML March 2026'!E:F,2,false)</f>
        <v>CARROTS MINI W/TOPS, PEELED, 1/5LB, VAC. PACK</v>
      </c>
      <c r="P25" s="9" t="str">
        <f>VLOOKUP(N25,'Unit of Measure ship March 2026'!A:C,3,false)</f>
        <v>LBS</v>
      </c>
      <c r="R25" s="19"/>
      <c r="V25" s="19"/>
    </row>
    <row r="26" ht="15.75" customHeight="1">
      <c r="B26" s="6">
        <v>14869.0</v>
      </c>
      <c r="C26" s="7" t="str">
        <f>VLOOKUP(B26,'FML March 2026'!E:F,2,false)</f>
        <v>MILK, UHT, WHOLE, 3.5% FAT, DRY, 12/1 LT</v>
      </c>
      <c r="D26" s="7" t="str">
        <f>VLOOKUP(B26,'Unit of Measure ship March 2026'!A:C,3,false)</f>
        <v>LT</v>
      </c>
      <c r="F26" s="8">
        <v>16252.0</v>
      </c>
      <c r="G26" s="9" t="str">
        <f>VLOOKUP(F26,'FML March 2026'!E:F,2,false)</f>
        <v>CHILI POWDER 16 OZ D`ALLESANDRO/ SPICECO</v>
      </c>
      <c r="H26" s="9" t="str">
        <f>VLOOKUP(F26,'Unit of Measure ship March 2026'!A:C,3,false)</f>
        <v>LBS</v>
      </c>
      <c r="J26" s="10">
        <v>20870.0</v>
      </c>
      <c r="K26" s="11" t="s">
        <v>34</v>
      </c>
      <c r="L26" s="12" t="s">
        <v>10</v>
      </c>
      <c r="N26" s="15">
        <v>15459.0</v>
      </c>
      <c r="O26" s="9" t="str">
        <f>VLOOKUP(N26,'FML March 2026'!E:F,2,false)</f>
        <v>CAULIFLOWER #1 CAL. 12 CT 25#</v>
      </c>
      <c r="P26" s="9" t="str">
        <f>VLOOKUP(N26,'Unit of Measure ship March 2026'!A:C,3,false)</f>
        <v>LBS</v>
      </c>
      <c r="R26" s="19"/>
      <c r="V26" s="19"/>
    </row>
    <row r="27" ht="15.75" customHeight="1">
      <c r="B27" s="6">
        <v>15010.0</v>
      </c>
      <c r="C27" s="7" t="str">
        <f>VLOOKUP(B27,'FML March 2026'!E:F,2,false)</f>
        <v>MONTERREY JACK 10 LB WHEEL</v>
      </c>
      <c r="D27" s="7" t="str">
        <f>VLOOKUP(B27,'Unit of Measure ship March 2026'!A:C,3,false)</f>
        <v>LBS</v>
      </c>
      <c r="F27" s="17">
        <v>16343.0</v>
      </c>
      <c r="G27" s="9" t="str">
        <f>VLOOKUP(F27,'FML March 2026'!E:F,2,false)</f>
        <v>CHILI SAUCE, HEINZ, 6/10'S</v>
      </c>
      <c r="H27" s="9" t="str">
        <f>VLOOKUP(F27,'Unit of Measure ship March 2026'!A:C,3,false)</f>
        <v>CN/6.5LB</v>
      </c>
      <c r="J27" s="10">
        <v>112457.0</v>
      </c>
      <c r="K27" s="11" t="s">
        <v>35</v>
      </c>
      <c r="L27" s="12" t="s">
        <v>10</v>
      </c>
      <c r="N27" s="15">
        <v>110917.0</v>
      </c>
      <c r="O27" s="9" t="str">
        <f>VLOOKUP(N27,'FML March 2026'!E:F,2,false)</f>
        <v>CAULIFLOWER ORANGE 12CT (28LB)</v>
      </c>
      <c r="P27" s="9" t="str">
        <f>VLOOKUP(N27,'Unit of Measure ship March 2026'!A:C,3,false)</f>
        <v>LBS</v>
      </c>
      <c r="R27" s="19"/>
      <c r="V27" s="19"/>
    </row>
    <row r="28" ht="15.75" customHeight="1">
      <c r="B28" s="6">
        <v>16426.0</v>
      </c>
      <c r="C28" s="7" t="str">
        <f>VLOOKUP(B28,'FML March 2026'!E:F,2,false)</f>
        <v>MUSTARD  TUB GREY POUPON - DIJON MUSTARD PLAIN (FRANCE)</v>
      </c>
      <c r="D28" s="7" t="str">
        <f>VLOOKUP(B28,'Unit of Measure ship March 2026'!A:C,3,false)</f>
        <v>JAR/48OZ</v>
      </c>
      <c r="F28" s="8">
        <v>19408.0</v>
      </c>
      <c r="G28" s="9" t="str">
        <f>VLOOKUP(F28,'FML March 2026'!E:F,2,false)</f>
        <v>CHIPOTLE PEPPER CANNED SAN MARCOS IN ADOBO</v>
      </c>
      <c r="H28" s="9" t="str">
        <f>VLOOKUP(F28,'Unit of Measure ship March 2026'!A:C,3,false)</f>
        <v>CAN/7OZ</v>
      </c>
      <c r="J28" s="10">
        <v>111508.0</v>
      </c>
      <c r="K28" s="11" t="s">
        <v>36</v>
      </c>
      <c r="L28" s="12" t="s">
        <v>10</v>
      </c>
      <c r="N28" s="15">
        <v>15562.0</v>
      </c>
      <c r="O28" s="9" t="str">
        <f>VLOOKUP(N28,'FML March 2026'!E:F,2,false)</f>
        <v>CELERIAC (CELERY ROOT) 20#</v>
      </c>
      <c r="P28" s="9" t="str">
        <f>VLOOKUP(N28,'Unit of Measure ship March 2026'!A:C,3,false)</f>
        <v>LBS</v>
      </c>
      <c r="R28" s="19"/>
      <c r="V28" s="19"/>
    </row>
    <row r="29" ht="15.75" customHeight="1">
      <c r="B29" s="6">
        <v>16320.0</v>
      </c>
      <c r="C29" s="7" t="str">
        <f>VLOOKUP(B29,'FML March 2026'!E:F,2,false)</f>
        <v>MUSTARD SEED 24 OZ D`ALLESANDRO/ SPICECO</v>
      </c>
      <c r="D29" s="7" t="str">
        <f>VLOOKUP(B29,'Unit of Measure ship March 2026'!A:C,3,false)</f>
        <v>LBS</v>
      </c>
      <c r="F29" s="17">
        <v>16882.0</v>
      </c>
      <c r="G29" s="9" t="str">
        <f>VLOOKUP(F29,'FML March 2026'!E:F,2,false)</f>
        <v>CHIPS POTATO CHIPS BULK</v>
      </c>
      <c r="H29" s="9" t="str">
        <f>VLOOKUP(F29,'Unit of Measure ship March 2026'!A:C,3,false)</f>
        <v>LBS</v>
      </c>
      <c r="J29" s="10">
        <v>18688.0</v>
      </c>
      <c r="K29" s="11" t="s">
        <v>37</v>
      </c>
      <c r="L29" s="12" t="s">
        <v>10</v>
      </c>
      <c r="N29" s="15">
        <v>15460.0</v>
      </c>
      <c r="O29" s="9" t="str">
        <f>VLOOKUP(N29,'FML March 2026'!E:F,2,false)</f>
        <v>CELERY #1 CAL. 36CT 60#</v>
      </c>
      <c r="P29" s="9" t="str">
        <f>VLOOKUP(N29,'Unit of Measure ship March 2026'!A:C,3,false)</f>
        <v>LBS</v>
      </c>
      <c r="R29" s="19"/>
      <c r="V29" s="19"/>
    </row>
    <row r="30" ht="15.75" customHeight="1">
      <c r="B30" s="6">
        <v>16420.0</v>
      </c>
      <c r="C30" s="7" t="str">
        <f>VLOOKUP(B30,'FML March 2026'!E:F,2,false)</f>
        <v>OIL GRAPESEED (USA)</v>
      </c>
      <c r="D30" s="7" t="str">
        <f>VLOOKUP(B30,'Unit of Measure ship March 2026'!A:C,3,false)</f>
        <v>BTL/17OZ</v>
      </c>
      <c r="F30" s="8">
        <v>147889.0</v>
      </c>
      <c r="G30" s="9" t="str">
        <f>VLOOKUP(F30,'FML March 2026'!E:F,2,false)</f>
        <v>CHORIZO SAUSAGE MEAT 12/14 OZ BULK OLE FOODS</v>
      </c>
      <c r="H30" s="9" t="str">
        <f>VLOOKUP(F30,'Unit of Measure ship March 2026'!A:C,3,false)</f>
        <v>LBS</v>
      </c>
      <c r="J30" s="23">
        <v>111148.0</v>
      </c>
      <c r="K30" s="24" t="s">
        <v>38</v>
      </c>
      <c r="L30" s="12" t="s">
        <v>10</v>
      </c>
      <c r="N30" s="15">
        <v>15589.0</v>
      </c>
      <c r="O30" s="9" t="str">
        <f>VLOOKUP(N30,'FML March 2026'!E:F,2,false)</f>
        <v>CHAYOTE, SELECT, 48CT 40#/CS</v>
      </c>
      <c r="P30" s="9" t="str">
        <f>VLOOKUP(N30,'Unit of Measure ship March 2026'!A:C,3,false)</f>
        <v>LBS</v>
      </c>
      <c r="R30" s="19"/>
      <c r="V30" s="19"/>
    </row>
    <row r="31" ht="15.75" customHeight="1">
      <c r="B31" s="6">
        <v>16346.0</v>
      </c>
      <c r="C31" s="7" t="str">
        <f>VLOOKUP(B31,'FML March 2026'!E:F,2,false)</f>
        <v>OIL, 100% SESAME, TOASTED, DRY, 10/56 OZ</v>
      </c>
      <c r="D31" s="7" t="str">
        <f>VLOOKUP(B31,'Unit of Measure ship March 2026'!A:C,3,false)</f>
        <v>BT/56OZ</v>
      </c>
      <c r="F31" s="8">
        <v>16267.0</v>
      </c>
      <c r="G31" s="9" t="str">
        <f>VLOOKUP(F31,'FML March 2026'!E:F,2,false)</f>
        <v>CINNAMON STICKS BADIA (USA)</v>
      </c>
      <c r="H31" s="9" t="str">
        <f>VLOOKUP(F31,'Unit of Measure ship March 2026'!A:C,3,false)</f>
        <v>LBS</v>
      </c>
      <c r="J31" s="23">
        <v>112654.0</v>
      </c>
      <c r="K31" s="24" t="s">
        <v>39</v>
      </c>
      <c r="L31" s="12" t="s">
        <v>10</v>
      </c>
      <c r="N31" s="15">
        <v>15543.0</v>
      </c>
      <c r="O31" s="9" t="str">
        <f>VLOOKUP(N31,'FML March 2026'!E:F,2,false)</f>
        <v>CHERVIL, FRESH, 12BU 1 LB/CS</v>
      </c>
      <c r="P31" s="9" t="str">
        <f>VLOOKUP(N31,'Unit of Measure ship March 2026'!A:C,3,false)</f>
        <v>LBS</v>
      </c>
      <c r="R31" s="19"/>
      <c r="V31" s="19"/>
    </row>
    <row r="32" ht="15.75" customHeight="1">
      <c r="B32" s="6">
        <v>16377.0</v>
      </c>
      <c r="C32" s="7" t="str">
        <f>VLOOKUP(B32,'FML March 2026'!E:F,2,false)</f>
        <v>OIL, 100% VEGETABLE SOYBEAN, DRY, 4/5 LT</v>
      </c>
      <c r="D32" s="7" t="str">
        <f>VLOOKUP(B32,'Unit of Measure ship March 2026'!A:C,3,false)</f>
        <v>C4/5LT</v>
      </c>
      <c r="F32" s="8">
        <v>16288.0</v>
      </c>
      <c r="G32" s="9" t="str">
        <f>VLOOKUP(F32,'FML March 2026'!E:F,2,false)</f>
        <v>CORIANDER WHOLE BADIA (USA )</v>
      </c>
      <c r="H32" s="9" t="str">
        <f>VLOOKUP(F32,'Unit of Measure ship March 2026'!A:C,3,false)</f>
        <v>LBS</v>
      </c>
      <c r="J32" s="23">
        <v>10337.0</v>
      </c>
      <c r="K32" s="24" t="s">
        <v>40</v>
      </c>
      <c r="L32" s="12" t="s">
        <v>10</v>
      </c>
      <c r="N32" s="15">
        <v>109753.0</v>
      </c>
      <c r="O32" s="9" t="str">
        <f>VLOOKUP(N32,'FML March 2026'!E:F,2,false)</f>
        <v>CHILI FRESNO FRESH</v>
      </c>
      <c r="P32" s="9" t="str">
        <f>VLOOKUP(N32,'Unit of Measure ship March 2026'!A:C,3,false)</f>
        <v>LBS</v>
      </c>
      <c r="R32" s="19"/>
      <c r="V32" s="19"/>
    </row>
    <row r="33" ht="15.75" customHeight="1">
      <c r="B33" s="6">
        <v>10265.0</v>
      </c>
      <c r="C33" s="7" t="str">
        <f>VLOOKUP(B33,'FML March 2026'!E:F,2,false)</f>
        <v>OIL, FRYING, 100% SOYBEAN, TRANS FAT FREE, FLASHPOINT &gt;600F, DRY, 4/5 LT</v>
      </c>
      <c r="D33" s="7" t="str">
        <f>VLOOKUP(B33,'Unit of Measure ship March 2026'!A:C,3,false)</f>
        <v>CS4/5LT</v>
      </c>
      <c r="F33" s="8">
        <v>14987.0</v>
      </c>
      <c r="G33" s="9" t="str">
        <f>VLOOKUP(F33,'FML March 2026'!E:F,2,false)</f>
        <v>CREAM CHEESE QUESCREM/PHILADELPHIA FOR BAKERY</v>
      </c>
      <c r="H33" s="9" t="str">
        <f>VLOOKUP(F33,'Unit of Measure ship March 2026'!A:C,3,false)</f>
        <v>LBS</v>
      </c>
      <c r="J33" s="23">
        <v>111535.0</v>
      </c>
      <c r="K33" s="24" t="s">
        <v>41</v>
      </c>
      <c r="L33" s="12" t="s">
        <v>10</v>
      </c>
      <c r="N33" s="15">
        <v>15438.0</v>
      </c>
      <c r="O33" s="9" t="str">
        <f>VLOOKUP(N33,'FML March 2026'!E:F,2,false)</f>
        <v>CHIVES (12 BUNCH), 1 LB/CS</v>
      </c>
      <c r="P33" s="9" t="str">
        <f>VLOOKUP(N33,'Unit of Measure ship March 2026'!A:C,3,false)</f>
        <v>LBS</v>
      </c>
      <c r="R33" s="19"/>
      <c r="V33" s="19"/>
    </row>
    <row r="34" ht="15.75" customHeight="1">
      <c r="B34" s="6">
        <v>52603.0</v>
      </c>
      <c r="C34" s="7" t="str">
        <f>VLOOKUP(B34,'FML March 2026'!E:F,2,false)</f>
        <v>OLIVE/CANOLA BLEND OIL</v>
      </c>
      <c r="D34" s="7" t="str">
        <f>VLOOKUP(B34,'Unit of Measure ship March 2026'!A:C,3,false)</f>
        <v>LT</v>
      </c>
      <c r="F34" s="17">
        <v>11882.0</v>
      </c>
      <c r="G34" s="9" t="str">
        <f>VLOOKUP(F34,'FML March 2026'!E:F,2,false)</f>
        <v>CREME FRAICHE</v>
      </c>
      <c r="H34" s="9" t="str">
        <f>VLOOKUP(F34,'Unit of Measure ship March 2026'!A:C,3,false)</f>
        <v>QRT</v>
      </c>
      <c r="L34" s="7"/>
      <c r="N34" s="15">
        <v>15431.0</v>
      </c>
      <c r="O34" s="9" t="str">
        <f>VLOOKUP(N34,'FML March 2026'!E:F,2,false)</f>
        <v>CILANTRO (12 BUNCH) 1 LB/CS DOMESTIC</v>
      </c>
      <c r="P34" s="9" t="str">
        <f>VLOOKUP(N34,'Unit of Measure ship March 2026'!A:C,3,false)</f>
        <v>LBS</v>
      </c>
      <c r="R34" s="19"/>
      <c r="V34" s="19"/>
    </row>
    <row r="35" ht="15.75" customHeight="1">
      <c r="B35" s="6">
        <v>16439.0</v>
      </c>
      <c r="C35" s="7" t="str">
        <f>VLOOKUP(B35,'FML March 2026'!E:F,2,false)</f>
        <v>PAN SPRAY NON STICK (USA)</v>
      </c>
      <c r="D35" s="7" t="str">
        <f>VLOOKUP(B35,'Unit of Measure ship March 2026'!A:C,3,false)</f>
        <v>CAN/14OZ</v>
      </c>
      <c r="F35" s="17">
        <v>16256.0</v>
      </c>
      <c r="G35" s="9" t="str">
        <f>VLOOKUP(F35,'FML March 2026'!E:F,2,false)</f>
        <v>CUMIN GROUND D`ALLESANDRO/ SPICECO (USA )</v>
      </c>
      <c r="H35" s="9" t="str">
        <f>VLOOKUP(F35,'Unit of Measure ship March 2026'!A:C,3,false)</f>
        <v>LBS</v>
      </c>
      <c r="L35" s="7"/>
      <c r="N35" s="15">
        <v>111175.0</v>
      </c>
      <c r="O35" s="9" t="str">
        <f>VLOOKUP(N35,'FML March 2026'!E:F,2,false)</f>
        <v>CILANTRO MICRO FRESH HARPKE FAMILY FARM PK/5 OZ PACKED IN 60 OZ SIZE CLAM SHELL</v>
      </c>
      <c r="P35" s="9" t="str">
        <f>VLOOKUP(N35,'Unit of Measure ship March 2026'!A:C,3,false)</f>
        <v>EA</v>
      </c>
      <c r="R35" s="19"/>
      <c r="V35" s="19"/>
    </row>
    <row r="36" ht="15.75" customHeight="1">
      <c r="B36" s="6">
        <v>16538.0</v>
      </c>
      <c r="C36" s="7" t="str">
        <f>VLOOKUP(B36,'FML March 2026'!E:F,2,false)</f>
        <v>PAPADUMS 80 CT</v>
      </c>
      <c r="D36" s="7" t="str">
        <f>VLOOKUP(B36,'Unit of Measure ship March 2026'!A:C,3,false)</f>
        <v>PK/200GR</v>
      </c>
      <c r="F36" s="8">
        <v>16264.0</v>
      </c>
      <c r="G36" s="9" t="str">
        <f>VLOOKUP(F36,'FML March 2026'!E:F,2,false)</f>
        <v>CUMIN SEED WHOLE BADIA (USA )</v>
      </c>
      <c r="H36" s="9" t="str">
        <f>VLOOKUP(F36,'Unit of Measure ship March 2026'!A:C,3,false)</f>
        <v>LBS</v>
      </c>
      <c r="L36" s="7"/>
      <c r="N36" s="15">
        <v>109754.0</v>
      </c>
      <c r="O36" s="9" t="str">
        <f>VLOOKUP(N36,'FML March 2026'!E:F,2,false)</f>
        <v>CUCUMBER ENGLISH SEEDLESS, LARGE</v>
      </c>
      <c r="P36" s="9" t="str">
        <f>VLOOKUP(N36,'Unit of Measure ship March 2026'!A:C,3,false)</f>
        <v>LBS</v>
      </c>
      <c r="R36" s="19"/>
      <c r="V36" s="19"/>
    </row>
    <row r="37" ht="15.75" customHeight="1">
      <c r="B37" s="6">
        <v>112841.0</v>
      </c>
      <c r="C37" s="7" t="str">
        <f>VLOOKUP(B37,'FML March 2026'!E:F,2,false)</f>
        <v>PEANUT BUTTER CRUNCHY</v>
      </c>
      <c r="D37" s="7" t="str">
        <f>VLOOKUP(B37,'Unit of Measure ship March 2026'!A:C,3,false)</f>
        <v>LBS</v>
      </c>
      <c r="F37" s="8">
        <v>15022.0</v>
      </c>
      <c r="G37" s="9" t="str">
        <f>VLOOKUP(F37,'FML March 2026'!E:F,2,false)</f>
        <v>EGGS-DATED, MEDIUM, REGULAR</v>
      </c>
      <c r="H37" s="9" t="str">
        <f>VLOOKUP(F37,'Unit of Measure ship March 2026'!A:C,3,false)</f>
        <v>PC</v>
      </c>
      <c r="L37" s="7"/>
      <c r="N37" s="15">
        <v>15462.0</v>
      </c>
      <c r="O37" s="9" t="str">
        <f>VLOOKUP(N37,'FML March 2026'!E:F,2,false)</f>
        <v>CUCUMBERS SEEDLESS LARGE, PLASTIC WRAPPED 13#</v>
      </c>
      <c r="P37" s="9" t="str">
        <f>VLOOKUP(N37,'Unit of Measure ship March 2026'!A:C,3,false)</f>
        <v>LBS</v>
      </c>
      <c r="R37" s="19"/>
      <c r="V37" s="19"/>
    </row>
    <row r="38" ht="15.75" customHeight="1">
      <c r="B38" s="6">
        <v>33681.0</v>
      </c>
      <c r="C38" s="7" t="str">
        <f>VLOOKUP(B38,'FML March 2026'!E:F,2,false)</f>
        <v>PEPPER BLACK GROUND BADIA (USA )</v>
      </c>
      <c r="D38" s="7" t="str">
        <f>VLOOKUP(B38,'Unit of Measure ship March 2026'!A:C,3,false)</f>
        <v>LBS</v>
      </c>
      <c r="F38" s="17">
        <v>15026.0</v>
      </c>
      <c r="G38" s="9" t="str">
        <f>VLOOKUP(F38,'FML March 2026'!E:F,2,false)</f>
        <v>EGGS, WHOLE, LIQUID, W/ CITRIC ACID, NO SUGAR, 1-5 LB/1-5 LT, FZN, 6/5 LB</v>
      </c>
      <c r="H38" s="9" t="str">
        <f>VLOOKUP(F38,'Unit of Measure ship March 2026'!A:C,3,false)</f>
        <v>LBS</v>
      </c>
      <c r="J38" s="23"/>
      <c r="K38" s="25"/>
      <c r="L38" s="7"/>
      <c r="N38" s="15">
        <v>30024.0</v>
      </c>
      <c r="O38" s="9" t="str">
        <f>VLOOKUP(N38,'FML March 2026'!E:F,2,false)</f>
        <v>CURRY LEAVES</v>
      </c>
      <c r="P38" s="9" t="str">
        <f>VLOOKUP(N38,'Unit of Measure ship March 2026'!A:C,3,false)</f>
        <v>KG</v>
      </c>
      <c r="R38" s="19"/>
      <c r="V38" s="19"/>
    </row>
    <row r="39" ht="15.75" customHeight="1">
      <c r="B39" s="6">
        <v>16285.0</v>
      </c>
      <c r="C39" s="7" t="str">
        <f>VLOOKUP(B39,'FML March 2026'!E:F,2,false)</f>
        <v>PEPPERCORN, BLACK, WHOLE, DRY, 6/420 G</v>
      </c>
      <c r="D39" s="7" t="str">
        <f>VLOOKUP(B39,'Unit of Measure ship March 2026'!A:C,3,false)</f>
        <v>LBS</v>
      </c>
      <c r="F39" s="8">
        <v>14997.0</v>
      </c>
      <c r="G39" s="9" t="str">
        <f>VLOOKUP(F39,'FML March 2026'!E:F,2,false)</f>
        <v>EMMENTHAL LOAF / DEXPA # 7290 - 7465</v>
      </c>
      <c r="H39" s="9" t="str">
        <f>VLOOKUP(F39,'Unit of Measure ship March 2026'!A:C,3,false)</f>
        <v>LBS</v>
      </c>
      <c r="J39" s="16"/>
      <c r="K39" s="26"/>
      <c r="L39" s="7"/>
      <c r="N39" s="15">
        <v>15619.0</v>
      </c>
      <c r="O39" s="9" t="str">
        <f>VLOOKUP(N39,'FML March 2026'!E:F,2,false)</f>
        <v>DAIKON 20#/CS</v>
      </c>
      <c r="P39" s="9" t="str">
        <f>VLOOKUP(N39,'Unit of Measure ship March 2026'!A:C,3,false)</f>
        <v>LBS</v>
      </c>
      <c r="R39" s="19"/>
      <c r="V39" s="19"/>
    </row>
    <row r="40" ht="15.75" customHeight="1">
      <c r="B40" s="6">
        <v>15894.0</v>
      </c>
      <c r="C40" s="7" t="str">
        <f>VLOOKUP(B40,'FML March 2026'!E:F,2,false)</f>
        <v>PISTACHIO NUTS WHOLE SHELLED RAW NUTLAND</v>
      </c>
      <c r="D40" s="7" t="str">
        <f>VLOOKUP(B40,'Unit of Measure ship March 2026'!A:C,3,false)</f>
        <v>LBS</v>
      </c>
      <c r="F40" s="8">
        <v>16259.0</v>
      </c>
      <c r="G40" s="9" t="str">
        <f>VLOOKUP(F40,'FML March 2026'!E:F,2,false)</f>
        <v>FENNEL SEED WHOLE BADIA (USA )</v>
      </c>
      <c r="H40" s="9" t="str">
        <f>VLOOKUP(F40,'Unit of Measure ship March 2026'!A:C,3,false)</f>
        <v>LBS</v>
      </c>
      <c r="J40" s="18"/>
      <c r="K40" s="27"/>
      <c r="L40" s="7"/>
      <c r="N40" s="15">
        <v>15433.0</v>
      </c>
      <c r="O40" s="9" t="str">
        <f>VLOOKUP(N40,'FML March 2026'!E:F,2,false)</f>
        <v>DILL</v>
      </c>
      <c r="P40" s="9" t="str">
        <f>VLOOKUP(N40,'Unit of Measure ship March 2026'!A:C,3,false)</f>
        <v>LBS</v>
      </c>
      <c r="R40" s="19"/>
      <c r="V40" s="19"/>
    </row>
    <row r="41" ht="15.75" customHeight="1">
      <c r="B41" s="6">
        <v>109676.0</v>
      </c>
      <c r="C41" s="7" t="str">
        <f>VLOOKUP(B41,'FML March 2026'!E:F,2,false)</f>
        <v>PRESERVED LEMON BRINE CAN/ 2KG BELDI</v>
      </c>
      <c r="D41" s="7" t="str">
        <f>VLOOKUP(B41,'Unit of Measure ship March 2026'!A:C,3,false)</f>
        <v>LBS</v>
      </c>
      <c r="F41" s="8">
        <v>14990.0</v>
      </c>
      <c r="G41" s="9" t="str">
        <f>VLOOKUP(F41,'FML March 2026'!E:F,2,false)</f>
        <v>FETA, IN BRINE, TUB</v>
      </c>
      <c r="H41" s="9" t="str">
        <f>VLOOKUP(F41,'Unit of Measure ship March 2026'!A:C,3,false)</f>
        <v>LBS</v>
      </c>
      <c r="J41" s="18"/>
      <c r="K41" s="27"/>
      <c r="L41" s="7"/>
      <c r="N41" s="15">
        <v>36433.0</v>
      </c>
      <c r="O41" s="9" t="str">
        <f>VLOOKUP(N41,'FML March 2026'!E:F,2,false)</f>
        <v>EGGPLANT JAPANESE 10#/CS</v>
      </c>
      <c r="P41" s="9" t="str">
        <f>VLOOKUP(N41,'Unit of Measure ship March 2026'!A:C,3,false)</f>
        <v>CS10/LBS</v>
      </c>
      <c r="R41" s="19"/>
      <c r="V41" s="19"/>
    </row>
    <row r="42" ht="15.75" customHeight="1">
      <c r="B42" s="6">
        <v>15897.0</v>
      </c>
      <c r="C42" s="7" t="str">
        <f>VLOOKUP(B42,'FML March 2026'!E:F,2,false)</f>
        <v>PUMPKIN SEEDS WHOLE SHELLED RAW 10 LB HIALEAH/ D`ALLESANDRO</v>
      </c>
      <c r="D42" s="7" t="str">
        <f>VLOOKUP(B42,'Unit of Measure ship March 2026'!A:C,3,false)</f>
        <v>LBS</v>
      </c>
      <c r="F42" s="8">
        <v>111698.0</v>
      </c>
      <c r="G42" s="9" t="str">
        <f>VLOOKUP(F42,'FML March 2026'!E:F,2,false)</f>
        <v>FRIED SHALLOTS LA RUSTICHELLA</v>
      </c>
      <c r="H42" s="9" t="str">
        <f>VLOOKUP(F42,'Unit of Measure ship March 2026'!A:C,3,false)</f>
        <v>LBS</v>
      </c>
      <c r="J42" s="18"/>
      <c r="K42" s="27"/>
      <c r="L42" s="7"/>
      <c r="N42" s="15">
        <v>15464.0</v>
      </c>
      <c r="O42" s="9" t="str">
        <f>VLOOKUP(N42,'FML March 2026'!E:F,2,false)</f>
        <v>EGGPLANT MEDIUM, 225 - 300 MM</v>
      </c>
      <c r="P42" s="9" t="str">
        <f>VLOOKUP(N42,'Unit of Measure ship March 2026'!A:C,3,false)</f>
        <v>LBS</v>
      </c>
      <c r="R42" s="19"/>
      <c r="V42" s="19"/>
    </row>
    <row r="43" ht="15.75" customHeight="1">
      <c r="B43" s="6">
        <v>142891.0</v>
      </c>
      <c r="C43" s="7" t="str">
        <f>VLOOKUP(B43,'FML March 2026'!E:F,2,false)</f>
        <v>SALT CURING PRAGUE #1 2.5 LB HOOSIER HILL</v>
      </c>
      <c r="D43" s="7" t="str">
        <f>VLOOKUP(B43,'Unit of Measure ship March 2026'!A:C,3,false)</f>
        <v>LBS</v>
      </c>
      <c r="F43" s="8">
        <v>16337.0</v>
      </c>
      <c r="G43" s="9" t="str">
        <f>VLOOKUP(F43,'FML March 2026'!E:F,2,false)</f>
        <v>GARAM MASALA POWDER INDIAN SPICE D`ALLESANDRO/MAYA</v>
      </c>
      <c r="H43" s="9" t="str">
        <f>VLOOKUP(F43,'Unit of Measure ship March 2026'!A:C,3,false)</f>
        <v>LBS</v>
      </c>
      <c r="J43" s="8"/>
      <c r="K43" s="27"/>
      <c r="L43" s="7"/>
      <c r="N43" s="15">
        <v>15547.0</v>
      </c>
      <c r="O43" s="9" t="str">
        <f>VLOOKUP(N43,'FML March 2026'!E:F,2,false)</f>
        <v>FENNEL FRESH CAL. 40#</v>
      </c>
      <c r="P43" s="9" t="str">
        <f>VLOOKUP(N43,'Unit of Measure ship March 2026'!A:C,3,false)</f>
        <v>LBS</v>
      </c>
      <c r="R43" s="19"/>
      <c r="V43" s="19"/>
    </row>
    <row r="44" ht="15.75" customHeight="1">
      <c r="B44" s="6">
        <v>16307.0</v>
      </c>
      <c r="C44" s="7" t="str">
        <f>VLOOKUP(B44,'FML March 2026'!E:F,2,false)</f>
        <v>SALT KOSHER GRANULATED</v>
      </c>
      <c r="D44" s="7" t="str">
        <f>VLOOKUP(B44,'Unit of Measure ship March 2026'!A:C,3,false)</f>
        <v>LBS</v>
      </c>
      <c r="F44" s="17">
        <v>16260.0</v>
      </c>
      <c r="G44" s="9" t="str">
        <f>VLOOKUP(F44,'FML March 2026'!E:F,2,false)</f>
        <v>GARLIC, POWDER, DRY, 12/16 OZ</v>
      </c>
      <c r="H44" s="9" t="str">
        <f>VLOOKUP(F44,'Unit of Measure ship March 2026'!A:C,3,false)</f>
        <v>LBS</v>
      </c>
      <c r="J44" s="8"/>
      <c r="K44" s="28"/>
      <c r="L44" s="7"/>
      <c r="N44" s="15">
        <v>30479.0</v>
      </c>
      <c r="O44" s="9" t="str">
        <f>VLOOKUP(N44,'FML March 2026'!E:F,2,false)</f>
        <v>GALANGAL</v>
      </c>
      <c r="P44" s="9" t="str">
        <f>VLOOKUP(N44,'Unit of Measure ship March 2026'!A:C,3,false)</f>
        <v>LBS</v>
      </c>
      <c r="R44" s="19"/>
      <c r="V44" s="19"/>
    </row>
    <row r="45" ht="15.75" customHeight="1">
      <c r="B45" s="6">
        <v>11260.0</v>
      </c>
      <c r="C45" s="7" t="str">
        <f>VLOOKUP(B45,'FML March 2026'!E:F,2,false)</f>
        <v>SESAME SEED BLACK</v>
      </c>
      <c r="D45" s="7" t="str">
        <f>VLOOKUP(B45,'Unit of Measure ship March 2026'!A:C,3,false)</f>
        <v>LBS</v>
      </c>
      <c r="F45" s="17">
        <v>16958.0</v>
      </c>
      <c r="G45" s="9" t="str">
        <f>VLOOKUP(F45,'FML March 2026'!E:F,2,false)</f>
        <v>GLUTEN FREE BREAD WHITE RICE 6/16 OZ KINNICKKNICK/UDI'S</v>
      </c>
      <c r="H45" s="9" t="str">
        <f>VLOOKUP(F45,'Unit of Measure ship March 2026'!A:C,3,false)</f>
        <v>PC/16OZ</v>
      </c>
      <c r="J45" s="8"/>
      <c r="K45" s="28"/>
      <c r="L45" s="7"/>
      <c r="N45" s="15">
        <v>109766.0</v>
      </c>
      <c r="O45" s="9" t="str">
        <f>VLOOKUP(N45,'FML March 2026'!E:F,2,false)</f>
        <v>GARLIC BLACK PEELED</v>
      </c>
      <c r="P45" s="9" t="str">
        <f>VLOOKUP(N45,'Unit of Measure ship March 2026'!A:C,3,false)</f>
        <v>LBS</v>
      </c>
      <c r="R45" s="19"/>
      <c r="V45" s="19"/>
    </row>
    <row r="46" ht="15.75" customHeight="1">
      <c r="B46" s="6">
        <v>15818.0</v>
      </c>
      <c r="C46" s="7" t="str">
        <f>VLOOKUP(B46,'FML March 2026'!E:F,2,false)</f>
        <v>SESAME SEEDS WHITE BADIA (USA )</v>
      </c>
      <c r="D46" s="7" t="str">
        <f>VLOOKUP(B46,'Unit of Measure ship March 2026'!A:C,3,false)</f>
        <v>LBS</v>
      </c>
      <c r="F46" s="8">
        <v>112068.0</v>
      </c>
      <c r="G46" s="9" t="str">
        <f>VLOOKUP(F46,'FML March 2026'!E:F,2,false)</f>
        <v>GOAT CHEESE  CHEFS CHEVRE CS 2/4 LB LAUR CHENEL</v>
      </c>
      <c r="H46" s="9" t="str">
        <f>VLOOKUP(F46,'Unit of Measure ship March 2026'!A:C,3,false)</f>
        <v>LBS</v>
      </c>
      <c r="J46" s="8"/>
      <c r="K46" s="28"/>
      <c r="L46" s="7"/>
      <c r="N46" s="15">
        <v>15466.0</v>
      </c>
      <c r="O46" s="9" t="str">
        <f>VLOOKUP(N46,'FML March 2026'!E:F,2,false)</f>
        <v>GARLIC CRATE JUMBO 30# 8 CT</v>
      </c>
      <c r="P46" s="9" t="str">
        <f>VLOOKUP(N46,'Unit of Measure ship March 2026'!A:C,3,false)</f>
        <v>LBS</v>
      </c>
      <c r="R46" s="19"/>
      <c r="V46" s="19"/>
    </row>
    <row r="47" ht="15.75" customHeight="1">
      <c r="B47" s="6">
        <v>109695.0</v>
      </c>
      <c r="C47" s="7" t="str">
        <f>VLOOKUP(B47,'FML March 2026'!E:F,2,false)</f>
        <v>SMOKED SALT MALDON</v>
      </c>
      <c r="D47" s="7" t="str">
        <f>VLOOKUP(B47,'Unit of Measure ship March 2026'!A:C,3,false)</f>
        <v>LBS</v>
      </c>
      <c r="F47" s="17">
        <v>27410.0</v>
      </c>
      <c r="G47" s="9" t="str">
        <f>VLOOKUP(F47,'FML March 2026'!E:F,2,false)</f>
        <v>HAM BLACK FOREST DRY CURED ADLER</v>
      </c>
      <c r="H47" s="9" t="str">
        <f>VLOOKUP(F47,'Unit of Measure ship March 2026'!A:C,3,false)</f>
        <v>LBS</v>
      </c>
      <c r="J47" s="8"/>
      <c r="K47" s="28"/>
      <c r="L47" s="7"/>
      <c r="N47" s="15">
        <v>30639.0</v>
      </c>
      <c r="O47" s="9" t="str">
        <f>VLOOKUP(N47,'FML March 2026'!E:F,2,false)</f>
        <v>GARLIC PEELED</v>
      </c>
      <c r="P47" s="9" t="str">
        <f>VLOOKUP(N47,'Unit of Measure ship March 2026'!A:C,3,false)</f>
        <v>LBS</v>
      </c>
      <c r="R47" s="19"/>
      <c r="V47" s="19"/>
    </row>
    <row r="48" ht="15.75" customHeight="1">
      <c r="B48" s="29">
        <v>109936.0</v>
      </c>
      <c r="C48" s="7" t="str">
        <f>VLOOKUP(B48,'FML March 2026'!E:F,2,false)</f>
        <v>SOUR CREAM ALTERNATIVE VEGAN PLANT PERFECT</v>
      </c>
      <c r="D48" s="7" t="str">
        <f>VLOOKUP(B48,'Unit of Measure ship March 2026'!A:C,3,false)</f>
        <v>LBS</v>
      </c>
      <c r="F48" s="17">
        <v>15658.0</v>
      </c>
      <c r="G48" s="9" t="str">
        <f>VLOOKUP(F48,'FML March 2026'!E:F,2,false)</f>
        <v>HONEY 6/5 LB GROEB/MELONIA/SWEET HARVEST</v>
      </c>
      <c r="H48" s="9" t="str">
        <f>VLOOKUP(F48,'Unit of Measure ship March 2026'!A:C,3,false)</f>
        <v>KG</v>
      </c>
      <c r="J48" s="8"/>
      <c r="K48" s="28"/>
      <c r="L48" s="7"/>
      <c r="N48" s="15">
        <v>38392.0</v>
      </c>
      <c r="O48" s="9" t="str">
        <f>VLOOKUP(N48,'FML March 2026'!E:F,2,false)</f>
        <v>GINGER FRESH</v>
      </c>
      <c r="P48" s="9" t="str">
        <f>VLOOKUP(N48,'Unit of Measure ship March 2026'!A:C,3,false)</f>
        <v>LBS</v>
      </c>
      <c r="R48" s="19"/>
      <c r="V48" s="19"/>
    </row>
    <row r="49" ht="15.75" customHeight="1">
      <c r="B49" s="6">
        <v>20150.0</v>
      </c>
      <c r="C49" s="7" t="str">
        <f>VLOOKUP(B49,'FML March 2026'!E:F,2,false)</f>
        <v>SOY SAUCE 4/1 GALLON KIKKOMAN</v>
      </c>
      <c r="D49" s="7" t="str">
        <f>VLOOKUP(B49,'Unit of Measure ship March 2026'!A:C,3,false)</f>
        <v>GAL</v>
      </c>
      <c r="F49" s="8">
        <v>16344.0</v>
      </c>
      <c r="G49" s="9" t="str">
        <f>VLOOKUP(F49,'FML March 2026'!E:F,2,false)</f>
        <v>HORSERADISH WHITE, PREPARED</v>
      </c>
      <c r="H49" s="9" t="str">
        <f>VLOOKUP(F49,'Unit of Measure ship March 2026'!A:C,3,false)</f>
        <v>GAL</v>
      </c>
      <c r="J49" s="8"/>
      <c r="K49" s="28"/>
      <c r="L49" s="7"/>
      <c r="N49" s="13">
        <v>15390.0</v>
      </c>
      <c r="O49" s="9" t="str">
        <f>VLOOKUP(N49,'FML March 2026'!E:F,2,false)</f>
        <v>GRAPEFRUITS #1 CA. 32CT HI-BRIGHT, PINK 40#</v>
      </c>
      <c r="P49" s="9" t="str">
        <f>VLOOKUP(N49,'Unit of Measure ship March 2026'!A:C,3,false)</f>
        <v>LBS</v>
      </c>
      <c r="R49" s="19"/>
      <c r="V49" s="19"/>
    </row>
    <row r="50" ht="15.75" customHeight="1">
      <c r="B50" s="6">
        <v>20151.0</v>
      </c>
      <c r="C50" s="7" t="str">
        <f>VLOOKUP(B50,'FML March 2026'!E:F,2,false)</f>
        <v>SOY SAUCE LOWER SODIUM CS6/64OZ KIKKOMAN #00130 (USA)</v>
      </c>
      <c r="D50" s="7" t="str">
        <f>VLOOKUP(B50,'Unit of Measure ship March 2026'!A:C,3,false)</f>
        <v>BTL/64OZ</v>
      </c>
      <c r="F50" s="8">
        <v>109680.0</v>
      </c>
      <c r="G50" s="9" t="str">
        <f>VLOOKUP(F50,'FML March 2026'!E:F,2,false)</f>
        <v>HOT SAUCE CHOLULAS</v>
      </c>
      <c r="H50" s="9" t="str">
        <f>VLOOKUP(F50,'Unit of Measure ship March 2026'!A:C,3,false)</f>
        <v>BTL/6OZ</v>
      </c>
      <c r="J50" s="8"/>
      <c r="K50" s="28"/>
      <c r="L50" s="7"/>
      <c r="N50" s="13">
        <v>15389.0</v>
      </c>
      <c r="O50" s="9" t="str">
        <f>VLOOKUP(N50,'FML March 2026'!E:F,2,false)</f>
        <v>GRAPES RED LARGE SEEDLESS CHILE 18#</v>
      </c>
      <c r="P50" s="9" t="str">
        <f>VLOOKUP(N50,'Unit of Measure ship March 2026'!A:C,3,false)</f>
        <v>LBS</v>
      </c>
      <c r="R50" s="19"/>
      <c r="V50" s="19"/>
    </row>
    <row r="51" ht="15.75" customHeight="1">
      <c r="B51" s="6">
        <v>20879.0</v>
      </c>
      <c r="C51" s="7" t="str">
        <f>VLOOKUP(B51,'FML March 2026'!E:F,2,false)</f>
        <v>SRIRACHA, HOT CHILI SAUCE, HUY FONG, 28OZ</v>
      </c>
      <c r="D51" s="7" t="str">
        <f>VLOOKUP(B51,'Unit of Measure ship March 2026'!A:C,3,false)</f>
        <v>BT/17OZ</v>
      </c>
      <c r="F51" s="8">
        <v>17917.0</v>
      </c>
      <c r="G51" s="9" t="str">
        <f>VLOOKUP(F51,'FML March 2026'!E:F,2,false)</f>
        <v>JAM BLUEBERRY, BULK</v>
      </c>
      <c r="H51" s="9" t="str">
        <f>VLOOKUP(F51,'Unit of Measure ship March 2026'!A:C,3,false)</f>
        <v>CS10/LBS</v>
      </c>
      <c r="J51" s="8"/>
      <c r="K51" s="28"/>
      <c r="L51" s="7"/>
      <c r="N51" s="13">
        <v>15387.0</v>
      </c>
      <c r="O51" s="9" t="str">
        <f>VLOOKUP(N51,'FML March 2026'!E:F,2,false)</f>
        <v>GRAPES WHITE. LARGE CHILE SEEDLESS 18#</v>
      </c>
      <c r="P51" s="9" t="str">
        <f>VLOOKUP(N51,'Unit of Measure ship March 2026'!A:C,3,false)</f>
        <v>LBS</v>
      </c>
      <c r="R51" s="19"/>
      <c r="V51" s="19"/>
    </row>
    <row r="52" ht="15.75" customHeight="1">
      <c r="B52" s="6">
        <v>15642.0</v>
      </c>
      <c r="C52" s="7" t="str">
        <f>VLOOKUP(B52,'FML March 2026'!E:F,2,false)</f>
        <v>SUGAR, GRANULATED, ICUMSA 150, SUGARCANE, DRY, 1/50 LB</v>
      </c>
      <c r="D52" s="7" t="str">
        <f>VLOOKUP(B52,'Unit of Measure ship March 2026'!A:C,3,false)</f>
        <v>LBS</v>
      </c>
      <c r="F52" s="17">
        <v>33375.0</v>
      </c>
      <c r="G52" s="9" t="str">
        <f>VLOOKUP(F52,'FML March 2026'!E:F,2,false)</f>
        <v>JAM STRAWBERRY, BULK</v>
      </c>
      <c r="H52" s="9" t="str">
        <f>VLOOKUP(F52,'Unit of Measure ship March 2026'!A:C,3,false)</f>
        <v>CS10/LBS</v>
      </c>
      <c r="J52" s="8"/>
      <c r="K52" s="28"/>
      <c r="L52" s="7"/>
      <c r="N52" s="15">
        <v>61703.0</v>
      </c>
      <c r="O52" s="9" t="str">
        <f>VLOOKUP(N52,'FML March 2026'!E:F,2,false)</f>
        <v>HABANERO PEPPERS FRESH</v>
      </c>
      <c r="P52" s="9" t="str">
        <f>VLOOKUP(N52,'Unit of Measure ship March 2026'!A:C,3,false)</f>
        <v>LBS</v>
      </c>
      <c r="R52" s="19"/>
      <c r="V52" s="19"/>
    </row>
    <row r="53" ht="15.75" customHeight="1">
      <c r="B53" s="6">
        <v>16939.0</v>
      </c>
      <c r="C53" s="7" t="str">
        <f>VLOOKUP(B53,'FML March 2026'!E:F,2,false)</f>
        <v>TAMARI, GLUTEN FREE SOY SAUCE IH 11/20</v>
      </c>
      <c r="D53" s="7" t="str">
        <f>VLOOKUP(B53,'Unit of Measure ship March 2026'!A:C,3,false)</f>
        <v>PC/10OZ</v>
      </c>
      <c r="F53" s="17">
        <v>16349.0</v>
      </c>
      <c r="G53" s="9" t="str">
        <f>VLOOKUP(F53,'FML March 2026'!E:F,2,false)</f>
        <v>KETCHUP, HEINZ, 51290, DRY, 6/#10</v>
      </c>
      <c r="H53" s="9" t="str">
        <f>VLOOKUP(F53,'Unit of Measure ship March 2026'!A:C,3,false)</f>
        <v>CN/6.5LB</v>
      </c>
      <c r="J53" s="8"/>
      <c r="K53" s="28"/>
      <c r="L53" s="7"/>
      <c r="N53" s="15">
        <v>15426.0</v>
      </c>
      <c r="O53" s="9" t="str">
        <f>VLOOKUP(N53,'FML March 2026'!E:F,2,false)</f>
        <v>HORSERADISH ROOTS FRESH #</v>
      </c>
      <c r="P53" s="9" t="str">
        <f>VLOOKUP(N53,'Unit of Measure ship March 2026'!A:C,3,false)</f>
        <v>LBS</v>
      </c>
      <c r="R53" s="19"/>
      <c r="V53" s="19"/>
    </row>
    <row r="54" ht="15.75" customHeight="1">
      <c r="B54" s="6">
        <v>30699.0</v>
      </c>
      <c r="C54" s="7" t="str">
        <f>VLOOKUP(B54,'FML March 2026'!E:F,2,false)</f>
        <v>TARTLETS, MINI, SALTED, 2"</v>
      </c>
      <c r="D54" s="7" t="str">
        <f>VLOOKUP(B54,'Unit of Measure ship March 2026'!A:C,3,false)</f>
        <v>PC</v>
      </c>
      <c r="F54" s="8">
        <v>15057.0</v>
      </c>
      <c r="G54" s="9" t="str">
        <f>VLOOKUP(F54,'FML March 2026'!E:F,2,false)</f>
        <v>MANCHEGO, MEDIUM (MESETA)</v>
      </c>
      <c r="H54" s="9" t="str">
        <f>VLOOKUP(F54,'Unit of Measure ship March 2026'!A:C,3,false)</f>
        <v>LBS</v>
      </c>
      <c r="J54" s="8"/>
      <c r="K54" s="28"/>
      <c r="L54" s="7"/>
      <c r="N54" s="15">
        <v>30025.0</v>
      </c>
      <c r="O54" s="9" t="str">
        <f>VLOOKUP(N54,'FML March 2026'!E:F,2,false)</f>
        <v>KAFFIR LIME LEAVES FRESH</v>
      </c>
      <c r="P54" s="9" t="str">
        <f>VLOOKUP(N54,'Unit of Measure ship March 2026'!A:C,3,false)</f>
        <v>LBS</v>
      </c>
      <c r="R54" s="19"/>
      <c r="V54" s="19"/>
    </row>
    <row r="55" ht="15.75" customHeight="1">
      <c r="B55" s="6">
        <v>15583.0</v>
      </c>
      <c r="C55" s="7" t="str">
        <f>VLOOKUP(B55,'FML March 2026'!E:F,2,false)</f>
        <v>TOMATO, SUN-DRIED, HALVES, STANDARD, DRY, 4/5 LB</v>
      </c>
      <c r="D55" s="7" t="str">
        <f>VLOOKUP(B55,'Unit of Measure ship March 2026'!A:C,3,false)</f>
        <v>LBS</v>
      </c>
      <c r="F55" s="17">
        <v>16380.0</v>
      </c>
      <c r="G55" s="9" t="str">
        <f>VLOOKUP(F55,'FML March 2026'!E:F,2,false)</f>
        <v>MAYONNAISE HEAVY DUTY, GALLON</v>
      </c>
      <c r="H55" s="9" t="str">
        <f>VLOOKUP(F55,'Unit of Measure ship March 2026'!A:C,3,false)</f>
        <v>GAL</v>
      </c>
      <c r="J55" s="8"/>
      <c r="K55" s="27"/>
      <c r="N55" s="15">
        <v>110907.0</v>
      </c>
      <c r="O55" s="9" t="str">
        <f>VLOOKUP(N55,'FML March 2026'!E:F,2,false)</f>
        <v>KALE GREEN  FRESH CS15/LBS</v>
      </c>
      <c r="P55" s="9" t="str">
        <f>VLOOKUP(N55,'Unit of Measure ship March 2026'!A:C,3,false)</f>
        <v>LBS</v>
      </c>
      <c r="R55" s="19"/>
      <c r="V55" s="19"/>
    </row>
    <row r="56" ht="15.75" customHeight="1">
      <c r="B56" s="6">
        <v>111690.0</v>
      </c>
      <c r="C56" s="7" t="str">
        <f>VLOOKUP(B56,'FML March 2026'!E:F,2,false)</f>
        <v>TORTILLA CORN 4.5 INCH CS6/50PC MISSION</v>
      </c>
      <c r="D56" s="7" t="str">
        <f>VLOOKUP(B56,'Unit of Measure ship March 2026'!A:C,3,false)</f>
        <v>PC</v>
      </c>
      <c r="F56" s="8">
        <v>109668.0</v>
      </c>
      <c r="G56" s="9" t="str">
        <f>VLOOKUP(F56,'FML March 2026'!E:F,2,false)</f>
        <v>MAYONNAISE VEGAN FOLLOW YOUR HEART</v>
      </c>
      <c r="H56" s="9" t="str">
        <f>VLOOKUP(F56,'Unit of Measure ship March 2026'!A:C,3,false)</f>
        <v>GAL</v>
      </c>
      <c r="J56" s="8"/>
      <c r="K56" s="27"/>
      <c r="N56" s="13">
        <v>15395.0</v>
      </c>
      <c r="O56" s="9" t="str">
        <f>VLOOKUP(N56,'FML March 2026'!E:F,2,false)</f>
        <v>KIWI, NEW ZEALAND/CALIFORNIA, RIPE</v>
      </c>
      <c r="P56" s="9" t="str">
        <f>VLOOKUP(N56,'Unit of Measure ship March 2026'!A:C,3,false)</f>
        <v>LBS</v>
      </c>
      <c r="R56" s="19"/>
      <c r="V56" s="19"/>
    </row>
    <row r="57" ht="15.75" customHeight="1">
      <c r="B57" s="6">
        <v>16310.0</v>
      </c>
      <c r="C57" s="7" t="str">
        <f>VLOOKUP(B57,'FML March 2026'!E:F,2,false)</f>
        <v>TURMERIC GROUND</v>
      </c>
      <c r="D57" s="7" t="str">
        <f>VLOOKUP(B57,'Unit of Measure ship March 2026'!A:C,3,false)</f>
        <v>LBS</v>
      </c>
      <c r="F57" s="8">
        <v>109667.0</v>
      </c>
      <c r="G57" s="9" t="str">
        <f>VLOOKUP(F57,'FML March 2026'!E:F,2,false)</f>
        <v>MAYONNAISE, UNILEVER - HELLMANN'S, 4800126530, DRY, 4/1 GAL</v>
      </c>
      <c r="H57" s="9" t="str">
        <f>VLOOKUP(F57,'Unit of Measure ship March 2026'!A:C,3,false)</f>
        <v>GAL</v>
      </c>
      <c r="J57" s="8"/>
      <c r="K57" s="27"/>
      <c r="N57" s="15">
        <v>15471.0</v>
      </c>
      <c r="O57" s="9" t="str">
        <f>VLOOKUP(N57,'FML March 2026'!E:F,2,false)</f>
        <v>LEEKS LARGE FRESH 12 BU 15#</v>
      </c>
      <c r="P57" s="9" t="str">
        <f>VLOOKUP(N57,'Unit of Measure ship March 2026'!A:C,3,false)</f>
        <v>LBS</v>
      </c>
      <c r="R57" s="19"/>
      <c r="V57" s="19"/>
    </row>
    <row r="58" ht="15.75" customHeight="1">
      <c r="B58" s="6">
        <v>109927.0</v>
      </c>
      <c r="C58" s="7" t="str">
        <f>VLOOKUP(B58,'FML March 2026'!E:F,2,false)</f>
        <v>VEGAN GROUND BEEF ALTERNATIVE IMPOSSIBLE BULK</v>
      </c>
      <c r="D58" s="7" t="str">
        <f>VLOOKUP(B58,'Unit of Measure ship March 2026'!A:C,3,false)</f>
        <v>LBS</v>
      </c>
      <c r="F58" s="8">
        <v>11745.0</v>
      </c>
      <c r="G58" s="9" t="str">
        <f>VLOOKUP(F58,'FML March 2026'!E:F,2,false)</f>
        <v>MAYTAG BLUE CHEESE</v>
      </c>
      <c r="H58" s="9" t="str">
        <f>VLOOKUP(F58,'Unit of Measure ship March 2026'!A:C,3,false)</f>
        <v>LBS</v>
      </c>
      <c r="J58" s="18"/>
      <c r="K58" s="27"/>
      <c r="N58" s="15">
        <v>15478.0</v>
      </c>
      <c r="O58" s="9" t="str">
        <f>VLOOKUP(N58,'FML March 2026'!E:F,2,false)</f>
        <v>LEMONGRASS 12 STICKS/BUNCH 1#/BUNCH</v>
      </c>
      <c r="P58" s="9" t="str">
        <f>VLOOKUP(N58,'Unit of Measure ship March 2026'!A:C,3,false)</f>
        <v>LBS</v>
      </c>
      <c r="R58" s="19"/>
      <c r="V58" s="19"/>
    </row>
    <row r="59" ht="15.75" customHeight="1">
      <c r="B59" s="6">
        <v>109665.0</v>
      </c>
      <c r="C59" s="7" t="str">
        <f>VLOOKUP(B59,'FML March 2026'!E:F,2,false)</f>
        <v>VINEGAR CABERNET SPARROW LANE</v>
      </c>
      <c r="D59" s="7" t="str">
        <f>VLOOKUP(B59,'Unit of Measure ship March 2026'!A:C,3,false)</f>
        <v>GAL</v>
      </c>
      <c r="F59" s="17">
        <v>106293.0</v>
      </c>
      <c r="G59" s="9" t="str">
        <f>VLOOKUP(F59,'FML March 2026'!E:F,2,false)</f>
        <v>MOJO MARINADE LIQUID BADIA 1 GALLON</v>
      </c>
      <c r="H59" s="9" t="str">
        <f>VLOOKUP(F59,'Unit of Measure ship March 2026'!A:C,3,false)</f>
        <v>GAL</v>
      </c>
      <c r="J59" s="8"/>
      <c r="K59" s="27"/>
      <c r="N59" s="13">
        <v>15397.0</v>
      </c>
      <c r="O59" s="9" t="str">
        <f>VLOOKUP(N59,'FML March 2026'!E:F,2,false)</f>
        <v>LEMONS FRESH FIRM FANCY CALIF. SUNKIST #1 200CT 40#</v>
      </c>
      <c r="P59" s="9" t="str">
        <f>VLOOKUP(N59,'Unit of Measure ship March 2026'!A:C,3,false)</f>
        <v>LBS</v>
      </c>
      <c r="R59" s="19"/>
      <c r="V59" s="19"/>
    </row>
    <row r="60" ht="15.75" customHeight="1">
      <c r="B60" s="6">
        <v>109666.0</v>
      </c>
      <c r="C60" s="7" t="str">
        <f>VLOOKUP(B60,'FML March 2026'!E:F,2,false)</f>
        <v>VINEGAR CHAMPAGNE WINE SPARROW LANE/ PACKER</v>
      </c>
      <c r="D60" s="7" t="str">
        <f>VLOOKUP(B60,'Unit of Measure ship March 2026'!A:C,3,false)</f>
        <v>GAL</v>
      </c>
      <c r="F60" s="8">
        <v>15010.0</v>
      </c>
      <c r="G60" s="9" t="str">
        <f>VLOOKUP(F60,'FML March 2026'!E:F,2,false)</f>
        <v>MONTERREY JACK 10 LB WHEEL</v>
      </c>
      <c r="H60" s="9" t="str">
        <f>VLOOKUP(F60,'Unit of Measure ship March 2026'!A:C,3,false)</f>
        <v>LBS</v>
      </c>
      <c r="J60" s="8"/>
      <c r="K60" s="28"/>
      <c r="N60" s="15">
        <v>111049.0</v>
      </c>
      <c r="O60" s="9" t="str">
        <f>VLOOKUP(N60,'FML March 2026'!E:F,2,false)</f>
        <v>LETTUCE BABY GEM FRESH CS24/CT</v>
      </c>
      <c r="P60" s="9" t="str">
        <f>VLOOKUP(N60,'Unit of Measure ship March 2026'!A:C,3,false)</f>
        <v>LBS</v>
      </c>
      <c r="R60" s="19"/>
      <c r="V60" s="19"/>
    </row>
    <row r="61" ht="15.75" customHeight="1">
      <c r="B61" s="6">
        <v>16402.0</v>
      </c>
      <c r="C61" s="7" t="str">
        <f>VLOOKUP(B61,'FML March 2026'!E:F,2,false)</f>
        <v>VINEGAR SHERRY/ XERES CS4/5 LT ROLAND</v>
      </c>
      <c r="D61" s="7" t="str">
        <f>VLOOKUP(B61,'Unit of Measure ship March 2026'!A:C,3,false)</f>
        <v>BT/750ML</v>
      </c>
      <c r="F61" s="8">
        <v>14555.0</v>
      </c>
      <c r="G61" s="9" t="str">
        <f>VLOOKUP(F61,'FML March 2026'!E:F,2,false)</f>
        <v>MORTADELLA W/ PISTACHIO GALBANI/ DANIELLE</v>
      </c>
      <c r="H61" s="9" t="str">
        <f>VLOOKUP(F61,'Unit of Measure ship March 2026'!A:C,3,false)</f>
        <v>LBS</v>
      </c>
      <c r="J61" s="8"/>
      <c r="K61" s="28"/>
      <c r="N61" s="15">
        <v>15608.0</v>
      </c>
      <c r="O61" s="9" t="str">
        <f>VLOOKUP(N61,'FML March 2026'!E:F,2,false)</f>
        <v>LETTUCE FRISEE 4#</v>
      </c>
      <c r="P61" s="9" t="str">
        <f>VLOOKUP(N61,'Unit of Measure ship March 2026'!A:C,3,false)</f>
        <v>LBS</v>
      </c>
      <c r="R61" s="19"/>
      <c r="V61" s="19"/>
    </row>
    <row r="62" ht="15.75" customHeight="1">
      <c r="B62" s="6">
        <v>16413.0</v>
      </c>
      <c r="C62" s="7" t="str">
        <f>VLOOKUP(B62,'FML March 2026'!E:F,2,false)</f>
        <v>VINEGAR, RICE WINE, UNSEASONED, JUG</v>
      </c>
      <c r="D62" s="7" t="str">
        <f>VLOOKUP(B62,'Unit of Measure ship March 2026'!A:C,3,false)</f>
        <v>GAL</v>
      </c>
      <c r="F62" s="8">
        <v>15051.0</v>
      </c>
      <c r="G62" s="9" t="str">
        <f>VLOOKUP(F62,'FML March 2026'!E:F,2,false)</f>
        <v>MOZZARELLA DI BUFFALA CHEESE FRESH ABC BRAND 10/8.8 OZ- CI16 (ITALY)</v>
      </c>
      <c r="H62" s="9" t="str">
        <f>VLOOKUP(F62,'Unit of Measure ship March 2026'!A:C,3,false)</f>
        <v>PC/8.8OZ</v>
      </c>
      <c r="J62" s="8"/>
      <c r="K62" s="28"/>
      <c r="N62" s="15">
        <v>15498.0</v>
      </c>
      <c r="O62" s="9" t="str">
        <f>VLOOKUP(N62,'FML March 2026'!E:F,2,false)</f>
        <v>LETTUCE GREEN LEAF CAL. 24HD 20#/CS</v>
      </c>
      <c r="P62" s="9" t="str">
        <f>VLOOKUP(N62,'Unit of Measure ship March 2026'!A:C,3,false)</f>
        <v>LBS</v>
      </c>
      <c r="R62" s="19"/>
      <c r="V62" s="19"/>
    </row>
    <row r="63" ht="15.75" customHeight="1">
      <c r="B63" s="6">
        <v>38071.0</v>
      </c>
      <c r="C63" s="7" t="str">
        <f>VLOOKUP(B63,'FML March 2026'!E:F,2,false)</f>
        <v>WASABI POWDER SANWA JAPANESE</v>
      </c>
      <c r="D63" s="7" t="str">
        <f>VLOOKUP(B63,'Unit of Measure ship March 2026'!A:C,3,false)</f>
        <v>KG</v>
      </c>
      <c r="F63" s="8">
        <v>14995.0</v>
      </c>
      <c r="G63" s="9" t="str">
        <f>VLOOKUP(F63,'FML March 2026'!E:F,2,false)</f>
        <v>MOZZARELLA, 100%, SHREDDED, WHOLE MILK</v>
      </c>
      <c r="H63" s="9" t="str">
        <f>VLOOKUP(F63,'Unit of Measure ship March 2026'!A:C,3,false)</f>
        <v>LBS</v>
      </c>
      <c r="J63" s="8"/>
      <c r="K63" s="28"/>
      <c r="N63" s="15">
        <v>15473.0</v>
      </c>
      <c r="O63" s="9" t="str">
        <f>VLOOKUP(N63,'FML March 2026'!E:F,2,false)</f>
        <v>LETTUCE ICEBERG, CALIF. AVGE 50# CASE 24HD</v>
      </c>
      <c r="P63" s="9" t="str">
        <f>VLOOKUP(N63,'Unit of Measure ship March 2026'!A:C,3,false)</f>
        <v>LBS</v>
      </c>
      <c r="R63" s="19"/>
      <c r="V63" s="19"/>
    </row>
    <row r="64" ht="15.75" customHeight="1">
      <c r="B64" s="6">
        <v>49450.0</v>
      </c>
      <c r="C64" s="7" t="str">
        <f>VLOOKUP(B64,'FML March 2026'!E:F,2,false)</f>
        <v>WHIPPING CREAM (35% TO 36%) UHT</v>
      </c>
      <c r="D64" s="7" t="str">
        <f>VLOOKUP(B64,'Unit of Measure ship March 2026'!A:C,3,false)</f>
        <v>QRT</v>
      </c>
      <c r="F64" s="8">
        <v>14994.0</v>
      </c>
      <c r="G64" s="9" t="str">
        <f>VLOOKUP(F64,'FML March 2026'!E:F,2,false)</f>
        <v>MOZZARELLA, DOMESTIC, LOAF</v>
      </c>
      <c r="H64" s="9" t="str">
        <f>VLOOKUP(F64,'Unit of Measure ship March 2026'!A:C,3,false)</f>
        <v>LBS</v>
      </c>
      <c r="J64" s="18"/>
      <c r="K64" s="28"/>
      <c r="N64" s="15">
        <v>15609.0</v>
      </c>
      <c r="O64" s="9" t="str">
        <f>VLOOKUP(N64,'FML March 2026'!E:F,2,false)</f>
        <v>LETTUCE RED OAK, 2#/CS</v>
      </c>
      <c r="P64" s="9" t="str">
        <f>VLOOKUP(N64,'Unit of Measure ship March 2026'!A:C,3,false)</f>
        <v>LBS</v>
      </c>
      <c r="R64" s="19"/>
      <c r="V64" s="19"/>
    </row>
    <row r="65" ht="15.75" customHeight="1">
      <c r="B65" s="6">
        <v>109846.0</v>
      </c>
      <c r="C65" s="7" t="str">
        <f>VLOOKUP(B65,'FML March 2026'!E:F,2,false)</f>
        <v>YOGURT GREEK BULK</v>
      </c>
      <c r="D65" s="7" t="str">
        <f>VLOOKUP(B65,'Unit of Measure ship March 2026'!A:C,3,false)</f>
        <v>LBS</v>
      </c>
      <c r="F65" s="17">
        <v>16426.0</v>
      </c>
      <c r="G65" s="9" t="str">
        <f>VLOOKUP(F65,'FML March 2026'!E:F,2,false)</f>
        <v>MUSTARD  TUB GREY POUPON - DIJON MUSTARD PLAIN (FRANCE)</v>
      </c>
      <c r="H65" s="9" t="str">
        <f>VLOOKUP(F65,'Unit of Measure ship March 2026'!A:C,3,false)</f>
        <v>JAR/48OZ</v>
      </c>
      <c r="J65" s="18"/>
      <c r="K65" s="28"/>
      <c r="N65" s="15">
        <v>15489.0</v>
      </c>
      <c r="O65" s="9" t="str">
        <f>VLOOKUP(N65,'FML March 2026'!E:F,2,false)</f>
        <v>LETTUCE ROMAINE, CAL., CRISP 24HD 38#</v>
      </c>
      <c r="P65" s="9" t="str">
        <f>VLOOKUP(N65,'Unit of Measure ship March 2026'!A:C,3,false)</f>
        <v>LBS</v>
      </c>
      <c r="R65" s="19"/>
      <c r="V65" s="19"/>
    </row>
    <row r="66" ht="15.75" customHeight="1">
      <c r="B66" s="7"/>
      <c r="C66" s="7"/>
      <c r="D66" s="7"/>
      <c r="F66" s="8">
        <v>12275.0</v>
      </c>
      <c r="G66" s="9" t="str">
        <f>VLOOKUP(F66,'FML March 2026'!E:F,2,false)</f>
        <v>MUSTARD BROWN 4/1 GALLON GULDENS (FRANCE)</v>
      </c>
      <c r="H66" s="9" t="str">
        <f>VLOOKUP(F66,'Unit of Measure ship March 2026'!A:C,3,false)</f>
        <v>GAL</v>
      </c>
      <c r="J66" s="18"/>
      <c r="K66" s="28"/>
      <c r="N66" s="15">
        <v>15623.0</v>
      </c>
      <c r="O66" s="9" t="str">
        <f>VLOOKUP(N66,'FML March 2026'!E:F,2,false)</f>
        <v>LETTUCE, MESCLUN  3#/CS</v>
      </c>
      <c r="P66" s="9" t="str">
        <f>VLOOKUP(N66,'Unit of Measure ship March 2026'!A:C,3,false)</f>
        <v>LBS</v>
      </c>
      <c r="R66" s="19"/>
      <c r="V66" s="19"/>
    </row>
    <row r="67" ht="15.75" customHeight="1">
      <c r="B67" s="7"/>
      <c r="C67" s="7"/>
      <c r="D67" s="7"/>
      <c r="F67" s="8">
        <v>16320.0</v>
      </c>
      <c r="G67" s="9" t="str">
        <f>VLOOKUP(F67,'FML March 2026'!E:F,2,false)</f>
        <v>MUSTARD SEED 24 OZ D`ALLESANDRO/ SPICECO</v>
      </c>
      <c r="H67" s="9" t="str">
        <f>VLOOKUP(F67,'Unit of Measure ship March 2026'!A:C,3,false)</f>
        <v>LBS</v>
      </c>
      <c r="J67" s="30"/>
      <c r="K67" s="28"/>
      <c r="N67" s="13">
        <v>108947.0</v>
      </c>
      <c r="O67" s="9" t="str">
        <f>VLOOKUP(N67,'FML March 2026'!E:F,2,false)</f>
        <v>LIMES, FRESH, CAVIAR (FINGER LIMES)</v>
      </c>
      <c r="P67" s="9" t="str">
        <f>VLOOKUP(N67,'Unit of Measure ship March 2026'!A:C,3,false)</f>
        <v>LBS</v>
      </c>
      <c r="R67" s="19"/>
      <c r="V67" s="19"/>
    </row>
    <row r="68" ht="15.75" customHeight="1">
      <c r="B68" s="7"/>
      <c r="C68" s="7"/>
      <c r="D68" s="7"/>
      <c r="F68" s="17">
        <v>16350.0</v>
      </c>
      <c r="G68" s="9" t="str">
        <f>VLOOKUP(F68,'FML March 2026'!E:F,2,false)</f>
        <v>MUSTARD YELLOW, PREPARED, GAL FRENCH`S</v>
      </c>
      <c r="H68" s="9" t="str">
        <f>VLOOKUP(F68,'Unit of Measure ship March 2026'!A:C,3,false)</f>
        <v>GAL</v>
      </c>
      <c r="J68" s="31"/>
      <c r="K68" s="28"/>
      <c r="N68" s="13">
        <v>15399.0</v>
      </c>
      <c r="O68" s="9" t="str">
        <f>VLOOKUP(N68,'FML March 2026'!E:F,2,false)</f>
        <v>LIMES, FRESH, FIRM #1 200CT 40#</v>
      </c>
      <c r="P68" s="9" t="str">
        <f>VLOOKUP(N68,'Unit of Measure ship March 2026'!A:C,3,false)</f>
        <v>LBS</v>
      </c>
      <c r="R68" s="19"/>
      <c r="V68" s="19"/>
    </row>
    <row r="69" ht="15.75" customHeight="1">
      <c r="B69" s="7"/>
      <c r="C69" s="7"/>
      <c r="D69" s="7"/>
      <c r="F69" s="17">
        <v>37627.0</v>
      </c>
      <c r="G69" s="9" t="str">
        <f>VLOOKUP(F69,'FML March 2026'!E:F,2,false)</f>
        <v>NOODLE, VERMICELLI, GLASS NOODLES, PACKER</v>
      </c>
      <c r="H69" s="9" t="str">
        <f>VLOOKUP(F69,'Unit of Measure ship March 2026'!A:C,3,false)</f>
        <v>PK/8.8OZ</v>
      </c>
      <c r="J69" s="31"/>
      <c r="K69" s="28"/>
      <c r="N69" s="15">
        <v>19401.0</v>
      </c>
      <c r="O69" s="9" t="str">
        <f>VLOOKUP(N69,'FML March 2026'!E:F,2,false)</f>
        <v>LOTUS ROOT FRESH</v>
      </c>
      <c r="P69" s="9" t="str">
        <f>VLOOKUP(N69,'Unit of Measure ship March 2026'!A:C,3,false)</f>
        <v>LBS</v>
      </c>
      <c r="R69" s="19"/>
      <c r="V69" s="19"/>
    </row>
    <row r="70" ht="15.75" customHeight="1">
      <c r="B70" s="7"/>
      <c r="C70" s="7"/>
      <c r="D70" s="7"/>
      <c r="F70" s="32">
        <v>52602.0</v>
      </c>
      <c r="G70" s="33" t="str">
        <f>VLOOKUP(F70,'FML March 2026'!E:F,2,false)</f>
        <v>OIL, 100% OLIVE, EXTRA VIRGIN, DRY, 4/5 LT</v>
      </c>
      <c r="H70" s="33" t="str">
        <f>VLOOKUP(F70,'Unit of Measure ship March 2026'!A:C,3,false)</f>
        <v>LT</v>
      </c>
      <c r="J70" s="31"/>
      <c r="K70" s="28"/>
      <c r="N70" s="13">
        <v>110068.0</v>
      </c>
      <c r="O70" s="9" t="str">
        <f>VLOOKUP(N70,'FML March 2026'!E:F,2,false)</f>
        <v>MAITAKE MUSHROOM FRESH</v>
      </c>
      <c r="P70" s="9" t="str">
        <f>VLOOKUP(N70,'Unit of Measure ship March 2026'!A:C,3,false)</f>
        <v>LBS</v>
      </c>
      <c r="R70" s="19"/>
      <c r="V70" s="19"/>
    </row>
    <row r="71" ht="15.75" customHeight="1">
      <c r="B71" s="7"/>
      <c r="C71" s="7"/>
      <c r="D71" s="7"/>
      <c r="F71" s="17">
        <v>16346.0</v>
      </c>
      <c r="G71" s="9" t="str">
        <f>VLOOKUP(F71,'FML March 2026'!E:F,2,false)</f>
        <v>OIL, 100% SESAME, TOASTED, DRY, 10/56 OZ</v>
      </c>
      <c r="H71" s="9" t="str">
        <f>VLOOKUP(F71,'Unit of Measure ship March 2026'!A:C,3,false)</f>
        <v>BT/56OZ</v>
      </c>
      <c r="J71" s="8"/>
      <c r="K71" s="27"/>
      <c r="N71" s="13">
        <v>31631.0</v>
      </c>
      <c r="O71" s="9" t="str">
        <f>VLOOKUP(N71,'FML March 2026'!E:F,2,false)</f>
        <v>MANDARINS FRESH</v>
      </c>
      <c r="P71" s="9" t="str">
        <f>VLOOKUP(N71,'Unit of Measure ship March 2026'!A:C,3,false)</f>
        <v>LBS</v>
      </c>
      <c r="R71" s="19"/>
      <c r="V71" s="19"/>
    </row>
    <row r="72" ht="15.75" customHeight="1">
      <c r="B72" s="7"/>
      <c r="C72" s="7"/>
      <c r="D72" s="7"/>
      <c r="F72" s="17">
        <v>16377.0</v>
      </c>
      <c r="G72" s="9" t="str">
        <f>VLOOKUP(F72,'FML March 2026'!E:F,2,false)</f>
        <v>OIL, 100% VEGETABLE SOYBEAN, DRY, 4/5 LT</v>
      </c>
      <c r="H72" s="9" t="str">
        <f>VLOOKUP(F72,'Unit of Measure ship March 2026'!A:C,3,false)</f>
        <v>C4/5LT</v>
      </c>
      <c r="J72" s="18"/>
      <c r="K72" s="27"/>
      <c r="N72" s="13">
        <v>15400.0</v>
      </c>
      <c r="O72" s="9" t="str">
        <f>VLOOKUP(N72,'FML March 2026'!E:F,2,false)</f>
        <v>MANGOS, RIPE 9/12 CT, 10#/CS</v>
      </c>
      <c r="P72" s="9" t="str">
        <f>VLOOKUP(N72,'Unit of Measure ship March 2026'!A:C,3,false)</f>
        <v>LBS</v>
      </c>
      <c r="R72" s="19"/>
      <c r="V72" s="19"/>
    </row>
    <row r="73" ht="15.75" customHeight="1">
      <c r="B73" s="7"/>
      <c r="C73" s="7"/>
      <c r="D73" s="7"/>
      <c r="F73" s="8">
        <v>10265.0</v>
      </c>
      <c r="G73" s="9" t="str">
        <f>VLOOKUP(F73,'FML March 2026'!E:F,2,false)</f>
        <v>OIL, FRYING, 100% SOYBEAN, TRANS FAT FREE, FLASHPOINT &gt;600F, DRY, 4/5 LT</v>
      </c>
      <c r="H73" s="9" t="str">
        <f>VLOOKUP(F73,'Unit of Measure ship March 2026'!A:C,3,false)</f>
        <v>CS4/5LT</v>
      </c>
      <c r="K73" s="27"/>
      <c r="N73" s="15">
        <v>15434.0</v>
      </c>
      <c r="O73" s="9" t="str">
        <f>VLOOKUP(N73,'FML March 2026'!E:F,2,false)</f>
        <v>MARJORAM (12 BUNCH), 1 LB/CS</v>
      </c>
      <c r="P73" s="9" t="str">
        <f>VLOOKUP(N73,'Unit of Measure ship March 2026'!A:C,3,false)</f>
        <v>LBS</v>
      </c>
      <c r="R73" s="19"/>
      <c r="V73" s="19"/>
    </row>
    <row r="74" ht="15.75" customHeight="1">
      <c r="B74" s="7"/>
      <c r="C74" s="7"/>
      <c r="D74" s="7"/>
      <c r="F74" s="17">
        <v>18644.0</v>
      </c>
      <c r="G74" s="9" t="str">
        <f>VLOOKUP(F74,'FML March 2026'!E:F,2,false)</f>
        <v>OLD BAY SEASONING 16 OZ MC CORMICK</v>
      </c>
      <c r="H74" s="9" t="str">
        <f>VLOOKUP(F74,'Unit of Measure ship March 2026'!A:C,3,false)</f>
        <v>TIN16/OZ</v>
      </c>
      <c r="K74" s="34"/>
      <c r="N74" s="13">
        <v>15402.0</v>
      </c>
      <c r="O74" s="9" t="str">
        <f>VLOOKUP(N74,'FML March 2026'!E:F,2,false)</f>
        <v>MELON CANTALOUPE 12 CT, 40#/CS</v>
      </c>
      <c r="P74" s="9" t="str">
        <f>VLOOKUP(N74,'Unit of Measure ship March 2026'!A:C,3,false)</f>
        <v>LBS</v>
      </c>
      <c r="R74" s="19"/>
      <c r="V74" s="19"/>
    </row>
    <row r="75" ht="15.75" customHeight="1">
      <c r="B75" s="7"/>
      <c r="C75" s="7"/>
      <c r="D75" s="7"/>
      <c r="F75" s="17">
        <v>52603.0</v>
      </c>
      <c r="G75" s="9" t="str">
        <f>VLOOKUP(F75,'FML March 2026'!E:F,2,false)</f>
        <v>OLIVE/CANOLA BLEND OIL</v>
      </c>
      <c r="H75" s="9" t="str">
        <f>VLOOKUP(F75,'Unit of Measure ship March 2026'!A:C,3,false)</f>
        <v>LT</v>
      </c>
      <c r="J75" s="23"/>
      <c r="K75" s="34"/>
      <c r="N75" s="13">
        <v>15404.0</v>
      </c>
      <c r="O75" s="9" t="str">
        <f>VLOOKUP(N75,'FML March 2026'!E:F,2,false)</f>
        <v>MELON HONEYDEW #1 6/8CT. 25#</v>
      </c>
      <c r="P75" s="9" t="str">
        <f>VLOOKUP(N75,'Unit of Measure ship March 2026'!A:C,3,false)</f>
        <v>LBS</v>
      </c>
      <c r="R75" s="19"/>
      <c r="V75" s="19"/>
    </row>
    <row r="76" ht="15.75" customHeight="1">
      <c r="B76" s="7"/>
      <c r="C76" s="7"/>
      <c r="D76" s="7"/>
      <c r="F76" s="8">
        <v>16431.0</v>
      </c>
      <c r="G76" s="9" t="str">
        <f>VLOOKUP(F76,'FML March 2026'!E:F,2,false)</f>
        <v>OLIVES KALAMATA PITTED AMBROSIA 16122 (8X5) (TURKEY)</v>
      </c>
      <c r="H76" s="9" t="str">
        <f>VLOOKUP(F76,'Unit of Measure ship March 2026'!A:C,3,false)</f>
        <v>CAN/2KG</v>
      </c>
      <c r="J76" s="23"/>
      <c r="K76" s="34"/>
      <c r="N76" s="15">
        <v>110915.0</v>
      </c>
      <c r="O76" s="9" t="str">
        <f>VLOOKUP(N76,'FML March 2026'!E:F,2,false)</f>
        <v>MICRO GREEN FLOWER BLEND PKG 8 OZ</v>
      </c>
      <c r="P76" s="9" t="str">
        <f>VLOOKUP(N76,'Unit of Measure ship March 2026'!A:C,3,false)</f>
        <v>LBS</v>
      </c>
      <c r="R76" s="19"/>
      <c r="V76" s="19"/>
    </row>
    <row r="77" ht="15.75" customHeight="1">
      <c r="B77" s="7"/>
      <c r="C77" s="7"/>
      <c r="D77" s="7"/>
      <c r="F77" s="8">
        <v>16268.0</v>
      </c>
      <c r="G77" s="9" t="str">
        <f>VLOOKUP(F77,'FML March 2026'!E:F,2,false)</f>
        <v>OREGANO LEAVES WHOLE D`ALLESANDRO/ SPICECO</v>
      </c>
      <c r="H77" s="9" t="str">
        <f>VLOOKUP(F77,'Unit of Measure ship March 2026'!A:C,3,false)</f>
        <v>PC/5OZ</v>
      </c>
      <c r="J77" s="23"/>
      <c r="K77" s="34"/>
      <c r="N77" s="13">
        <v>110056.0</v>
      </c>
      <c r="O77" s="9" t="str">
        <f>VLOOKUP(N77,'FML March 2026'!E:F,2,false)</f>
        <v>MICRO LEMON BALM</v>
      </c>
      <c r="P77" s="9" t="str">
        <f>VLOOKUP(N77,'Unit of Measure ship March 2026'!A:C,3,false)</f>
        <v>LBS</v>
      </c>
      <c r="R77" s="19"/>
      <c r="V77" s="19"/>
    </row>
    <row r="78" ht="15.75" customHeight="1">
      <c r="F78" s="8">
        <v>109697.0</v>
      </c>
      <c r="G78" s="9" t="str">
        <f>VLOOKUP(F78,'FML March 2026'!E:F,2,false)</f>
        <v>PAPRIKA SMOKED PKG 26.46  OZ LA CHINATA</v>
      </c>
      <c r="H78" s="9" t="str">
        <f>VLOOKUP(F78,'Unit of Measure ship March 2026'!A:C,3,false)</f>
        <v>KG</v>
      </c>
      <c r="K78" s="34"/>
      <c r="N78" s="15">
        <v>15436.0</v>
      </c>
      <c r="O78" s="9" t="str">
        <f>VLOOKUP(N78,'FML March 2026'!E:F,2,false)</f>
        <v>MINT (12 BUNCH), 1 LB/CS</v>
      </c>
      <c r="P78" s="9" t="str">
        <f>VLOOKUP(N78,'Unit of Measure ship March 2026'!A:C,3,false)</f>
        <v>LBS</v>
      </c>
      <c r="R78" s="19"/>
      <c r="V78" s="19"/>
    </row>
    <row r="79" ht="15.75" customHeight="1">
      <c r="F79" s="8">
        <v>16269.0</v>
      </c>
      <c r="G79" s="9" t="str">
        <f>VLOOKUP(F79,'FML March 2026'!E:F,2,false)</f>
        <v>PAPRIKA SPANISH MUNOZ Y PUJANTE/ D`ALLESANDRO/ SPICECO</v>
      </c>
      <c r="H79" s="9" t="str">
        <f>VLOOKUP(F79,'Unit of Measure ship March 2026'!A:C,3,false)</f>
        <v>LBS</v>
      </c>
      <c r="K79" s="34"/>
      <c r="N79" s="13">
        <v>110069.0</v>
      </c>
      <c r="O79" s="9" t="str">
        <f>VLOOKUP(N79,'FML March 2026'!E:F,2,false)</f>
        <v>MUSHROOM KING TRUMPET</v>
      </c>
      <c r="P79" s="9" t="str">
        <f>VLOOKUP(N79,'Unit of Measure ship March 2026'!A:C,3,false)</f>
        <v>LBS</v>
      </c>
      <c r="R79" s="19"/>
      <c r="V79" s="19"/>
    </row>
    <row r="80" ht="15.75" customHeight="1">
      <c r="F80" s="8">
        <v>18536.0</v>
      </c>
      <c r="G80" s="9" t="str">
        <f>VLOOKUP(F80,'FML March 2026'!E:F,2,false)</f>
        <v>PARMIGIANO, GRANA PADANO, QUARTERS</v>
      </c>
      <c r="H80" s="9" t="str">
        <f>VLOOKUP(F80,'Unit of Measure ship March 2026'!A:C,3,false)</f>
        <v>LBS</v>
      </c>
      <c r="K80" s="34"/>
      <c r="N80" s="15">
        <v>24459.0</v>
      </c>
      <c r="O80" s="9" t="str">
        <f>VLOOKUP(N80,'FML March 2026'!E:F,2,false)</f>
        <v>MUSHROOM, CRIMINI</v>
      </c>
      <c r="P80" s="9" t="str">
        <f>VLOOKUP(N80,'Unit of Measure ship March 2026'!A:C,3,false)</f>
        <v>LBS</v>
      </c>
      <c r="R80" s="19"/>
      <c r="V80" s="19"/>
    </row>
    <row r="81" ht="15.75" customHeight="1">
      <c r="F81" s="8">
        <v>14557.0</v>
      </c>
      <c r="G81" s="9" t="str">
        <f>VLOOKUP(F81,'FML March 2026'!E:F,2,false)</f>
        <v>PASTRAMI BOTTOM ROUND FROZEN 25% NATIONAL DELI</v>
      </c>
      <c r="H81" s="9" t="str">
        <f>VLOOKUP(F81,'Unit of Measure ship March 2026'!A:C,3,false)</f>
        <v>LBS</v>
      </c>
      <c r="K81" s="34"/>
      <c r="N81" s="15">
        <v>11741.0</v>
      </c>
      <c r="O81" s="9" t="str">
        <f>VLOOKUP(N81,'FML March 2026'!E:F,2,false)</f>
        <v>MUSHROOMS CHANTERELLES FRESH</v>
      </c>
      <c r="P81" s="9" t="str">
        <f>VLOOKUP(N81,'Unit of Measure ship March 2026'!A:C,3,false)</f>
        <v>LBS</v>
      </c>
      <c r="R81" s="19"/>
      <c r="V81" s="19"/>
    </row>
    <row r="82" ht="15.75" customHeight="1">
      <c r="F82" s="17">
        <v>103696.0</v>
      </c>
      <c r="G82" s="9" t="str">
        <f>VLOOKUP(F82,'FML March 2026'!E:F,2,false)</f>
        <v>PEANUT BUTTER CREAMY 6/4LB (USA)</v>
      </c>
      <c r="H82" s="9" t="str">
        <f>VLOOKUP(F82,'Unit of Measure ship March 2026'!A:C,3,false)</f>
        <v>CN/4LBS</v>
      </c>
      <c r="J82" s="8"/>
      <c r="K82" s="34"/>
      <c r="N82" s="15">
        <v>15585.0</v>
      </c>
      <c r="O82" s="9" t="str">
        <f>VLOOKUP(N82,'FML March 2026'!E:F,2,false)</f>
        <v>MUSHROOMS OYSTER 1/5#</v>
      </c>
      <c r="P82" s="9" t="str">
        <f>VLOOKUP(N82,'Unit of Measure ship March 2026'!A:C,3,false)</f>
        <v>LBS</v>
      </c>
      <c r="R82" s="19"/>
      <c r="V82" s="19"/>
    </row>
    <row r="83" ht="15.75" customHeight="1">
      <c r="F83" s="17">
        <v>112841.0</v>
      </c>
      <c r="G83" s="9" t="str">
        <f>VLOOKUP(F83,'FML March 2026'!E:F,2,false)</f>
        <v>PEANUT BUTTER CRUNCHY</v>
      </c>
      <c r="H83" s="9" t="str">
        <f>VLOOKUP(F83,'Unit of Measure ship March 2026'!A:C,3,false)</f>
        <v>LBS</v>
      </c>
      <c r="J83" s="8"/>
      <c r="K83" s="34"/>
      <c r="N83" s="15">
        <v>15551.0</v>
      </c>
      <c r="O83" s="9" t="str">
        <f>VLOOKUP(N83,'FML March 2026'!E:F,2,false)</f>
        <v>MUSHROOMS PORTOBELLO FRESH</v>
      </c>
      <c r="P83" s="9" t="str">
        <f>VLOOKUP(N83,'Unit of Measure ship March 2026'!A:C,3,false)</f>
        <v>LBS</v>
      </c>
      <c r="R83" s="19"/>
      <c r="V83" s="19"/>
    </row>
    <row r="84" ht="15.75" customHeight="1">
      <c r="F84" s="8">
        <v>16598.0</v>
      </c>
      <c r="G84" s="9" t="str">
        <f>VLOOKUP(F84,'FML March 2026'!E:F,2,false)</f>
        <v>PEAS PIGEON CANNED CS24/15 OZ VV</v>
      </c>
      <c r="H84" s="9" t="str">
        <f>VLOOKUP(F84,'Unit of Measure ship March 2026'!A:C,3,false)</f>
        <v>LBS</v>
      </c>
      <c r="J84" s="8"/>
      <c r="K84" s="34"/>
      <c r="N84" s="15">
        <v>15556.0</v>
      </c>
      <c r="O84" s="9" t="str">
        <f>VLOOKUP(N84,'FML March 2026'!E:F,2,false)</f>
        <v>MUSHROOMS SHIITAKE  FRESH NO 1</v>
      </c>
      <c r="P84" s="9" t="str">
        <f>VLOOKUP(N84,'Unit of Measure ship March 2026'!A:C,3,false)</f>
        <v>LBS</v>
      </c>
      <c r="R84" s="19"/>
      <c r="V84" s="19"/>
    </row>
    <row r="85" ht="15.75" customHeight="1">
      <c r="F85" s="17">
        <v>43805.0</v>
      </c>
      <c r="G85" s="9" t="str">
        <f>VLOOKUP(F85,'FML March 2026'!E:F,2,false)</f>
        <v>PEAS, GREEN, GRADE A, IQF, FZN, 1/10 KG</v>
      </c>
      <c r="H85" s="9" t="str">
        <f>VLOOKUP(F85,'Unit of Measure ship March 2026'!A:C,3,false)</f>
        <v>LBS</v>
      </c>
      <c r="J85" s="8"/>
      <c r="K85" s="34"/>
      <c r="N85" s="15">
        <v>31638.0</v>
      </c>
      <c r="O85" s="9" t="str">
        <f>VLOOKUP(N85,'FML March 2026'!E:F,2,false)</f>
        <v>MUSHROOMS, FRESH WHITE, 8 OZ CELLO PACK</v>
      </c>
      <c r="P85" s="9" t="str">
        <f>VLOOKUP(N85,'Unit of Measure ship March 2026'!A:C,3,false)</f>
        <v>LBS</v>
      </c>
      <c r="R85" s="19"/>
      <c r="V85" s="19"/>
    </row>
    <row r="86" ht="15.75" customHeight="1">
      <c r="F86" s="17">
        <v>108553.0</v>
      </c>
      <c r="G86" s="9" t="str">
        <f>VLOOKUP(F86,'FML March 2026'!E:F,2,false)</f>
        <v>PEPPER ARBOL  D'ALLESANDRO CS/5LB</v>
      </c>
      <c r="H86" s="9" t="str">
        <f>VLOOKUP(F86,'Unit of Measure ship March 2026'!A:C,3,false)</f>
        <v>KG</v>
      </c>
      <c r="J86" s="8"/>
      <c r="K86" s="34"/>
      <c r="N86" s="15">
        <v>46179.0</v>
      </c>
      <c r="O86" s="9" t="str">
        <f>VLOOKUP(N86,'FML March 2026'!E:F,2,false)</f>
        <v>ONION WHITE BIG FRESH</v>
      </c>
      <c r="P86" s="9" t="str">
        <f>VLOOKUP(N86,'Unit of Measure ship March 2026'!A:C,3,false)</f>
        <v>LBS</v>
      </c>
      <c r="R86" s="19"/>
      <c r="V86" s="19"/>
    </row>
    <row r="87" ht="15.75" customHeight="1">
      <c r="F87" s="17">
        <v>33681.0</v>
      </c>
      <c r="G87" s="9" t="str">
        <f>VLOOKUP(F87,'FML March 2026'!E:F,2,false)</f>
        <v>PEPPER BLACK GROUND BADIA (USA )</v>
      </c>
      <c r="H87" s="9" t="str">
        <f>VLOOKUP(F87,'Unit of Measure ship March 2026'!A:C,3,false)</f>
        <v>LBS</v>
      </c>
      <c r="J87" s="8"/>
      <c r="K87" s="34"/>
      <c r="N87" s="15">
        <v>15496.0</v>
      </c>
      <c r="O87" s="9" t="str">
        <f>VLOOKUP(N87,'FML March 2026'!E:F,2,false)</f>
        <v>ONIONS RED, MEDIUM 25#</v>
      </c>
      <c r="P87" s="9" t="str">
        <f>VLOOKUP(N87,'Unit of Measure ship March 2026'!A:C,3,false)</f>
        <v>LBS</v>
      </c>
      <c r="R87" s="19"/>
      <c r="V87" s="19"/>
    </row>
    <row r="88" ht="15.75" customHeight="1">
      <c r="F88" s="8">
        <v>16302.0</v>
      </c>
      <c r="G88" s="9" t="str">
        <f>VLOOKUP(F88,'FML March 2026'!E:F,2,false)</f>
        <v>PEPPER CAYENNE GROUND BADIA (USA )</v>
      </c>
      <c r="H88" s="9" t="str">
        <f>VLOOKUP(F88,'Unit of Measure ship March 2026'!A:C,3,false)</f>
        <v>LBS</v>
      </c>
      <c r="J88" s="8"/>
      <c r="K88" s="34"/>
      <c r="N88" s="13">
        <v>111864.0</v>
      </c>
      <c r="O88" s="9" t="str">
        <f>VLOOKUP(N88,'FML March 2026'!E:F,2,false)</f>
        <v>ONIONS, PEARL ONIONS RED FRESH 1/12PT 4#/CS</v>
      </c>
      <c r="P88" s="9" t="str">
        <f>VLOOKUP(N88,'Unit of Measure ship March 2026'!A:C,3,false)</f>
        <v>LBS</v>
      </c>
      <c r="R88" s="19"/>
      <c r="V88" s="19"/>
    </row>
    <row r="89" ht="15.75" customHeight="1">
      <c r="F89" s="17">
        <v>16285.0</v>
      </c>
      <c r="G89" s="9" t="str">
        <f>VLOOKUP(F89,'FML March 2026'!E:F,2,false)</f>
        <v>PEPPERCORN, BLACK, WHOLE, DRY, 6/420 G</v>
      </c>
      <c r="H89" s="9" t="str">
        <f>VLOOKUP(F89,'Unit of Measure ship March 2026'!A:C,3,false)</f>
        <v>LBS</v>
      </c>
      <c r="J89" s="8"/>
      <c r="K89" s="34"/>
      <c r="N89" s="15">
        <v>15497.0</v>
      </c>
      <c r="O89" s="9" t="str">
        <f>VLOOKUP(N89,'FML March 2026'!E:F,2,false)</f>
        <v>ONIONS, YELLOW, MEDIUM, SPANISH #1, 50#</v>
      </c>
      <c r="P89" s="9" t="str">
        <f>VLOOKUP(N89,'Unit of Measure ship March 2026'!A:C,3,false)</f>
        <v>LBS</v>
      </c>
      <c r="R89" s="19"/>
      <c r="V89" s="19"/>
    </row>
    <row r="90" ht="15.75" customHeight="1">
      <c r="F90" s="8">
        <v>15235.0</v>
      </c>
      <c r="G90" s="9" t="str">
        <f>VLOOKUP(F90,'FML March 2026'!E:F,2,false)</f>
        <v>PESTO SAUCE FROZEN  CASA DI LISIO  (PALLET 126) (USA)</v>
      </c>
      <c r="H90" s="9" t="str">
        <f>VLOOKUP(F90,'Unit of Measure ship March 2026'!A:C,3,false)</f>
        <v>LBS</v>
      </c>
      <c r="J90" s="8"/>
      <c r="K90" s="34"/>
      <c r="N90" s="13">
        <v>15408.0</v>
      </c>
      <c r="O90" s="9" t="str">
        <f>VLOOKUP(N90,'FML March 2026'!E:F,2,false)</f>
        <v>ORANGES CAL. SUNKIST FANCY, VALENCIA NAVEL,88CT 40#</v>
      </c>
      <c r="P90" s="9" t="str">
        <f>VLOOKUP(N90,'Unit of Measure ship March 2026'!A:C,3,false)</f>
        <v>LBS</v>
      </c>
      <c r="R90" s="19"/>
      <c r="V90" s="19"/>
    </row>
    <row r="91" ht="15.75" customHeight="1">
      <c r="F91" s="8">
        <v>109679.0</v>
      </c>
      <c r="G91" s="9" t="str">
        <f>VLOOKUP(F91,'FML March 2026'!E:F,2,false)</f>
        <v>PICHOLINE OLIVES BEL ARIA</v>
      </c>
      <c r="H91" s="9" t="str">
        <f>VLOOKUP(F91,'Unit of Measure ship March 2026'!A:C,3,false)</f>
        <v>GAL</v>
      </c>
      <c r="J91" s="8"/>
      <c r="K91" s="34"/>
      <c r="N91" s="15">
        <v>15447.0</v>
      </c>
      <c r="O91" s="9" t="str">
        <f>VLOOKUP(N91,'FML March 2026'!E:F,2,false)</f>
        <v>OREGANO FRESH</v>
      </c>
      <c r="P91" s="9" t="str">
        <f>VLOOKUP(N91,'Unit of Measure ship March 2026'!A:C,3,false)</f>
        <v>LBS</v>
      </c>
      <c r="R91" s="19"/>
      <c r="V91" s="19"/>
    </row>
    <row r="92" ht="15.75" customHeight="1">
      <c r="F92" s="8">
        <v>16366.0</v>
      </c>
      <c r="G92" s="9" t="str">
        <f>VLOOKUP(F92,'FML March 2026'!E:F,2,false)</f>
        <v>PICKLE RELISH SWEET NATURAL B&amp;G  4/1 GALLON B&amp;G (USA)</v>
      </c>
      <c r="H92" s="9" t="str">
        <f>VLOOKUP(F92,'Unit of Measure ship March 2026'!A:C,3,false)</f>
        <v>GAL</v>
      </c>
      <c r="J92" s="8"/>
      <c r="K92" s="34"/>
      <c r="N92" s="13">
        <v>105768.0</v>
      </c>
      <c r="O92" s="9" t="str">
        <f>VLOOKUP(N92,'FML March 2026'!E:F,2,false)</f>
        <v>PAPAYA (9-12CT), GREEN</v>
      </c>
      <c r="P92" s="35" t="s">
        <v>42</v>
      </c>
      <c r="R92" s="19"/>
      <c r="V92" s="19"/>
    </row>
    <row r="93" ht="15.75" customHeight="1">
      <c r="F93" s="8">
        <v>16408.0</v>
      </c>
      <c r="G93" s="9" t="str">
        <f>VLOOKUP(F93,'FML March 2026'!E:F,2,false)</f>
        <v>PICKLE, CORNICHON/GHERKIN</v>
      </c>
      <c r="H93" s="9" t="str">
        <f>VLOOKUP(F93,'Unit of Measure ship March 2026'!A:C,3,false)</f>
        <v>KG</v>
      </c>
      <c r="J93" s="8"/>
      <c r="K93" s="34"/>
      <c r="N93" s="13">
        <v>15305.0</v>
      </c>
      <c r="O93" s="9" t="str">
        <f>VLOOKUP(N93,'FML March 2026'!E:F,2,false)</f>
        <v>PAPAYA (9-12CT), RIPE</v>
      </c>
      <c r="P93" s="35" t="s">
        <v>42</v>
      </c>
      <c r="R93" s="19"/>
      <c r="V93" s="19"/>
    </row>
    <row r="94" ht="15.75" customHeight="1">
      <c r="F94" s="8">
        <v>47893.0</v>
      </c>
      <c r="G94" s="9" t="str">
        <f>VLOOKUP(F94,'FML March 2026'!E:F,2,false)</f>
        <v>PICKLES KOSHER DRY B&amp;G (USA)</v>
      </c>
      <c r="H94" s="9" t="str">
        <f>VLOOKUP(F94,'Unit of Measure ship March 2026'!A:C,3,false)</f>
        <v>GAL</v>
      </c>
      <c r="J94" s="8"/>
      <c r="K94" s="34"/>
      <c r="N94" s="15">
        <v>15500.0</v>
      </c>
      <c r="O94" s="9" t="str">
        <f>VLOOKUP(N94,'FML March 2026'!E:F,2,false)</f>
        <v>PARSLEY ITALIAN,  20#/CS</v>
      </c>
      <c r="P94" s="9" t="str">
        <f>VLOOKUP(N94,'Unit of Measure ship March 2026'!A:C,3,false)</f>
        <v>LBS</v>
      </c>
      <c r="R94" s="19"/>
      <c r="V94" s="19"/>
    </row>
    <row r="95" ht="15.75" customHeight="1">
      <c r="F95" s="8">
        <v>109709.0</v>
      </c>
      <c r="G95" s="9" t="str">
        <f>VLOOKUP(F95,'FML March 2026'!E:F,2,false)</f>
        <v>PIERRE POIVRE PEPPER (LA BOITE A EPICE BRAND)</v>
      </c>
      <c r="H95" s="9" t="str">
        <f>VLOOKUP(F95,'Unit of Measure ship March 2026'!A:C,3,false)</f>
        <v>UNT/16OZ</v>
      </c>
      <c r="J95" s="8"/>
      <c r="K95" s="34"/>
      <c r="N95" s="15">
        <v>23714.0</v>
      </c>
      <c r="O95" s="9" t="str">
        <f>VLOOKUP(N95,'FML March 2026'!E:F,2,false)</f>
        <v>PARSNIP 20#/CS</v>
      </c>
      <c r="P95" s="9" t="str">
        <f>VLOOKUP(N95,'Unit of Measure ship March 2026'!A:C,3,false)</f>
        <v>LBS</v>
      </c>
      <c r="R95" s="19"/>
      <c r="V95" s="19"/>
    </row>
    <row r="96" ht="15.75" customHeight="1">
      <c r="F96" s="17">
        <v>53666.0</v>
      </c>
      <c r="G96" s="9" t="str">
        <f>VLOOKUP(F96,'FML March 2026'!E:F,2,false)</f>
        <v>PIQUILLO PIMIENTOS WHOLE ROASTED &amp; PEELED 6/#10</v>
      </c>
      <c r="H96" s="9" t="str">
        <f>VLOOKUP(F96,'Unit of Measure ship March 2026'!A:C,3,false)</f>
        <v>CAN/3KG</v>
      </c>
      <c r="J96" s="8"/>
      <c r="K96" s="34"/>
      <c r="N96" s="13">
        <v>15412.0</v>
      </c>
      <c r="O96" s="9" t="str">
        <f>VLOOKUP(N96,'FML March 2026'!E:F,2,false)</f>
        <v>PEARS #1, BARTLETT, 120CT 40#</v>
      </c>
      <c r="P96" s="9" t="str">
        <f>VLOOKUP(N96,'Unit of Measure ship March 2026'!A:C,3,false)</f>
        <v>LBS</v>
      </c>
      <c r="R96" s="19"/>
      <c r="V96" s="19"/>
    </row>
    <row r="97" ht="15.75" customHeight="1">
      <c r="F97" s="8">
        <v>14541.0</v>
      </c>
      <c r="G97" s="9" t="str">
        <f>VLOOKUP(F97,'FML March 2026'!E:F,2,false)</f>
        <v>PORK, BACON, SLICED, APPLEWOOD SMOKED, LAID OUT, 18-22/LB, FZN, 1/15 LB</v>
      </c>
      <c r="H97" s="9" t="str">
        <f>VLOOKUP(F97,'Unit of Measure ship March 2026'!A:C,3,false)</f>
        <v>LBS</v>
      </c>
      <c r="J97" s="8"/>
      <c r="K97" s="34"/>
      <c r="N97" s="13">
        <v>110900.0</v>
      </c>
      <c r="O97" s="9" t="str">
        <f>VLOOKUP(N97,'FML March 2026'!E:F,2,false)</f>
        <v>PEARS ASIAN FRESH 12/16 CT</v>
      </c>
      <c r="P97" s="9" t="str">
        <f>VLOOKUP(N97,'Unit of Measure ship March 2026'!A:C,3,false)</f>
        <v>LBS</v>
      </c>
      <c r="R97" s="19"/>
      <c r="V97" s="19"/>
    </row>
    <row r="98" ht="15.75" customHeight="1">
      <c r="F98" s="15">
        <v>101442.0</v>
      </c>
      <c r="G98" s="9" t="str">
        <f>VLOOKUP(F98,'FML March 2026'!E:F,2,false)</f>
        <v>PROSCIUTTO DI SAN DANIELE LEVONI BONELESS 16 MONTH  RESERVE CS/16 LBS</v>
      </c>
      <c r="H98" s="9" t="str">
        <f>VLOOKUP(F98,'Unit of Measure ship March 2026'!A:C,3,false)</f>
        <v>LBS</v>
      </c>
      <c r="J98" s="8"/>
      <c r="K98" s="34"/>
      <c r="N98" s="15">
        <v>15501.0</v>
      </c>
      <c r="O98" s="9" t="str">
        <f>VLOOKUP(N98,'FML March 2026'!E:F,2,false)</f>
        <v>PEPPERS GREEN, MEDIUM, CHOICE, 88-100 MM</v>
      </c>
      <c r="P98" s="9" t="str">
        <f>VLOOKUP(N98,'Unit of Measure ship March 2026'!A:C,3,false)</f>
        <v>LBS</v>
      </c>
      <c r="R98" s="19"/>
      <c r="V98" s="19"/>
    </row>
    <row r="99" ht="15.75" customHeight="1">
      <c r="F99" s="8">
        <v>15047.0</v>
      </c>
      <c r="G99" s="9" t="str">
        <f>VLOOKUP(F99,'FML March 2026'!E:F,2,false)</f>
        <v>PROVOLONE, LOAF</v>
      </c>
      <c r="H99" s="9" t="str">
        <f>VLOOKUP(F99,'Unit of Measure ship March 2026'!A:C,3,false)</f>
        <v>LBS</v>
      </c>
      <c r="J99" s="8"/>
      <c r="K99" s="34"/>
      <c r="N99" s="15">
        <v>15504.0</v>
      </c>
      <c r="O99" s="9" t="str">
        <f>VLOOKUP(N99,'FML March 2026'!E:F,2,false)</f>
        <v>PEPPERS HOT, JALAPENOS 10#</v>
      </c>
      <c r="P99" s="9" t="str">
        <f>VLOOKUP(N99,'Unit of Measure ship March 2026'!A:C,3,false)</f>
        <v>LBS</v>
      </c>
      <c r="R99" s="19"/>
      <c r="V99" s="19"/>
    </row>
    <row r="100" ht="15.75" customHeight="1">
      <c r="F100" s="8">
        <v>15908.0</v>
      </c>
      <c r="G100" s="9" t="str">
        <f>VLOOKUP(F100,'FML March 2026'!E:F,2,false)</f>
        <v>RICE PAPER, ROUND, 22CM</v>
      </c>
      <c r="H100" s="9" t="str">
        <f>VLOOKUP(F100,'Unit of Measure ship March 2026'!A:C,3,false)</f>
        <v>PK/12OZ</v>
      </c>
      <c r="J100" s="8"/>
      <c r="K100" s="34"/>
      <c r="N100" s="15">
        <v>15502.0</v>
      </c>
      <c r="O100" s="9" t="str">
        <f>VLOOKUP(N100,'FML March 2026'!E:F,2,false)</f>
        <v>PEPPERS RED, MEDIUM, 88-100 MM</v>
      </c>
      <c r="P100" s="9" t="str">
        <f>VLOOKUP(N100,'Unit of Measure ship March 2026'!A:C,3,false)</f>
        <v>LBS</v>
      </c>
      <c r="R100" s="19"/>
      <c r="V100" s="19"/>
    </row>
    <row r="101" ht="15.75" customHeight="1">
      <c r="F101" s="17">
        <v>42945.0</v>
      </c>
      <c r="G101" s="9" t="str">
        <f>VLOOKUP(F101,'FML March 2026'!E:F,2,false)</f>
        <v>SALAME CASALINO - CACCIATORINO MARTELLI</v>
      </c>
      <c r="H101" s="9" t="str">
        <f>VLOOKUP(F101,'Unit of Measure ship March 2026'!A:C,3,false)</f>
        <v>LBS</v>
      </c>
      <c r="J101" s="8"/>
      <c r="K101" s="34"/>
      <c r="N101" s="15">
        <v>15577.0</v>
      </c>
      <c r="O101" s="9" t="str">
        <f>VLOOKUP(N101,'FML March 2026'!E:F,2,false)</f>
        <v>PEPPERS YELLOW, MEDIUM, 88-100 MM</v>
      </c>
      <c r="P101" s="9" t="str">
        <f>VLOOKUP(N101,'Unit of Measure ship March 2026'!A:C,3,false)</f>
        <v>LBS</v>
      </c>
      <c r="R101" s="19"/>
      <c r="V101" s="19"/>
    </row>
    <row r="102" ht="15.75" customHeight="1">
      <c r="F102" s="8">
        <v>106535.0</v>
      </c>
      <c r="G102" s="9" t="str">
        <f>VLOOKUP(F102,'FML March 2026'!E:F,2,false)</f>
        <v>SALAME LEVONETTO MILANO LEVONI</v>
      </c>
      <c r="H102" s="9" t="str">
        <f>VLOOKUP(F102,'Unit of Measure ship March 2026'!A:C,3,false)</f>
        <v>LBS</v>
      </c>
      <c r="J102" s="8"/>
      <c r="K102" s="34"/>
      <c r="N102" s="15">
        <v>33604.0</v>
      </c>
      <c r="O102" s="9" t="str">
        <f>VLOOKUP(N102,'FML March 2026'!E:F,2,false)</f>
        <v>PEPPERS, POBLANO CHILI #</v>
      </c>
      <c r="P102" s="9" t="str">
        <f>VLOOKUP(N102,'Unit of Measure ship March 2026'!A:C,3,false)</f>
        <v>LBS</v>
      </c>
      <c r="R102" s="19"/>
      <c r="V102" s="19"/>
    </row>
    <row r="103" ht="15.75" customHeight="1">
      <c r="F103" s="17">
        <v>16307.0</v>
      </c>
      <c r="G103" s="9" t="str">
        <f>VLOOKUP(F103,'FML March 2026'!E:F,2,false)</f>
        <v>SALT KOSHER GRANULATED</v>
      </c>
      <c r="H103" s="9" t="str">
        <f>VLOOKUP(F103,'Unit of Measure ship March 2026'!A:C,3,false)</f>
        <v>LBS</v>
      </c>
      <c r="J103" s="8"/>
      <c r="K103" s="34"/>
      <c r="N103" s="13">
        <v>108577.0</v>
      </c>
      <c r="O103" s="9" t="str">
        <f>VLOOKUP(N103,'FML March 2026'!E:F,2,false)</f>
        <v>PINEAPPLES, CROWNLESS, GOLD, FRESH</v>
      </c>
      <c r="P103" s="9" t="str">
        <f>VLOOKUP(N103,'Unit of Measure ship March 2026'!A:C,3,false)</f>
        <v>LBS</v>
      </c>
      <c r="R103" s="19"/>
      <c r="V103" s="19"/>
    </row>
    <row r="104" ht="15.75" customHeight="1">
      <c r="F104" s="17">
        <v>20880.0</v>
      </c>
      <c r="G104" s="9" t="str">
        <f>VLOOKUP(F104,'FML March 2026'!E:F,2,false)</f>
        <v>SALT SEA MALDON</v>
      </c>
      <c r="H104" s="9" t="str">
        <f>VLOOKUP(F104,'Unit of Measure ship March 2026'!A:C,3,false)</f>
        <v>LBS</v>
      </c>
      <c r="J104" s="8"/>
      <c r="K104" s="34"/>
      <c r="N104" s="13">
        <v>15506.0</v>
      </c>
      <c r="O104" s="9" t="str">
        <f>VLOOKUP(N104,'FML March 2026'!E:F,2,false)</f>
        <v>PLANTAINS, GREEN 50#</v>
      </c>
      <c r="P104" s="9" t="str">
        <f>VLOOKUP(N104,'Unit of Measure ship March 2026'!A:C,3,false)</f>
        <v>KG</v>
      </c>
      <c r="R104" s="19"/>
      <c r="V104" s="19"/>
    </row>
    <row r="105" ht="15.75" customHeight="1">
      <c r="F105" s="17">
        <v>16280.0</v>
      </c>
      <c r="G105" s="9" t="str">
        <f>VLOOKUP(F105,'FML March 2026'!E:F,2,false)</f>
        <v>SALT, GRANULATED, IODIZED, DRY, 12/26 OZ</v>
      </c>
      <c r="H105" s="9" t="str">
        <f>VLOOKUP(F105,'Unit of Measure ship March 2026'!A:C,3,false)</f>
        <v>LBS</v>
      </c>
      <c r="J105" s="8"/>
      <c r="K105" s="34"/>
      <c r="N105" s="13">
        <v>15316.0</v>
      </c>
      <c r="O105" s="9" t="str">
        <f>VLOOKUP(N105,'FML March 2026'!E:F,2,false)</f>
        <v>POMEGRANATE 20-35 CT. 22#</v>
      </c>
      <c r="P105" s="9" t="str">
        <f>VLOOKUP(N105,'Unit of Measure ship March 2026'!A:C,3,false)</f>
        <v>LBS</v>
      </c>
      <c r="R105" s="19"/>
      <c r="V105" s="19"/>
    </row>
    <row r="106" ht="15.75" customHeight="1">
      <c r="F106" s="17">
        <v>16357.0</v>
      </c>
      <c r="G106" s="9" t="str">
        <f>VLOOKUP(F106,'FML March 2026'!E:F,2,false)</f>
        <v>SAUCE TABASCO RED  2 OZ</v>
      </c>
      <c r="H106" s="9" t="str">
        <f>VLOOKUP(F106,'Unit of Measure ship March 2026'!A:C,3,false)</f>
        <v>BTL/2OZ</v>
      </c>
      <c r="J106" s="8"/>
      <c r="K106" s="34"/>
      <c r="N106" s="15">
        <v>15513.0</v>
      </c>
      <c r="O106" s="9" t="str">
        <f>VLOOKUP(N106,'FML March 2026'!E:F,2,false)</f>
        <v>POTATOES CHEF (BAG) 50#</v>
      </c>
      <c r="P106" s="9" t="str">
        <f>VLOOKUP(N106,'Unit of Measure ship March 2026'!A:C,3,false)</f>
        <v>LBS</v>
      </c>
      <c r="R106" s="19"/>
      <c r="V106" s="19"/>
    </row>
    <row r="107" ht="15.75" customHeight="1">
      <c r="F107" s="8">
        <v>16561.0</v>
      </c>
      <c r="G107" s="9" t="str">
        <f>VLOOKUP(F107,'FML March 2026'!E:F,2,false)</f>
        <v>SAUERKRAUT SHREDDED 6/#10 CAN SILVER FLOSS/ SENECA</v>
      </c>
      <c r="H107" s="9" t="str">
        <f>VLOOKUP(F107,'Unit of Measure ship March 2026'!A:C,3,false)</f>
        <v>CN/2.5KG</v>
      </c>
      <c r="J107" s="8"/>
      <c r="K107" s="34"/>
      <c r="N107" s="13">
        <v>32705.0</v>
      </c>
      <c r="O107" s="9" t="str">
        <f>VLOOKUP(N107,'FML March 2026'!E:F,2,false)</f>
        <v>PUMPKIN/CALABASA, FRESH</v>
      </c>
      <c r="P107" s="9" t="str">
        <f>VLOOKUP(N107,'Unit of Measure ship March 2026'!A:C,3,false)</f>
        <v>LBS</v>
      </c>
      <c r="R107" s="19"/>
      <c r="V107" s="19"/>
    </row>
    <row r="108" ht="15.75" customHeight="1">
      <c r="F108" s="16">
        <v>14714.0</v>
      </c>
      <c r="G108" s="9" t="str">
        <f>VLOOKUP(F108,'FML March 2026'!E:F,2,false)</f>
        <v>SMOKED SALMON SLAB LG. 2.0-2.5 LB VAC PK (USA)</v>
      </c>
      <c r="H108" s="9" t="str">
        <f>VLOOKUP(F108,'Unit of Measure ship March 2026'!A:C,3,false)</f>
        <v>LBS</v>
      </c>
      <c r="J108" s="8"/>
      <c r="K108" s="34"/>
      <c r="N108" s="15">
        <v>15469.0</v>
      </c>
      <c r="O108" s="9" t="str">
        <f>VLOOKUP(N108,'FML March 2026'!E:F,2,false)</f>
        <v>RADICCIO LARGE HEADS 9 HD 6# FLAT</v>
      </c>
      <c r="P108" s="9" t="str">
        <f>VLOOKUP(N108,'Unit of Measure ship March 2026'!A:C,3,false)</f>
        <v>LBS</v>
      </c>
      <c r="R108" s="19"/>
      <c r="V108" s="19"/>
    </row>
    <row r="109" ht="15.75" customHeight="1">
      <c r="F109" s="8">
        <v>14883.0</v>
      </c>
      <c r="G109" s="9" t="str">
        <f>VLOOKUP(F109,'FML March 2026'!E:F,2,false)</f>
        <v>SOUR CREAM LONG LIFE 24% 6/5#</v>
      </c>
      <c r="H109" s="9" t="str">
        <f>VLOOKUP(F109,'Unit of Measure ship March 2026'!A:C,3,false)</f>
        <v>LBS</v>
      </c>
      <c r="J109" s="8"/>
      <c r="K109" s="34"/>
      <c r="N109" s="15">
        <v>111808.0</v>
      </c>
      <c r="O109" s="9" t="str">
        <f>VLOOKUP(N109,'FML March 2026'!E:F,2,false)</f>
        <v>RADISH SPROUT MICRO PURPLE FRESH HARPKE FARMS - PK/6 OZ PACKED IN 60 OZ CLAM SHELL SIZE</v>
      </c>
      <c r="P109" s="9" t="str">
        <f>VLOOKUP(N109,'Unit of Measure ship March 2026'!A:C,3,false)</f>
        <v>EA</v>
      </c>
      <c r="R109" s="19"/>
      <c r="V109" s="19"/>
    </row>
    <row r="110" ht="15.75" customHeight="1">
      <c r="F110" s="8">
        <v>20151.0</v>
      </c>
      <c r="G110" s="9" t="str">
        <f>VLOOKUP(F110,'FML March 2026'!E:F,2,false)</f>
        <v>SOY SAUCE LOWER SODIUM CS6/64OZ KIKKOMAN #00130 (USA)</v>
      </c>
      <c r="H110" s="9" t="str">
        <f>VLOOKUP(F110,'Unit of Measure ship March 2026'!A:C,3,false)</f>
        <v>BTL/64OZ</v>
      </c>
      <c r="J110" s="8"/>
      <c r="K110" s="34"/>
      <c r="N110" s="13">
        <v>110065.0</v>
      </c>
      <c r="O110" s="9" t="str">
        <f>VLOOKUP(N110,'FML March 2026'!E:F,2,false)</f>
        <v>RADISH WATERMELON</v>
      </c>
      <c r="P110" s="9" t="str">
        <f>VLOOKUP(N110,'Unit of Measure ship March 2026'!A:C,3,false)</f>
        <v>LBS</v>
      </c>
      <c r="R110" s="19"/>
      <c r="V110" s="19"/>
    </row>
    <row r="111" ht="15.75" customHeight="1">
      <c r="F111" s="17">
        <v>110881.0</v>
      </c>
      <c r="G111" s="9" t="str">
        <f>VLOOKUP(F111,'FML March 2026'!E:F,2,false)</f>
        <v>SOY SAUCE WHITE BTL 750ML HAMIAMATSU HOMINTO</v>
      </c>
      <c r="H111" s="9" t="str">
        <f>VLOOKUP(F111,'Unit of Measure ship March 2026'!A:C,3,false)</f>
        <v>BT/750ML</v>
      </c>
      <c r="J111" s="8"/>
      <c r="K111" s="34"/>
      <c r="N111" s="15">
        <v>15518.0</v>
      </c>
      <c r="O111" s="9" t="str">
        <f>VLOOKUP(N111,'FML March 2026'!E:F,2,false)</f>
        <v>RADISHES, FRESH, BULK 40#</v>
      </c>
      <c r="P111" s="9" t="str">
        <f>VLOOKUP(N111,'Unit of Measure ship March 2026'!A:C,3,false)</f>
        <v>LBS</v>
      </c>
      <c r="R111" s="19"/>
      <c r="V111" s="19"/>
    </row>
    <row r="112" ht="15.75" customHeight="1">
      <c r="F112" s="8">
        <v>111759.0</v>
      </c>
      <c r="G112" s="9" t="str">
        <f>VLOOKUP(F112,'FML March 2026'!E:F,2,false)</f>
        <v>SPICE DEGI MIRCHI POWDER M*D*H</v>
      </c>
      <c r="H112" s="9" t="str">
        <f>VLOOKUP(F112,'Unit of Measure ship March 2026'!A:C,3,false)</f>
        <v>KG</v>
      </c>
      <c r="J112" s="8"/>
      <c r="K112" s="34"/>
      <c r="N112" s="13">
        <v>15334.0</v>
      </c>
      <c r="O112" s="9" t="str">
        <f>VLOOKUP(N112,'FML March 2026'!E:F,2,false)</f>
        <v>RASPBERRIES FRESH 12 1/2 PT PINK 4.5#</v>
      </c>
      <c r="P112" s="9" t="str">
        <f>VLOOKUP(N112,'Unit of Measure ship March 2026'!A:C,3,false)</f>
        <v>LBS</v>
      </c>
      <c r="R112" s="19"/>
      <c r="V112" s="19"/>
    </row>
    <row r="113" ht="15.75" customHeight="1">
      <c r="F113" s="17">
        <v>20879.0</v>
      </c>
      <c r="G113" s="9" t="str">
        <f>VLOOKUP(F113,'FML March 2026'!E:F,2,false)</f>
        <v>SRIRACHA, HOT CHILI SAUCE, HUY FONG, 28OZ</v>
      </c>
      <c r="H113" s="9" t="str">
        <f>VLOOKUP(F113,'Unit of Measure ship March 2026'!A:C,3,false)</f>
        <v>BT/17OZ</v>
      </c>
      <c r="J113" s="8"/>
      <c r="K113" s="34"/>
      <c r="N113" s="13">
        <v>110054.0</v>
      </c>
      <c r="O113" s="9" t="str">
        <f>VLOOKUP(N113,'FML March 2026'!E:F,2,false)</f>
        <v>RED RIBBON SORREL FRESH</v>
      </c>
      <c r="P113" s="9" t="str">
        <f>VLOOKUP(N113,'Unit of Measure ship March 2026'!A:C,3,false)</f>
        <v>LBS</v>
      </c>
      <c r="R113" s="19"/>
      <c r="V113" s="19"/>
    </row>
    <row r="114" ht="15.75" customHeight="1">
      <c r="F114" s="8">
        <v>15642.0</v>
      </c>
      <c r="G114" s="9" t="str">
        <f>VLOOKUP(F114,'FML March 2026'!E:F,2,false)</f>
        <v>SUGAR, GRANULATED, ICUMSA 150, SUGARCANE, DRY, 1/50 LB</v>
      </c>
      <c r="H114" s="9" t="str">
        <f>VLOOKUP(F114,'Unit of Measure ship March 2026'!A:C,3,false)</f>
        <v>LBS</v>
      </c>
      <c r="J114" s="8"/>
      <c r="K114" s="34"/>
      <c r="N114" s="15">
        <v>11838.0</v>
      </c>
      <c r="O114" s="9" t="str">
        <f>VLOOKUP(N114,'FML March 2026'!E:F,2,false)</f>
        <v>ROMANESCO FRESH</v>
      </c>
      <c r="P114" s="9" t="str">
        <f>VLOOKUP(N114,'Unit of Measure ship March 2026'!A:C,3,false)</f>
        <v>LBS</v>
      </c>
      <c r="R114" s="19"/>
      <c r="V114" s="19"/>
    </row>
    <row r="115" ht="15.75" customHeight="1">
      <c r="F115" s="8">
        <v>110928.0</v>
      </c>
      <c r="G115" s="9" t="str">
        <f>VLOOKUP(F115,'FML March 2026'!E:F,2,false)</f>
        <v>TAHINI PASTE  CS12/1LB SOOM</v>
      </c>
      <c r="H115" s="9" t="str">
        <f>VLOOKUP(F115,'Unit of Measure ship March 2026'!A:C,3,false)</f>
        <v>LBS</v>
      </c>
      <c r="J115" s="8"/>
      <c r="K115" s="34"/>
      <c r="N115" s="15">
        <v>15427.0</v>
      </c>
      <c r="O115" s="9" t="str">
        <f>VLOOKUP(N115,'FML March 2026'!E:F,2,false)</f>
        <v>ROSEMARY (12 BUNCH) 1 LB/CS</v>
      </c>
      <c r="P115" s="9" t="str">
        <f>VLOOKUP(N115,'Unit of Measure ship March 2026'!A:C,3,false)</f>
        <v>LBS</v>
      </c>
      <c r="R115" s="19"/>
      <c r="V115" s="19"/>
    </row>
    <row r="116" ht="15.75" customHeight="1">
      <c r="F116" s="17">
        <v>16939.0</v>
      </c>
      <c r="G116" s="9" t="str">
        <f>VLOOKUP(F116,'FML March 2026'!E:F,2,false)</f>
        <v>TAMARI, GLUTEN FREE SOY SAUCE IH 11/20</v>
      </c>
      <c r="H116" s="9" t="str">
        <f>VLOOKUP(F116,'Unit of Measure ship March 2026'!A:C,3,false)</f>
        <v>PC/10OZ</v>
      </c>
      <c r="J116" s="8"/>
      <c r="K116" s="34"/>
      <c r="N116" s="15">
        <v>15444.0</v>
      </c>
      <c r="O116" s="9" t="str">
        <f>VLOOKUP(N116,'FML March 2026'!E:F,2,false)</f>
        <v>SAGE FRESH</v>
      </c>
      <c r="P116" s="9" t="str">
        <f>VLOOKUP(N116,'Unit of Measure ship March 2026'!A:C,3,false)</f>
        <v>LBS</v>
      </c>
      <c r="R116" s="19"/>
      <c r="V116" s="19"/>
    </row>
    <row r="117" ht="15.75" customHeight="1">
      <c r="F117" s="17">
        <v>16951.0</v>
      </c>
      <c r="G117" s="9" t="str">
        <f>VLOOKUP(F117,'FML March 2026'!E:F,2,false)</f>
        <v>TOFU SILKY SOFT (KINU TOFU)</v>
      </c>
      <c r="H117" s="9" t="str">
        <f>VLOOKUP(F117,'Unit of Measure ship March 2026'!A:C,3,false)</f>
        <v>PC/12OZ</v>
      </c>
      <c r="J117" s="8"/>
      <c r="K117" s="34"/>
      <c r="N117" s="15">
        <v>24185.0</v>
      </c>
      <c r="O117" s="9" t="str">
        <f>VLOOKUP(N117,'FML March 2026'!E:F,2,false)</f>
        <v>SCALLIONS FRESH - ICELESS</v>
      </c>
      <c r="P117" s="9" t="str">
        <f>VLOOKUP(N117,'Unit of Measure ship March 2026'!A:C,3,false)</f>
        <v>LBS</v>
      </c>
      <c r="R117" s="19"/>
      <c r="V117" s="19"/>
    </row>
    <row r="118" ht="15.75" customHeight="1">
      <c r="F118" s="17">
        <v>16581.0</v>
      </c>
      <c r="G118" s="9" t="str">
        <f>VLOOKUP(F118,'FML March 2026'!E:F,2,false)</f>
        <v>TOMATO, PASTE, HEINZ, 57310, DRY, 6/#10</v>
      </c>
      <c r="H118" s="9" t="str">
        <f>VLOOKUP(F118,'Unit of Measure ship March 2026'!A:C,3,false)</f>
        <v>CN/6.5LB</v>
      </c>
      <c r="J118" s="8"/>
      <c r="K118" s="34"/>
      <c r="N118" s="15">
        <v>106885.0</v>
      </c>
      <c r="O118" s="9" t="str">
        <f>VLOOKUP(N118,'FML March 2026'!E:F,2,false)</f>
        <v>SEAWEED FRESH</v>
      </c>
      <c r="P118" s="9" t="str">
        <f>VLOOKUP(N118,'Unit of Measure ship March 2026'!A:C,3,false)</f>
        <v>KG</v>
      </c>
      <c r="R118" s="19"/>
      <c r="V118" s="19"/>
    </row>
    <row r="119" ht="15.75" customHeight="1">
      <c r="F119" s="8">
        <v>15583.0</v>
      </c>
      <c r="G119" s="9" t="str">
        <f>VLOOKUP(F119,'FML March 2026'!E:F,2,false)</f>
        <v>TOMATO, SUN-DRIED, HALVES, STANDARD, DRY, 4/5 LB</v>
      </c>
      <c r="H119" s="9" t="str">
        <f>VLOOKUP(F119,'Unit of Measure ship March 2026'!A:C,3,false)</f>
        <v>LBS</v>
      </c>
      <c r="J119" s="8"/>
      <c r="K119" s="34"/>
      <c r="N119" s="15">
        <v>61705.0</v>
      </c>
      <c r="O119" s="9" t="str">
        <f>VLOOKUP(N119,'FML March 2026'!E:F,2,false)</f>
        <v>SERRANO PEPPERS FRESH</v>
      </c>
      <c r="P119" s="9" t="str">
        <f>VLOOKUP(N119,'Unit of Measure ship March 2026'!A:C,3,false)</f>
        <v>LBS</v>
      </c>
      <c r="R119" s="19"/>
      <c r="V119" s="19"/>
    </row>
    <row r="120" ht="15.75" customHeight="1">
      <c r="F120" s="8">
        <v>15194.0</v>
      </c>
      <c r="G120" s="9" t="str">
        <f>VLOOKUP(F120,'FML March 2026'!E:F,2,false)</f>
        <v>TORTILLA, FLOUR, SOFT, 10INCH, FRZN</v>
      </c>
      <c r="H120" s="9" t="str">
        <f>VLOOKUP(F120,'Unit of Measure ship March 2026'!A:C,3,false)</f>
        <v>PC</v>
      </c>
      <c r="J120" s="8"/>
      <c r="K120" s="34"/>
      <c r="N120" s="15">
        <v>15522.0</v>
      </c>
      <c r="O120" s="9" t="str">
        <f>VLOOKUP(N120,'FML March 2026'!E:F,2,false)</f>
        <v>SHALLOTS CLOVES #1 FRESH 5#</v>
      </c>
      <c r="P120" s="9" t="str">
        <f>VLOOKUP(N120,'Unit of Measure ship March 2026'!A:C,3,false)</f>
        <v>LBS</v>
      </c>
      <c r="R120" s="19"/>
      <c r="V120" s="19"/>
    </row>
    <row r="121" ht="15.75" customHeight="1">
      <c r="F121" s="8">
        <v>14482.0</v>
      </c>
      <c r="G121" s="9" t="str">
        <f>VLOOKUP(F121,'FML March 2026'!E:F,2,false)</f>
        <v>TURKEY BREAST, DELI STYLE SKINLESS, SOLID MUSCLE 3 PIECE OVEN ROASTED 2/10 LB AVG</v>
      </c>
      <c r="H121" s="9" t="str">
        <f>VLOOKUP(F121,'Unit of Measure ship March 2026'!A:C,3,false)</f>
        <v>LBS</v>
      </c>
      <c r="J121" s="8"/>
      <c r="K121" s="34"/>
      <c r="N121" s="15">
        <v>15525.0</v>
      </c>
      <c r="O121" s="9" t="str">
        <f>VLOOKUP(N121,'FML March 2026'!E:F,2,false)</f>
        <v>SPINACH FLAT LEAF, FRESH, CRISP 4/2.5# 10#</v>
      </c>
      <c r="P121" s="9" t="str">
        <f>VLOOKUP(N121,'Unit of Measure ship March 2026'!A:C,3,false)</f>
        <v>LBS</v>
      </c>
      <c r="R121" s="19"/>
      <c r="V121" s="19"/>
    </row>
    <row r="122" ht="15.75" customHeight="1">
      <c r="F122" s="8">
        <v>16310.0</v>
      </c>
      <c r="G122" s="9" t="str">
        <f>VLOOKUP(F122,'FML March 2026'!E:F,2,false)</f>
        <v>TURMERIC GROUND</v>
      </c>
      <c r="H122" s="9" t="str">
        <f>VLOOKUP(F122,'Unit of Measure ship March 2026'!A:C,3,false)</f>
        <v>LBS</v>
      </c>
      <c r="J122" s="8"/>
      <c r="K122" s="34"/>
      <c r="N122" s="15">
        <v>15145.0</v>
      </c>
      <c r="O122" s="9" t="str">
        <f>VLOOKUP(N122,'FML March 2026'!E:F,2,false)</f>
        <v>SPINACH, BABY LEAF</v>
      </c>
      <c r="P122" s="9" t="str">
        <f>VLOOKUP(N122,'Unit of Measure ship March 2026'!A:C,3,false)</f>
        <v>LBS</v>
      </c>
      <c r="R122" s="19"/>
      <c r="V122" s="19"/>
    </row>
    <row r="123" ht="15.75" customHeight="1">
      <c r="F123" s="8">
        <v>109665.0</v>
      </c>
      <c r="G123" s="9" t="str">
        <f>VLOOKUP(F123,'FML March 2026'!E:F,2,false)</f>
        <v>VINEGAR CABERNET SPARROW LANE</v>
      </c>
      <c r="H123" s="9" t="str">
        <f>VLOOKUP(F123,'Unit of Measure ship March 2026'!A:C,3,false)</f>
        <v>GAL</v>
      </c>
      <c r="J123" s="8"/>
      <c r="K123" s="34"/>
      <c r="N123" s="15">
        <v>110912.0</v>
      </c>
      <c r="O123" s="9" t="str">
        <f>VLOOKUP(N123,'FML March 2026'!E:F,2,false)</f>
        <v>SPROUTS GREEN PEA TENDRIL</v>
      </c>
      <c r="P123" s="9" t="str">
        <f>VLOOKUP(N123,'Unit of Measure ship March 2026'!A:C,3,false)</f>
        <v>LBS</v>
      </c>
      <c r="R123" s="19"/>
      <c r="V123" s="19"/>
    </row>
    <row r="124" ht="15.75" customHeight="1">
      <c r="F124" s="8">
        <v>112015.0</v>
      </c>
      <c r="G124" s="9" t="str">
        <f>VLOOKUP(F124,'FML March 2026'!E:F,2,false)</f>
        <v>VINEGAR DARK BALSAMIC CS 4/1 GAL  SPARROW LANE</v>
      </c>
      <c r="H124" s="9" t="str">
        <f>VLOOKUP(F124,'Unit of Measure ship March 2026'!A:C,3,false)</f>
        <v>GAL</v>
      </c>
      <c r="J124" s="8"/>
      <c r="K124" s="34"/>
      <c r="N124" s="15">
        <v>110903.0</v>
      </c>
      <c r="O124" s="9" t="str">
        <f>VLOOKUP(N124,'FML March 2026'!E:F,2,false)</f>
        <v>SPROUTS, SOY BEAN 5 LBS</v>
      </c>
      <c r="P124" s="9" t="str">
        <f>VLOOKUP(N124,'Unit of Measure ship March 2026'!A:C,3,false)</f>
        <v>LBS</v>
      </c>
      <c r="R124" s="19"/>
      <c r="V124" s="19"/>
    </row>
    <row r="125" ht="15.75" customHeight="1">
      <c r="F125" s="8">
        <v>16402.0</v>
      </c>
      <c r="G125" s="9" t="str">
        <f>VLOOKUP(F125,'FML March 2026'!E:F,2,false)</f>
        <v>VINEGAR SHERRY/ XERES CS4/5 LT ROLAND</v>
      </c>
      <c r="H125" s="9" t="str">
        <f>VLOOKUP(F125,'Unit of Measure ship March 2026'!A:C,3,false)</f>
        <v>BT/750ML</v>
      </c>
      <c r="J125" s="8"/>
      <c r="K125" s="34"/>
      <c r="N125" s="15">
        <v>15528.0</v>
      </c>
      <c r="O125" s="9" t="str">
        <f>VLOOKUP(N125,'FML March 2026'!E:F,2,false)</f>
        <v>SQUASH BUTTERNUT 40#</v>
      </c>
      <c r="P125" s="9" t="str">
        <f>VLOOKUP(N125,'Unit of Measure ship March 2026'!A:C,3,false)</f>
        <v>LBS</v>
      </c>
      <c r="R125" s="19"/>
      <c r="V125" s="19"/>
    </row>
    <row r="126" ht="15.75" customHeight="1">
      <c r="F126" s="17">
        <v>10033.0</v>
      </c>
      <c r="G126" s="9" t="str">
        <f>VLOOKUP(F126,'FML March 2026'!E:F,2,false)</f>
        <v>VINEGAR, RED WINE VINEGAR</v>
      </c>
      <c r="H126" s="9" t="str">
        <f>VLOOKUP(F126,'Unit of Measure ship March 2026'!A:C,3,false)</f>
        <v>BTL/5LT</v>
      </c>
      <c r="J126" s="8"/>
      <c r="K126" s="34"/>
      <c r="N126" s="13">
        <v>110072.0</v>
      </c>
      <c r="O126" s="9" t="str">
        <f>VLOOKUP(N126,'FML March 2026'!E:F,2,false)</f>
        <v>SQUASH KABOCHA FRESH</v>
      </c>
      <c r="P126" s="9" t="str">
        <f>VLOOKUP(N126,'Unit of Measure ship March 2026'!A:C,3,false)</f>
        <v>LBS</v>
      </c>
      <c r="R126" s="19"/>
      <c r="V126" s="19"/>
    </row>
    <row r="127" ht="15.75" customHeight="1">
      <c r="F127" s="17">
        <v>16413.0</v>
      </c>
      <c r="G127" s="9" t="str">
        <f>VLOOKUP(F127,'FML March 2026'!E:F,2,false)</f>
        <v>VINEGAR, RICE WINE, UNSEASONED, JUG</v>
      </c>
      <c r="H127" s="9" t="str">
        <f>VLOOKUP(F127,'Unit of Measure ship March 2026'!A:C,3,false)</f>
        <v>GAL</v>
      </c>
      <c r="J127" s="8"/>
      <c r="K127" s="34"/>
      <c r="N127" s="15">
        <v>15531.0</v>
      </c>
      <c r="O127" s="9" t="str">
        <f>VLOOKUP(N127,'FML March 2026'!E:F,2,false)</f>
        <v>SQUASH YELLOW, STRAIGHT NK FANCY 1/2 BUSHEL 20#, 180-210 MM</v>
      </c>
      <c r="P127" s="9" t="str">
        <f>VLOOKUP(N127,'Unit of Measure ship March 2026'!A:C,3,false)</f>
        <v>LBS</v>
      </c>
      <c r="R127" s="19"/>
      <c r="V127" s="19"/>
    </row>
    <row r="128" ht="15.75" customHeight="1">
      <c r="F128" s="17">
        <v>16374.0</v>
      </c>
      <c r="G128" s="9" t="str">
        <f>VLOOKUP(F128,'FML March 2026'!E:F,2,false)</f>
        <v>VINEGAR, WHITE DISTILLED</v>
      </c>
      <c r="H128" s="9" t="str">
        <f>VLOOKUP(F128,'Unit of Measure ship March 2026'!A:C,3,false)</f>
        <v>BTL/5LT</v>
      </c>
      <c r="J128" s="8"/>
      <c r="K128" s="34"/>
      <c r="N128" s="15">
        <v>15575.0</v>
      </c>
      <c r="O128" s="9" t="str">
        <f>VLOOKUP(N128,'FML March 2026'!E:F,2,false)</f>
        <v>SWISS CHARD 24 BU 20#</v>
      </c>
      <c r="P128" s="9" t="str">
        <f>VLOOKUP(N128,'Unit of Measure ship March 2026'!A:C,3,false)</f>
        <v>LBS</v>
      </c>
      <c r="R128" s="19"/>
      <c r="V128" s="19"/>
    </row>
    <row r="129" ht="15.75" customHeight="1">
      <c r="F129" s="8">
        <v>16358.0</v>
      </c>
      <c r="G129" s="9" t="str">
        <f>VLOOKUP(F129,'FML March 2026'!E:F,2,false)</f>
        <v>WORCESTERSHIRE SAUCE 5 OZ LEA &amp; PERRINS</v>
      </c>
      <c r="H129" s="9" t="str">
        <f>VLOOKUP(F129,'Unit of Measure ship March 2026'!A:C,3,false)</f>
        <v>BTL/5OZ</v>
      </c>
      <c r="J129" s="8"/>
      <c r="K129" s="34"/>
      <c r="N129" s="13">
        <v>15325.0</v>
      </c>
      <c r="O129" s="9" t="str">
        <f>VLOOKUP(N129,'FML March 2026'!E:F,2,false)</f>
        <v>TANGERINES #1, CAL, FL 80CT 40#</v>
      </c>
      <c r="P129" s="9" t="str">
        <f>VLOOKUP(N129,'Unit of Measure ship March 2026'!A:C,3,false)</f>
        <v>LBS</v>
      </c>
      <c r="R129" s="19"/>
      <c r="V129" s="19"/>
    </row>
    <row r="130" ht="15.75" customHeight="1">
      <c r="F130" s="8">
        <v>15032.0</v>
      </c>
      <c r="G130" s="9" t="str">
        <f>VLOOKUP(F130,'FML March 2026'!E:F,2,false)</f>
        <v>YEAST ACTIVE 24/1# FRESH &amp; REFRIGERATED, FLEISCHMANS</v>
      </c>
      <c r="H130" s="9" t="str">
        <f>VLOOKUP(F130,'Unit of Measure ship March 2026'!A:C,3,false)</f>
        <v>LBS</v>
      </c>
      <c r="J130" s="8"/>
      <c r="K130" s="34"/>
      <c r="N130" s="15">
        <v>15442.0</v>
      </c>
      <c r="O130" s="9" t="str">
        <f>VLOOKUP(N130,'FML March 2026'!E:F,2,false)</f>
        <v>TARRAGON (12 BUNCH), 1 LB/CS</v>
      </c>
      <c r="P130" s="9" t="str">
        <f>VLOOKUP(N130,'Unit of Measure ship March 2026'!A:C,3,false)</f>
        <v>LBS</v>
      </c>
      <c r="R130" s="19"/>
      <c r="V130" s="19"/>
    </row>
    <row r="131" ht="15.75" customHeight="1">
      <c r="F131" s="17">
        <v>109846.0</v>
      </c>
      <c r="G131" s="9" t="str">
        <f>VLOOKUP(F131,'FML March 2026'!E:F,2,false)</f>
        <v>YOGURT GREEK BULK</v>
      </c>
      <c r="H131" s="9" t="str">
        <f>VLOOKUP(F131,'Unit of Measure ship March 2026'!A:C,3,false)</f>
        <v>LBS</v>
      </c>
      <c r="J131" s="8"/>
      <c r="K131" s="34"/>
      <c r="N131" s="15">
        <v>15446.0</v>
      </c>
      <c r="O131" s="9" t="str">
        <f>VLOOKUP(N131,'FML March 2026'!E:F,2,false)</f>
        <v>THYME FRESH</v>
      </c>
      <c r="P131" s="9" t="str">
        <f>VLOOKUP(N131,'Unit of Measure ship March 2026'!A:C,3,false)</f>
        <v>LBS</v>
      </c>
      <c r="R131" s="19"/>
      <c r="V131" s="19"/>
    </row>
    <row r="132" ht="15.75" customHeight="1">
      <c r="F132" s="17">
        <v>14906.0</v>
      </c>
      <c r="G132" s="9" t="str">
        <f>VLOOKUP(F132,'FML March 2026'!E:F,2,false)</f>
        <v>YOGURT PLAIN BULK, UNSWEETENED,</v>
      </c>
      <c r="H132" s="9" t="str">
        <f>VLOOKUP(F132,'Unit of Measure ship March 2026'!A:C,3,false)</f>
        <v>LBS</v>
      </c>
      <c r="J132" s="8"/>
      <c r="K132" s="34"/>
      <c r="N132" s="13">
        <v>15583.0</v>
      </c>
      <c r="O132" s="9" t="str">
        <f>VLOOKUP(N132,'FML March 2026'!E:F,2,false)</f>
        <v>TOMATO, SUN-DRIED, HALVES, STANDARD, DRY, 4/5 LB</v>
      </c>
      <c r="P132" s="9" t="str">
        <f>VLOOKUP(N132,'Unit of Measure ship March 2026'!A:C,3,false)</f>
        <v>LBS</v>
      </c>
      <c r="R132" s="19"/>
      <c r="V132" s="19"/>
    </row>
    <row r="133" ht="15.75" customHeight="1">
      <c r="F133" s="17">
        <v>19409.0</v>
      </c>
      <c r="G133" s="9" t="str">
        <f>VLOOKUP(F133,'FML March 2026'!E:F,2,false)</f>
        <v>YUZU JUICE PURE UNSEASONED SHIBORI YAKAMI ORCHARD</v>
      </c>
      <c r="H133" s="9" t="str">
        <f>VLOOKUP(F133,'Unit of Measure ship March 2026'!A:C,3,false)</f>
        <v>BT/750ML</v>
      </c>
      <c r="J133" s="8"/>
      <c r="K133" s="34"/>
      <c r="N133" s="15">
        <v>15537.0</v>
      </c>
      <c r="O133" s="9" t="str">
        <f>VLOOKUP(N133,'FML March 2026'!E:F,2,false)</f>
        <v>TOMATOES 6X6 #1 18# RED RIPE, FIRM (LAYERED), 55-65 MM</v>
      </c>
      <c r="P133" s="9" t="str">
        <f>VLOOKUP(N133,'Unit of Measure ship March 2026'!A:C,3,false)</f>
        <v>LBS</v>
      </c>
      <c r="R133" s="19"/>
      <c r="V133" s="19"/>
    </row>
    <row r="134" ht="15.75" customHeight="1">
      <c r="F134" s="17">
        <v>111706.0</v>
      </c>
      <c r="G134" s="9" t="str">
        <f>VLOOKUP(F134,'FML March 2026'!E:F,2,false)</f>
        <v>ZA'ATAR SPICE CS 6/16 OZ WOODLAND FARMS</v>
      </c>
      <c r="H134" s="9" t="str">
        <f>VLOOKUP(F134,'Unit of Measure ship March 2026'!A:C,3,false)</f>
        <v>LBS</v>
      </c>
      <c r="J134" s="8"/>
      <c r="K134" s="34"/>
      <c r="N134" s="15">
        <v>15534.0</v>
      </c>
      <c r="O134" s="9" t="str">
        <f>VLOOKUP(N134,'FML March 2026'!E:F,2,false)</f>
        <v>TOMATOES CHERRY #1 (GRAPE) 10 PINK, RED, FIRM SMALL</v>
      </c>
      <c r="P134" s="9" t="str">
        <f>VLOOKUP(N134,'Unit of Measure ship March 2026'!A:C,3,false)</f>
        <v>LBS</v>
      </c>
      <c r="R134" s="19"/>
      <c r="V134" s="19"/>
    </row>
    <row r="135" ht="15.75" customHeight="1">
      <c r="J135" s="8"/>
      <c r="K135" s="34"/>
      <c r="N135" s="13">
        <v>109765.0</v>
      </c>
      <c r="O135" s="9" t="str">
        <f>VLOOKUP(N135,'FML March 2026'!E:F,2,false)</f>
        <v>TOMATOES CHERRY MIXED HEIRLOOM</v>
      </c>
      <c r="P135" s="9" t="str">
        <f>VLOOKUP(N135,'Unit of Measure ship March 2026'!A:C,3,false)</f>
        <v>LBS</v>
      </c>
      <c r="R135" s="19"/>
      <c r="V135" s="19"/>
    </row>
    <row r="136" ht="15.75" customHeight="1">
      <c r="J136" s="8"/>
      <c r="K136" s="34"/>
      <c r="N136" s="15">
        <v>35223.0</v>
      </c>
      <c r="O136" s="9" t="str">
        <f>VLOOKUP(N136,'FML March 2026'!E:F,2,false)</f>
        <v>TOMATOES, RED BEEFSTEAK TOMATOES, HEIRLOOM</v>
      </c>
      <c r="P136" s="9" t="str">
        <f>VLOOKUP(N136,'Unit of Measure ship March 2026'!A:C,3,false)</f>
        <v>LBS</v>
      </c>
      <c r="R136" s="19"/>
      <c r="V136" s="19"/>
    </row>
    <row r="137" ht="15.75" customHeight="1">
      <c r="J137" s="8"/>
      <c r="K137" s="34"/>
      <c r="N137" s="15">
        <v>15540.0</v>
      </c>
      <c r="O137" s="9" t="str">
        <f>VLOOKUP(N137,'FML March 2026'!E:F,2,false)</f>
        <v>WATERCRESS (FULL BX) 10# 24BH "B &amp; W, FRESH, ICE PACKED" 1BX</v>
      </c>
      <c r="P137" s="9" t="str">
        <f>VLOOKUP(N137,'Unit of Measure ship March 2026'!A:C,3,false)</f>
        <v>LBS</v>
      </c>
      <c r="R137" s="19"/>
      <c r="V137" s="19"/>
    </row>
    <row r="138" ht="15.75" customHeight="1">
      <c r="J138" s="8"/>
      <c r="K138" s="34"/>
      <c r="N138" s="13">
        <v>15425.0</v>
      </c>
      <c r="O138" s="9" t="str">
        <f>VLOOKUP(N138,'FML March 2026'!E:F,2,false)</f>
        <v>WATERMELONS SEEDLESS 4CT/6C 32#</v>
      </c>
      <c r="P138" s="9" t="str">
        <f>VLOOKUP(N138,'Unit of Measure ship March 2026'!A:C,3,false)</f>
        <v>LBS</v>
      </c>
      <c r="R138" s="19"/>
      <c r="V138" s="19"/>
    </row>
    <row r="139" ht="15.75" customHeight="1">
      <c r="J139" s="8"/>
      <c r="K139" s="34"/>
      <c r="N139" s="15">
        <v>15542.0</v>
      </c>
      <c r="O139" s="9" t="str">
        <f>VLOOKUP(N139,'FML March 2026'!E:F,2,false)</f>
        <v>ZUCCHINI MEDIUM #1 FANCY 20#/CS, 180-210 MM</v>
      </c>
      <c r="P139" s="9" t="str">
        <f>VLOOKUP(N139,'Unit of Measure ship March 2026'!A:C,3,false)</f>
        <v>LBS</v>
      </c>
      <c r="R139" s="19"/>
      <c r="V139" s="19"/>
    </row>
    <row r="140" ht="15.75" customHeight="1">
      <c r="J140" s="8"/>
      <c r="K140" s="34"/>
      <c r="R140" s="19"/>
      <c r="V140" s="19"/>
    </row>
    <row r="141" ht="15.75" customHeight="1">
      <c r="J141" s="8"/>
      <c r="K141" s="34"/>
      <c r="R141" s="19"/>
      <c r="V141" s="19"/>
    </row>
    <row r="142" ht="15.75" customHeight="1">
      <c r="J142" s="8"/>
      <c r="K142" s="34"/>
      <c r="R142" s="19"/>
      <c r="V142" s="19"/>
    </row>
    <row r="143" ht="15.75" customHeight="1">
      <c r="J143" s="8"/>
      <c r="K143" s="34"/>
      <c r="R143" s="19"/>
      <c r="V143" s="19"/>
    </row>
    <row r="144" ht="15.75" customHeight="1">
      <c r="J144" s="8"/>
      <c r="K144" s="34"/>
      <c r="O144" s="9"/>
      <c r="P144" s="9"/>
      <c r="R144" s="19"/>
      <c r="V144" s="19"/>
    </row>
    <row r="145" ht="15.75" customHeight="1">
      <c r="J145" s="8"/>
      <c r="K145" s="34"/>
      <c r="O145" s="9"/>
      <c r="P145" s="9"/>
      <c r="R145" s="19"/>
      <c r="V145" s="19"/>
    </row>
    <row r="146" ht="15.75" customHeight="1">
      <c r="J146" s="8"/>
      <c r="K146" s="34"/>
      <c r="R146" s="19"/>
      <c r="V146" s="19"/>
    </row>
    <row r="147" ht="15.75" customHeight="1">
      <c r="J147" s="8"/>
      <c r="K147" s="34"/>
      <c r="R147" s="19"/>
      <c r="V147" s="19"/>
    </row>
    <row r="148" ht="15.75" customHeight="1">
      <c r="J148" s="8"/>
      <c r="K148" s="34"/>
      <c r="R148" s="19"/>
      <c r="V148" s="19"/>
    </row>
    <row r="149" ht="15.75" customHeight="1">
      <c r="J149" s="8"/>
      <c r="K149" s="34"/>
      <c r="R149" s="19"/>
      <c r="V149" s="19"/>
    </row>
    <row r="150" ht="15.75" customHeight="1">
      <c r="J150" s="8"/>
      <c r="K150" s="34"/>
      <c r="R150" s="19"/>
      <c r="V150" s="19"/>
    </row>
    <row r="151" ht="15.75" customHeight="1">
      <c r="J151" s="8"/>
      <c r="K151" s="34"/>
      <c r="R151" s="19"/>
      <c r="V151" s="19"/>
    </row>
    <row r="152" ht="15.75" customHeight="1">
      <c r="J152" s="8"/>
      <c r="K152" s="34"/>
      <c r="R152" s="19"/>
      <c r="V152" s="19"/>
    </row>
    <row r="153" ht="15.75" customHeight="1">
      <c r="J153" s="8"/>
      <c r="K153" s="34"/>
      <c r="R153" s="19"/>
      <c r="V153" s="19"/>
    </row>
    <row r="154" ht="15.75" customHeight="1">
      <c r="J154" s="8"/>
      <c r="K154" s="34"/>
      <c r="R154" s="19"/>
      <c r="V154" s="19"/>
    </row>
    <row r="155" ht="15.75" customHeight="1">
      <c r="J155" s="8"/>
      <c r="K155" s="34"/>
      <c r="R155" s="19"/>
      <c r="V155" s="19"/>
    </row>
    <row r="156" ht="15.75" customHeight="1">
      <c r="J156" s="8"/>
      <c r="K156" s="34"/>
      <c r="R156" s="19"/>
      <c r="V156" s="19"/>
    </row>
    <row r="157" ht="15.75" customHeight="1">
      <c r="K157" s="34"/>
      <c r="R157" s="19"/>
      <c r="V157" s="19"/>
    </row>
    <row r="158" ht="15.75" customHeight="1">
      <c r="J158" s="8"/>
      <c r="K158" s="34"/>
      <c r="R158" s="19"/>
      <c r="V158" s="19"/>
    </row>
    <row r="159" ht="15.75" customHeight="1">
      <c r="J159" s="8"/>
      <c r="K159" s="34"/>
      <c r="R159" s="19"/>
      <c r="V159" s="19"/>
    </row>
    <row r="160" ht="15.75" customHeight="1">
      <c r="J160" s="8"/>
      <c r="K160" s="34"/>
      <c r="R160" s="19"/>
      <c r="V160" s="19"/>
    </row>
    <row r="161" ht="15.75" customHeight="1">
      <c r="J161" s="8"/>
      <c r="K161" s="34"/>
      <c r="R161" s="19"/>
      <c r="V161" s="19"/>
    </row>
    <row r="162" ht="15.75" customHeight="1">
      <c r="J162" s="8"/>
      <c r="K162" s="34"/>
      <c r="R162" s="19"/>
      <c r="V162" s="19"/>
    </row>
    <row r="163" ht="15.75" customHeight="1">
      <c r="J163" s="8"/>
      <c r="K163" s="34"/>
      <c r="R163" s="19"/>
      <c r="V163" s="19"/>
    </row>
    <row r="164" ht="15.75" customHeight="1">
      <c r="J164" s="8"/>
      <c r="K164" s="34"/>
      <c r="R164" s="19"/>
      <c r="V164" s="19"/>
    </row>
    <row r="165" ht="15.75" customHeight="1">
      <c r="J165" s="8"/>
      <c r="K165" s="34"/>
      <c r="R165" s="19"/>
      <c r="V165" s="19"/>
    </row>
    <row r="166" ht="15.75" customHeight="1">
      <c r="J166" s="8"/>
      <c r="K166" s="34"/>
      <c r="R166" s="19"/>
      <c r="V166" s="19"/>
    </row>
    <row r="167" ht="15.75" customHeight="1">
      <c r="J167" s="8"/>
      <c r="K167" s="34"/>
      <c r="R167" s="19"/>
      <c r="V167" s="19"/>
    </row>
    <row r="168" ht="15.75" customHeight="1">
      <c r="J168" s="8"/>
      <c r="K168" s="34"/>
      <c r="R168" s="19"/>
      <c r="V168" s="19"/>
    </row>
    <row r="169" ht="15.75" customHeight="1">
      <c r="J169" s="8"/>
      <c r="K169" s="34"/>
      <c r="R169" s="19"/>
      <c r="V169" s="19"/>
    </row>
    <row r="170" ht="15.75" customHeight="1">
      <c r="J170" s="8"/>
      <c r="K170" s="34"/>
      <c r="R170" s="19"/>
      <c r="V170" s="19"/>
    </row>
    <row r="171" ht="15.75" customHeight="1">
      <c r="J171" s="8"/>
      <c r="K171" s="34"/>
      <c r="R171" s="19"/>
      <c r="V171" s="19"/>
    </row>
    <row r="172" ht="15.75" customHeight="1">
      <c r="J172" s="8"/>
      <c r="K172" s="34"/>
      <c r="R172" s="19"/>
      <c r="V172" s="19"/>
    </row>
    <row r="173" ht="15.75" customHeight="1">
      <c r="J173" s="8"/>
      <c r="K173" s="34"/>
      <c r="R173" s="19"/>
      <c r="V173" s="19"/>
    </row>
    <row r="174" ht="15.75" customHeight="1">
      <c r="J174" s="8"/>
      <c r="K174" s="34"/>
      <c r="R174" s="19"/>
      <c r="V174" s="19"/>
    </row>
    <row r="175" ht="15.75" customHeight="1">
      <c r="J175" s="8"/>
      <c r="K175" s="34"/>
      <c r="R175" s="19"/>
      <c r="V175" s="19"/>
    </row>
    <row r="176" ht="15.75" customHeight="1">
      <c r="J176" s="8"/>
      <c r="K176" s="34"/>
      <c r="R176" s="19"/>
      <c r="V176" s="19"/>
    </row>
    <row r="177" ht="15.75" customHeight="1">
      <c r="J177" s="8"/>
      <c r="K177" s="34"/>
      <c r="R177" s="19"/>
      <c r="V177" s="19"/>
    </row>
    <row r="178" ht="15.75" customHeight="1">
      <c r="J178" s="8"/>
      <c r="K178" s="34"/>
      <c r="R178" s="19"/>
      <c r="V178" s="19"/>
    </row>
    <row r="179" ht="15.75" customHeight="1">
      <c r="J179" s="8"/>
      <c r="K179" s="34"/>
      <c r="R179" s="19"/>
      <c r="V179" s="19"/>
    </row>
    <row r="180" ht="15.75" customHeight="1">
      <c r="J180" s="8"/>
      <c r="K180" s="34"/>
      <c r="R180" s="19"/>
      <c r="V180" s="19"/>
    </row>
    <row r="181" ht="15.75" customHeight="1">
      <c r="J181" s="8"/>
      <c r="K181" s="34"/>
      <c r="R181" s="19"/>
      <c r="V181" s="19"/>
    </row>
    <row r="182" ht="15.75" customHeight="1">
      <c r="J182" s="8"/>
      <c r="K182" s="34"/>
      <c r="R182" s="19"/>
      <c r="V182" s="19"/>
    </row>
    <row r="183" ht="15.75" customHeight="1">
      <c r="J183" s="8"/>
      <c r="K183" s="34"/>
      <c r="R183" s="19"/>
      <c r="V183" s="19"/>
    </row>
    <row r="184" ht="15.75" customHeight="1">
      <c r="J184" s="8"/>
      <c r="K184" s="34"/>
      <c r="R184" s="19"/>
      <c r="V184" s="19"/>
    </row>
    <row r="185" ht="15.75" customHeight="1">
      <c r="J185" s="8"/>
      <c r="K185" s="34"/>
      <c r="R185" s="19"/>
      <c r="V185" s="19"/>
    </row>
    <row r="186" ht="15.75" customHeight="1">
      <c r="J186" s="8"/>
      <c r="K186" s="34"/>
      <c r="R186" s="19"/>
      <c r="V186" s="19"/>
    </row>
    <row r="187" ht="15.75" customHeight="1">
      <c r="J187" s="8"/>
      <c r="K187" s="34"/>
      <c r="R187" s="19"/>
      <c r="V187" s="19"/>
    </row>
    <row r="188" ht="15.75" customHeight="1">
      <c r="J188" s="8"/>
      <c r="K188" s="34"/>
      <c r="R188" s="19"/>
      <c r="V188" s="19"/>
    </row>
    <row r="189" ht="15.75" customHeight="1">
      <c r="J189" s="8"/>
      <c r="K189" s="34"/>
      <c r="R189" s="19"/>
      <c r="V189" s="19"/>
    </row>
    <row r="190" ht="15.75" customHeight="1">
      <c r="J190" s="8"/>
      <c r="K190" s="34"/>
      <c r="R190" s="19"/>
      <c r="V190" s="19"/>
    </row>
    <row r="191" ht="15.75" customHeight="1">
      <c r="J191" s="8"/>
      <c r="K191" s="34"/>
      <c r="R191" s="19"/>
      <c r="V191" s="19"/>
    </row>
    <row r="192" ht="15.75" customHeight="1">
      <c r="J192" s="8"/>
      <c r="K192" s="34"/>
      <c r="R192" s="19"/>
      <c r="V192" s="19"/>
    </row>
    <row r="193" ht="15.75" customHeight="1">
      <c r="J193" s="8"/>
      <c r="K193" s="34"/>
      <c r="R193" s="36"/>
      <c r="V193" s="36"/>
    </row>
    <row r="194" ht="15.75" customHeight="1">
      <c r="J194" s="8"/>
      <c r="K194" s="34"/>
    </row>
    <row r="195" ht="15.75" customHeight="1">
      <c r="J195" s="8"/>
      <c r="K195" s="34"/>
    </row>
    <row r="196" ht="15.75" customHeight="1">
      <c r="J196" s="8"/>
      <c r="K196" s="34"/>
    </row>
    <row r="197" ht="15.75" customHeight="1">
      <c r="J197" s="8"/>
      <c r="K197" s="34"/>
    </row>
    <row r="198" ht="15.75" customHeight="1">
      <c r="J198" s="8"/>
      <c r="K198" s="34"/>
    </row>
    <row r="199" ht="15.75" customHeight="1">
      <c r="J199" s="8"/>
      <c r="K199" s="34"/>
    </row>
    <row r="200" ht="15.75" customHeight="1">
      <c r="J200" s="8"/>
      <c r="K200" s="34"/>
    </row>
    <row r="201" ht="15.75" customHeight="1">
      <c r="J201" s="8"/>
      <c r="K201" s="34"/>
    </row>
    <row r="202" ht="15.75" customHeight="1">
      <c r="J202" s="8"/>
      <c r="K202" s="34"/>
    </row>
    <row r="203" ht="15.75" customHeight="1">
      <c r="J203" s="8"/>
      <c r="K203" s="34"/>
    </row>
    <row r="204" ht="15.75" customHeight="1">
      <c r="K204" s="34"/>
    </row>
    <row r="205" ht="15.75" customHeight="1">
      <c r="K205" s="34"/>
    </row>
    <row r="206" ht="15.75" customHeight="1">
      <c r="J206" s="8"/>
      <c r="K206" s="34"/>
    </row>
    <row r="207" ht="15.75" customHeight="1">
      <c r="J207" s="8"/>
      <c r="K207" s="34"/>
    </row>
    <row r="208" ht="15.75" customHeight="1">
      <c r="J208" s="8"/>
      <c r="K208" s="34"/>
    </row>
    <row r="209" ht="15.75" customHeight="1">
      <c r="K209" s="34"/>
    </row>
    <row r="210" ht="15.75" customHeight="1">
      <c r="K210" s="34"/>
    </row>
    <row r="211" ht="15.75" customHeight="1">
      <c r="K211" s="34"/>
    </row>
    <row r="212" ht="15.75" customHeight="1">
      <c r="K212" s="34"/>
    </row>
    <row r="213" ht="15.75" customHeight="1">
      <c r="K213" s="34"/>
    </row>
    <row r="214" ht="15.75" customHeight="1">
      <c r="K214" s="34"/>
    </row>
    <row r="215" ht="15.75" customHeight="1">
      <c r="K215" s="34"/>
    </row>
    <row r="216" ht="15.75" customHeight="1">
      <c r="K216" s="34"/>
    </row>
    <row r="217" ht="15.75" customHeight="1">
      <c r="K217" s="34"/>
    </row>
    <row r="218" ht="15.75" customHeight="1">
      <c r="K218" s="34"/>
    </row>
    <row r="219" ht="15.75" customHeight="1">
      <c r="K219" s="34"/>
    </row>
    <row r="220" ht="15.75" customHeight="1">
      <c r="K220" s="34"/>
    </row>
    <row r="221" ht="15.75" customHeight="1">
      <c r="K221" s="34"/>
    </row>
    <row r="222" ht="15.75" customHeight="1">
      <c r="K222" s="34"/>
    </row>
    <row r="223" ht="15.75" customHeight="1">
      <c r="K223" s="34"/>
    </row>
    <row r="224" ht="15.75" customHeight="1">
      <c r="K224" s="34"/>
    </row>
    <row r="225" ht="15.75" customHeight="1">
      <c r="K225" s="34"/>
    </row>
    <row r="226" ht="15.75" customHeight="1">
      <c r="K226" s="34"/>
    </row>
    <row r="227" ht="15.75" customHeight="1">
      <c r="K227" s="34"/>
    </row>
    <row r="228" ht="15.75" customHeight="1">
      <c r="K228" s="34"/>
    </row>
    <row r="229" ht="15.75" customHeight="1">
      <c r="K229" s="34"/>
    </row>
    <row r="230" ht="15.75" customHeight="1">
      <c r="K230" s="34"/>
    </row>
    <row r="231" ht="15.75" customHeight="1">
      <c r="J231" s="8"/>
      <c r="K231" s="34"/>
    </row>
    <row r="232" ht="15.75" customHeight="1">
      <c r="J232" s="8"/>
      <c r="K232" s="34"/>
    </row>
    <row r="233" ht="15.75" customHeight="1">
      <c r="J233" s="8"/>
      <c r="K233" s="34"/>
    </row>
    <row r="234" ht="15.75" customHeight="1">
      <c r="J234" s="8"/>
      <c r="K234" s="34"/>
    </row>
    <row r="235" ht="15.75" customHeight="1">
      <c r="J235" s="8"/>
      <c r="K235" s="34"/>
    </row>
    <row r="236" ht="15.75" customHeight="1">
      <c r="J236" s="8"/>
      <c r="K236" s="34"/>
    </row>
    <row r="237" ht="15.75" customHeight="1">
      <c r="J237" s="8"/>
      <c r="K237" s="34"/>
    </row>
    <row r="238" ht="15.75" customHeight="1">
      <c r="K238" s="34"/>
    </row>
    <row r="239" ht="15.75" customHeight="1">
      <c r="K239" s="34"/>
    </row>
    <row r="240" ht="15.75" customHeight="1">
      <c r="K240" s="34"/>
    </row>
    <row r="241" ht="15.75" customHeight="1">
      <c r="K241" s="34"/>
    </row>
    <row r="242" ht="15.75" customHeight="1">
      <c r="K242" s="34"/>
    </row>
    <row r="243" ht="15.75" customHeight="1">
      <c r="K243" s="34"/>
    </row>
    <row r="244" ht="15.75" customHeight="1">
      <c r="K244" s="34"/>
    </row>
    <row r="245" ht="15.75" customHeight="1">
      <c r="K245" s="34"/>
    </row>
    <row r="246" ht="15.75" customHeight="1">
      <c r="K246" s="34"/>
    </row>
    <row r="247" ht="15.75" customHeight="1">
      <c r="K247" s="34"/>
    </row>
    <row r="248" ht="15.75" customHeight="1">
      <c r="K248" s="34"/>
    </row>
    <row r="249" ht="15.75" customHeight="1">
      <c r="K249" s="34"/>
    </row>
    <row r="250" ht="15.75" customHeight="1">
      <c r="K250" s="34"/>
    </row>
    <row r="251" ht="15.75" customHeight="1">
      <c r="K251" s="34"/>
    </row>
    <row r="252" ht="15.75" customHeight="1">
      <c r="K252" s="34"/>
    </row>
    <row r="253" ht="15.75" customHeight="1">
      <c r="K253" s="34"/>
    </row>
    <row r="254" ht="15.75" customHeight="1">
      <c r="K254" s="34"/>
    </row>
    <row r="255" ht="15.75" customHeight="1">
      <c r="K255" s="34"/>
    </row>
    <row r="256" ht="15.75" customHeight="1">
      <c r="K256" s="34"/>
    </row>
    <row r="257" ht="15.75" customHeight="1">
      <c r="K257" s="34"/>
    </row>
    <row r="258" ht="15.75" customHeight="1">
      <c r="K258" s="34"/>
    </row>
    <row r="259" ht="15.75" customHeight="1">
      <c r="K259" s="34"/>
    </row>
    <row r="260" ht="15.75" customHeight="1">
      <c r="K260" s="34"/>
    </row>
    <row r="261" ht="15.75" customHeight="1">
      <c r="K261" s="34"/>
    </row>
    <row r="262" ht="15.75" customHeight="1">
      <c r="K262" s="34"/>
    </row>
    <row r="263" ht="15.75" customHeight="1">
      <c r="K263" s="34"/>
    </row>
    <row r="264" ht="15.75" customHeight="1">
      <c r="K264" s="34"/>
    </row>
    <row r="265" ht="15.75" customHeight="1">
      <c r="K265" s="34"/>
    </row>
    <row r="266" ht="15.75" customHeight="1">
      <c r="K266" s="34"/>
    </row>
    <row r="267" ht="15.75" customHeight="1">
      <c r="K267" s="34"/>
    </row>
    <row r="268" ht="15.75" customHeight="1">
      <c r="K268" s="34"/>
    </row>
    <row r="269" ht="15.75" customHeight="1">
      <c r="K269" s="34"/>
    </row>
    <row r="270" ht="15.75" customHeight="1">
      <c r="K270" s="34"/>
    </row>
    <row r="271" ht="15.75" customHeight="1">
      <c r="K271" s="34"/>
    </row>
    <row r="272" ht="15.75" customHeight="1">
      <c r="K272" s="34"/>
    </row>
    <row r="273" ht="15.75" customHeight="1">
      <c r="K273" s="34"/>
    </row>
    <row r="274" ht="15.75" customHeight="1">
      <c r="K274" s="34"/>
    </row>
    <row r="275" ht="15.75" customHeight="1">
      <c r="K275" s="34"/>
    </row>
    <row r="276" ht="15.75" customHeight="1">
      <c r="K276" s="34"/>
    </row>
    <row r="277" ht="15.75" customHeight="1">
      <c r="K277" s="34"/>
    </row>
    <row r="278" ht="15.75" customHeight="1">
      <c r="K278" s="34"/>
    </row>
    <row r="279" ht="15.75" customHeight="1">
      <c r="K279" s="34"/>
    </row>
    <row r="280" ht="15.75" customHeight="1">
      <c r="K280" s="34"/>
    </row>
    <row r="281" ht="15.75" customHeight="1">
      <c r="K281" s="34"/>
    </row>
    <row r="282" ht="15.75" customHeight="1">
      <c r="K282" s="34"/>
    </row>
    <row r="283" ht="15.75" customHeight="1">
      <c r="K283" s="34"/>
    </row>
    <row r="284" ht="15.75" customHeight="1">
      <c r="K284" s="34"/>
    </row>
    <row r="285" ht="15.75" customHeight="1">
      <c r="K285" s="34"/>
    </row>
    <row r="286" ht="15.75" customHeight="1">
      <c r="K286" s="34"/>
    </row>
    <row r="287" ht="15.75" customHeight="1">
      <c r="F287" s="36"/>
      <c r="K287" s="34"/>
    </row>
    <row r="288" ht="15.75" customHeight="1">
      <c r="F288" s="36"/>
      <c r="K288" s="34"/>
    </row>
    <row r="289" ht="15.75" customHeight="1">
      <c r="F289" s="36"/>
      <c r="K289" s="34"/>
    </row>
    <row r="290" ht="15.75" customHeight="1">
      <c r="K290" s="34"/>
    </row>
    <row r="291" ht="15.75" customHeight="1">
      <c r="F291" s="36"/>
      <c r="K291" s="34"/>
    </row>
    <row r="292" ht="15.75" customHeight="1">
      <c r="F292" s="36"/>
      <c r="K292" s="34"/>
    </row>
    <row r="293" ht="15.75" customHeight="1">
      <c r="F293" s="36"/>
      <c r="K293" s="34"/>
    </row>
    <row r="294" ht="15.75" customHeight="1">
      <c r="F294" s="36"/>
      <c r="K294" s="34"/>
    </row>
    <row r="295" ht="15.75" customHeight="1">
      <c r="F295" s="36"/>
      <c r="K295" s="34"/>
    </row>
    <row r="296" ht="15.75" customHeight="1">
      <c r="F296" s="36"/>
      <c r="K296" s="34"/>
    </row>
    <row r="297" ht="15.75" customHeight="1">
      <c r="F297" s="36"/>
      <c r="K297" s="34"/>
    </row>
    <row r="298" ht="15.75" customHeight="1">
      <c r="F298" s="36"/>
      <c r="K298" s="34"/>
    </row>
    <row r="299" ht="15.75" customHeight="1">
      <c r="F299" s="36"/>
      <c r="K299" s="34"/>
    </row>
    <row r="300" ht="15.75" customHeight="1">
      <c r="F300" s="36"/>
      <c r="K300" s="34"/>
    </row>
    <row r="301" ht="15.75" customHeight="1">
      <c r="K301" s="34"/>
    </row>
    <row r="302" ht="15.75" customHeight="1">
      <c r="F302" s="36"/>
      <c r="K302" s="34"/>
    </row>
    <row r="303" ht="15.75" customHeight="1">
      <c r="K303" s="34"/>
    </row>
    <row r="304" ht="15.75" customHeight="1">
      <c r="K304" s="34"/>
    </row>
    <row r="305" ht="15.75" customHeight="1">
      <c r="K305" s="34"/>
    </row>
    <row r="306" ht="15.75" customHeight="1">
      <c r="K306" s="34"/>
    </row>
    <row r="307" ht="15.75" customHeight="1">
      <c r="K307" s="34"/>
    </row>
    <row r="308" ht="15.75" customHeight="1">
      <c r="K308" s="34"/>
    </row>
    <row r="309" ht="15.75" customHeight="1">
      <c r="K309" s="34"/>
    </row>
    <row r="310" ht="15.75" customHeight="1">
      <c r="K310" s="34"/>
    </row>
    <row r="311" ht="15.75" customHeight="1">
      <c r="K311" s="34"/>
    </row>
    <row r="312" ht="15.75" customHeight="1">
      <c r="K312" s="34"/>
    </row>
    <row r="313" ht="15.75" customHeight="1">
      <c r="F313" s="36"/>
      <c r="K313" s="34"/>
    </row>
    <row r="314" ht="15.75" customHeight="1">
      <c r="F314" s="36"/>
      <c r="K314" s="34"/>
    </row>
    <row r="315" ht="15.75" customHeight="1">
      <c r="F315" s="36"/>
      <c r="K315" s="34"/>
    </row>
    <row r="316" ht="15.75" customHeight="1">
      <c r="K316" s="34"/>
    </row>
    <row r="317" ht="15.75" customHeight="1">
      <c r="K317" s="34"/>
    </row>
    <row r="318" ht="15.75" customHeight="1">
      <c r="K318" s="34"/>
    </row>
    <row r="319" ht="15.75" customHeight="1">
      <c r="K319" s="34"/>
    </row>
    <row r="320" ht="15.75" customHeight="1">
      <c r="K320" s="34"/>
    </row>
    <row r="321" ht="15.75" customHeight="1">
      <c r="K321" s="34"/>
    </row>
    <row r="322" ht="15.75" customHeight="1">
      <c r="K322" s="34"/>
    </row>
    <row r="323" ht="15.75" customHeight="1">
      <c r="K323" s="34"/>
    </row>
    <row r="324" ht="15.75" customHeight="1">
      <c r="K324" s="34"/>
    </row>
    <row r="325" ht="15.75" customHeight="1">
      <c r="K325" s="34"/>
    </row>
    <row r="326" ht="15.75" customHeight="1">
      <c r="K326" s="34"/>
    </row>
    <row r="327" ht="15.75" customHeight="1">
      <c r="K327" s="34"/>
    </row>
    <row r="328" ht="15.75" customHeight="1">
      <c r="K328" s="34"/>
    </row>
    <row r="329" ht="15.75" customHeight="1">
      <c r="K329" s="34"/>
    </row>
    <row r="330" ht="15.75" customHeight="1">
      <c r="K330" s="34"/>
    </row>
    <row r="331" ht="15.75" customHeight="1">
      <c r="K331" s="34"/>
    </row>
    <row r="332" ht="15.75" customHeight="1">
      <c r="K332" s="34"/>
    </row>
    <row r="333" ht="15.75" customHeight="1">
      <c r="K333" s="34"/>
    </row>
    <row r="334" ht="15.75" customHeight="1">
      <c r="K334" s="34"/>
    </row>
    <row r="335" ht="15.75" customHeight="1">
      <c r="K335" s="34"/>
    </row>
    <row r="336" ht="15.75" customHeight="1">
      <c r="K336" s="34"/>
    </row>
    <row r="337" ht="15.75" customHeight="1">
      <c r="K337" s="34"/>
    </row>
    <row r="338" ht="15.75" customHeight="1">
      <c r="K338" s="34"/>
    </row>
    <row r="339" ht="15.75" customHeight="1">
      <c r="K339" s="34"/>
    </row>
    <row r="340" ht="15.75" customHeight="1">
      <c r="K340" s="34"/>
    </row>
    <row r="341" ht="15.75" customHeight="1">
      <c r="K341" s="34"/>
    </row>
    <row r="342" ht="15.75" customHeight="1">
      <c r="K342" s="34"/>
    </row>
    <row r="343" ht="15.75" customHeight="1">
      <c r="K343" s="34"/>
    </row>
    <row r="344" ht="15.75" customHeight="1">
      <c r="K344" s="34"/>
    </row>
    <row r="345" ht="15.75" customHeight="1">
      <c r="K345" s="34"/>
    </row>
    <row r="346" ht="15.75" customHeight="1">
      <c r="K346" s="34"/>
    </row>
    <row r="347" ht="15.75" customHeight="1">
      <c r="K347" s="34"/>
    </row>
    <row r="348" ht="15.75" customHeight="1">
      <c r="K348" s="34"/>
    </row>
    <row r="349" ht="15.75" customHeight="1">
      <c r="K349" s="34"/>
    </row>
    <row r="350" ht="15.75" customHeight="1">
      <c r="K350" s="34"/>
    </row>
    <row r="351" ht="15.75" customHeight="1">
      <c r="K351" s="34"/>
    </row>
    <row r="352" ht="15.75" customHeight="1">
      <c r="K352" s="34"/>
    </row>
    <row r="353" ht="15.75" customHeight="1">
      <c r="K353" s="34"/>
    </row>
    <row r="354" ht="15.75" customHeight="1">
      <c r="K354" s="34"/>
    </row>
    <row r="355" ht="15.75" customHeight="1">
      <c r="K355" s="34"/>
    </row>
    <row r="356" ht="15.75" customHeight="1">
      <c r="K356" s="34"/>
    </row>
    <row r="357" ht="15.75" customHeight="1">
      <c r="K357" s="34"/>
    </row>
    <row r="358" ht="15.75" customHeight="1">
      <c r="K358" s="34"/>
    </row>
    <row r="359" ht="15.75" customHeight="1">
      <c r="K359" s="34"/>
    </row>
    <row r="360" ht="15.75" customHeight="1">
      <c r="K360" s="34"/>
    </row>
    <row r="361" ht="15.75" customHeight="1">
      <c r="K361" s="34"/>
    </row>
    <row r="362" ht="15.75" customHeight="1">
      <c r="K362" s="34"/>
    </row>
    <row r="363" ht="15.75" customHeight="1">
      <c r="K363" s="34"/>
    </row>
    <row r="364" ht="15.75" customHeight="1">
      <c r="K364" s="34"/>
    </row>
    <row r="365" ht="15.75" customHeight="1">
      <c r="K365" s="34"/>
    </row>
    <row r="366" ht="15.75" customHeight="1">
      <c r="K366" s="34"/>
    </row>
    <row r="367" ht="15.75" customHeight="1">
      <c r="K367" s="34"/>
    </row>
    <row r="368" ht="15.75" customHeight="1">
      <c r="K368" s="34"/>
    </row>
    <row r="369" ht="15.75" customHeight="1">
      <c r="K369" s="34"/>
    </row>
    <row r="370" ht="15.75" customHeight="1">
      <c r="K370" s="34"/>
    </row>
    <row r="371" ht="15.75" customHeight="1">
      <c r="K371" s="34"/>
    </row>
    <row r="372" ht="15.75" customHeight="1">
      <c r="K372" s="34"/>
    </row>
    <row r="373" ht="15.75" customHeight="1">
      <c r="K373" s="34"/>
    </row>
    <row r="374" ht="15.75" customHeight="1">
      <c r="K374" s="34"/>
    </row>
    <row r="375" ht="15.75" customHeight="1">
      <c r="K375" s="34"/>
    </row>
    <row r="376" ht="15.75" customHeight="1">
      <c r="K376" s="34"/>
    </row>
    <row r="377" ht="15.75" customHeight="1">
      <c r="K377" s="34"/>
    </row>
    <row r="378" ht="15.75" customHeight="1">
      <c r="K378" s="34"/>
    </row>
    <row r="379" ht="15.75" customHeight="1">
      <c r="K379" s="34"/>
    </row>
    <row r="380" ht="15.75" customHeight="1">
      <c r="K380" s="34"/>
    </row>
    <row r="381" ht="15.75" customHeight="1">
      <c r="K381" s="34"/>
    </row>
    <row r="382" ht="15.75" customHeight="1">
      <c r="K382" s="34"/>
    </row>
    <row r="383" ht="15.75" customHeight="1">
      <c r="K383" s="34"/>
    </row>
    <row r="384" ht="15.75" customHeight="1">
      <c r="K384" s="34"/>
    </row>
    <row r="385" ht="15.75" customHeight="1">
      <c r="K385" s="34"/>
    </row>
    <row r="386" ht="15.75" customHeight="1">
      <c r="K386" s="34"/>
    </row>
    <row r="387" ht="15.75" customHeight="1">
      <c r="K387" s="34"/>
    </row>
    <row r="388" ht="15.75" customHeight="1">
      <c r="K388" s="34"/>
    </row>
    <row r="389" ht="15.75" customHeight="1">
      <c r="K389" s="34"/>
    </row>
    <row r="390" ht="15.75" customHeight="1">
      <c r="K390" s="34"/>
    </row>
    <row r="391" ht="15.75" customHeight="1">
      <c r="K391" s="34"/>
    </row>
    <row r="392" ht="15.75" customHeight="1">
      <c r="K392" s="34"/>
    </row>
    <row r="393" ht="15.75" customHeight="1">
      <c r="K393" s="34"/>
    </row>
    <row r="394" ht="15.75" customHeight="1">
      <c r="K394" s="34"/>
    </row>
    <row r="395" ht="15.75" customHeight="1">
      <c r="K395" s="34"/>
    </row>
    <row r="396" ht="15.75" customHeight="1">
      <c r="K396" s="34"/>
    </row>
    <row r="397" ht="15.75" customHeight="1">
      <c r="K397" s="34"/>
    </row>
    <row r="398" ht="15.75" customHeight="1">
      <c r="K398" s="34"/>
    </row>
    <row r="399" ht="15.75" customHeight="1">
      <c r="K399" s="34"/>
    </row>
    <row r="400" ht="15.75" customHeight="1">
      <c r="K400" s="34"/>
    </row>
    <row r="401" ht="15.75" customHeight="1">
      <c r="K401" s="34"/>
    </row>
    <row r="402" ht="15.75" customHeight="1">
      <c r="K402" s="34"/>
    </row>
    <row r="403" ht="15.75" customHeight="1">
      <c r="K403" s="34"/>
    </row>
    <row r="404" ht="15.75" customHeight="1">
      <c r="K404" s="34"/>
    </row>
    <row r="405" ht="15.75" customHeight="1">
      <c r="K405" s="34"/>
    </row>
    <row r="406" ht="15.75" customHeight="1">
      <c r="K406" s="34"/>
    </row>
    <row r="407" ht="15.75" customHeight="1">
      <c r="K407" s="34"/>
    </row>
    <row r="408" ht="15.75" customHeight="1">
      <c r="K408" s="34"/>
    </row>
    <row r="409" ht="15.75" customHeight="1">
      <c r="K409" s="34"/>
    </row>
    <row r="410" ht="15.75" customHeight="1">
      <c r="K410" s="34"/>
    </row>
    <row r="411" ht="15.75" customHeight="1">
      <c r="K411" s="34"/>
    </row>
    <row r="412" ht="15.75" customHeight="1">
      <c r="K412" s="34"/>
    </row>
    <row r="413" ht="15.75" customHeight="1">
      <c r="K413" s="34"/>
    </row>
    <row r="414" ht="15.75" customHeight="1">
      <c r="K414" s="34"/>
    </row>
    <row r="415" ht="15.75" customHeight="1">
      <c r="K415" s="34"/>
    </row>
    <row r="416" ht="15.75" customHeight="1">
      <c r="K416" s="34"/>
    </row>
    <row r="417" ht="15.75" customHeight="1">
      <c r="K417" s="34"/>
    </row>
    <row r="418" ht="15.75" customHeight="1">
      <c r="K418" s="34"/>
    </row>
    <row r="419" ht="15.75" customHeight="1">
      <c r="K419" s="34"/>
    </row>
    <row r="420" ht="15.75" customHeight="1">
      <c r="K420" s="34"/>
    </row>
    <row r="421" ht="15.75" customHeight="1">
      <c r="K421" s="34"/>
    </row>
    <row r="422" ht="15.75" customHeight="1">
      <c r="K422" s="34"/>
    </row>
    <row r="423" ht="15.75" customHeight="1">
      <c r="K423" s="34"/>
    </row>
    <row r="424" ht="15.75" customHeight="1">
      <c r="K424" s="34"/>
    </row>
    <row r="425" ht="15.75" customHeight="1">
      <c r="K425" s="34"/>
    </row>
    <row r="426" ht="15.75" customHeight="1">
      <c r="K426" s="34"/>
    </row>
    <row r="427" ht="15.75" customHeight="1">
      <c r="K427" s="34"/>
    </row>
    <row r="428" ht="15.75" customHeight="1">
      <c r="K428" s="34"/>
    </row>
    <row r="429" ht="15.75" customHeight="1">
      <c r="K429" s="34"/>
    </row>
    <row r="430" ht="15.75" customHeight="1">
      <c r="K430" s="34"/>
    </row>
    <row r="431" ht="15.75" customHeight="1">
      <c r="K431" s="34"/>
    </row>
    <row r="432" ht="15.75" customHeight="1">
      <c r="K432" s="34"/>
    </row>
    <row r="433" ht="15.75" customHeight="1">
      <c r="K433" s="34"/>
    </row>
    <row r="434" ht="15.75" customHeight="1">
      <c r="K434" s="34"/>
    </row>
    <row r="435" ht="15.75" customHeight="1">
      <c r="K435" s="34"/>
    </row>
    <row r="436" ht="15.75" customHeight="1">
      <c r="K436" s="34"/>
    </row>
    <row r="437" ht="15.75" customHeight="1">
      <c r="K437" s="34"/>
    </row>
    <row r="438" ht="15.75" customHeight="1">
      <c r="K438" s="34"/>
    </row>
    <row r="439" ht="15.75" customHeight="1">
      <c r="K439" s="34"/>
    </row>
    <row r="440" ht="15.75" customHeight="1">
      <c r="K440" s="34"/>
    </row>
    <row r="441" ht="15.75" customHeight="1">
      <c r="K441" s="34"/>
    </row>
    <row r="442" ht="15.75" customHeight="1">
      <c r="K442" s="34"/>
    </row>
    <row r="443" ht="15.75" customHeight="1">
      <c r="K443" s="34"/>
    </row>
    <row r="444" ht="15.75" customHeight="1">
      <c r="K444" s="34"/>
    </row>
    <row r="445" ht="15.75" customHeight="1">
      <c r="K445" s="34"/>
    </row>
    <row r="446" ht="15.75" customHeight="1">
      <c r="K446" s="34"/>
    </row>
    <row r="447" ht="15.75" customHeight="1">
      <c r="K447" s="34"/>
    </row>
    <row r="448" ht="15.75" customHeight="1">
      <c r="K448" s="34"/>
    </row>
    <row r="449" ht="15.75" customHeight="1">
      <c r="K449" s="34"/>
    </row>
    <row r="450" ht="15.75" customHeight="1">
      <c r="K450" s="34"/>
    </row>
    <row r="451" ht="15.75" customHeight="1">
      <c r="K451" s="34"/>
    </row>
    <row r="452" ht="15.75" customHeight="1">
      <c r="K452" s="34"/>
    </row>
    <row r="453" ht="15.75" customHeight="1">
      <c r="K453" s="34"/>
    </row>
    <row r="454" ht="15.75" customHeight="1">
      <c r="K454" s="34"/>
    </row>
    <row r="455" ht="15.75" customHeight="1">
      <c r="K455" s="34"/>
    </row>
    <row r="456" ht="15.75" customHeight="1">
      <c r="K456" s="34"/>
    </row>
    <row r="457" ht="15.75" customHeight="1">
      <c r="K457" s="34"/>
    </row>
    <row r="458" ht="15.75" customHeight="1">
      <c r="K458" s="34"/>
    </row>
    <row r="459" ht="15.75" customHeight="1">
      <c r="K459" s="34"/>
    </row>
    <row r="460" ht="15.75" customHeight="1">
      <c r="K460" s="34"/>
    </row>
    <row r="461" ht="15.75" customHeight="1">
      <c r="K461" s="34"/>
    </row>
    <row r="462" ht="15.75" customHeight="1">
      <c r="K462" s="34"/>
    </row>
    <row r="463" ht="15.75" customHeight="1">
      <c r="K463" s="34"/>
    </row>
    <row r="464" ht="15.75" customHeight="1">
      <c r="K464" s="34"/>
    </row>
    <row r="465" ht="15.75" customHeight="1">
      <c r="K465" s="34"/>
    </row>
    <row r="466" ht="15.75" customHeight="1">
      <c r="K466" s="34"/>
    </row>
    <row r="467" ht="15.75" customHeight="1">
      <c r="K467" s="34"/>
    </row>
    <row r="468" ht="15.75" customHeight="1">
      <c r="K468" s="34"/>
    </row>
    <row r="469" ht="15.75" customHeight="1">
      <c r="K469" s="34"/>
    </row>
    <row r="470" ht="15.75" customHeight="1">
      <c r="K470" s="34"/>
    </row>
    <row r="471" ht="15.75" customHeight="1">
      <c r="K471" s="34"/>
    </row>
    <row r="472" ht="15.75" customHeight="1">
      <c r="K472" s="34"/>
    </row>
    <row r="473" ht="15.75" customHeight="1">
      <c r="K473" s="34"/>
    </row>
    <row r="474" ht="15.75" customHeight="1">
      <c r="K474" s="34"/>
    </row>
    <row r="475" ht="15.75" customHeight="1">
      <c r="K475" s="34"/>
    </row>
    <row r="476" ht="15.75" customHeight="1">
      <c r="K476" s="34"/>
    </row>
    <row r="477" ht="15.75" customHeight="1">
      <c r="K477" s="34"/>
    </row>
    <row r="478" ht="15.75" customHeight="1">
      <c r="K478" s="34"/>
    </row>
    <row r="479" ht="15.75" customHeight="1">
      <c r="K479" s="34"/>
    </row>
    <row r="480" ht="15.75" customHeight="1">
      <c r="K480" s="34"/>
    </row>
    <row r="481" ht="15.75" customHeight="1">
      <c r="K481" s="34"/>
    </row>
    <row r="482" ht="15.75" customHeight="1">
      <c r="K482" s="34"/>
    </row>
    <row r="483" ht="15.75" customHeight="1">
      <c r="K483" s="34"/>
    </row>
    <row r="484" ht="15.75" customHeight="1">
      <c r="K484" s="34"/>
    </row>
    <row r="485" ht="15.75" customHeight="1">
      <c r="K485" s="34"/>
    </row>
    <row r="486" ht="15.75" customHeight="1">
      <c r="K486" s="34"/>
    </row>
    <row r="487" ht="15.75" customHeight="1">
      <c r="K487" s="34"/>
    </row>
    <row r="488" ht="15.75" customHeight="1">
      <c r="K488" s="34"/>
    </row>
    <row r="489" ht="15.75" customHeight="1">
      <c r="K489" s="34"/>
    </row>
    <row r="490" ht="15.75" customHeight="1">
      <c r="K490" s="34"/>
    </row>
    <row r="491" ht="15.75" customHeight="1">
      <c r="K491" s="34"/>
    </row>
    <row r="492" ht="15.75" customHeight="1">
      <c r="K492" s="34"/>
    </row>
    <row r="493" ht="15.75" customHeight="1">
      <c r="K493" s="34"/>
    </row>
    <row r="494" ht="15.75" customHeight="1">
      <c r="K494" s="34"/>
    </row>
    <row r="495" ht="15.75" customHeight="1">
      <c r="K495" s="34"/>
    </row>
    <row r="496" ht="15.75" customHeight="1">
      <c r="K496" s="34"/>
    </row>
    <row r="497" ht="15.75" customHeight="1">
      <c r="K497" s="34"/>
    </row>
    <row r="498" ht="15.75" customHeight="1">
      <c r="K498" s="34"/>
    </row>
    <row r="499" ht="15.75" customHeight="1">
      <c r="K499" s="34"/>
    </row>
    <row r="500" ht="15.75" customHeight="1">
      <c r="K500" s="34"/>
    </row>
    <row r="501" ht="15.75" customHeight="1">
      <c r="K501" s="34"/>
    </row>
    <row r="502" ht="15.75" customHeight="1">
      <c r="K502" s="34"/>
    </row>
    <row r="503" ht="15.75" customHeight="1">
      <c r="K503" s="34"/>
    </row>
    <row r="504" ht="15.75" customHeight="1">
      <c r="K504" s="34"/>
    </row>
    <row r="505" ht="15.75" customHeight="1">
      <c r="K505" s="34"/>
    </row>
    <row r="506" ht="15.75" customHeight="1">
      <c r="K506" s="34"/>
    </row>
    <row r="507" ht="15.75" customHeight="1">
      <c r="K507" s="34"/>
    </row>
    <row r="508" ht="15.75" customHeight="1">
      <c r="K508" s="34"/>
    </row>
    <row r="509" ht="15.75" customHeight="1">
      <c r="K509" s="34"/>
    </row>
    <row r="510" ht="15.75" customHeight="1">
      <c r="K510" s="34"/>
    </row>
    <row r="511" ht="15.75" customHeight="1">
      <c r="K511" s="34"/>
    </row>
    <row r="512" ht="15.75" customHeight="1">
      <c r="K512" s="34"/>
    </row>
    <row r="513" ht="15.75" customHeight="1">
      <c r="K513" s="34"/>
    </row>
    <row r="514" ht="15.75" customHeight="1">
      <c r="K514" s="34"/>
    </row>
    <row r="515" ht="15.75" customHeight="1">
      <c r="K515" s="34"/>
    </row>
    <row r="516" ht="15.75" customHeight="1">
      <c r="K516" s="34"/>
    </row>
    <row r="517" ht="15.75" customHeight="1">
      <c r="K517" s="34"/>
    </row>
    <row r="518" ht="15.75" customHeight="1">
      <c r="K518" s="34"/>
    </row>
    <row r="519" ht="15.75" customHeight="1">
      <c r="K519" s="34"/>
    </row>
    <row r="520" ht="15.75" customHeight="1">
      <c r="K520" s="34"/>
    </row>
    <row r="521" ht="15.75" customHeight="1">
      <c r="K521" s="34"/>
    </row>
    <row r="522" ht="15.75" customHeight="1">
      <c r="K522" s="34"/>
    </row>
    <row r="523" ht="15.75" customHeight="1">
      <c r="K523" s="34"/>
    </row>
    <row r="524" ht="15.75" customHeight="1">
      <c r="K524" s="34"/>
    </row>
    <row r="525" ht="15.75" customHeight="1">
      <c r="K525" s="34"/>
    </row>
    <row r="526" ht="15.75" customHeight="1">
      <c r="K526" s="34"/>
    </row>
    <row r="527" ht="15.75" customHeight="1">
      <c r="K527" s="34"/>
    </row>
    <row r="528" ht="15.75" customHeight="1">
      <c r="K528" s="34"/>
    </row>
    <row r="529" ht="15.75" customHeight="1">
      <c r="K529" s="34"/>
    </row>
    <row r="530" ht="15.75" customHeight="1">
      <c r="K530" s="34"/>
    </row>
    <row r="531" ht="15.75" customHeight="1">
      <c r="K531" s="34"/>
    </row>
    <row r="532" ht="15.75" customHeight="1">
      <c r="K532" s="34"/>
    </row>
    <row r="533" ht="15.75" customHeight="1">
      <c r="K533" s="34"/>
    </row>
    <row r="534" ht="15.75" customHeight="1">
      <c r="K534" s="34"/>
    </row>
    <row r="535" ht="15.75" customHeight="1">
      <c r="K535" s="34"/>
    </row>
    <row r="536" ht="15.75" customHeight="1">
      <c r="K536" s="34"/>
    </row>
    <row r="537" ht="15.75" customHeight="1">
      <c r="K537" s="34"/>
    </row>
    <row r="538" ht="15.75" customHeight="1">
      <c r="K538" s="34"/>
    </row>
    <row r="539" ht="15.75" customHeight="1">
      <c r="K539" s="34"/>
    </row>
    <row r="540" ht="15.75" customHeight="1">
      <c r="K540" s="34"/>
    </row>
    <row r="541" ht="15.75" customHeight="1">
      <c r="K541" s="34"/>
    </row>
    <row r="542" ht="15.75" customHeight="1">
      <c r="K542" s="34"/>
    </row>
    <row r="543" ht="15.75" customHeight="1">
      <c r="K543" s="34"/>
    </row>
    <row r="544" ht="15.75" customHeight="1">
      <c r="K544" s="34"/>
    </row>
    <row r="545" ht="15.75" customHeight="1">
      <c r="K545" s="34"/>
    </row>
    <row r="546" ht="15.75" customHeight="1">
      <c r="K546" s="34"/>
    </row>
    <row r="547" ht="15.75" customHeight="1">
      <c r="K547" s="34"/>
    </row>
    <row r="548" ht="15.75" customHeight="1">
      <c r="K548" s="34"/>
    </row>
    <row r="549" ht="15.75" customHeight="1">
      <c r="K549" s="34"/>
    </row>
    <row r="550" ht="15.75" customHeight="1">
      <c r="K550" s="34"/>
    </row>
    <row r="551" ht="15.75" customHeight="1">
      <c r="K551" s="34"/>
    </row>
    <row r="552" ht="15.75" customHeight="1">
      <c r="K552" s="34"/>
    </row>
    <row r="553" ht="15.75" customHeight="1">
      <c r="K553" s="34"/>
    </row>
    <row r="554" ht="15.75" customHeight="1">
      <c r="K554" s="34"/>
    </row>
    <row r="555" ht="15.75" customHeight="1">
      <c r="K555" s="34"/>
    </row>
    <row r="556" ht="15.75" customHeight="1">
      <c r="K556" s="34"/>
    </row>
    <row r="557" ht="15.75" customHeight="1">
      <c r="K557" s="34"/>
    </row>
    <row r="558" ht="15.75" customHeight="1">
      <c r="K558" s="34"/>
    </row>
    <row r="559" ht="15.75" customHeight="1">
      <c r="K559" s="34"/>
    </row>
    <row r="560" ht="15.75" customHeight="1">
      <c r="K560" s="34"/>
    </row>
    <row r="561" ht="15.75" customHeight="1">
      <c r="K561" s="34"/>
    </row>
    <row r="562" ht="15.75" customHeight="1">
      <c r="K562" s="34"/>
    </row>
    <row r="563" ht="15.75" customHeight="1">
      <c r="K563" s="34"/>
    </row>
    <row r="564" ht="15.75" customHeight="1">
      <c r="K564" s="34"/>
    </row>
    <row r="565" ht="15.75" customHeight="1">
      <c r="K565" s="34"/>
    </row>
    <row r="566" ht="15.75" customHeight="1">
      <c r="K566" s="34"/>
    </row>
    <row r="567" ht="15.75" customHeight="1">
      <c r="K567" s="34"/>
    </row>
    <row r="568" ht="15.75" customHeight="1">
      <c r="K568" s="34"/>
    </row>
    <row r="569" ht="15.75" customHeight="1">
      <c r="K569" s="34"/>
    </row>
    <row r="570" ht="15.75" customHeight="1">
      <c r="K570" s="34"/>
    </row>
    <row r="571" ht="15.75" customHeight="1">
      <c r="K571" s="34"/>
    </row>
    <row r="572" ht="15.75" customHeight="1">
      <c r="K572" s="34"/>
    </row>
    <row r="573" ht="15.75" customHeight="1">
      <c r="K573" s="34"/>
    </row>
    <row r="574" ht="15.75" customHeight="1">
      <c r="K574" s="34"/>
    </row>
    <row r="575" ht="15.75" customHeight="1">
      <c r="K575" s="34"/>
    </row>
    <row r="576" ht="15.75" customHeight="1">
      <c r="K576" s="34"/>
    </row>
    <row r="577" ht="15.75" customHeight="1">
      <c r="K577" s="34"/>
    </row>
    <row r="578" ht="15.75" customHeight="1">
      <c r="K578" s="34"/>
    </row>
    <row r="579" ht="15.75" customHeight="1">
      <c r="K579" s="34"/>
    </row>
    <row r="580" ht="15.75" customHeight="1">
      <c r="K580" s="34"/>
    </row>
    <row r="581" ht="15.75" customHeight="1">
      <c r="K581" s="34"/>
    </row>
    <row r="582" ht="15.75" customHeight="1">
      <c r="K582" s="34"/>
    </row>
    <row r="583" ht="15.75" customHeight="1">
      <c r="K583" s="34"/>
    </row>
    <row r="584" ht="15.75" customHeight="1">
      <c r="K584" s="34"/>
    </row>
    <row r="585" ht="15.75" customHeight="1">
      <c r="K585" s="34"/>
    </row>
    <row r="586" ht="15.75" customHeight="1">
      <c r="K586" s="34"/>
    </row>
    <row r="587" ht="15.75" customHeight="1">
      <c r="K587" s="34"/>
    </row>
    <row r="588" ht="15.75" customHeight="1">
      <c r="K588" s="34"/>
    </row>
    <row r="589" ht="15.75" customHeight="1">
      <c r="K589" s="34"/>
    </row>
    <row r="590" ht="15.75" customHeight="1">
      <c r="K590" s="34"/>
    </row>
    <row r="591" ht="15.75" customHeight="1">
      <c r="K591" s="34"/>
    </row>
    <row r="592" ht="15.75" customHeight="1">
      <c r="K592" s="34"/>
    </row>
    <row r="593" ht="15.75" customHeight="1">
      <c r="K593" s="34"/>
    </row>
    <row r="594" ht="15.75" customHeight="1">
      <c r="K594" s="34"/>
    </row>
    <row r="595" ht="15.75" customHeight="1">
      <c r="K595" s="34"/>
    </row>
    <row r="596" ht="15.75" customHeight="1">
      <c r="K596" s="34"/>
    </row>
    <row r="597" ht="15.75" customHeight="1">
      <c r="K597" s="34"/>
    </row>
    <row r="598" ht="15.75" customHeight="1">
      <c r="K598" s="34"/>
    </row>
    <row r="599" ht="15.75" customHeight="1">
      <c r="K599" s="34"/>
    </row>
    <row r="600" ht="15.75" customHeight="1">
      <c r="K600" s="34"/>
    </row>
    <row r="601" ht="15.75" customHeight="1">
      <c r="K601" s="34"/>
    </row>
    <row r="602" ht="15.75" customHeight="1">
      <c r="K602" s="34"/>
    </row>
    <row r="603" ht="15.75" customHeight="1">
      <c r="K603" s="34"/>
    </row>
    <row r="604" ht="15.75" customHeight="1">
      <c r="K604" s="34"/>
    </row>
    <row r="605" ht="15.75" customHeight="1">
      <c r="K605" s="34"/>
    </row>
    <row r="606" ht="15.75" customHeight="1">
      <c r="K606" s="34"/>
    </row>
    <row r="607" ht="15.75" customHeight="1">
      <c r="K607" s="34"/>
    </row>
    <row r="608" ht="15.75" customHeight="1">
      <c r="K608" s="34"/>
    </row>
    <row r="609" ht="15.75" customHeight="1">
      <c r="K609" s="34"/>
    </row>
    <row r="610" ht="15.75" customHeight="1">
      <c r="K610" s="34"/>
    </row>
    <row r="611" ht="15.75" customHeight="1">
      <c r="K611" s="34"/>
    </row>
    <row r="612" ht="15.75" customHeight="1">
      <c r="K612" s="34"/>
    </row>
    <row r="613" ht="15.75" customHeight="1">
      <c r="K613" s="34"/>
    </row>
    <row r="614" ht="15.75" customHeight="1">
      <c r="K614" s="34"/>
    </row>
    <row r="615" ht="15.75" customHeight="1">
      <c r="K615" s="34"/>
    </row>
    <row r="616" ht="15.75" customHeight="1">
      <c r="K616" s="34"/>
    </row>
    <row r="617" ht="15.75" customHeight="1">
      <c r="K617" s="34"/>
    </row>
    <row r="618" ht="15.75" customHeight="1">
      <c r="K618" s="34"/>
    </row>
    <row r="619" ht="15.75" customHeight="1">
      <c r="K619" s="34"/>
    </row>
    <row r="620" ht="15.75" customHeight="1">
      <c r="K620" s="34"/>
    </row>
    <row r="621" ht="15.75" customHeight="1">
      <c r="K621" s="34"/>
    </row>
    <row r="622" ht="15.75" customHeight="1">
      <c r="K622" s="34"/>
    </row>
    <row r="623" ht="15.75" customHeight="1">
      <c r="K623" s="34"/>
    </row>
    <row r="624" ht="15.75" customHeight="1">
      <c r="K624" s="34"/>
    </row>
    <row r="625" ht="15.75" customHeight="1">
      <c r="K625" s="34"/>
    </row>
    <row r="626" ht="15.75" customHeight="1">
      <c r="K626" s="34"/>
    </row>
    <row r="627" ht="15.75" customHeight="1">
      <c r="K627" s="34"/>
    </row>
    <row r="628" ht="15.75" customHeight="1">
      <c r="K628" s="34"/>
    </row>
    <row r="629" ht="15.75" customHeight="1">
      <c r="K629" s="34"/>
    </row>
    <row r="630" ht="15.75" customHeight="1">
      <c r="K630" s="34"/>
    </row>
    <row r="631" ht="15.75" customHeight="1">
      <c r="K631" s="34"/>
    </row>
    <row r="632" ht="15.75" customHeight="1">
      <c r="K632" s="34"/>
    </row>
    <row r="633" ht="15.75" customHeight="1">
      <c r="K633" s="34"/>
    </row>
    <row r="634" ht="15.75" customHeight="1">
      <c r="K634" s="34"/>
    </row>
    <row r="635" ht="15.75" customHeight="1">
      <c r="K635" s="34"/>
    </row>
    <row r="636" ht="15.75" customHeight="1">
      <c r="K636" s="34"/>
    </row>
    <row r="637" ht="15.75" customHeight="1">
      <c r="K637" s="34"/>
    </row>
    <row r="638" ht="15.75" customHeight="1">
      <c r="K638" s="34"/>
    </row>
    <row r="639" ht="15.75" customHeight="1">
      <c r="K639" s="34"/>
    </row>
    <row r="640" ht="15.75" customHeight="1">
      <c r="K640" s="34"/>
    </row>
    <row r="641" ht="15.75" customHeight="1">
      <c r="K641" s="34"/>
    </row>
    <row r="642" ht="15.75" customHeight="1">
      <c r="K642" s="34"/>
    </row>
    <row r="643" ht="15.75" customHeight="1">
      <c r="K643" s="34"/>
    </row>
    <row r="644" ht="15.75" customHeight="1">
      <c r="K644" s="34"/>
    </row>
    <row r="645" ht="15.75" customHeight="1">
      <c r="K645" s="34"/>
    </row>
    <row r="646" ht="15.75" customHeight="1">
      <c r="K646" s="34"/>
    </row>
    <row r="647" ht="15.75" customHeight="1">
      <c r="K647" s="34"/>
    </row>
    <row r="648" ht="15.75" customHeight="1">
      <c r="K648" s="34"/>
    </row>
    <row r="649" ht="15.75" customHeight="1">
      <c r="K649" s="34"/>
    </row>
    <row r="650" ht="15.75" customHeight="1">
      <c r="K650" s="34"/>
    </row>
    <row r="651" ht="15.75" customHeight="1">
      <c r="K651" s="34"/>
    </row>
    <row r="652" ht="15.75" customHeight="1">
      <c r="K652" s="34"/>
    </row>
    <row r="653" ht="15.75" customHeight="1">
      <c r="K653" s="34"/>
    </row>
    <row r="654" ht="15.75" customHeight="1">
      <c r="K654" s="34"/>
    </row>
    <row r="655" ht="15.75" customHeight="1">
      <c r="K655" s="34"/>
    </row>
    <row r="656" ht="15.75" customHeight="1">
      <c r="K656" s="34"/>
    </row>
    <row r="657" ht="15.75" customHeight="1">
      <c r="K657" s="34"/>
    </row>
    <row r="658" ht="15.75" customHeight="1">
      <c r="K658" s="34"/>
    </row>
    <row r="659" ht="15.75" customHeight="1">
      <c r="K659" s="34"/>
    </row>
    <row r="660" ht="15.75" customHeight="1">
      <c r="K660" s="34"/>
    </row>
    <row r="661" ht="15.75" customHeight="1">
      <c r="K661" s="34"/>
    </row>
    <row r="662" ht="15.75" customHeight="1">
      <c r="K662" s="34"/>
    </row>
    <row r="663" ht="15.75" customHeight="1">
      <c r="K663" s="34"/>
    </row>
    <row r="664" ht="15.75" customHeight="1">
      <c r="K664" s="34"/>
    </row>
    <row r="665" ht="15.75" customHeight="1">
      <c r="K665" s="34"/>
    </row>
    <row r="666" ht="15.75" customHeight="1">
      <c r="K666" s="34"/>
    </row>
    <row r="667" ht="15.75" customHeight="1">
      <c r="K667" s="34"/>
    </row>
    <row r="668" ht="15.75" customHeight="1">
      <c r="K668" s="34"/>
    </row>
    <row r="669" ht="15.75" customHeight="1">
      <c r="K669" s="34"/>
    </row>
    <row r="670" ht="15.75" customHeight="1">
      <c r="K670" s="34"/>
    </row>
    <row r="671" ht="15.75" customHeight="1">
      <c r="K671" s="34"/>
    </row>
    <row r="672" ht="15.75" customHeight="1">
      <c r="K672" s="34"/>
    </row>
    <row r="673" ht="15.75" customHeight="1">
      <c r="K673" s="34"/>
    </row>
    <row r="674" ht="15.75" customHeight="1">
      <c r="K674" s="34"/>
    </row>
    <row r="675" ht="15.75" customHeight="1">
      <c r="K675" s="34"/>
    </row>
    <row r="676" ht="15.75" customHeight="1">
      <c r="K676" s="34"/>
    </row>
    <row r="677" ht="15.75" customHeight="1">
      <c r="K677" s="34"/>
    </row>
    <row r="678" ht="15.75" customHeight="1">
      <c r="K678" s="34"/>
    </row>
    <row r="679" ht="15.75" customHeight="1">
      <c r="K679" s="34"/>
    </row>
    <row r="680" ht="15.75" customHeight="1">
      <c r="K680" s="34"/>
    </row>
    <row r="681" ht="15.75" customHeight="1">
      <c r="K681" s="34"/>
    </row>
    <row r="682" ht="15.75" customHeight="1">
      <c r="K682" s="34"/>
    </row>
    <row r="683" ht="15.75" customHeight="1">
      <c r="K683" s="34"/>
    </row>
    <row r="684" ht="15.75" customHeight="1">
      <c r="K684" s="34"/>
    </row>
    <row r="685" ht="15.75" customHeight="1">
      <c r="K685" s="34"/>
    </row>
    <row r="686" ht="15.75" customHeight="1">
      <c r="K686" s="34"/>
    </row>
    <row r="687" ht="15.75" customHeight="1">
      <c r="K687" s="34"/>
    </row>
    <row r="688" ht="15.75" customHeight="1">
      <c r="K688" s="34"/>
    </row>
    <row r="689" ht="15.75" customHeight="1">
      <c r="K689" s="34"/>
    </row>
    <row r="690" ht="15.75" customHeight="1">
      <c r="K690" s="34"/>
    </row>
    <row r="691" ht="15.75" customHeight="1">
      <c r="K691" s="34"/>
    </row>
    <row r="692" ht="15.75" customHeight="1">
      <c r="K692" s="34"/>
    </row>
    <row r="693" ht="15.75" customHeight="1">
      <c r="K693" s="34"/>
    </row>
    <row r="694" ht="15.75" customHeight="1">
      <c r="K694" s="34"/>
    </row>
    <row r="695" ht="15.75" customHeight="1">
      <c r="K695" s="34"/>
    </row>
    <row r="696" ht="15.75" customHeight="1">
      <c r="K696" s="34"/>
    </row>
    <row r="697" ht="15.75" customHeight="1">
      <c r="K697" s="34"/>
    </row>
    <row r="698" ht="15.75" customHeight="1">
      <c r="K698" s="34"/>
    </row>
    <row r="699" ht="15.75" customHeight="1">
      <c r="K699" s="34"/>
    </row>
    <row r="700" ht="15.75" customHeight="1">
      <c r="K700" s="34"/>
    </row>
    <row r="701" ht="15.75" customHeight="1">
      <c r="K701" s="34"/>
    </row>
    <row r="702" ht="15.75" customHeight="1">
      <c r="K702" s="34"/>
    </row>
    <row r="703" ht="15.75" customHeight="1">
      <c r="K703" s="34"/>
    </row>
    <row r="704" ht="15.75" customHeight="1">
      <c r="K704" s="34"/>
    </row>
    <row r="705" ht="15.75" customHeight="1">
      <c r="K705" s="34"/>
    </row>
    <row r="706" ht="15.75" customHeight="1">
      <c r="K706" s="34"/>
    </row>
    <row r="707" ht="15.75" customHeight="1">
      <c r="K707" s="34"/>
    </row>
    <row r="708" ht="15.75" customHeight="1">
      <c r="K708" s="34"/>
    </row>
    <row r="709" ht="15.75" customHeight="1">
      <c r="K709" s="34"/>
    </row>
    <row r="710" ht="15.75" customHeight="1">
      <c r="K710" s="34"/>
    </row>
    <row r="711" ht="15.75" customHeight="1">
      <c r="K711" s="34"/>
    </row>
    <row r="712" ht="15.75" customHeight="1">
      <c r="K712" s="34"/>
    </row>
    <row r="713" ht="15.75" customHeight="1">
      <c r="K713" s="34"/>
    </row>
    <row r="714" ht="15.75" customHeight="1">
      <c r="K714" s="34"/>
    </row>
    <row r="715" ht="15.75" customHeight="1">
      <c r="K715" s="34"/>
    </row>
    <row r="716" ht="15.75" customHeight="1">
      <c r="K716" s="34"/>
    </row>
    <row r="717" ht="15.75" customHeight="1">
      <c r="K717" s="34"/>
    </row>
    <row r="718" ht="15.75" customHeight="1">
      <c r="K718" s="34"/>
    </row>
    <row r="719" ht="15.75" customHeight="1">
      <c r="K719" s="34"/>
    </row>
    <row r="720" ht="15.75" customHeight="1">
      <c r="K720" s="34"/>
    </row>
    <row r="721" ht="15.75" customHeight="1">
      <c r="K721" s="34"/>
    </row>
    <row r="722" ht="15.75" customHeight="1">
      <c r="K722" s="34"/>
    </row>
    <row r="723" ht="15.75" customHeight="1">
      <c r="K723" s="34"/>
    </row>
    <row r="724" ht="15.75" customHeight="1">
      <c r="K724" s="34"/>
    </row>
    <row r="725" ht="15.75" customHeight="1">
      <c r="K725" s="34"/>
    </row>
    <row r="726" ht="15.75" customHeight="1">
      <c r="K726" s="34"/>
    </row>
    <row r="727" ht="15.75" customHeight="1">
      <c r="K727" s="34"/>
    </row>
    <row r="728" ht="15.75" customHeight="1">
      <c r="K728" s="34"/>
    </row>
    <row r="729" ht="15.75" customHeight="1">
      <c r="K729" s="34"/>
    </row>
    <row r="730" ht="15.75" customHeight="1">
      <c r="K730" s="34"/>
    </row>
    <row r="731" ht="15.75" customHeight="1">
      <c r="K731" s="34"/>
    </row>
    <row r="732" ht="15.75" customHeight="1">
      <c r="K732" s="34"/>
    </row>
    <row r="733" ht="15.75" customHeight="1">
      <c r="K733" s="34"/>
    </row>
    <row r="734" ht="15.75" customHeight="1">
      <c r="K734" s="34"/>
    </row>
    <row r="735" ht="15.75" customHeight="1">
      <c r="K735" s="34"/>
    </row>
    <row r="736" ht="15.75" customHeight="1">
      <c r="K736" s="34"/>
    </row>
    <row r="737" ht="15.75" customHeight="1">
      <c r="K737" s="34"/>
    </row>
    <row r="738" ht="15.75" customHeight="1">
      <c r="K738" s="34"/>
    </row>
    <row r="739" ht="15.75" customHeight="1">
      <c r="K739" s="34"/>
    </row>
    <row r="740" ht="15.75" customHeight="1">
      <c r="K740" s="34"/>
    </row>
    <row r="741" ht="15.75" customHeight="1">
      <c r="K741" s="34"/>
    </row>
    <row r="742" ht="15.75" customHeight="1">
      <c r="K742" s="34"/>
    </row>
    <row r="743" ht="15.75" customHeight="1">
      <c r="K743" s="34"/>
    </row>
    <row r="744" ht="15.75" customHeight="1">
      <c r="K744" s="34"/>
    </row>
    <row r="745" ht="15.75" customHeight="1">
      <c r="K745" s="34"/>
    </row>
    <row r="746" ht="15.75" customHeight="1">
      <c r="K746" s="34"/>
    </row>
    <row r="747" ht="15.75" customHeight="1">
      <c r="K747" s="34"/>
    </row>
    <row r="748" ht="15.75" customHeight="1">
      <c r="K748" s="34"/>
    </row>
    <row r="749" ht="15.75" customHeight="1">
      <c r="K749" s="34"/>
    </row>
    <row r="750" ht="15.75" customHeight="1">
      <c r="K750" s="34"/>
    </row>
    <row r="751" ht="15.75" customHeight="1">
      <c r="K751" s="34"/>
    </row>
    <row r="752" ht="15.75" customHeight="1">
      <c r="K752" s="34"/>
    </row>
    <row r="753" ht="15.75" customHeight="1">
      <c r="K753" s="34"/>
    </row>
    <row r="754" ht="15.75" customHeight="1">
      <c r="K754" s="34"/>
    </row>
    <row r="755" ht="15.75" customHeight="1">
      <c r="K755" s="34"/>
    </row>
    <row r="756" ht="15.75" customHeight="1">
      <c r="K756" s="34"/>
    </row>
    <row r="757" ht="15.75" customHeight="1">
      <c r="K757" s="34"/>
    </row>
    <row r="758" ht="15.75" customHeight="1">
      <c r="K758" s="34"/>
    </row>
    <row r="759" ht="15.75" customHeight="1">
      <c r="K759" s="34"/>
    </row>
    <row r="760" ht="15.75" customHeight="1">
      <c r="K760" s="34"/>
    </row>
    <row r="761" ht="15.75" customHeight="1">
      <c r="K761" s="34"/>
    </row>
    <row r="762" ht="15.75" customHeight="1">
      <c r="K762" s="34"/>
    </row>
    <row r="763" ht="15.75" customHeight="1">
      <c r="K763" s="34"/>
    </row>
    <row r="764" ht="15.75" customHeight="1">
      <c r="K764" s="34"/>
    </row>
    <row r="765" ht="15.75" customHeight="1">
      <c r="K765" s="34"/>
    </row>
    <row r="766" ht="15.75" customHeight="1">
      <c r="K766" s="34"/>
    </row>
    <row r="767" ht="15.75" customHeight="1">
      <c r="K767" s="34"/>
    </row>
    <row r="768" ht="15.75" customHeight="1">
      <c r="K768" s="34"/>
    </row>
    <row r="769" ht="15.75" customHeight="1">
      <c r="K769" s="34"/>
    </row>
    <row r="770" ht="15.75" customHeight="1">
      <c r="K770" s="34"/>
    </row>
    <row r="771" ht="15.75" customHeight="1">
      <c r="K771" s="34"/>
    </row>
    <row r="772" ht="15.75" customHeight="1">
      <c r="K772" s="34"/>
    </row>
    <row r="773" ht="15.75" customHeight="1">
      <c r="K773" s="34"/>
    </row>
    <row r="774" ht="15.75" customHeight="1">
      <c r="K774" s="34"/>
    </row>
    <row r="775" ht="15.75" customHeight="1">
      <c r="K775" s="34"/>
    </row>
    <row r="776" ht="15.75" customHeight="1">
      <c r="K776" s="34"/>
    </row>
    <row r="777" ht="15.75" customHeight="1">
      <c r="K777" s="34"/>
    </row>
    <row r="778" ht="15.75" customHeight="1">
      <c r="K778" s="34"/>
    </row>
    <row r="779" ht="15.75" customHeight="1">
      <c r="K779" s="34"/>
    </row>
    <row r="780" ht="15.75" customHeight="1">
      <c r="K780" s="34"/>
    </row>
    <row r="781" ht="15.75" customHeight="1">
      <c r="K781" s="34"/>
    </row>
    <row r="782" ht="15.75" customHeight="1">
      <c r="K782" s="34"/>
    </row>
    <row r="783" ht="15.75" customHeight="1">
      <c r="K783" s="34"/>
    </row>
    <row r="784" ht="15.75" customHeight="1">
      <c r="K784" s="34"/>
    </row>
    <row r="785" ht="15.75" customHeight="1">
      <c r="K785" s="34"/>
    </row>
    <row r="786" ht="15.75" customHeight="1">
      <c r="K786" s="34"/>
    </row>
    <row r="787" ht="15.75" customHeight="1">
      <c r="K787" s="34"/>
    </row>
    <row r="788" ht="15.75" customHeight="1">
      <c r="K788" s="34"/>
    </row>
    <row r="789" ht="15.75" customHeight="1">
      <c r="K789" s="34"/>
    </row>
    <row r="790" ht="15.75" customHeight="1">
      <c r="K790" s="34"/>
    </row>
    <row r="791" ht="15.75" customHeight="1">
      <c r="K791" s="34"/>
    </row>
    <row r="792" ht="15.75" customHeight="1">
      <c r="K792" s="34"/>
    </row>
    <row r="793" ht="15.75" customHeight="1">
      <c r="K793" s="34"/>
    </row>
    <row r="794" ht="15.75" customHeight="1">
      <c r="K794" s="34"/>
    </row>
    <row r="795" ht="15.75" customHeight="1">
      <c r="K795" s="34"/>
    </row>
    <row r="796" ht="15.75" customHeight="1">
      <c r="K796" s="34"/>
    </row>
    <row r="797" ht="15.75" customHeight="1">
      <c r="K797" s="34"/>
    </row>
    <row r="798" ht="15.75" customHeight="1">
      <c r="K798" s="34"/>
    </row>
    <row r="799" ht="15.75" customHeight="1">
      <c r="K799" s="34"/>
    </row>
    <row r="800" ht="15.75" customHeight="1">
      <c r="K800" s="34"/>
    </row>
    <row r="801" ht="15.75" customHeight="1">
      <c r="K801" s="34"/>
    </row>
    <row r="802" ht="15.75" customHeight="1">
      <c r="K802" s="34"/>
    </row>
    <row r="803" ht="15.75" customHeight="1">
      <c r="K803" s="34"/>
    </row>
    <row r="804" ht="15.75" customHeight="1">
      <c r="K804" s="34"/>
    </row>
    <row r="805" ht="15.75" customHeight="1">
      <c r="K805" s="34"/>
    </row>
    <row r="806" ht="15.75" customHeight="1">
      <c r="K806" s="34"/>
    </row>
    <row r="807" ht="15.75" customHeight="1">
      <c r="K807" s="34"/>
    </row>
    <row r="808" ht="15.75" customHeight="1">
      <c r="K808" s="34"/>
    </row>
    <row r="809" ht="15.75" customHeight="1">
      <c r="K809" s="34"/>
    </row>
    <row r="810" ht="15.75" customHeight="1">
      <c r="K810" s="34"/>
    </row>
    <row r="811" ht="15.75" customHeight="1">
      <c r="K811" s="34"/>
    </row>
    <row r="812" ht="15.75" customHeight="1">
      <c r="K812" s="34"/>
    </row>
    <row r="813" ht="15.75" customHeight="1">
      <c r="K813" s="34"/>
    </row>
    <row r="814" ht="15.75" customHeight="1">
      <c r="K814" s="34"/>
    </row>
    <row r="815" ht="15.75" customHeight="1">
      <c r="K815" s="34"/>
    </row>
    <row r="816" ht="15.75" customHeight="1">
      <c r="K816" s="34"/>
    </row>
    <row r="817" ht="15.75" customHeight="1">
      <c r="K817" s="34"/>
    </row>
    <row r="818" ht="15.75" customHeight="1">
      <c r="K818" s="34"/>
    </row>
    <row r="819" ht="15.75" customHeight="1">
      <c r="K819" s="34"/>
    </row>
    <row r="820" ht="15.75" customHeight="1">
      <c r="K820" s="34"/>
    </row>
    <row r="821" ht="15.75" customHeight="1">
      <c r="K821" s="34"/>
    </row>
    <row r="822" ht="15.75" customHeight="1">
      <c r="K822" s="34"/>
    </row>
    <row r="823" ht="15.75" customHeight="1">
      <c r="K823" s="34"/>
    </row>
    <row r="824" ht="15.75" customHeight="1">
      <c r="K824" s="34"/>
    </row>
    <row r="825" ht="15.75" customHeight="1">
      <c r="K825" s="34"/>
    </row>
    <row r="826" ht="15.75" customHeight="1">
      <c r="K826" s="34"/>
    </row>
    <row r="827" ht="15.75" customHeight="1">
      <c r="K827" s="34"/>
    </row>
    <row r="828" ht="15.75" customHeight="1">
      <c r="K828" s="34"/>
    </row>
    <row r="829" ht="15.75" customHeight="1">
      <c r="K829" s="34"/>
    </row>
    <row r="830" ht="15.75" customHeight="1">
      <c r="K830" s="34"/>
    </row>
    <row r="831" ht="15.75" customHeight="1">
      <c r="K831" s="34"/>
    </row>
    <row r="832" ht="15.75" customHeight="1">
      <c r="K832" s="34"/>
    </row>
    <row r="833" ht="15.75" customHeight="1">
      <c r="K833" s="34"/>
    </row>
    <row r="834" ht="15.75" customHeight="1">
      <c r="K834" s="34"/>
    </row>
    <row r="835" ht="15.75" customHeight="1">
      <c r="K835" s="34"/>
    </row>
    <row r="836" ht="15.75" customHeight="1">
      <c r="K836" s="34"/>
    </row>
    <row r="837" ht="15.75" customHeight="1">
      <c r="K837" s="34"/>
    </row>
    <row r="838" ht="15.75" customHeight="1">
      <c r="K838" s="34"/>
    </row>
    <row r="839" ht="15.75" customHeight="1">
      <c r="K839" s="34"/>
    </row>
    <row r="840" ht="15.75" customHeight="1">
      <c r="K840" s="34"/>
    </row>
    <row r="841" ht="15.75" customHeight="1">
      <c r="K841" s="34"/>
    </row>
    <row r="842" ht="15.75" customHeight="1">
      <c r="K842" s="34"/>
    </row>
    <row r="843" ht="15.75" customHeight="1">
      <c r="K843" s="34"/>
    </row>
    <row r="844" ht="15.75" customHeight="1">
      <c r="K844" s="34"/>
    </row>
    <row r="845" ht="15.75" customHeight="1">
      <c r="K845" s="34"/>
    </row>
    <row r="846" ht="15.75" customHeight="1">
      <c r="K846" s="34"/>
    </row>
    <row r="847" ht="15.75" customHeight="1">
      <c r="K847" s="34"/>
    </row>
    <row r="848" ht="15.75" customHeight="1">
      <c r="K848" s="34"/>
    </row>
    <row r="849" ht="15.75" customHeight="1">
      <c r="K849" s="34"/>
    </row>
    <row r="850" ht="15.75" customHeight="1">
      <c r="K850" s="34"/>
    </row>
    <row r="851" ht="15.75" customHeight="1">
      <c r="K851" s="34"/>
    </row>
    <row r="852" ht="15.75" customHeight="1">
      <c r="K852" s="34"/>
    </row>
    <row r="853" ht="15.75" customHeight="1">
      <c r="K853" s="34"/>
    </row>
    <row r="854" ht="15.75" customHeight="1">
      <c r="K854" s="34"/>
    </row>
    <row r="855" ht="15.75" customHeight="1">
      <c r="K855" s="34"/>
    </row>
    <row r="856" ht="15.75" customHeight="1">
      <c r="K856" s="34"/>
    </row>
    <row r="857" ht="15.75" customHeight="1">
      <c r="K857" s="34"/>
    </row>
    <row r="858" ht="15.75" customHeight="1">
      <c r="K858" s="34"/>
    </row>
    <row r="859" ht="15.75" customHeight="1">
      <c r="K859" s="34"/>
    </row>
    <row r="860" ht="15.75" customHeight="1">
      <c r="K860" s="34"/>
    </row>
    <row r="861" ht="15.75" customHeight="1">
      <c r="K861" s="34"/>
    </row>
    <row r="862" ht="15.75" customHeight="1">
      <c r="K862" s="34"/>
    </row>
    <row r="863" ht="15.75" customHeight="1">
      <c r="K863" s="34"/>
    </row>
    <row r="864" ht="15.75" customHeight="1">
      <c r="K864" s="34"/>
    </row>
    <row r="865" ht="15.75" customHeight="1">
      <c r="K865" s="34"/>
    </row>
    <row r="866" ht="15.75" customHeight="1">
      <c r="K866" s="34"/>
    </row>
    <row r="867" ht="15.75" customHeight="1">
      <c r="K867" s="34"/>
    </row>
    <row r="868" ht="15.75" customHeight="1">
      <c r="K868" s="34"/>
    </row>
    <row r="869" ht="15.75" customHeight="1">
      <c r="K869" s="34"/>
    </row>
    <row r="870" ht="15.75" customHeight="1">
      <c r="K870" s="34"/>
    </row>
    <row r="871" ht="15.75" customHeight="1">
      <c r="K871" s="34"/>
    </row>
    <row r="872" ht="15.75" customHeight="1">
      <c r="K872" s="34"/>
    </row>
    <row r="873" ht="15.75" customHeight="1">
      <c r="K873" s="34"/>
    </row>
    <row r="874" ht="15.75" customHeight="1">
      <c r="K874" s="34"/>
    </row>
    <row r="875" ht="15.75" customHeight="1">
      <c r="K875" s="34"/>
    </row>
    <row r="876" ht="15.75" customHeight="1">
      <c r="K876" s="34"/>
    </row>
    <row r="877" ht="15.75" customHeight="1">
      <c r="K877" s="34"/>
    </row>
    <row r="878" ht="15.75" customHeight="1">
      <c r="K878" s="34"/>
    </row>
    <row r="879" ht="15.75" customHeight="1">
      <c r="K879" s="34"/>
    </row>
    <row r="880" ht="15.75" customHeight="1">
      <c r="K880" s="34"/>
    </row>
    <row r="881" ht="15.75" customHeight="1">
      <c r="K881" s="34"/>
    </row>
    <row r="882" ht="15.75" customHeight="1">
      <c r="K882" s="34"/>
    </row>
    <row r="883" ht="15.75" customHeight="1">
      <c r="K883" s="34"/>
    </row>
    <row r="884" ht="15.75" customHeight="1">
      <c r="K884" s="34"/>
    </row>
    <row r="885" ht="15.75" customHeight="1">
      <c r="K885" s="34"/>
    </row>
    <row r="886" ht="15.75" customHeight="1">
      <c r="K886" s="34"/>
    </row>
    <row r="887" ht="15.75" customHeight="1">
      <c r="K887" s="34"/>
    </row>
    <row r="888" ht="15.75" customHeight="1">
      <c r="K888" s="34"/>
    </row>
    <row r="889" ht="15.75" customHeight="1">
      <c r="K889" s="34"/>
    </row>
    <row r="890" ht="15.75" customHeight="1">
      <c r="K890" s="34"/>
    </row>
    <row r="891" ht="15.75" customHeight="1">
      <c r="K891" s="34"/>
    </row>
    <row r="892" ht="15.75" customHeight="1">
      <c r="K892" s="34"/>
    </row>
    <row r="893" ht="15.75" customHeight="1">
      <c r="K893" s="34"/>
    </row>
    <row r="894" ht="15.75" customHeight="1">
      <c r="K894" s="34"/>
    </row>
    <row r="895" ht="15.75" customHeight="1">
      <c r="K895" s="34"/>
    </row>
    <row r="896" ht="15.75" customHeight="1">
      <c r="K896" s="34"/>
    </row>
    <row r="897" ht="15.75" customHeight="1">
      <c r="K897" s="34"/>
    </row>
    <row r="898" ht="15.75" customHeight="1">
      <c r="K898" s="34"/>
    </row>
    <row r="899" ht="15.75" customHeight="1">
      <c r="K899" s="34"/>
    </row>
    <row r="900" ht="15.75" customHeight="1">
      <c r="K900" s="34"/>
    </row>
    <row r="901" ht="15.75" customHeight="1">
      <c r="K901" s="34"/>
    </row>
    <row r="902" ht="15.75" customHeight="1">
      <c r="K902" s="34"/>
    </row>
    <row r="903" ht="15.75" customHeight="1">
      <c r="K903" s="34"/>
    </row>
    <row r="904" ht="15.75" customHeight="1">
      <c r="K904" s="34"/>
    </row>
    <row r="905" ht="15.75" customHeight="1">
      <c r="K905" s="34"/>
    </row>
    <row r="906" ht="15.75" customHeight="1">
      <c r="K906" s="34"/>
    </row>
    <row r="907" ht="15.75" customHeight="1">
      <c r="K907" s="34"/>
    </row>
    <row r="908" ht="15.75" customHeight="1">
      <c r="K908" s="34"/>
    </row>
    <row r="909" ht="15.75" customHeight="1">
      <c r="K909" s="34"/>
    </row>
    <row r="910" ht="15.75" customHeight="1">
      <c r="K910" s="34"/>
    </row>
    <row r="911" ht="15.75" customHeight="1">
      <c r="K911" s="34"/>
    </row>
    <row r="912" ht="15.75" customHeight="1">
      <c r="K912" s="34"/>
    </row>
    <row r="913" ht="15.75" customHeight="1">
      <c r="K913" s="34"/>
    </row>
    <row r="914" ht="15.75" customHeight="1">
      <c r="K914" s="34"/>
    </row>
    <row r="915" ht="15.75" customHeight="1">
      <c r="K915" s="34"/>
    </row>
    <row r="916" ht="15.75" customHeight="1">
      <c r="K916" s="34"/>
    </row>
    <row r="917" ht="15.75" customHeight="1">
      <c r="K917" s="34"/>
    </row>
    <row r="918" ht="15.75" customHeight="1">
      <c r="K918" s="34"/>
    </row>
    <row r="919" ht="15.75" customHeight="1">
      <c r="K919" s="34"/>
    </row>
    <row r="920" ht="15.75" customHeight="1">
      <c r="K920" s="34"/>
    </row>
    <row r="921" ht="15.75" customHeight="1">
      <c r="K921" s="34"/>
    </row>
    <row r="922" ht="15.75" customHeight="1">
      <c r="K922" s="34"/>
    </row>
    <row r="923" ht="15.75" customHeight="1">
      <c r="K923" s="34"/>
    </row>
    <row r="924" ht="15.75" customHeight="1">
      <c r="K924" s="34"/>
    </row>
    <row r="925" ht="15.75" customHeight="1">
      <c r="K925" s="34"/>
    </row>
    <row r="926" ht="15.75" customHeight="1">
      <c r="K926" s="34"/>
    </row>
    <row r="927" ht="15.75" customHeight="1">
      <c r="K927" s="34"/>
    </row>
    <row r="928" ht="15.75" customHeight="1">
      <c r="K928" s="34"/>
    </row>
    <row r="929" ht="15.75" customHeight="1">
      <c r="K929" s="34"/>
    </row>
    <row r="930" ht="15.75" customHeight="1">
      <c r="K930" s="34"/>
    </row>
    <row r="931" ht="15.75" customHeight="1">
      <c r="K931" s="34"/>
    </row>
    <row r="932" ht="15.75" customHeight="1">
      <c r="K932" s="34"/>
    </row>
    <row r="933" ht="15.75" customHeight="1">
      <c r="K933" s="34"/>
    </row>
    <row r="934" ht="15.75" customHeight="1">
      <c r="K934" s="34"/>
    </row>
    <row r="935" ht="15.75" customHeight="1">
      <c r="K935" s="34"/>
    </row>
    <row r="936" ht="15.75" customHeight="1">
      <c r="K936" s="34"/>
    </row>
    <row r="937" ht="15.75" customHeight="1">
      <c r="K937" s="34"/>
    </row>
    <row r="938" ht="15.75" customHeight="1">
      <c r="K938" s="34"/>
    </row>
    <row r="939" ht="15.75" customHeight="1">
      <c r="K939" s="34"/>
    </row>
    <row r="940" ht="15.75" customHeight="1">
      <c r="K940" s="34"/>
    </row>
    <row r="941" ht="15.75" customHeight="1">
      <c r="K941" s="34"/>
    </row>
    <row r="942" ht="15.75" customHeight="1">
      <c r="K942" s="34"/>
    </row>
    <row r="943" ht="15.75" customHeight="1">
      <c r="K943" s="34"/>
    </row>
    <row r="944" ht="15.75" customHeight="1">
      <c r="K944" s="34"/>
    </row>
    <row r="945" ht="15.75" customHeight="1">
      <c r="K945" s="34"/>
    </row>
    <row r="946" ht="15.75" customHeight="1">
      <c r="K946" s="34"/>
    </row>
    <row r="947" ht="15.75" customHeight="1">
      <c r="K947" s="34"/>
    </row>
    <row r="948" ht="15.75" customHeight="1">
      <c r="K948" s="34"/>
    </row>
    <row r="949" ht="15.75" customHeight="1">
      <c r="K949" s="34"/>
    </row>
    <row r="950" ht="15.75" customHeight="1">
      <c r="K950" s="34"/>
    </row>
    <row r="951" ht="15.75" customHeight="1">
      <c r="K951" s="34"/>
    </row>
    <row r="952" ht="15.75" customHeight="1">
      <c r="K952" s="34"/>
    </row>
    <row r="953" ht="15.75" customHeight="1">
      <c r="K953" s="34"/>
    </row>
    <row r="954" ht="15.75" customHeight="1">
      <c r="K954" s="34"/>
    </row>
    <row r="955" ht="15.75" customHeight="1">
      <c r="K955" s="34"/>
    </row>
    <row r="956" ht="15.75" customHeight="1">
      <c r="K956" s="34"/>
    </row>
    <row r="957" ht="15.75" customHeight="1">
      <c r="K957" s="34"/>
    </row>
    <row r="958" ht="15.75" customHeight="1">
      <c r="K958" s="34"/>
    </row>
    <row r="959" ht="15.75" customHeight="1">
      <c r="K959" s="34"/>
    </row>
    <row r="960" ht="15.75" customHeight="1">
      <c r="K960" s="34"/>
    </row>
    <row r="961" ht="15.75" customHeight="1">
      <c r="K961" s="34"/>
    </row>
    <row r="962" ht="15.75" customHeight="1">
      <c r="K962" s="34"/>
    </row>
    <row r="963" ht="15.75" customHeight="1">
      <c r="K963" s="34"/>
    </row>
    <row r="964" ht="15.75" customHeight="1">
      <c r="K964" s="34"/>
    </row>
    <row r="965" ht="15.75" customHeight="1">
      <c r="K965" s="34"/>
    </row>
    <row r="966" ht="15.75" customHeight="1">
      <c r="K966" s="34"/>
    </row>
    <row r="967" ht="15.75" customHeight="1">
      <c r="K967" s="34"/>
    </row>
    <row r="968" ht="15.75" customHeight="1">
      <c r="K968" s="34"/>
    </row>
    <row r="969" ht="15.75" customHeight="1">
      <c r="K969" s="34"/>
    </row>
    <row r="970" ht="15.75" customHeight="1">
      <c r="K970" s="34"/>
    </row>
    <row r="971" ht="15.75" customHeight="1">
      <c r="K971" s="34"/>
    </row>
    <row r="972" ht="15.75" customHeight="1">
      <c r="K972" s="34"/>
    </row>
    <row r="973" ht="15.75" customHeight="1">
      <c r="K973" s="34"/>
    </row>
    <row r="974" ht="15.75" customHeight="1">
      <c r="K974" s="34"/>
    </row>
    <row r="975" ht="15.75" customHeight="1">
      <c r="K975" s="34"/>
    </row>
    <row r="976" ht="15.75" customHeight="1">
      <c r="K976" s="34"/>
    </row>
    <row r="977" ht="15.75" customHeight="1">
      <c r="K977" s="34"/>
    </row>
    <row r="978" ht="15.75" customHeight="1">
      <c r="K978" s="34"/>
    </row>
    <row r="979" ht="15.75" customHeight="1">
      <c r="K979" s="34"/>
    </row>
    <row r="980" ht="15.75" customHeight="1">
      <c r="K980" s="34"/>
    </row>
    <row r="981" ht="15.75" customHeight="1">
      <c r="K981" s="34"/>
    </row>
    <row r="982" ht="15.75" customHeight="1">
      <c r="K982" s="34"/>
    </row>
    <row r="983" ht="15.75" customHeight="1">
      <c r="K983" s="34"/>
    </row>
    <row r="984" ht="15.75" customHeight="1">
      <c r="K984" s="34"/>
    </row>
    <row r="985" ht="15.75" customHeight="1">
      <c r="K985" s="34"/>
    </row>
    <row r="986" ht="15.75" customHeight="1">
      <c r="K986" s="34"/>
    </row>
    <row r="987" ht="15.75" customHeight="1">
      <c r="K987" s="34"/>
    </row>
    <row r="988" ht="15.75" customHeight="1">
      <c r="K988" s="34"/>
    </row>
    <row r="989" ht="15.75" customHeight="1">
      <c r="K989" s="34"/>
    </row>
    <row r="990" ht="15.75" customHeight="1">
      <c r="K990" s="34"/>
    </row>
    <row r="991" ht="15.75" customHeight="1">
      <c r="K991" s="34"/>
    </row>
    <row r="992" ht="15.75" customHeight="1">
      <c r="K992" s="34"/>
    </row>
    <row r="993" ht="15.75" customHeight="1">
      <c r="K993" s="34"/>
    </row>
    <row r="994" ht="15.75" customHeight="1">
      <c r="K994" s="34"/>
    </row>
    <row r="995" ht="15.75" customHeight="1">
      <c r="K995" s="34"/>
    </row>
    <row r="996" ht="15.75" customHeight="1">
      <c r="K996" s="34"/>
    </row>
    <row r="997" ht="15.75" customHeight="1">
      <c r="K997" s="34"/>
    </row>
    <row r="998" ht="15.75" customHeight="1">
      <c r="K998" s="34"/>
    </row>
    <row r="999" ht="15.75" customHeight="1">
      <c r="K999" s="34"/>
    </row>
    <row r="1000" ht="15.75" customHeight="1">
      <c r="K1000" s="34"/>
    </row>
  </sheetData>
  <mergeCells count="6">
    <mergeCell ref="B1:D1"/>
    <mergeCell ref="F1:H1"/>
    <mergeCell ref="J1:L1"/>
    <mergeCell ref="N1:P1"/>
    <mergeCell ref="R1:T1"/>
    <mergeCell ref="V1:X1"/>
  </mergeCells>
  <conditionalFormatting sqref="G149">
    <cfRule type="expression" dxfId="0" priority="1">
      <formula>COUNTIF(G:G, G1)&gt;1</formula>
    </cfRule>
  </conditionalFormatting>
  <conditionalFormatting sqref="G1:G1000">
    <cfRule type="expression" dxfId="0" priority="2">
      <formula>COUNTIF(G:G, G1)&gt;1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0" width="8.71"/>
  </cols>
  <sheetData>
    <row r="1">
      <c r="B1" s="1" t="s">
        <v>43</v>
      </c>
      <c r="C1" s="2"/>
      <c r="D1" s="3"/>
      <c r="F1" s="1" t="s">
        <v>44</v>
      </c>
      <c r="G1" s="2"/>
      <c r="H1" s="3"/>
      <c r="J1" s="1" t="s">
        <v>45</v>
      </c>
      <c r="K1" s="2"/>
      <c r="L1" s="3"/>
      <c r="N1" s="1" t="s">
        <v>46</v>
      </c>
      <c r="O1" s="2"/>
      <c r="P1" s="3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37" t="s">
        <v>6</v>
      </c>
      <c r="O2" s="5" t="s">
        <v>7</v>
      </c>
      <c r="P2" s="4" t="s">
        <v>8</v>
      </c>
    </row>
    <row r="3" ht="14.25" customHeight="1">
      <c r="A3" s="38"/>
      <c r="B3" s="39">
        <v>16262.0</v>
      </c>
      <c r="C3" s="40" t="str">
        <f>VLOOKUP(B3,'FML March 2026'!E:F,2,false)</f>
        <v>ALLSPICE BADIA</v>
      </c>
      <c r="D3" s="9" t="str">
        <f>VLOOKUP(B3,'Unit of Measure ship March 2026'!A:C,3,false)</f>
        <v>LBS</v>
      </c>
      <c r="F3" s="17">
        <v>110061.0</v>
      </c>
      <c r="G3" s="9" t="str">
        <f>VLOOKUP(F3,'FML March 2026'!E:F,2,false)</f>
        <v>APPLES GALA  125 CI</v>
      </c>
      <c r="H3" s="9" t="str">
        <f>VLOOKUP(F3,'Unit of Measure ship March 2026'!A:C,3,false)</f>
        <v>LBS</v>
      </c>
      <c r="J3" s="41">
        <v>14457.0</v>
      </c>
      <c r="K3" s="9" t="str">
        <f>VLOOKUP(J3,'FML March 2026'!E:F,2,false)</f>
        <v>BEEF BOTTOM ROUND GOOSENECK, CHOICE NAMP-170</v>
      </c>
      <c r="L3" s="9" t="str">
        <f>VLOOKUP(J3,'Unit of Measure ship March 2026'!A:C,3,false)</f>
        <v>LBS</v>
      </c>
      <c r="N3" s="41">
        <v>10052.0</v>
      </c>
      <c r="O3" s="9" t="str">
        <f>VLOOKUP(N3,'FML March 2026'!E:F,2,false)</f>
        <v>COD FILLET BERING SEA 16/32 OZ FROZEN (PCH) (CHINA)</v>
      </c>
      <c r="P3" s="9" t="str">
        <f>VLOOKUP(N3,'Unit of Measure ship March 2026'!A:C,3,false)</f>
        <v>LBS</v>
      </c>
    </row>
    <row r="4" ht="14.25" customHeight="1">
      <c r="A4" s="38"/>
      <c r="B4" s="41">
        <v>15799.0</v>
      </c>
      <c r="C4" s="40" t="str">
        <f>VLOOKUP(B4,'FML March 2026'!E:F,2,false)</f>
        <v>ALMONDS SHELLED WHOLE</v>
      </c>
      <c r="D4" s="9" t="str">
        <f>VLOOKUP(B4,'Unit of Measure ship March 2026'!A:C,3,false)</f>
        <v>LBS</v>
      </c>
      <c r="F4" s="17">
        <v>15375.0</v>
      </c>
      <c r="G4" s="9" t="str">
        <f>VLOOKUP(F4,'FML March 2026'!E:F,2,false)</f>
        <v>APPLES RED DELICIOUS WASHINGTON EXTRA FANCY 125CT 40#/CS</v>
      </c>
      <c r="H4" s="9" t="str">
        <f>VLOOKUP(F4,'Unit of Measure ship March 2026'!A:C,3,false)</f>
        <v>LBS</v>
      </c>
      <c r="J4" s="41">
        <v>14383.0</v>
      </c>
      <c r="K4" s="9" t="str">
        <f>VLOOKUP(J4,'FML March 2026'!E:F,2,false)</f>
        <v>BEEF CHUCK SHORT RIB USDA CHOICE (USA) NAMP-130</v>
      </c>
      <c r="L4" s="9" t="str">
        <f>VLOOKUP(J4,'Unit of Measure ship March 2026'!A:C,3,false)</f>
        <v>LBS</v>
      </c>
      <c r="N4" s="41">
        <v>11757.0</v>
      </c>
      <c r="O4" s="9" t="str">
        <f>VLOOKUP(N4,'FML March 2026'!E:F,2,false)</f>
        <v>FLOUNDER/HAKE/POLLOCK FILLET BREADED/ BATTERED 4 OZ IQF FOR CREW CWS/10 LB  NATIONAL (USA)</v>
      </c>
      <c r="P4" s="9" t="str">
        <f>VLOOKUP(N4,'Unit of Measure ship March 2026'!A:C,3,false)</f>
        <v>LBS</v>
      </c>
    </row>
    <row r="5" ht="14.25" customHeight="1">
      <c r="A5" s="38"/>
      <c r="B5" s="41">
        <v>14978.0</v>
      </c>
      <c r="C5" s="40" t="str">
        <f>VLOOKUP(B5,'FML March 2026'!E:F,2,false)</f>
        <v>AMERICAN CHEESE, YELLOW, SLICED, STACK PACK</v>
      </c>
      <c r="D5" s="9" t="str">
        <f>VLOOKUP(B5,'Unit of Measure ship March 2026'!A:C,3,false)</f>
        <v>LBS</v>
      </c>
      <c r="F5" s="17">
        <v>24182.0</v>
      </c>
      <c r="G5" s="9" t="str">
        <f>VLOOKUP(F5,'FML March 2026'!E:F,2,false)</f>
        <v>ARUGULA, BABY</v>
      </c>
      <c r="H5" s="9" t="str">
        <f>VLOOKUP(F5,'Unit of Measure ship March 2026'!A:C,3,false)</f>
        <v>LBS</v>
      </c>
      <c r="J5" s="41">
        <v>11189.0</v>
      </c>
      <c r="K5" s="9" t="str">
        <f>VLOOKUP(J5,'FML March 2026'!E:F,2,false)</f>
        <v>BEEF GROUND CHUCK C.A.B./ ANGUS NAMP 137-2</v>
      </c>
      <c r="L5" s="9" t="str">
        <f>VLOOKUP(J5,'Unit of Measure ship March 2026'!A:C,3,false)</f>
        <v>LBS</v>
      </c>
      <c r="N5" s="41">
        <v>14630.0</v>
      </c>
      <c r="O5" s="9" t="str">
        <f>VLOOKUP(N5,'FML March 2026'!E:F,2,false)</f>
        <v>MACKEREL WHOLE  GUTTED IQF FOR CREW CS/22 LB  ALFA (MEXICO)</v>
      </c>
      <c r="P5" s="9" t="str">
        <f>VLOOKUP(N5,'Unit of Measure ship March 2026'!A:C,3,false)</f>
        <v>LBS</v>
      </c>
    </row>
    <row r="6" ht="14.25" customHeight="1">
      <c r="A6" s="38"/>
      <c r="B6" s="39">
        <v>110951.0</v>
      </c>
      <c r="C6" s="40" t="str">
        <f>VLOOKUP(B6,'FML March 2026'!E:F,2,false)</f>
        <v>ANCHOVIES DRIED CS100/4OZ IKAN-TERI*BILIS</v>
      </c>
      <c r="D6" s="9" t="str">
        <f>VLOOKUP(B6,'Unit of Measure ship March 2026'!A:C,3,false)</f>
        <v>LBS</v>
      </c>
      <c r="F6" s="17">
        <v>15572.0</v>
      </c>
      <c r="G6" s="9" t="str">
        <f>VLOOKUP(F6,'FML March 2026'!E:F,2,false)</f>
        <v>ASPARAGUS, FRESH, LARGE, FULL 11# BOX, 17 PC/BOX</v>
      </c>
      <c r="H6" s="9" t="str">
        <f>VLOOKUP(F6,'Unit of Measure ship March 2026'!A:C,3,false)</f>
        <v>LBS</v>
      </c>
      <c r="J6" s="41">
        <v>53802.0</v>
      </c>
      <c r="K6" s="9" t="str">
        <f>VLOOKUP(J6,'FML March 2026'!E:F,2,false)</f>
        <v>BEEF GROUND FINE 80/20 NAMP-136</v>
      </c>
      <c r="L6" s="9" t="str">
        <f>VLOOKUP(J6,'Unit of Measure ship March 2026'!A:C,3,false)</f>
        <v>LBS</v>
      </c>
      <c r="N6" s="41">
        <v>11826.0</v>
      </c>
      <c r="O6" s="9" t="str">
        <f>VLOOKUP(N6,'FML March 2026'!E:F,2,false)</f>
        <v>MILKFISH  BANGUS FROZEN WHOLE GUTTED (USA)</v>
      </c>
      <c r="P6" s="9" t="str">
        <f>VLOOKUP(N6,'Unit of Measure ship March 2026'!A:C,3,false)</f>
        <v>LBS</v>
      </c>
    </row>
    <row r="7" ht="14.25" customHeight="1">
      <c r="A7" s="38"/>
      <c r="B7" s="39">
        <v>16011.0</v>
      </c>
      <c r="C7" s="40" t="str">
        <f>VLOOKUP(B7,'FML March 2026'!E:F,2,false)</f>
        <v>ANCHOVY FILLETS IN OLIVE OIL</v>
      </c>
      <c r="D7" s="9" t="str">
        <f>VLOOKUP(B7,'Unit of Measure ship March 2026'!A:C,3,false)</f>
        <v>CAN/28OZ</v>
      </c>
      <c r="F7" s="18">
        <v>43759.0</v>
      </c>
      <c r="G7" s="9" t="str">
        <f>VLOOKUP(F7,'FML March 2026'!E:F,2,false)</f>
        <v>ASPARAGUS, GREEN, MEDIUM, GRADE A, IQF, FZN, 1/10 KG</v>
      </c>
      <c r="H7" s="9" t="str">
        <f>VLOOKUP(F7,'Unit of Measure ship March 2026'!A:C,3,false)</f>
        <v>LBS</v>
      </c>
      <c r="J7" s="41">
        <v>14369.0</v>
      </c>
      <c r="K7" s="9" t="str">
        <f>VLOOKUP(J7,'FML March 2026'!E:F,2,false)</f>
        <v>BEEF INSIDE TOP ROUND CHOICE UNTRIMMED NAMP-168 EU (USA)</v>
      </c>
      <c r="L7" s="9" t="str">
        <f>VLOOKUP(J7,'Unit of Measure ship March 2026'!A:C,3,false)</f>
        <v>LBS</v>
      </c>
      <c r="N7" s="41">
        <v>14793.0</v>
      </c>
      <c r="O7" s="9" t="str">
        <f>VLOOKUP(N7,'FML March 2026'!E:F,2,false)</f>
        <v>MUSSEL MEAT SMALL NEW ZEALAND/CHILE BLUE IQF FROZEN 200-300 CT GOLDEN SUN (CHILE)</v>
      </c>
      <c r="P7" s="9" t="str">
        <f>VLOOKUP(N7,'Unit of Measure ship March 2026'!A:C,3,false)</f>
        <v>LBS</v>
      </c>
    </row>
    <row r="8" ht="14.25" customHeight="1">
      <c r="A8" s="38"/>
      <c r="B8" s="39">
        <v>16013.0</v>
      </c>
      <c r="C8" s="40" t="str">
        <f>VLOOKUP(B8,'FML March 2026'!E:F,2,false)</f>
        <v>ANCHOVY PASTE 12/1 LB ROLAND</v>
      </c>
      <c r="D8" s="9" t="str">
        <f>VLOOKUP(B8,'Unit of Measure ship March 2026'!A:C,3,false)</f>
        <v>CAN/1LB</v>
      </c>
      <c r="F8" s="17">
        <v>15429.0</v>
      </c>
      <c r="G8" s="9" t="str">
        <f>VLOOKUP(F8,'FML March 2026'!E:F,2,false)</f>
        <v>BASIL (12 BUNCH) HYDROPONIC OR REGULAR 1 LB/CS</v>
      </c>
      <c r="H8" s="9" t="str">
        <f>VLOOKUP(F8,'Unit of Measure ship March 2026'!A:C,3,false)</f>
        <v>LBS</v>
      </c>
      <c r="J8" s="42">
        <v>14389.0</v>
      </c>
      <c r="K8" s="9" t="str">
        <f>VLOOKUP(J8,'FML March 2026'!E:F,2,false)</f>
        <v>BEEF OXTAIL STEER W/LINER U.S.D.A. NAMP -1791</v>
      </c>
      <c r="L8" s="9" t="str">
        <f>VLOOKUP(J8,'Unit of Measure ship March 2026'!A:C,3,false)</f>
        <v>LBS</v>
      </c>
      <c r="N8" s="41">
        <v>49645.0</v>
      </c>
      <c r="O8" s="9" t="str">
        <f>VLOOKUP(N8,'FML March 2026'!E:F,2,false)</f>
        <v>POLLOCK FILLET 4/8 OZ SKINLESS 100% NET WEIGHT (CHINA)</v>
      </c>
      <c r="P8" s="9" t="str">
        <f>VLOOKUP(N8,'Unit of Measure ship March 2026'!A:C,3,false)</f>
        <v>LBS</v>
      </c>
    </row>
    <row r="9" ht="14.25" customHeight="1">
      <c r="A9" s="38"/>
      <c r="B9" s="41">
        <v>16304.0</v>
      </c>
      <c r="C9" s="40" t="str">
        <f>VLOOKUP(B9,'FML March 2026'!E:F,2,false)</f>
        <v>ANISE STAR BADIA</v>
      </c>
      <c r="D9" s="9" t="str">
        <f>VLOOKUP(B9,'Unit of Measure ship March 2026'!A:C,3,false)</f>
        <v>UNIT/8OZ</v>
      </c>
      <c r="F9" s="17">
        <v>102292.0</v>
      </c>
      <c r="G9" s="9" t="str">
        <f>VLOOKUP(F9,'FML March 2026'!E:F,2,false)</f>
        <v>BEETS YELLOW FRESH</v>
      </c>
      <c r="H9" s="9" t="str">
        <f>VLOOKUP(F9,'Unit of Measure ship March 2026'!A:C,3,false)</f>
        <v>LBS</v>
      </c>
      <c r="J9" s="41">
        <v>102748.0</v>
      </c>
      <c r="K9" s="9" t="str">
        <f>VLOOKUP(J9,'FML March 2026'!E:F,2,false)</f>
        <v>BEEF PATTIES 5.33 OZ CHUCK/BRISKET/SHORT RIB CS/10 LB  (USA) NAMP-1137</v>
      </c>
      <c r="L9" s="9" t="str">
        <f>VLOOKUP(J9,'Unit of Measure ship March 2026'!A:C,3,false)</f>
        <v>LBS</v>
      </c>
      <c r="N9" s="41">
        <v>53625.0</v>
      </c>
      <c r="O9" s="9" t="str">
        <f>VLOOKUP(N9,'FML March 2026'!E:F,2,false)</f>
        <v>SALMON FILLET, ATLANTIC, PREMIUM, FROZEN, 3 - 4 LB D-TRIM INDV. CRYOVAC (CHILE)</v>
      </c>
      <c r="P9" s="9" t="str">
        <f>VLOOKUP(N9,'Unit of Measure ship March 2026'!A:C,3,false)</f>
        <v>LBS</v>
      </c>
    </row>
    <row r="10" ht="14.25" customHeight="1">
      <c r="A10" s="38"/>
      <c r="B10" s="41">
        <v>16508.0</v>
      </c>
      <c r="C10" s="40" t="str">
        <f>VLOOKUP(B10,'FML March 2026'!E:F,2,false)</f>
        <v>APRICOT HALVES, UNPEELED</v>
      </c>
      <c r="D10" s="9" t="str">
        <f>VLOOKUP(B10,'Unit of Measure ship March 2026'!A:C,3,false)</f>
        <v>CN/6.5LB</v>
      </c>
      <c r="F10" s="17">
        <v>15452.0</v>
      </c>
      <c r="G10" s="9" t="str">
        <f>VLOOKUP(F10,'FML March 2026'!E:F,2,false)</f>
        <v>BELGIAN ENDIVES 10#</v>
      </c>
      <c r="H10" s="9" t="str">
        <f>VLOOKUP(F10,'Unit of Measure ship March 2026'!A:C,3,false)</f>
        <v>LBS</v>
      </c>
      <c r="J10" s="41">
        <v>38308.0</v>
      </c>
      <c r="K10" s="9" t="str">
        <f>VLOOKUP(J10,'FML March 2026'!E:F,2,false)</f>
        <v>BEEF, STRIPLOIN, BONELESS, COMMERCIAL, NON-UTILITY, 1X1, NAMP 180, &gt;8 LB EA, FZN, 5/1 EA</v>
      </c>
      <c r="L10" s="9" t="str">
        <f>VLOOKUP(J10,'Unit of Measure ship March 2026'!A:C,3,false)</f>
        <v>LBS</v>
      </c>
      <c r="N10" s="41">
        <v>23371.0</v>
      </c>
      <c r="O10" s="9" t="str">
        <f>VLOOKUP(N10,'FML March 2026'!E:F,2,false)</f>
        <v>SALMON KETA WHOLE H&amp;G FROZEN CREW CS 50/LBS (CHILE)</v>
      </c>
      <c r="P10" s="9" t="str">
        <f>VLOOKUP(N10,'Unit of Measure ship March 2026'!A:C,3,false)</f>
        <v>LBS</v>
      </c>
    </row>
    <row r="11" ht="14.25" customHeight="1">
      <c r="A11" s="38"/>
      <c r="B11" s="41">
        <v>19448.0</v>
      </c>
      <c r="C11" s="40" t="str">
        <f>VLOOKUP(B11,'FML March 2026'!E:F,2,false)</f>
        <v>AVOCADO, HALVES, PITLESS, IQF, FRZN</v>
      </c>
      <c r="D11" s="9" t="str">
        <f>VLOOKUP(B11,'Unit of Measure ship March 2026'!A:C,3,false)</f>
        <v>LBS</v>
      </c>
      <c r="F11" s="17">
        <v>15606.0</v>
      </c>
      <c r="G11" s="9" t="str">
        <f>VLOOKUP(F11,'FML March 2026'!E:F,2,false)</f>
        <v>BOK CHOY BABY</v>
      </c>
      <c r="H11" s="9" t="str">
        <f>VLOOKUP(F11,'Unit of Measure ship March 2026'!A:C,3,false)</f>
        <v>LBS</v>
      </c>
      <c r="J11" s="41">
        <v>45649.0</v>
      </c>
      <c r="K11" s="9" t="str">
        <f>VLOOKUP(J11,'FML March 2026'!E:F,2,false)</f>
        <v>CHICKEN BREAST FILLET, BREADED, FRITTERS, RAW (USA)</v>
      </c>
      <c r="L11" s="9" t="str">
        <f>VLOOKUP(J11,'Unit of Measure ship March 2026'!A:C,3,false)</f>
        <v>LBS</v>
      </c>
      <c r="N11" s="41">
        <v>45475.0</v>
      </c>
      <c r="O11" s="9" t="str">
        <f>VLOOKUP(N11,'FML March 2026'!E:F,2,false)</f>
        <v>SARDINES WHOLE FROZEN NIGEL/PACKER (USA)</v>
      </c>
      <c r="P11" s="9" t="str">
        <f>VLOOKUP(N11,'Unit of Measure ship March 2026'!A:C,3,false)</f>
        <v>LBS</v>
      </c>
    </row>
    <row r="12" ht="14.25" customHeight="1">
      <c r="A12" s="38"/>
      <c r="B12" s="41">
        <v>43803.0</v>
      </c>
      <c r="C12" s="40" t="str">
        <f>VLOOKUP(B12,'FML March 2026'!E:F,2,false)</f>
        <v>BABY CARROTS FROZEN STANDARD DUJARDIN (USA)</v>
      </c>
      <c r="D12" s="9" t="str">
        <f>VLOOKUP(B12,'Unit of Measure ship March 2026'!A:C,3,false)</f>
        <v>LBS</v>
      </c>
      <c r="F12" s="17">
        <v>38191.0</v>
      </c>
      <c r="G12" s="9" t="str">
        <f>VLOOKUP(F12,'FML March 2026'!E:F,2,false)</f>
        <v>BRUSSELS SPROUTS SMALL</v>
      </c>
      <c r="H12" s="9" t="str">
        <f>VLOOKUP(F12,'Unit of Measure ship March 2026'!A:C,3,false)</f>
        <v>LBS</v>
      </c>
      <c r="J12" s="41">
        <v>11690.0</v>
      </c>
      <c r="K12" s="9" t="str">
        <f>VLOOKUP(J12,'FML March 2026'!E:F,2,false)</f>
        <v>CHICKEN BREAST, BONELESS, SKINLESS, NON-MARINATED, NON-INJECTED, 6-7 OZ EA, FZN, 1/40 LB</v>
      </c>
      <c r="L12" s="9" t="str">
        <f>VLOOKUP(J12,'Unit of Measure ship March 2026'!A:C,3,false)</f>
        <v>LBS</v>
      </c>
      <c r="N12" s="41">
        <v>33209.0</v>
      </c>
      <c r="O12" s="9" t="str">
        <f>VLOOKUP(N12,'FML March 2026'!E:F,2,false)</f>
        <v>SEA TROUT FILET 4/6 OZ CREW FROZEN CS/40 LBS (USA)</v>
      </c>
      <c r="P12" s="9" t="str">
        <f>VLOOKUP(N12,'Unit of Measure ship March 2026'!A:C,3,false)</f>
        <v>LBS</v>
      </c>
    </row>
    <row r="13" ht="14.25" customHeight="1">
      <c r="A13" s="38"/>
      <c r="B13" s="41">
        <v>12284.0</v>
      </c>
      <c r="C13" s="40" t="str">
        <f>VLOOKUP(B13,'FML March 2026'!E:F,2,false)</f>
        <v>BARBEQUE SAUCE, HICKORY</v>
      </c>
      <c r="D13" s="9" t="str">
        <f>VLOOKUP(B13,'Unit of Measure ship March 2026'!A:C,3,false)</f>
        <v>GAL</v>
      </c>
      <c r="F13" s="17">
        <v>15456.0</v>
      </c>
      <c r="G13" s="9" t="str">
        <f>VLOOKUP(F13,'FML March 2026'!E:F,2,false)</f>
        <v>CABBAGE NAPA 12CT 30#</v>
      </c>
      <c r="H13" s="9" t="str">
        <f>VLOOKUP(F13,'Unit of Measure ship March 2026'!A:C,3,false)</f>
        <v>LBS</v>
      </c>
      <c r="J13" s="41">
        <v>14581.0</v>
      </c>
      <c r="K13" s="9" t="str">
        <f>VLOOKUP(J13,'FML March 2026'!E:F,2,false)</f>
        <v>CHICKEN LEG QUARTERS FROZEN  PACKER (USA)</v>
      </c>
      <c r="L13" s="9" t="str">
        <f>VLOOKUP(J13,'Unit of Measure ship March 2026'!A:C,3,false)</f>
        <v>LBS</v>
      </c>
      <c r="N13" s="43">
        <v>42269.0</v>
      </c>
      <c r="O13" s="9" t="str">
        <f>VLOOKUP(N13,'FML March 2026'!E:F,2,false)</f>
        <v>SHRIMP 16/20 RAW P&amp;D TAIL-ON CS10/LB SURAM ROYAL WHITE (VIETNAM)</v>
      </c>
      <c r="P13" s="9" t="str">
        <f>VLOOKUP(N13,'Unit of Measure ship March 2026'!A:C,3,false)</f>
        <v>LBS</v>
      </c>
    </row>
    <row r="14" ht="14.25" customHeight="1">
      <c r="A14" s="38"/>
      <c r="B14" s="39">
        <v>16250.0</v>
      </c>
      <c r="C14" s="40" t="str">
        <f>VLOOKUP(B14,'FML March 2026'!E:F,2,false)</f>
        <v>BAY LEAVES WHOLE D`ALLESANDRO/ SPICECO</v>
      </c>
      <c r="D14" s="9" t="str">
        <f>VLOOKUP(B14,'Unit of Measure ship March 2026'!A:C,3,false)</f>
        <v>LBS</v>
      </c>
      <c r="F14" s="17">
        <v>15455.0</v>
      </c>
      <c r="G14" s="9" t="str">
        <f>VLOOKUP(F14,'FML March 2026'!E:F,2,false)</f>
        <v>CABBAGE RED COMM MED/LG TRIMMED 50#</v>
      </c>
      <c r="H14" s="9" t="str">
        <f>VLOOKUP(F14,'Unit of Measure ship March 2026'!A:C,3,false)</f>
        <v>LBS</v>
      </c>
      <c r="J14" s="41">
        <v>11695.0</v>
      </c>
      <c r="K14" s="9" t="str">
        <f>VLOOKUP(J14,'FML March 2026'!E:F,2,false)</f>
        <v>CHICKEN LEG/THIGH BONELESS &amp; SKINLESS FROZEN</v>
      </c>
      <c r="L14" s="9" t="str">
        <f>VLOOKUP(J14,'Unit of Measure ship March 2026'!A:C,3,false)</f>
        <v>LBS</v>
      </c>
      <c r="N14" s="44">
        <v>14686.0</v>
      </c>
      <c r="O14" s="9" t="str">
        <f>VLOOKUP(N14,'FML March 2026'!E:F,2,false)</f>
        <v>SHRIMP PANDALUS BOREALIS  COOKED 150/250 IQF COLD WATER P&amp;D 4/5LB CS ORION/PACKER (CANADA)</v>
      </c>
      <c r="P14" s="9" t="str">
        <f>VLOOKUP(N14,'Unit of Measure ship March 2026'!A:C,3,false)</f>
        <v>LBS</v>
      </c>
    </row>
    <row r="15" ht="14.25" customHeight="1">
      <c r="A15" s="38"/>
      <c r="B15" s="41">
        <v>43806.0</v>
      </c>
      <c r="C15" s="40" t="str">
        <f>VLOOKUP(B15,'FML March 2026'!E:F,2,false)</f>
        <v>BEAN GREEN CUT FROZEN STANDARD NAVARRA</v>
      </c>
      <c r="D15" s="9" t="str">
        <f>VLOOKUP(B15,'Unit of Measure ship March 2026'!A:C,3,false)</f>
        <v>LBS</v>
      </c>
      <c r="F15" s="17">
        <v>15545.0</v>
      </c>
      <c r="G15" s="9" t="str">
        <f>VLOOKUP(F15,'FML March 2026'!E:F,2,false)</f>
        <v>CABBAGE SAVOY LARGE 40#</v>
      </c>
      <c r="H15" s="9" t="str">
        <f>VLOOKUP(F15,'Unit of Measure ship March 2026'!A:C,3,false)</f>
        <v>LBS</v>
      </c>
      <c r="J15" s="41">
        <v>14502.0</v>
      </c>
      <c r="K15" s="9" t="str">
        <f>VLOOKUP(J15,'FML March 2026'!E:F,2,false)</f>
        <v>CHICKEN NECKS/BACKS 50# SKIN-ON (PLASTIC WRAPPED) (USA)</v>
      </c>
      <c r="L15" s="9" t="str">
        <f>VLOOKUP(J15,'Unit of Measure ship March 2026'!A:C,3,false)</f>
        <v>LBS</v>
      </c>
      <c r="N15" s="41">
        <v>27275.0</v>
      </c>
      <c r="O15" s="9" t="str">
        <f>VLOOKUP(N15,'FML March 2026'!E:F,2,false)</f>
        <v>SQUID TUBES 8-10 FROZEN (CHINA)</v>
      </c>
      <c r="P15" s="9" t="str">
        <f>VLOOKUP(N15,'Unit of Measure ship March 2026'!A:C,3,false)</f>
        <v>LBS</v>
      </c>
    </row>
    <row r="16" ht="14.25" customHeight="1">
      <c r="A16" s="38"/>
      <c r="B16" s="41">
        <v>40492.0</v>
      </c>
      <c r="C16" s="40" t="str">
        <f>VLOOKUP(B16,'FML March 2026'!E:F,2,false)</f>
        <v>BEAN SPROUTS, MUNG, DRY, 6/#10</v>
      </c>
      <c r="D16" s="9" t="str">
        <f>VLOOKUP(B16,'Unit of Measure ship March 2026'!A:C,3,false)</f>
        <v>CS6/3KG</v>
      </c>
      <c r="F16" s="17">
        <v>15559.0</v>
      </c>
      <c r="G16" s="9" t="str">
        <f>VLOOKUP(F16,'FML March 2026'!E:F,2,false)</f>
        <v>CARROTS MINI W/TOPS, PEELED, 1/5LB, VAC. PACK</v>
      </c>
      <c r="H16" s="9" t="str">
        <f>VLOOKUP(F16,'Unit of Measure ship March 2026'!A:C,3,false)</f>
        <v>LBS</v>
      </c>
      <c r="J16" s="41">
        <v>14523.0</v>
      </c>
      <c r="K16" s="9" t="str">
        <f>VLOOKUP(J16,'FML March 2026'!E:F,2,false)</f>
        <v>CHICKEN WINGS SMALL (WHOLE) RAW RANDOM SIZE BULK PACK (USA)</v>
      </c>
      <c r="L16" s="9" t="str">
        <f>VLOOKUP(J16,'Unit of Measure ship March 2026'!A:C,3,false)</f>
        <v>LBS</v>
      </c>
      <c r="N16" s="42">
        <v>20115.0</v>
      </c>
      <c r="O16" s="9" t="str">
        <f>VLOOKUP(N16,'FML March 2026'!E:F,2,false)</f>
        <v>SURIMI/WHITE FISH STICKS W/2% CRAB MEAT, COOKED -SUSHI GRADE KST (USA)</v>
      </c>
      <c r="P16" s="9" t="str">
        <f>VLOOKUP(N16,'Unit of Measure ship March 2026'!A:C,3,false)</f>
        <v>LBS</v>
      </c>
    </row>
    <row r="17" ht="14.25" customHeight="1">
      <c r="A17" s="38"/>
      <c r="B17" s="41">
        <v>32730.0</v>
      </c>
      <c r="C17" s="40" t="str">
        <f>VLOOKUP(B17,'FML March 2026'!E:F,2,false)</f>
        <v>BEANS BLACK, 6/#10 CAN</v>
      </c>
      <c r="D17" s="9" t="str">
        <f>VLOOKUP(B17,'Unit of Measure ship March 2026'!A:C,3,false)</f>
        <v>CN/6.5LB</v>
      </c>
      <c r="F17" s="17">
        <v>15459.0</v>
      </c>
      <c r="G17" s="9" t="str">
        <f>VLOOKUP(F17,'FML March 2026'!E:F,2,false)</f>
        <v>CAULIFLOWER #1 CAL. 12 CT 25#</v>
      </c>
      <c r="H17" s="9" t="str">
        <f>VLOOKUP(F17,'Unit of Measure ship March 2026'!A:C,3,false)</f>
        <v>LBS</v>
      </c>
      <c r="J17" s="41">
        <v>62645.0</v>
      </c>
      <c r="K17" s="9" t="str">
        <f>VLOOKUP(J17,'FML March 2026'!E:F,2,false)</f>
        <v>CHICKEN WINGS WHOLE  RAW JUMBO CS4/10 LB</v>
      </c>
      <c r="L17" s="9" t="str">
        <f>VLOOKUP(J17,'Unit of Measure ship March 2026'!A:C,3,false)</f>
        <v>LBS</v>
      </c>
      <c r="N17" s="41">
        <v>14651.0</v>
      </c>
      <c r="O17" s="9" t="str">
        <f>VLOOKUP(N17,'FML March 2026'!E:F,2,false)</f>
        <v>TUNA LOIN SKINLESS FROZEN,  (IP IS FTZ) (YEMEN)</v>
      </c>
      <c r="P17" s="9" t="str">
        <f>VLOOKUP(N17,'Unit of Measure ship March 2026'!A:C,3,false)</f>
        <v>LBS</v>
      </c>
    </row>
    <row r="18" ht="14.25" customHeight="1">
      <c r="A18" s="38"/>
      <c r="B18" s="41">
        <v>16227.0</v>
      </c>
      <c r="C18" s="40" t="str">
        <f>VLOOKUP(B18,'FML March 2026'!E:F,2,false)</f>
        <v>BEANS LENTILS BLACK BELUGA D`ALLESANDRO</v>
      </c>
      <c r="D18" s="9" t="str">
        <f>VLOOKUP(B18,'Unit of Measure ship March 2026'!A:C,3,false)</f>
        <v>LBS</v>
      </c>
      <c r="F18" s="17">
        <v>15562.0</v>
      </c>
      <c r="G18" s="9" t="str">
        <f>VLOOKUP(F18,'FML March 2026'!E:F,2,false)</f>
        <v>CELERIAC (CELERY ROOT) 20#</v>
      </c>
      <c r="H18" s="9" t="str">
        <f>VLOOKUP(F18,'Unit of Measure ship March 2026'!A:C,3,false)</f>
        <v>LBS</v>
      </c>
      <c r="J18" s="41">
        <v>14576.0</v>
      </c>
      <c r="K18" s="9" t="str">
        <f>VLOOKUP(J18,'FML March 2026'!E:F,2,false)</f>
        <v>CHICKEN, FRYER, WOG, IND WRAPPED, NON-INJECTED, 2.50-3.25 LB EA, FZN, 12/1 EA</v>
      </c>
      <c r="L18" s="9" t="str">
        <f>VLOOKUP(J18,'Unit of Measure ship March 2026'!A:C,3,false)</f>
        <v>LBS</v>
      </c>
      <c r="N18" s="41">
        <v>14721.0</v>
      </c>
      <c r="O18" s="9" t="str">
        <f>VLOOKUP(N18,'FML March 2026'!E:F,2,false)</f>
        <v>WHITING FILET  4/6 OR 6/10 OZ FRZN (ARGENTINA)</v>
      </c>
      <c r="P18" s="9" t="str">
        <f>VLOOKUP(N18,'Unit of Measure ship March 2026'!A:C,3,false)</f>
        <v>LBS</v>
      </c>
    </row>
    <row r="19" ht="14.25" customHeight="1">
      <c r="A19" s="38"/>
      <c r="B19" s="41">
        <v>48982.0</v>
      </c>
      <c r="C19" s="40" t="str">
        <f>VLOOKUP(B19,'FML March 2026'!E:F,2,false)</f>
        <v>BEANS LENTILS RED SPLIT, DHAL MASSOR 20 LB BOX C&amp;F/ D`ALLESANDRO</v>
      </c>
      <c r="D19" s="9" t="str">
        <f>VLOOKUP(B19,'Unit of Measure ship March 2026'!A:C,3,false)</f>
        <v>LBS</v>
      </c>
      <c r="F19" s="17">
        <v>15589.0</v>
      </c>
      <c r="G19" s="9" t="str">
        <f>VLOOKUP(F19,'FML March 2026'!E:F,2,false)</f>
        <v>CHAYOTE, SELECT, 48CT 40#/CS</v>
      </c>
      <c r="H19" s="9" t="str">
        <f>VLOOKUP(F19,'Unit of Measure ship March 2026'!A:C,3,false)</f>
        <v>LBS</v>
      </c>
      <c r="J19" s="41">
        <v>14573.0</v>
      </c>
      <c r="K19" s="9" t="str">
        <f>VLOOKUP(J19,'FML March 2026'!E:F,2,false)</f>
        <v>DUCK WHOLE GRADE, "A" 4.00 -  5.0LB CS6/PC</v>
      </c>
      <c r="L19" s="9" t="str">
        <f>VLOOKUP(J19,'Unit of Measure ship March 2026'!A:C,3,false)</f>
        <v>LBS</v>
      </c>
      <c r="N19" s="38"/>
    </row>
    <row r="20" ht="14.25" customHeight="1">
      <c r="A20" s="38"/>
      <c r="B20" s="41">
        <v>16579.0</v>
      </c>
      <c r="C20" s="40" t="str">
        <f>VLOOKUP(B20,'FML March 2026'!E:F,2,false)</f>
        <v>BEANS RED KIDNEY DARK 6/10 CANS (SPAIN)</v>
      </c>
      <c r="D20" s="9" t="str">
        <f>VLOOKUP(B20,'Unit of Measure ship March 2026'!A:C,3,false)</f>
        <v>CN/6.5LB</v>
      </c>
      <c r="F20" s="17">
        <v>15543.0</v>
      </c>
      <c r="G20" s="9" t="str">
        <f>VLOOKUP(F20,'FML March 2026'!E:F,2,false)</f>
        <v>CHERVIL, FRESH, 12BU 1 LB/CS</v>
      </c>
      <c r="H20" s="9" t="str">
        <f>VLOOKUP(F20,'Unit of Measure ship March 2026'!A:C,3,false)</f>
        <v>LBS</v>
      </c>
      <c r="J20" s="41">
        <v>14407.0</v>
      </c>
      <c r="K20" s="9" t="str">
        <f>VLOOKUP(J20,'FML March 2026'!E:F,2,false)</f>
        <v>LAMB LEGS BONELESS ROLLED &amp; TIED FROZEN VAC-PAC (AUSTRALIA)</v>
      </c>
      <c r="L20" s="9" t="str">
        <f>VLOOKUP(J20,'Unit of Measure ship March 2026'!A:C,3,false)</f>
        <v>LBS</v>
      </c>
      <c r="N20" s="38"/>
      <c r="O20" s="9"/>
      <c r="P20" s="9"/>
    </row>
    <row r="21" ht="14.25" customHeight="1">
      <c r="A21" s="38"/>
      <c r="B21" s="39">
        <v>16530.0</v>
      </c>
      <c r="C21" s="40" t="str">
        <f>VLOOKUP(B21,'FML March 2026'!E:F,2,false)</f>
        <v>BEANS, BAKED, VEGETARIAN, DRY, 6/#10</v>
      </c>
      <c r="D21" s="9" t="str">
        <f>VLOOKUP(B21,'Unit of Measure ship March 2026'!A:C,3,false)</f>
        <v>CN/6.5LB</v>
      </c>
      <c r="F21" s="17">
        <v>35188.0</v>
      </c>
      <c r="G21" s="9" t="str">
        <f>VLOOKUP(F21,'FML March 2026'!E:F,2,false)</f>
        <v>CHILI PEPPERS RED FRESH</v>
      </c>
      <c r="H21" s="9" t="str">
        <f>VLOOKUP(F21,'Unit of Measure ship March 2026'!A:C,3,false)</f>
        <v>LBS</v>
      </c>
      <c r="J21" s="41">
        <v>14424.0</v>
      </c>
      <c r="K21" s="9" t="str">
        <f>VLOOKUP(J21,'FML March 2026'!E:F,2,false)</f>
        <v>LAMB SHOULDER SQUARE CUT NECK-ON FROZEN  (AUSTRALIA)</v>
      </c>
      <c r="L21" s="9" t="str">
        <f>VLOOKUP(J21,'Unit of Measure ship March 2026'!A:C,3,false)</f>
        <v>LBS</v>
      </c>
      <c r="N21" s="38"/>
      <c r="O21" s="9"/>
      <c r="P21" s="9"/>
    </row>
    <row r="22" ht="14.25" customHeight="1">
      <c r="A22" s="38"/>
      <c r="B22" s="41">
        <v>24910.0</v>
      </c>
      <c r="C22" s="40" t="str">
        <f>VLOOKUP(B22,'FML March 2026'!E:F,2,false)</f>
        <v>BEANS, PINTO DRY (VV)</v>
      </c>
      <c r="D22" s="9" t="str">
        <f>VLOOKUP(B22,'Unit of Measure ship March 2026'!A:C,3,false)</f>
        <v>LBS</v>
      </c>
      <c r="F22" s="17">
        <v>15438.0</v>
      </c>
      <c r="G22" s="9" t="str">
        <f>VLOOKUP(F22,'FML March 2026'!E:F,2,false)</f>
        <v>CHIVES (12 BUNCH), 1 LB/CS</v>
      </c>
      <c r="H22" s="9" t="str">
        <f>VLOOKUP(F22,'Unit of Measure ship March 2026'!A:C,3,false)</f>
        <v>LBS</v>
      </c>
      <c r="J22" s="41">
        <v>24773.0</v>
      </c>
      <c r="K22" s="9" t="str">
        <f>VLOOKUP(J22,'FML March 2026'!E:F,2,false)</f>
        <v>PORK BELLY RAW RIND-ON (USA)</v>
      </c>
      <c r="L22" s="9" t="str">
        <f>VLOOKUP(J22,'Unit of Measure ship March 2026'!A:C,3,false)</f>
        <v>LBS</v>
      </c>
      <c r="N22" s="38"/>
      <c r="O22" s="9"/>
      <c r="P22" s="9"/>
    </row>
    <row r="23" ht="14.25" customHeight="1">
      <c r="A23" s="38"/>
      <c r="B23" s="41">
        <v>100449.0</v>
      </c>
      <c r="C23" s="40" t="str">
        <f>VLOOKUP(B23,'FML March 2026'!E:F,2,false)</f>
        <v>BEEF SAUCE BASE CREW/ STAFF</v>
      </c>
      <c r="D23" s="9" t="str">
        <f>VLOOKUP(B23,'Unit of Measure ship March 2026'!A:C,3,false)</f>
        <v>LBS</v>
      </c>
      <c r="F23" s="17">
        <v>15431.0</v>
      </c>
      <c r="G23" s="9" t="str">
        <f>VLOOKUP(F23,'FML March 2026'!E:F,2,false)</f>
        <v>CILANTRO (12 BUNCH) 1 LB/CS DOMESTIC</v>
      </c>
      <c r="H23" s="9" t="str">
        <f>VLOOKUP(F23,'Unit of Measure ship March 2026'!A:C,3,false)</f>
        <v>LBS</v>
      </c>
      <c r="J23" s="41">
        <v>14443.0</v>
      </c>
      <c r="K23" s="9" t="str">
        <f>VLOOKUP(J23,'FML March 2026'!E:F,2,false)</f>
        <v>PORK LOIN BACK RIBS 1-1/2# DOWN DOMESTIC NAMP 422 (USA)</v>
      </c>
      <c r="L23" s="9" t="str">
        <f>VLOOKUP(J23,'Unit of Measure ship March 2026'!A:C,3,false)</f>
        <v>LBS</v>
      </c>
      <c r="N23" s="38"/>
      <c r="O23" s="9"/>
      <c r="P23" s="9"/>
    </row>
    <row r="24" ht="14.25" customHeight="1">
      <c r="A24" s="38"/>
      <c r="B24" s="39">
        <v>40504.0</v>
      </c>
      <c r="C24" s="40" t="str">
        <f>VLOOKUP(B24,'FML March 2026'!E:F,2,false)</f>
        <v>BEETS SLICED 3KG</v>
      </c>
      <c r="D24" s="9" t="str">
        <f>VLOOKUP(B24,'Unit of Measure ship March 2026'!A:C,3,false)</f>
        <v>CAN/3KG</v>
      </c>
      <c r="F24" s="17">
        <v>15619.0</v>
      </c>
      <c r="G24" s="9" t="str">
        <f>VLOOKUP(F24,'FML March 2026'!E:F,2,false)</f>
        <v>DAIKON 20#/CS</v>
      </c>
      <c r="H24" s="9" t="str">
        <f>VLOOKUP(F24,'Unit of Measure ship March 2026'!A:C,3,false)</f>
        <v>LBS</v>
      </c>
      <c r="J24" s="41">
        <v>11681.0</v>
      </c>
      <c r="K24" s="9" t="str">
        <f>VLOOKUP(J24,'FML March 2026'!E:F,2,false)</f>
        <v>PORK LOIN SMOKED CENTER CUT BONELESS (USA)</v>
      </c>
      <c r="L24" s="9" t="str">
        <f>VLOOKUP(J24,'Unit of Measure ship March 2026'!A:C,3,false)</f>
        <v>LBS</v>
      </c>
      <c r="N24" s="38"/>
      <c r="O24" s="9"/>
      <c r="P24" s="9"/>
    </row>
    <row r="25" ht="14.25" customHeight="1">
      <c r="A25" s="38"/>
      <c r="B25" s="41">
        <v>53695.0</v>
      </c>
      <c r="C25" s="40" t="str">
        <f>VLOOKUP(B25,'FML March 2026'!E:F,2,false)</f>
        <v>BEV BASE, ORANGE, 45%, NESTLE - VITALITY, 12560122, FZN, 12/32 OZ</v>
      </c>
      <c r="D25" s="9" t="str">
        <f>VLOOKUP(B25,'Unit of Measure ship March 2026'!A:C,3,false)</f>
        <v>PC/64OZ</v>
      </c>
      <c r="F25" s="17">
        <v>15433.0</v>
      </c>
      <c r="G25" s="9" t="str">
        <f>VLOOKUP(F25,'FML March 2026'!E:F,2,false)</f>
        <v>DILL</v>
      </c>
      <c r="H25" s="9" t="str">
        <f>VLOOKUP(F25,'Unit of Measure ship March 2026'!A:C,3,false)</f>
        <v>LBS</v>
      </c>
      <c r="J25" s="41">
        <v>14399.0</v>
      </c>
      <c r="K25" s="9" t="str">
        <f>VLOOKUP(J25,'FML March 2026'!E:F,2,false)</f>
        <v>PORK LOIN WHOLE CRYOVAC  22-24   DOWN BONE IN, NAMP411 (USA)</v>
      </c>
      <c r="L25" s="9" t="str">
        <f>VLOOKUP(J25,'Unit of Measure ship March 2026'!A:C,3,false)</f>
        <v>LBS</v>
      </c>
      <c r="N25" s="38"/>
      <c r="O25" s="9"/>
      <c r="P25" s="9"/>
    </row>
    <row r="26" ht="14.25" customHeight="1">
      <c r="A26" s="38"/>
      <c r="B26" s="41">
        <v>15178.0</v>
      </c>
      <c r="C26" s="40" t="str">
        <f>VLOOKUP(B26,'FML March 2026'!E:F,2,false)</f>
        <v>BLACKBERRIES, WHOLE, IQF, FRZN</v>
      </c>
      <c r="D26" s="9" t="str">
        <f>VLOOKUP(B26,'Unit of Measure ship March 2026'!A:C,3,false)</f>
        <v>LBS</v>
      </c>
      <c r="F26" s="17">
        <v>15508.0</v>
      </c>
      <c r="G26" s="9" t="str">
        <f>VLOOKUP(F26,'FML March 2026'!E:F,2,false)</f>
        <v>FINGERLING POTATOES</v>
      </c>
      <c r="H26" s="9" t="str">
        <f>VLOOKUP(F26,'Unit of Measure ship March 2026'!A:C,3,false)</f>
        <v>LBS</v>
      </c>
      <c r="J26" s="41">
        <v>10533.0</v>
      </c>
      <c r="K26" s="9" t="str">
        <f>VLOOKUP(J26,'FML March 2026'!E:F,2,false)</f>
        <v>PORK SHOULDER BUTT BONELESS</v>
      </c>
      <c r="L26" s="9" t="str">
        <f>VLOOKUP(J26,'Unit of Measure ship March 2026'!A:C,3,false)</f>
        <v>LBS</v>
      </c>
      <c r="N26" s="38"/>
      <c r="O26" s="9"/>
      <c r="P26" s="9"/>
    </row>
    <row r="27" ht="14.25" customHeight="1">
      <c r="A27" s="38"/>
      <c r="B27" s="41">
        <v>43801.0</v>
      </c>
      <c r="C27" s="40" t="str">
        <f>VLOOKUP(B27,'FML March 2026'!E:F,2,false)</f>
        <v>BRUSSEL SPROUTS, MEDIUM, GRADE A, FRZN</v>
      </c>
      <c r="D27" s="9" t="str">
        <f>VLOOKUP(B27,'Unit of Measure ship March 2026'!A:C,3,false)</f>
        <v>LBS</v>
      </c>
      <c r="F27" s="17">
        <v>30479.0</v>
      </c>
      <c r="G27" s="9" t="str">
        <f>VLOOKUP(F27,'FML March 2026'!E:F,2,false)</f>
        <v>GALANGAL</v>
      </c>
      <c r="H27" s="9" t="str">
        <f>VLOOKUP(F27,'Unit of Measure ship March 2026'!A:C,3,false)</f>
        <v>LBS</v>
      </c>
      <c r="J27" s="41">
        <v>14397.0</v>
      </c>
      <c r="K27" s="9" t="str">
        <f>VLOOKUP(J27,'FML March 2026'!E:F,2,false)</f>
        <v>PORK SPARE RIBS 4-1/2 - DOWN 30# NAMP416 HATFIELD 1252 (USA)</v>
      </c>
      <c r="L27" s="9" t="str">
        <f>VLOOKUP(J27,'Unit of Measure ship March 2026'!A:C,3,false)</f>
        <v>LBS</v>
      </c>
      <c r="N27" s="38"/>
      <c r="O27" s="9"/>
      <c r="P27" s="9"/>
    </row>
    <row r="28" ht="14.25" customHeight="1">
      <c r="A28" s="38"/>
      <c r="B28" s="41">
        <v>15016.0</v>
      </c>
      <c r="C28" s="40" t="str">
        <f>VLOOKUP(B28,'FML March 2026'!E:F,2,false)</f>
        <v>BUTTER, UNSALTED, 82% FAT, FZN, 50/200 G</v>
      </c>
      <c r="D28" s="9" t="str">
        <f>VLOOKUP(B28,'Unit of Measure ship March 2026'!A:C,3,false)</f>
        <v>LBS</v>
      </c>
      <c r="F28" s="17">
        <v>61703.0</v>
      </c>
      <c r="G28" s="9" t="str">
        <f>VLOOKUP(F28,'FML March 2026'!E:F,2,false)</f>
        <v>HABANERO PEPPERS FRESH</v>
      </c>
      <c r="H28" s="9" t="str">
        <f>VLOOKUP(F28,'Unit of Measure ship March 2026'!A:C,3,false)</f>
        <v>LBS</v>
      </c>
      <c r="J28" s="41">
        <v>14400.0</v>
      </c>
      <c r="K28" s="9" t="str">
        <f>VLOOKUP(J28,'FML March 2026'!E:F,2,false)</f>
        <v>PORK, HAM LEG, BONE IN, SHORT SHANK, SKIN ON, FRESH, NAMP 401A, &gt;23 LB EA, FZN</v>
      </c>
      <c r="L28" s="9" t="str">
        <f>VLOOKUP(J28,'Unit of Measure ship March 2026'!A:C,3,false)</f>
        <v>LBS</v>
      </c>
      <c r="N28" s="38"/>
      <c r="O28" s="9"/>
      <c r="P28" s="9"/>
    </row>
    <row r="29" ht="14.25" customHeight="1">
      <c r="A29" s="38"/>
      <c r="B29" s="39">
        <v>16290.0</v>
      </c>
      <c r="C29" s="40" t="str">
        <f>VLOOKUP(B29,'FML March 2026'!E:F,2,false)</f>
        <v>CAJUN SEASONING BADIA (USA )</v>
      </c>
      <c r="D29" s="9" t="str">
        <f>VLOOKUP(B29,'Unit of Measure ship March 2026'!A:C,3,false)</f>
        <v>LBS</v>
      </c>
      <c r="F29" s="17">
        <v>15463.0</v>
      </c>
      <c r="G29" s="9" t="str">
        <f>VLOOKUP(F29,'FML March 2026'!E:F,2,false)</f>
        <v>JICAMA FRESH</v>
      </c>
      <c r="H29" s="9" t="str">
        <f>VLOOKUP(F29,'Unit of Measure ship March 2026'!A:C,3,false)</f>
        <v>LBS</v>
      </c>
      <c r="J29" s="41">
        <v>14524.0</v>
      </c>
      <c r="K29" s="9" t="str">
        <f>VLOOKUP(J29,'FML March 2026'!E:F,2,false)</f>
        <v>TURKEY BREAST RAW BONE-IN WHOLE SKIN-ON, USDA "A"  8/10 LB AVG (USA)</v>
      </c>
      <c r="L29" s="9" t="str">
        <f>VLOOKUP(J29,'Unit of Measure ship March 2026'!A:C,3,false)</f>
        <v>LBS</v>
      </c>
      <c r="N29" s="17"/>
      <c r="O29" s="9"/>
      <c r="P29" s="9"/>
    </row>
    <row r="30" ht="14.25" customHeight="1">
      <c r="A30" s="38"/>
      <c r="B30" s="41">
        <v>11938.0</v>
      </c>
      <c r="C30" s="40" t="str">
        <f>VLOOKUP(B30,'FML March 2026'!E:F,2,false)</f>
        <v>CAPER BERRIES STEMMED 6/64 OZ DEL DESTINO/ ROLAND</v>
      </c>
      <c r="D30" s="9" t="str">
        <f>VLOOKUP(B30,'Unit of Measure ship March 2026'!A:C,3,false)</f>
        <v>CAN/64OZ</v>
      </c>
      <c r="F30" s="17">
        <v>30025.0</v>
      </c>
      <c r="G30" s="9" t="str">
        <f>VLOOKUP(F30,'FML March 2026'!E:F,2,false)</f>
        <v>KAFFIR LIME LEAVES FRESH</v>
      </c>
      <c r="H30" s="9" t="str">
        <f>VLOOKUP(F30,'Unit of Measure ship March 2026'!A:C,3,false)</f>
        <v>LBS</v>
      </c>
      <c r="J30" s="41">
        <v>14577.0</v>
      </c>
      <c r="K30" s="9" t="str">
        <f>VLOOKUP(J30,'FML March 2026'!E:F,2,false)</f>
        <v>TURKEYS WHOLE  20/22 OR 22/24 LB GRADE "A" (USA)</v>
      </c>
      <c r="L30" s="9" t="str">
        <f>VLOOKUP(J30,'Unit of Measure ship March 2026'!A:C,3,false)</f>
        <v>LBS</v>
      </c>
      <c r="N30" s="17"/>
      <c r="O30" s="9"/>
      <c r="P30" s="9"/>
    </row>
    <row r="31" ht="14.25" customHeight="1">
      <c r="A31" s="38"/>
      <c r="B31" s="41">
        <v>16015.0</v>
      </c>
      <c r="C31" s="40" t="str">
        <f>VLOOKUP(B31,'FML March 2026'!E:F,2,false)</f>
        <v>CAPERS, NON-PAREIL, IN VINEGAR, DRY, 6X850GR</v>
      </c>
      <c r="D31" s="9" t="str">
        <f>VLOOKUP(B31,'Unit of Measure ship March 2026'!A:C,3,false)</f>
        <v>CAN/32OZ</v>
      </c>
      <c r="F31" s="17">
        <v>15395.0</v>
      </c>
      <c r="G31" s="9" t="str">
        <f>VLOOKUP(F31,'FML March 2026'!E:F,2,false)</f>
        <v>KIWI, NEW ZEALAND/CALIFORNIA, RIPE</v>
      </c>
      <c r="H31" s="9" t="str">
        <f>VLOOKUP(F31,'Unit of Measure ship March 2026'!A:C,3,false)</f>
        <v>LBS</v>
      </c>
      <c r="J31" s="38"/>
      <c r="N31" s="17"/>
      <c r="O31" s="9"/>
      <c r="P31" s="9"/>
    </row>
    <row r="32" ht="14.25" customHeight="1">
      <c r="A32" s="38"/>
      <c r="B32" s="39">
        <v>16309.0</v>
      </c>
      <c r="C32" s="40" t="str">
        <f>VLOOKUP(B32,'FML March 2026'!E:F,2,false)</f>
        <v>CARDAMOM GROUND</v>
      </c>
      <c r="D32" s="9" t="str">
        <f>VLOOKUP(B32,'Unit of Measure ship March 2026'!A:C,3,false)</f>
        <v>LBS</v>
      </c>
      <c r="F32" s="17">
        <v>15498.0</v>
      </c>
      <c r="G32" s="9" t="str">
        <f>VLOOKUP(F32,'FML March 2026'!E:F,2,false)</f>
        <v>LETTUCE GREEN LEAF CAL. 24HD 20#/CS</v>
      </c>
      <c r="H32" s="9" t="str">
        <f>VLOOKUP(F32,'Unit of Measure ship March 2026'!A:C,3,false)</f>
        <v>LBS</v>
      </c>
      <c r="K32" s="9"/>
      <c r="L32" s="9"/>
      <c r="N32" s="17"/>
      <c r="O32" s="9"/>
      <c r="P32" s="9"/>
    </row>
    <row r="33" ht="14.25" customHeight="1">
      <c r="A33" s="38"/>
      <c r="B33" s="41">
        <v>43802.0</v>
      </c>
      <c r="C33" s="40" t="str">
        <f>VLOOKUP(B33,'FML March 2026'!E:F,2,false)</f>
        <v>CAULIFLOWER, FLORETS, GRADE A, IQF, FZN, 1/10 KG</v>
      </c>
      <c r="D33" s="9" t="str">
        <f>VLOOKUP(B33,'Unit of Measure ship March 2026'!A:C,3,false)</f>
        <v>LBS</v>
      </c>
      <c r="F33" s="17">
        <v>108947.0</v>
      </c>
      <c r="G33" s="9" t="str">
        <f>VLOOKUP(F33,'FML March 2026'!E:F,2,false)</f>
        <v>LIMES, FRESH, CAVIAR (FINGER LIMES)</v>
      </c>
      <c r="H33" s="9" t="str">
        <f>VLOOKUP(F33,'Unit of Measure ship March 2026'!A:C,3,false)</f>
        <v>LBS</v>
      </c>
      <c r="K33" s="9"/>
      <c r="L33" s="9"/>
      <c r="N33" s="17"/>
      <c r="O33" s="9"/>
      <c r="P33" s="9"/>
    </row>
    <row r="34" ht="14.25" customHeight="1">
      <c r="A34" s="38"/>
      <c r="B34" s="39">
        <v>35186.0</v>
      </c>
      <c r="C34" s="40" t="str">
        <f>VLOOKUP(B34,'FML March 2026'!E:F,2,false)</f>
        <v>CELERY SALT 32 OZ D`ALLESANDRO/ SPICE CO</v>
      </c>
      <c r="D34" s="9" t="str">
        <f>VLOOKUP(B34,'Unit of Measure ship March 2026'!A:C,3,false)</f>
        <v>JAR/32OZ</v>
      </c>
      <c r="F34" s="17">
        <v>15434.0</v>
      </c>
      <c r="G34" s="9" t="str">
        <f>VLOOKUP(F34,'FML March 2026'!E:F,2,false)</f>
        <v>MARJORAM (12 BUNCH), 1 LB/CS</v>
      </c>
      <c r="H34" s="9" t="str">
        <f>VLOOKUP(F34,'Unit of Measure ship March 2026'!A:C,3,false)</f>
        <v>LBS</v>
      </c>
      <c r="K34" s="9"/>
      <c r="L34" s="9"/>
      <c r="N34" s="17"/>
      <c r="O34" s="9"/>
      <c r="P34" s="9"/>
    </row>
    <row r="35" ht="14.25" customHeight="1">
      <c r="A35" s="38"/>
      <c r="B35" s="41">
        <v>11957.0</v>
      </c>
      <c r="C35" s="40" t="str">
        <f>VLOOKUP(B35,'FML March 2026'!E:F,2,false)</f>
        <v>CELERY SEEDS WHOLE 16 OZ D`ALLESANDRO/ SPICE CO</v>
      </c>
      <c r="D35" s="9" t="str">
        <f>VLOOKUP(B35,'Unit of Measure ship March 2026'!A:C,3,false)</f>
        <v>LBS</v>
      </c>
      <c r="F35" s="17">
        <v>15404.0</v>
      </c>
      <c r="G35" s="9" t="str">
        <f>VLOOKUP(F35,'FML March 2026'!E:F,2,false)</f>
        <v>MELON HONEYDEW #1 6/8CT. 25#</v>
      </c>
      <c r="H35" s="9" t="str">
        <f>VLOOKUP(F35,'Unit of Measure ship March 2026'!A:C,3,false)</f>
        <v>LBS</v>
      </c>
      <c r="K35" s="9"/>
      <c r="L35" s="9"/>
      <c r="N35" s="17"/>
      <c r="O35" s="9"/>
      <c r="P35" s="9"/>
    </row>
    <row r="36" ht="14.25" customHeight="1">
      <c r="A36" s="38"/>
      <c r="B36" s="39">
        <v>48393.0</v>
      </c>
      <c r="C36" s="40" t="str">
        <f>VLOOKUP(B36,'FML March 2026'!E:F,2,false)</f>
        <v>CHAAT MASALA POWDER, INDIAN SPICE 10/100 GR MDH/SHAN</v>
      </c>
      <c r="D36" s="9" t="str">
        <f>VLOOKUP(B36,'Unit of Measure ship March 2026'!A:C,3,false)</f>
        <v>LBS</v>
      </c>
      <c r="F36" s="17">
        <v>15436.0</v>
      </c>
      <c r="G36" s="9" t="str">
        <f>VLOOKUP(F36,'FML March 2026'!E:F,2,false)</f>
        <v>MINT (12 BUNCH), 1 LB/CS</v>
      </c>
      <c r="H36" s="9" t="str">
        <f>VLOOKUP(F36,'Unit of Measure ship March 2026'!A:C,3,false)</f>
        <v>LBS</v>
      </c>
      <c r="K36" s="9"/>
      <c r="L36" s="9"/>
      <c r="N36" s="17"/>
      <c r="O36" s="9"/>
      <c r="P36" s="9"/>
    </row>
    <row r="37" ht="14.25" customHeight="1">
      <c r="A37" s="38"/>
      <c r="B37" s="41">
        <v>14984.0</v>
      </c>
      <c r="C37" s="40" t="str">
        <f>VLOOKUP(B37,'FML March 2026'!E:F,2,false)</f>
        <v>CHEDDAR BLOCK YELLOW IMP.4/11</v>
      </c>
      <c r="D37" s="9" t="str">
        <f>VLOOKUP(B37,'Unit of Measure ship March 2026'!A:C,3,false)</f>
        <v>LBS</v>
      </c>
      <c r="F37" s="17">
        <v>15556.0</v>
      </c>
      <c r="G37" s="9" t="str">
        <f>VLOOKUP(F37,'FML March 2026'!E:F,2,false)</f>
        <v>MUSHROOMS SHIITAKE  FRESH NO 1</v>
      </c>
      <c r="H37" s="9" t="str">
        <f>VLOOKUP(F37,'Unit of Measure ship March 2026'!A:C,3,false)</f>
        <v>LBS</v>
      </c>
      <c r="K37" s="9"/>
      <c r="L37" s="9"/>
      <c r="N37" s="17"/>
      <c r="O37" s="9"/>
      <c r="P37" s="9"/>
    </row>
    <row r="38" ht="14.25" customHeight="1">
      <c r="A38" s="38"/>
      <c r="B38" s="39">
        <v>16308.0</v>
      </c>
      <c r="C38" s="40" t="str">
        <f>VLOOKUP(B38,'FML March 2026'!E:F,2,false)</f>
        <v>CHILI PEPPER RED CRUSHED D`ALLESANDRO/ SPICECO</v>
      </c>
      <c r="D38" s="9" t="str">
        <f>VLOOKUP(B38,'Unit of Measure ship March 2026'!A:C,3,false)</f>
        <v>LBS</v>
      </c>
      <c r="F38" s="17">
        <v>15496.0</v>
      </c>
      <c r="G38" s="9" t="str">
        <f>VLOOKUP(F38,'FML March 2026'!E:F,2,false)</f>
        <v>ONIONS RED, MEDIUM 25#</v>
      </c>
      <c r="H38" s="9" t="str">
        <f>VLOOKUP(F38,'Unit of Measure ship March 2026'!A:C,3,false)</f>
        <v>LBS</v>
      </c>
      <c r="K38" s="9"/>
      <c r="L38" s="9"/>
      <c r="N38" s="17"/>
      <c r="O38" s="9"/>
      <c r="P38" s="9"/>
    </row>
    <row r="39" ht="14.25" customHeight="1">
      <c r="A39" s="38"/>
      <c r="B39" s="39">
        <v>16252.0</v>
      </c>
      <c r="C39" s="40" t="str">
        <f>VLOOKUP(B39,'FML March 2026'!E:F,2,false)</f>
        <v>CHILI POWDER 16 OZ D`ALLESANDRO/ SPICECO</v>
      </c>
      <c r="D39" s="9" t="str">
        <f>VLOOKUP(B39,'Unit of Measure ship March 2026'!A:C,3,false)</f>
        <v>LBS</v>
      </c>
      <c r="F39" s="17">
        <v>15447.0</v>
      </c>
      <c r="G39" s="9" t="str">
        <f>VLOOKUP(F39,'FML March 2026'!E:F,2,false)</f>
        <v>OREGANO FRESH</v>
      </c>
      <c r="H39" s="9" t="str">
        <f>VLOOKUP(F39,'Unit of Measure ship March 2026'!A:C,3,false)</f>
        <v>LBS</v>
      </c>
      <c r="K39" s="9"/>
      <c r="L39" s="9"/>
      <c r="N39" s="17"/>
      <c r="O39" s="9"/>
      <c r="P39" s="9"/>
    </row>
    <row r="40" ht="14.25" customHeight="1">
      <c r="A40" s="38"/>
      <c r="B40" s="39">
        <v>16265.0</v>
      </c>
      <c r="C40" s="40" t="str">
        <f>VLOOKUP(B40,'FML March 2026'!E:F,2,false)</f>
        <v>CHINESE FIVE SPICE 16 OZ D`ALLESANDRO/ SPICECO</v>
      </c>
      <c r="D40" s="9" t="str">
        <f>VLOOKUP(B40,'Unit of Measure ship March 2026'!A:C,3,false)</f>
        <v>LBS</v>
      </c>
      <c r="F40" s="18">
        <v>105768.0</v>
      </c>
      <c r="G40" s="9" t="str">
        <f>VLOOKUP(F40,'FML March 2026'!E:F,2,false)</f>
        <v>PAPAYA (9-12CT), GREEN</v>
      </c>
      <c r="H40" s="35" t="s">
        <v>42</v>
      </c>
      <c r="K40" s="9"/>
      <c r="L40" s="9"/>
      <c r="N40" s="17"/>
      <c r="O40" s="9"/>
      <c r="P40" s="9"/>
    </row>
    <row r="41" ht="14.25" customHeight="1">
      <c r="A41" s="38"/>
      <c r="B41" s="41">
        <v>16253.0</v>
      </c>
      <c r="C41" s="40" t="str">
        <f>VLOOKUP(B41,'FML March 2026'!E:F,2,false)</f>
        <v>CINNAMON GROUND</v>
      </c>
      <c r="D41" s="9" t="str">
        <f>VLOOKUP(B41,'Unit of Measure ship March 2026'!A:C,3,false)</f>
        <v>LBS</v>
      </c>
      <c r="F41" s="17">
        <v>23714.0</v>
      </c>
      <c r="G41" s="9" t="str">
        <f>VLOOKUP(F41,'FML March 2026'!E:F,2,false)</f>
        <v>PARSNIP 20#/CS</v>
      </c>
      <c r="H41" s="9" t="str">
        <f>VLOOKUP(F41,'Unit of Measure ship March 2026'!A:C,3,false)</f>
        <v>LBS</v>
      </c>
      <c r="K41" s="9"/>
      <c r="L41" s="9"/>
      <c r="N41" s="17"/>
      <c r="O41" s="9"/>
      <c r="P41" s="9"/>
    </row>
    <row r="42" ht="14.25" customHeight="1">
      <c r="A42" s="38"/>
      <c r="B42" s="41">
        <v>16267.0</v>
      </c>
      <c r="C42" s="40" t="str">
        <f>VLOOKUP(B42,'FML March 2026'!E:F,2,false)</f>
        <v>CINNAMON STICKS BADIA (USA)</v>
      </c>
      <c r="D42" s="9" t="str">
        <f>VLOOKUP(B42,'Unit of Measure ship March 2026'!A:C,3,false)</f>
        <v>LBS</v>
      </c>
      <c r="F42" s="17">
        <v>15501.0</v>
      </c>
      <c r="G42" s="9" t="str">
        <f>VLOOKUP(F42,'FML March 2026'!E:F,2,false)</f>
        <v>PEPPERS GREEN, MEDIUM, CHOICE, 88-100 MM</v>
      </c>
      <c r="H42" s="9" t="str">
        <f>VLOOKUP(F42,'Unit of Measure ship March 2026'!A:C,3,false)</f>
        <v>LBS</v>
      </c>
      <c r="K42" s="9"/>
      <c r="L42" s="9"/>
      <c r="N42" s="17"/>
      <c r="O42" s="9"/>
      <c r="P42" s="9"/>
    </row>
    <row r="43" ht="14.25" customHeight="1">
      <c r="A43" s="38"/>
      <c r="B43" s="39">
        <v>16085.0</v>
      </c>
      <c r="C43" s="40" t="str">
        <f>VLOOKUP(B43,'FML March 2026'!E:F,2,false)</f>
        <v>CLAM JUICE BLENDED 12/46OZ (USA)</v>
      </c>
      <c r="D43" s="9" t="str">
        <f>VLOOKUP(B43,'Unit of Measure ship March 2026'!A:C,3,false)</f>
        <v>CN/46OZ</v>
      </c>
      <c r="F43" s="17">
        <v>15504.0</v>
      </c>
      <c r="G43" s="9" t="str">
        <f>VLOOKUP(F43,'FML March 2026'!E:F,2,false)</f>
        <v>PEPPERS HOT, JALAPENOS 10#</v>
      </c>
      <c r="H43" s="9" t="str">
        <f>VLOOKUP(F43,'Unit of Measure ship March 2026'!A:C,3,false)</f>
        <v>LBS</v>
      </c>
      <c r="K43" s="9"/>
      <c r="L43" s="9"/>
      <c r="N43" s="17"/>
      <c r="O43" s="9"/>
      <c r="P43" s="9"/>
    </row>
    <row r="44" ht="14.25" customHeight="1">
      <c r="A44" s="38"/>
      <c r="B44" s="39">
        <v>16088.0</v>
      </c>
      <c r="C44" s="40" t="str">
        <f>VLOOKUP(B44,'FML March 2026'!E:F,2,false)</f>
        <v>CLAMS OCEAN CHOPPED CANNED 12/51OZ SNOW (USA)</v>
      </c>
      <c r="D44" s="9" t="str">
        <f>VLOOKUP(B44,'Unit of Measure ship March 2026'!A:C,3,false)</f>
        <v>CAN/51OZ</v>
      </c>
      <c r="F44" s="17">
        <v>15502.0</v>
      </c>
      <c r="G44" s="9" t="str">
        <f>VLOOKUP(F44,'FML March 2026'!E:F,2,false)</f>
        <v>PEPPERS RED, MEDIUM, 88-100 MM</v>
      </c>
      <c r="H44" s="9" t="str">
        <f>VLOOKUP(F44,'Unit of Measure ship March 2026'!A:C,3,false)</f>
        <v>LBS</v>
      </c>
      <c r="K44" s="9"/>
      <c r="L44" s="9"/>
      <c r="N44" s="17"/>
      <c r="O44" s="9"/>
      <c r="P44" s="9"/>
    </row>
    <row r="45" ht="14.25" customHeight="1">
      <c r="A45" s="38"/>
      <c r="B45" s="39">
        <v>40584.0</v>
      </c>
      <c r="C45" s="40" t="str">
        <f>VLOOKUP(B45,'FML March 2026'!E:F,2,false)</f>
        <v>CLOVES GROUND PKG 16 OZ BADIA (USA )</v>
      </c>
      <c r="D45" s="9" t="str">
        <f>VLOOKUP(B45,'Unit of Measure ship March 2026'!A:C,3,false)</f>
        <v>LBS</v>
      </c>
      <c r="F45" s="17">
        <v>33604.0</v>
      </c>
      <c r="G45" s="9" t="str">
        <f>VLOOKUP(F45,'FML March 2026'!E:F,2,false)</f>
        <v>PEPPERS, POBLANO CHILI #</v>
      </c>
      <c r="H45" s="9" t="str">
        <f>VLOOKUP(F45,'Unit of Measure ship March 2026'!A:C,3,false)</f>
        <v>LBS</v>
      </c>
      <c r="K45" s="9"/>
      <c r="L45" s="9"/>
      <c r="N45" s="17"/>
      <c r="O45" s="9"/>
      <c r="P45" s="9"/>
    </row>
    <row r="46" ht="14.25" customHeight="1">
      <c r="A46" s="38"/>
      <c r="B46" s="41">
        <v>16254.0</v>
      </c>
      <c r="C46" s="40" t="str">
        <f>VLOOKUP(B46,'FML March 2026'!E:F,2,false)</f>
        <v>CLOVES WHOLE D`ALLESANDRO/ SPICECO</v>
      </c>
      <c r="D46" s="9" t="str">
        <f>VLOOKUP(B46,'Unit of Measure ship March 2026'!A:C,3,false)</f>
        <v>LBS</v>
      </c>
      <c r="F46" s="17">
        <v>108577.0</v>
      </c>
      <c r="G46" s="9" t="str">
        <f>VLOOKUP(F46,'FML March 2026'!E:F,2,false)</f>
        <v>PINEAPPLES, CROWNLESS, GOLD, FRESH</v>
      </c>
      <c r="H46" s="9" t="str">
        <f>VLOOKUP(F46,'Unit of Measure ship March 2026'!A:C,3,false)</f>
        <v>LBS</v>
      </c>
      <c r="K46" s="9"/>
      <c r="L46" s="9"/>
      <c r="N46" s="17"/>
      <c r="O46" s="9"/>
      <c r="P46" s="9"/>
    </row>
    <row r="47" ht="14.25" customHeight="1">
      <c r="A47" s="38"/>
      <c r="B47" s="41">
        <v>110020.0</v>
      </c>
      <c r="C47" s="40" t="str">
        <f>VLOOKUP(B47,'FML March 2026'!E:F,2,false)</f>
        <v>COCONUT FLAKES UNSWEETENED BOBS RED MILL CS4/24OZ</v>
      </c>
      <c r="D47" s="9" t="str">
        <f>VLOOKUP(B47,'Unit of Measure ship March 2026'!A:C,3,false)</f>
        <v>LBS</v>
      </c>
      <c r="F47" s="17">
        <v>15513.0</v>
      </c>
      <c r="G47" s="9" t="str">
        <f>VLOOKUP(F47,'FML March 2026'!E:F,2,false)</f>
        <v>POTATOES CHEF (BAG) 50#</v>
      </c>
      <c r="H47" s="9" t="str">
        <f>VLOOKUP(F47,'Unit of Measure ship March 2026'!A:C,3,false)</f>
        <v>LBS</v>
      </c>
      <c r="J47" s="17"/>
      <c r="K47" s="9"/>
      <c r="L47" s="9"/>
      <c r="N47" s="17"/>
      <c r="O47" s="9"/>
      <c r="P47" s="9"/>
    </row>
    <row r="48" ht="14.25" customHeight="1">
      <c r="A48" s="38"/>
      <c r="B48" s="41">
        <v>16289.0</v>
      </c>
      <c r="C48" s="40" t="str">
        <f>VLOOKUP(B48,'FML March 2026'!E:F,2,false)</f>
        <v>CORIANDER GROUND BADIA (USA )</v>
      </c>
      <c r="D48" s="9" t="str">
        <f>VLOOKUP(B48,'Unit of Measure ship March 2026'!A:C,3,false)</f>
        <v>LBS</v>
      </c>
      <c r="F48" s="17">
        <v>11856.0</v>
      </c>
      <c r="G48" s="9" t="str">
        <f>VLOOKUP(F48,'FML March 2026'!E:F,2,false)</f>
        <v>POTATOES YUKON GOLD, LARGE, FRESH</v>
      </c>
      <c r="H48" s="9" t="str">
        <f>VLOOKUP(F48,'Unit of Measure ship March 2026'!A:C,3,false)</f>
        <v>LBS</v>
      </c>
      <c r="J48" s="17"/>
      <c r="K48" s="9"/>
      <c r="L48" s="9"/>
      <c r="N48" s="17"/>
      <c r="O48" s="9"/>
      <c r="P48" s="9"/>
    </row>
    <row r="49" ht="14.25" customHeight="1">
      <c r="A49" s="38"/>
      <c r="B49" s="41">
        <v>16288.0</v>
      </c>
      <c r="C49" s="40" t="str">
        <f>VLOOKUP(B49,'FML March 2026'!E:F,2,false)</f>
        <v>CORIANDER WHOLE BADIA (USA )</v>
      </c>
      <c r="D49" s="9" t="str">
        <f>VLOOKUP(B49,'Unit of Measure ship March 2026'!A:C,3,false)</f>
        <v>LBS</v>
      </c>
      <c r="F49" s="17">
        <v>15507.0</v>
      </c>
      <c r="G49" s="9" t="str">
        <f>VLOOKUP(F49,'FML March 2026'!E:F,2,false)</f>
        <v>POTATOES, BAKING, IDAHO #1, 100CT 50#/CS</v>
      </c>
      <c r="H49" s="9" t="str">
        <f>VLOOKUP(F49,'Unit of Measure ship March 2026'!A:C,3,false)</f>
        <v>LBS</v>
      </c>
      <c r="J49" s="17"/>
      <c r="K49" s="9"/>
      <c r="L49" s="9"/>
      <c r="N49" s="17"/>
      <c r="O49" s="9"/>
      <c r="P49" s="9"/>
    </row>
    <row r="50" ht="14.25" customHeight="1">
      <c r="A50" s="38"/>
      <c r="B50" s="39">
        <v>16527.0</v>
      </c>
      <c r="C50" s="40" t="str">
        <f>VLOOKUP(B50,'FML March 2026'!E:F,2,false)</f>
        <v>CORN BABY WHOLE 6/10 CAN AMBROSIA/ROLAND</v>
      </c>
      <c r="D50" s="9" t="str">
        <f>VLOOKUP(B50,'Unit of Measure ship March 2026'!A:C,3,false)</f>
        <v>CN/6.5LB</v>
      </c>
      <c r="F50" s="17">
        <v>15516.0</v>
      </c>
      <c r="G50" s="9" t="str">
        <f>VLOOKUP(F50,'FML March 2026'!E:F,2,false)</f>
        <v>POTATOES, SWEET, JUMBO, 40# BAG</v>
      </c>
      <c r="H50" s="9" t="str">
        <f>VLOOKUP(F50,'Unit of Measure ship March 2026'!A:C,3,false)</f>
        <v>LBS</v>
      </c>
      <c r="J50" s="17"/>
      <c r="K50" s="9"/>
      <c r="L50" s="9"/>
      <c r="N50" s="17"/>
      <c r="O50" s="9"/>
      <c r="P50" s="9"/>
    </row>
    <row r="51" ht="14.25" customHeight="1">
      <c r="A51" s="38"/>
      <c r="B51" s="41">
        <v>16555.0</v>
      </c>
      <c r="C51" s="40" t="str">
        <f>VLOOKUP(B51,'FML March 2026'!E:F,2,false)</f>
        <v>CORN KERNELS SWEET CANNED 6/10 CELORIO/PREMIUM (USA)</v>
      </c>
      <c r="D51" s="9" t="str">
        <f>VLOOKUP(B51,'Unit of Measure ship March 2026'!A:C,3,false)</f>
        <v>CN/6.5LB</v>
      </c>
      <c r="F51" s="17">
        <v>11838.0</v>
      </c>
      <c r="G51" s="9" t="str">
        <f>VLOOKUP(F51,'FML March 2026'!E:F,2,false)</f>
        <v>ROMANESCO FRESH</v>
      </c>
      <c r="H51" s="9" t="str">
        <f>VLOOKUP(F51,'Unit of Measure ship March 2026'!A:C,3,false)</f>
        <v>LBS</v>
      </c>
      <c r="J51" s="17"/>
      <c r="K51" s="9"/>
      <c r="L51" s="9"/>
      <c r="N51" s="17"/>
      <c r="O51" s="9"/>
      <c r="P51" s="9"/>
    </row>
    <row r="52" ht="14.25" customHeight="1">
      <c r="A52" s="38"/>
      <c r="B52" s="44">
        <v>10013.0</v>
      </c>
      <c r="C52" s="40" t="str">
        <f>VLOOKUP(B52,'FML March 2026'!E:F,2,false)</f>
        <v>CORN ON THE COB FRESH</v>
      </c>
      <c r="D52" s="9" t="str">
        <f>VLOOKUP(B52,'Unit of Measure ship March 2026'!A:C,3,false)</f>
        <v>LBS</v>
      </c>
      <c r="F52" s="17">
        <v>15444.0</v>
      </c>
      <c r="G52" s="9" t="str">
        <f>VLOOKUP(F52,'FML March 2026'!E:F,2,false)</f>
        <v>SAGE FRESH</v>
      </c>
      <c r="H52" s="9" t="str">
        <f>VLOOKUP(F52,'Unit of Measure ship March 2026'!A:C,3,false)</f>
        <v>LBS</v>
      </c>
      <c r="J52" s="17"/>
      <c r="K52" s="9"/>
      <c r="L52" s="9"/>
      <c r="N52" s="17"/>
      <c r="O52" s="9"/>
      <c r="P52" s="9"/>
    </row>
    <row r="53" ht="14.25" customHeight="1">
      <c r="A53" s="38"/>
      <c r="B53" s="39">
        <v>16256.0</v>
      </c>
      <c r="C53" s="40" t="str">
        <f>VLOOKUP(B53,'FML March 2026'!E:F,2,false)</f>
        <v>CUMIN GROUND D`ALLESANDRO/ SPICECO (USA )</v>
      </c>
      <c r="D53" s="9" t="str">
        <f>VLOOKUP(B53,'Unit of Measure ship March 2026'!A:C,3,false)</f>
        <v>LBS</v>
      </c>
      <c r="F53" s="17">
        <v>24185.0</v>
      </c>
      <c r="G53" s="9" t="str">
        <f>VLOOKUP(F53,'FML March 2026'!E:F,2,false)</f>
        <v>SCALLIONS FRESH - ICELESS</v>
      </c>
      <c r="H53" s="9" t="str">
        <f>VLOOKUP(F53,'Unit of Measure ship March 2026'!A:C,3,false)</f>
        <v>LBS</v>
      </c>
      <c r="J53" s="17"/>
      <c r="K53" s="9"/>
      <c r="L53" s="9"/>
      <c r="N53" s="17"/>
      <c r="O53" s="9"/>
      <c r="P53" s="9"/>
    </row>
    <row r="54" ht="14.25" customHeight="1">
      <c r="A54" s="38"/>
      <c r="B54" s="39">
        <v>16264.0</v>
      </c>
      <c r="C54" s="40" t="str">
        <f>VLOOKUP(B54,'FML March 2026'!E:F,2,false)</f>
        <v>CUMIN SEED WHOLE BADIA (USA )</v>
      </c>
      <c r="D54" s="9" t="str">
        <f>VLOOKUP(B54,'Unit of Measure ship March 2026'!A:C,3,false)</f>
        <v>LBS</v>
      </c>
      <c r="F54" s="17">
        <v>15522.0</v>
      </c>
      <c r="G54" s="9" t="str">
        <f>VLOOKUP(F54,'FML March 2026'!E:F,2,false)</f>
        <v>SHALLOTS CLOVES #1 FRESH 5#</v>
      </c>
      <c r="H54" s="9" t="str">
        <f>VLOOKUP(F54,'Unit of Measure ship March 2026'!A:C,3,false)</f>
        <v>LBS</v>
      </c>
      <c r="J54" s="17"/>
      <c r="K54" s="9"/>
      <c r="L54" s="9"/>
      <c r="N54" s="17"/>
      <c r="O54" s="9"/>
      <c r="P54" s="9"/>
    </row>
    <row r="55" ht="14.25" customHeight="1">
      <c r="A55" s="38"/>
      <c r="B55" s="41">
        <v>16257.0</v>
      </c>
      <c r="C55" s="40" t="str">
        <f>VLOOKUP(B55,'FML March 2026'!E:F,2,false)</f>
        <v>CURRY POWDER BADIA (USA )</v>
      </c>
      <c r="D55" s="9" t="str">
        <f>VLOOKUP(B55,'Unit of Measure ship March 2026'!A:C,3,false)</f>
        <v>LBS</v>
      </c>
      <c r="F55" s="17">
        <v>15575.0</v>
      </c>
      <c r="G55" s="9" t="str">
        <f>VLOOKUP(F55,'FML March 2026'!E:F,2,false)</f>
        <v>SWISS CHARD 24 BU 20#</v>
      </c>
      <c r="H55" s="9" t="str">
        <f>VLOOKUP(F55,'Unit of Measure ship March 2026'!A:C,3,false)</f>
        <v>LBS</v>
      </c>
      <c r="J55" s="17"/>
      <c r="K55" s="9"/>
      <c r="L55" s="9"/>
      <c r="N55" s="17"/>
      <c r="O55" s="9"/>
      <c r="P55" s="9"/>
    </row>
    <row r="56" ht="14.25" customHeight="1">
      <c r="A56" s="38"/>
      <c r="B56" s="41">
        <v>16167.0</v>
      </c>
      <c r="C56" s="40" t="str">
        <f>VLOOKUP(B56,'FML March 2026'!E:F,2,false)</f>
        <v>DESSERT SAUCE CHOCOLATE 24/24 OZ HERSHEYS</v>
      </c>
      <c r="D56" s="9" t="str">
        <f>VLOOKUP(B56,'Unit of Measure ship March 2026'!A:C,3,false)</f>
        <v>CAN/24OZ</v>
      </c>
      <c r="F56" s="17">
        <v>15442.0</v>
      </c>
      <c r="G56" s="9" t="str">
        <f>VLOOKUP(F56,'FML March 2026'!E:F,2,false)</f>
        <v>TARRAGON (12 BUNCH), 1 LB/CS</v>
      </c>
      <c r="H56" s="9" t="str">
        <f>VLOOKUP(F56,'Unit of Measure ship March 2026'!A:C,3,false)</f>
        <v>LBS</v>
      </c>
      <c r="J56" s="17"/>
      <c r="K56" s="9"/>
      <c r="L56" s="9"/>
      <c r="N56" s="17"/>
      <c r="O56" s="9"/>
      <c r="P56" s="9"/>
    </row>
    <row r="57" ht="14.25" customHeight="1">
      <c r="A57" s="38"/>
      <c r="B57" s="41">
        <v>15025.0</v>
      </c>
      <c r="C57" s="40" t="str">
        <f>VLOOKUP(B57,'FML March 2026'!E:F,2,false)</f>
        <v>EGG WHITES FROZEN 6/5# PAPETTI/ 12X1KG EUROVO/15X2LB DEBEL (USA)</v>
      </c>
      <c r="D57" s="9" t="str">
        <f>VLOOKUP(B57,'Unit of Measure ship March 2026'!A:C,3,false)</f>
        <v>LBS</v>
      </c>
      <c r="F57" s="17">
        <v>15537.0</v>
      </c>
      <c r="G57" s="9" t="str">
        <f>VLOOKUP(F57,'FML March 2026'!E:F,2,false)</f>
        <v>TOMATOES 6X6 #1 18# RED RIPE, FIRM (LAYERED), 55-65 MM</v>
      </c>
      <c r="H57" s="9" t="str">
        <f>VLOOKUP(F57,'Unit of Measure ship March 2026'!A:C,3,false)</f>
        <v>LBS</v>
      </c>
      <c r="J57" s="17"/>
      <c r="K57" s="9"/>
      <c r="L57" s="9"/>
      <c r="N57" s="17"/>
      <c r="O57" s="9"/>
      <c r="P57" s="9"/>
    </row>
    <row r="58" ht="14.25" customHeight="1">
      <c r="A58" s="38"/>
      <c r="B58" s="41">
        <v>15027.0</v>
      </c>
      <c r="C58" s="40" t="str">
        <f>VLOOKUP(B58,'FML March 2026'!E:F,2,false)</f>
        <v>EGG YOLKS FROZEN NO SUGAR OR SALT ADDED 6/5 LB SUNNY FRESH/ DEBEL (USA)</v>
      </c>
      <c r="D58" s="9" t="str">
        <f>VLOOKUP(B58,'Unit of Measure ship March 2026'!A:C,3,false)</f>
        <v>LBS</v>
      </c>
      <c r="F58" s="17">
        <v>102794.0</v>
      </c>
      <c r="G58" s="9" t="str">
        <f>VLOOKUP(F58,'FML March 2026'!E:F,2,false)</f>
        <v>TURMERIC FRESH</v>
      </c>
      <c r="H58" s="9" t="str">
        <f>VLOOKUP(F58,'Unit of Measure ship March 2026'!A:C,3,false)</f>
        <v>LBS</v>
      </c>
      <c r="J58" s="17"/>
      <c r="K58" s="9"/>
      <c r="L58" s="9"/>
      <c r="N58" s="17"/>
      <c r="O58" s="9"/>
      <c r="P58" s="9"/>
    </row>
    <row r="59" ht="14.25" customHeight="1">
      <c r="A59" s="38"/>
      <c r="B59" s="39">
        <v>16259.0</v>
      </c>
      <c r="C59" s="40" t="str">
        <f>VLOOKUP(B59,'FML March 2026'!E:F,2,false)</f>
        <v>FENNEL SEED WHOLE BADIA (USA )</v>
      </c>
      <c r="D59" s="9" t="str">
        <f>VLOOKUP(B59,'Unit of Measure ship March 2026'!A:C,3,false)</f>
        <v>LBS</v>
      </c>
      <c r="F59" s="17">
        <v>15539.0</v>
      </c>
      <c r="G59" s="9" t="str">
        <f>VLOOKUP(F59,'FML March 2026'!E:F,2,false)</f>
        <v>TURNIPS 25# WHITE FIRM LARGE</v>
      </c>
      <c r="H59" s="9" t="str">
        <f>VLOOKUP(F59,'Unit of Measure ship March 2026'!A:C,3,false)</f>
        <v>LBS</v>
      </c>
      <c r="J59" s="17"/>
      <c r="K59" s="9"/>
      <c r="L59" s="9"/>
      <c r="N59" s="17"/>
      <c r="O59" s="9"/>
      <c r="P59" s="9"/>
    </row>
    <row r="60" ht="14.25" customHeight="1">
      <c r="A60" s="38"/>
      <c r="B60" s="41">
        <v>16495.0</v>
      </c>
      <c r="C60" s="40" t="str">
        <f>VLOOKUP(B60,'FML March 2026'!E:F,2,false)</f>
        <v>FIGS, KADOTA, LIGHT SYRUP</v>
      </c>
      <c r="D60" s="9" t="str">
        <f>VLOOKUP(B60,'Unit of Measure ship March 2026'!A:C,3,false)</f>
        <v>CN6.5/LB</v>
      </c>
      <c r="F60" s="36"/>
      <c r="G60" s="9"/>
      <c r="H60" s="9"/>
      <c r="J60" s="17"/>
      <c r="K60" s="9"/>
      <c r="L60" s="9"/>
      <c r="N60" s="17"/>
      <c r="O60" s="9"/>
      <c r="P60" s="9"/>
    </row>
    <row r="61" ht="14.25" customHeight="1">
      <c r="A61" s="38"/>
      <c r="B61" s="39">
        <v>31226.0</v>
      </c>
      <c r="C61" s="40" t="str">
        <f>VLOOKUP(B61,'FML March 2026'!E:F,2,false)</f>
        <v>FLEUR DE SEL / SEL DE GUERANDE 1 KG PAIL</v>
      </c>
      <c r="D61" s="9" t="str">
        <f>VLOOKUP(B61,'Unit of Measure ship March 2026'!A:C,3,false)</f>
        <v>LBS</v>
      </c>
      <c r="F61" s="36"/>
      <c r="G61" s="9"/>
      <c r="H61" s="9"/>
      <c r="J61" s="17"/>
      <c r="K61" s="9"/>
      <c r="L61" s="9"/>
      <c r="N61" s="17"/>
      <c r="O61" s="9"/>
      <c r="P61" s="9"/>
    </row>
    <row r="62" ht="14.25" customHeight="1">
      <c r="A62" s="38"/>
      <c r="B62" s="41">
        <v>111865.0</v>
      </c>
      <c r="C62" s="40" t="str">
        <f>VLOOKUP(B62,'FML March 2026'!E:F,2,false)</f>
        <v>FLOUR ALL PURPOSE SIR GALAHAD BAG50/LBS KING ARTHUR</v>
      </c>
      <c r="D62" s="9" t="str">
        <f>VLOOKUP(B62,'Unit of Measure ship March 2026'!A:C,3,false)</f>
        <v>LBS</v>
      </c>
      <c r="F62" s="36"/>
      <c r="G62" s="9"/>
      <c r="H62" s="9"/>
      <c r="J62" s="17"/>
      <c r="K62" s="9"/>
      <c r="L62" s="9"/>
      <c r="N62" s="17"/>
      <c r="O62" s="9"/>
      <c r="P62" s="9"/>
    </row>
    <row r="63" ht="14.25" customHeight="1">
      <c r="A63" s="38"/>
      <c r="B63" s="44">
        <v>38193.0</v>
      </c>
      <c r="C63" s="40" t="str">
        <f>VLOOKUP(B63,'FML March 2026'!E:F,2,false)</f>
        <v>FRENCH FRIES, SHOESTRING, LAMB WESTON / AVIKO, GRADE AO1, FRZN</v>
      </c>
      <c r="D63" s="9" t="str">
        <f>VLOOKUP(B63,'Unit of Measure ship March 2026'!A:C,3,false)</f>
        <v>LBS</v>
      </c>
      <c r="F63" s="36"/>
      <c r="G63" s="9"/>
      <c r="H63" s="9"/>
      <c r="J63" s="17"/>
      <c r="K63" s="9"/>
      <c r="L63" s="9"/>
      <c r="N63" s="17"/>
      <c r="O63" s="9"/>
      <c r="P63" s="9"/>
    </row>
    <row r="64" ht="14.25" customHeight="1">
      <c r="A64" s="38"/>
      <c r="B64" s="38">
        <v>111698.0</v>
      </c>
      <c r="C64" s="40" t="str">
        <f>VLOOKUP(B64,'FML March 2026'!E:F,2,false)</f>
        <v>FRIED SHALLOTS LA RUSTICHELLA</v>
      </c>
      <c r="D64" s="9" t="str">
        <f>VLOOKUP(B64,'Unit of Measure ship March 2026'!A:C,3,false)</f>
        <v>LBS</v>
      </c>
      <c r="F64" s="36"/>
      <c r="G64" s="9"/>
      <c r="H64" s="9"/>
      <c r="J64" s="17"/>
      <c r="K64" s="9"/>
      <c r="L64" s="9"/>
      <c r="N64" s="17"/>
      <c r="O64" s="9"/>
      <c r="P64" s="9"/>
    </row>
    <row r="65" ht="14.25" customHeight="1">
      <c r="A65" s="38"/>
      <c r="B65" s="41">
        <v>16500.0</v>
      </c>
      <c r="C65" s="40" t="str">
        <f>VLOOKUP(B65,'FML March 2026'!E:F,2,false)</f>
        <v>FRUIT COCKTAIL, CHOICE, LIGHT SYRUP</v>
      </c>
      <c r="D65" s="9" t="str">
        <f>VLOOKUP(B65,'Unit of Measure ship March 2026'!A:C,3,false)</f>
        <v>CAN/3KG</v>
      </c>
      <c r="J65" s="17"/>
      <c r="K65" s="9"/>
      <c r="L65" s="9"/>
      <c r="N65" s="17"/>
      <c r="O65" s="9"/>
      <c r="P65" s="9"/>
    </row>
    <row r="66" ht="14.25" customHeight="1">
      <c r="A66" s="38"/>
      <c r="B66" s="41">
        <v>16337.0</v>
      </c>
      <c r="C66" s="40" t="str">
        <f>VLOOKUP(B66,'FML March 2026'!E:F,2,false)</f>
        <v>GARAM MASALA POWDER INDIAN SPICE D`ALLESANDRO/MAYA</v>
      </c>
      <c r="D66" s="9" t="str">
        <f>VLOOKUP(B66,'Unit of Measure ship March 2026'!A:C,3,false)</f>
        <v>LBS</v>
      </c>
      <c r="F66" s="36"/>
      <c r="G66" s="9"/>
      <c r="H66" s="9"/>
      <c r="J66" s="17"/>
      <c r="K66" s="9"/>
      <c r="L66" s="9"/>
      <c r="N66" s="17"/>
      <c r="O66" s="9"/>
      <c r="P66" s="9"/>
    </row>
    <row r="67" ht="14.25" customHeight="1">
      <c r="A67" s="38"/>
      <c r="B67" s="41">
        <v>16578.0</v>
      </c>
      <c r="C67" s="40" t="str">
        <f>VLOOKUP(B67,'FML March 2026'!E:F,2,false)</f>
        <v>GARBANZO BEANS 6/10 CANS (SPAIN)</v>
      </c>
      <c r="D67" s="9" t="str">
        <f>VLOOKUP(B67,'Unit of Measure ship March 2026'!A:C,3,false)</f>
        <v>CN/6.5LB</v>
      </c>
      <c r="F67" s="36"/>
      <c r="G67" s="9"/>
      <c r="H67" s="9"/>
      <c r="J67" s="17"/>
      <c r="K67" s="9"/>
      <c r="L67" s="9"/>
      <c r="N67" s="17"/>
      <c r="O67" s="9"/>
      <c r="P67" s="9"/>
    </row>
    <row r="68" ht="14.25" customHeight="1">
      <c r="A68" s="38"/>
      <c r="B68" s="41">
        <v>16260.0</v>
      </c>
      <c r="C68" s="40" t="str">
        <f>VLOOKUP(B68,'FML March 2026'!E:F,2,false)</f>
        <v>GARLIC, POWDER, DRY, 12/16 OZ</v>
      </c>
      <c r="D68" s="9" t="str">
        <f>VLOOKUP(B68,'Unit of Measure ship March 2026'!A:C,3,false)</f>
        <v>LBS</v>
      </c>
      <c r="F68" s="36"/>
      <c r="G68" s="9"/>
      <c r="H68" s="9"/>
      <c r="J68" s="17"/>
      <c r="K68" s="9"/>
      <c r="L68" s="9"/>
      <c r="N68" s="17"/>
      <c r="O68" s="9"/>
      <c r="P68" s="9"/>
    </row>
    <row r="69" ht="14.25" customHeight="1">
      <c r="A69" s="38"/>
      <c r="B69" s="39">
        <v>16261.0</v>
      </c>
      <c r="C69" s="40" t="str">
        <f>VLOOKUP(B69,'FML March 2026'!E:F,2,false)</f>
        <v>GINGER GROUND D`ALLESANDRO/ SPICECO</v>
      </c>
      <c r="D69" s="9" t="str">
        <f>VLOOKUP(B69,'Unit of Measure ship March 2026'!A:C,3,false)</f>
        <v>LBS</v>
      </c>
      <c r="F69" s="36"/>
      <c r="G69" s="9"/>
      <c r="H69" s="9"/>
      <c r="J69" s="17"/>
      <c r="K69" s="9"/>
      <c r="L69" s="9"/>
      <c r="N69" s="17"/>
      <c r="O69" s="9"/>
      <c r="P69" s="9"/>
    </row>
    <row r="70" ht="14.25" customHeight="1">
      <c r="A70" s="38"/>
      <c r="B70" s="41">
        <v>15923.0</v>
      </c>
      <c r="C70" s="40" t="str">
        <f>VLOOKUP(B70,'FML March 2026'!E:F,2,false)</f>
        <v>GRITS 8/ 5LB QUAKER</v>
      </c>
      <c r="D70" s="9" t="str">
        <f>VLOOKUP(B70,'Unit of Measure ship March 2026'!A:C,3,false)</f>
        <v>LBS</v>
      </c>
      <c r="F70" s="36"/>
      <c r="G70" s="9"/>
      <c r="H70" s="9"/>
      <c r="J70" s="17"/>
      <c r="K70" s="9"/>
      <c r="L70" s="9"/>
      <c r="N70" s="17"/>
      <c r="O70" s="9"/>
      <c r="P70" s="9"/>
    </row>
    <row r="71" ht="14.25" customHeight="1">
      <c r="A71" s="38"/>
      <c r="B71" s="41">
        <v>16344.0</v>
      </c>
      <c r="C71" s="40" t="str">
        <f>VLOOKUP(B71,'FML March 2026'!E:F,2,false)</f>
        <v>HORSERADISH WHITE, PREPARED</v>
      </c>
      <c r="D71" s="9" t="str">
        <f>VLOOKUP(B71,'Unit of Measure ship March 2026'!A:C,3,false)</f>
        <v>GAL</v>
      </c>
      <c r="F71" s="36"/>
      <c r="G71" s="9"/>
      <c r="H71" s="9"/>
      <c r="J71" s="17"/>
      <c r="K71" s="9"/>
      <c r="L71" s="9"/>
      <c r="N71" s="17"/>
      <c r="O71" s="9"/>
      <c r="P71" s="9"/>
    </row>
    <row r="72" ht="14.25" customHeight="1">
      <c r="A72" s="38"/>
      <c r="B72" s="39">
        <v>16306.0</v>
      </c>
      <c r="C72" s="40" t="str">
        <f>VLOOKUP(B72,'FML March 2026'!E:F,2,false)</f>
        <v>JUNIPER BERRIES 11 OZ D`ALLESANDRO/ SPICECO</v>
      </c>
      <c r="D72" s="9" t="str">
        <f>VLOOKUP(B72,'Unit of Measure ship March 2026'!A:C,3,false)</f>
        <v>LBS</v>
      </c>
      <c r="F72" s="36"/>
      <c r="G72" s="9"/>
      <c r="H72" s="9"/>
      <c r="J72" s="17"/>
      <c r="K72" s="9"/>
      <c r="L72" s="9"/>
      <c r="N72" s="17"/>
      <c r="O72" s="9"/>
      <c r="P72" s="9"/>
    </row>
    <row r="73" ht="14.25" customHeight="1">
      <c r="A73" s="38"/>
      <c r="B73" s="41">
        <v>102749.0</v>
      </c>
      <c r="C73" s="40" t="str">
        <f>VLOOKUP(B73,'FML March 2026'!E:F,2,false)</f>
        <v>MASHED POTATO PELLET PLAIN CS 4/2.5KG LUTOSA/ WHITE TOQUE (IRELAND)</v>
      </c>
      <c r="D73" s="9" t="str">
        <f>VLOOKUP(B73,'Unit of Measure ship March 2026'!A:C,3,false)</f>
        <v>LBS</v>
      </c>
      <c r="F73" s="36"/>
      <c r="G73" s="9"/>
      <c r="H73" s="9"/>
      <c r="J73" s="17"/>
      <c r="K73" s="9"/>
      <c r="L73" s="9"/>
      <c r="N73" s="17"/>
      <c r="O73" s="9"/>
      <c r="P73" s="9"/>
    </row>
    <row r="74" ht="14.25" customHeight="1">
      <c r="A74" s="38"/>
      <c r="B74" s="41">
        <v>16380.0</v>
      </c>
      <c r="C74" s="40" t="str">
        <f>VLOOKUP(B74,'FML March 2026'!E:F,2,false)</f>
        <v>MAYONNAISE HEAVY DUTY, GALLON</v>
      </c>
      <c r="D74" s="9" t="str">
        <f>VLOOKUP(B74,'Unit of Measure ship March 2026'!A:C,3,false)</f>
        <v>GAL</v>
      </c>
      <c r="F74" s="36"/>
      <c r="G74" s="9"/>
      <c r="H74" s="9"/>
      <c r="J74" s="17"/>
      <c r="K74" s="9"/>
      <c r="L74" s="9"/>
      <c r="N74" s="17"/>
      <c r="O74" s="9"/>
      <c r="P74" s="9"/>
    </row>
    <row r="75" ht="14.25" customHeight="1">
      <c r="A75" s="38"/>
      <c r="B75" s="41">
        <v>11745.0</v>
      </c>
      <c r="C75" s="40" t="str">
        <f>VLOOKUP(B75,'FML March 2026'!E:F,2,false)</f>
        <v>MAYTAG BLUE CHEESE</v>
      </c>
      <c r="D75" s="9" t="str">
        <f>VLOOKUP(B75,'Unit of Measure ship March 2026'!A:C,3,false)</f>
        <v>LBS</v>
      </c>
      <c r="F75" s="36"/>
      <c r="G75" s="9"/>
      <c r="H75" s="9"/>
      <c r="J75" s="17"/>
      <c r="K75" s="9"/>
      <c r="L75" s="9"/>
      <c r="N75" s="17"/>
      <c r="O75" s="9"/>
      <c r="P75" s="9"/>
    </row>
    <row r="76" ht="14.25" customHeight="1">
      <c r="A76" s="38"/>
      <c r="B76" s="44">
        <v>38770.0</v>
      </c>
      <c r="C76" s="40" t="str">
        <f>VLOOKUP(B76,'FML March 2026'!E:F,2,false)</f>
        <v>MIXED VEGETABLES, GRADE A, IQF, FZN, 1/10 KG</v>
      </c>
      <c r="D76" s="9" t="str">
        <f>VLOOKUP(B76,'Unit of Measure ship March 2026'!A:C,3,false)</f>
        <v>LBS</v>
      </c>
      <c r="F76" s="36"/>
      <c r="G76" s="9"/>
      <c r="H76" s="9"/>
      <c r="J76" s="17"/>
      <c r="K76" s="9"/>
      <c r="L76" s="9"/>
      <c r="N76" s="17"/>
      <c r="O76" s="9"/>
      <c r="P76" s="9"/>
    </row>
    <row r="77" ht="14.25" customHeight="1">
      <c r="A77" s="38"/>
      <c r="B77" s="41">
        <v>14995.0</v>
      </c>
      <c r="C77" s="40" t="str">
        <f>VLOOKUP(B77,'FML March 2026'!E:F,2,false)</f>
        <v>MOZZARELLA, 100%, SHREDDED, WHOLE MILK</v>
      </c>
      <c r="D77" s="9" t="str">
        <f>VLOOKUP(B77,'Unit of Measure ship March 2026'!A:C,3,false)</f>
        <v>LBS</v>
      </c>
      <c r="F77" s="36"/>
      <c r="G77" s="9"/>
      <c r="H77" s="9"/>
      <c r="J77" s="17"/>
      <c r="K77" s="9"/>
      <c r="L77" s="9"/>
      <c r="N77" s="17"/>
      <c r="O77" s="9"/>
      <c r="P77" s="9"/>
    </row>
    <row r="78" ht="14.25" customHeight="1">
      <c r="A78" s="38"/>
      <c r="B78" s="41">
        <v>16426.0</v>
      </c>
      <c r="C78" s="40" t="str">
        <f>VLOOKUP(B78,'FML March 2026'!E:F,2,false)</f>
        <v>MUSTARD  TUB GREY POUPON - DIJON MUSTARD PLAIN (FRANCE)</v>
      </c>
      <c r="D78" s="9" t="str">
        <f>VLOOKUP(B78,'Unit of Measure ship March 2026'!A:C,3,false)</f>
        <v>JAR/48OZ</v>
      </c>
      <c r="F78" s="36"/>
      <c r="G78" s="9"/>
      <c r="H78" s="9"/>
      <c r="J78" s="17"/>
      <c r="K78" s="9"/>
      <c r="L78" s="9"/>
      <c r="N78" s="17"/>
      <c r="O78" s="9"/>
      <c r="P78" s="9"/>
    </row>
    <row r="79" ht="14.25" customHeight="1">
      <c r="A79" s="38"/>
      <c r="B79" s="41">
        <v>12275.0</v>
      </c>
      <c r="C79" s="40" t="str">
        <f>VLOOKUP(B79,'FML March 2026'!E:F,2,false)</f>
        <v>MUSTARD BROWN 4/1 GALLON GULDENS (FRANCE)</v>
      </c>
      <c r="D79" s="9" t="str">
        <f>VLOOKUP(B79,'Unit of Measure ship March 2026'!A:C,3,false)</f>
        <v>GAL</v>
      </c>
      <c r="F79" s="36"/>
      <c r="G79" s="9"/>
      <c r="H79" s="9"/>
      <c r="J79" s="36"/>
      <c r="K79" s="9"/>
      <c r="L79" s="9"/>
      <c r="N79" s="36"/>
      <c r="O79" s="9"/>
      <c r="P79" s="9"/>
    </row>
    <row r="80" ht="14.25" customHeight="1">
      <c r="A80" s="38"/>
      <c r="B80" s="39">
        <v>16258.0</v>
      </c>
      <c r="C80" s="40" t="str">
        <f>VLOOKUP(B80,'FML March 2026'!E:F,2,false)</f>
        <v>MUSTARD POWDER ENGLISH 12/16 OZ COLEMAN</v>
      </c>
      <c r="D80" s="9" t="str">
        <f>VLOOKUP(B80,'Unit of Measure ship March 2026'!A:C,3,false)</f>
        <v>LBS</v>
      </c>
      <c r="F80" s="36"/>
      <c r="G80" s="9"/>
      <c r="H80" s="9"/>
      <c r="J80" s="36"/>
      <c r="K80" s="9"/>
      <c r="L80" s="9"/>
      <c r="N80" s="36"/>
      <c r="O80" s="9"/>
      <c r="P80" s="9"/>
    </row>
    <row r="81" ht="14.25" customHeight="1">
      <c r="A81" s="38"/>
      <c r="B81" s="41">
        <v>16320.0</v>
      </c>
      <c r="C81" s="40" t="str">
        <f>VLOOKUP(B81,'FML March 2026'!E:F,2,false)</f>
        <v>MUSTARD SEED 24 OZ D`ALLESANDRO/ SPICECO</v>
      </c>
      <c r="D81" s="9" t="str">
        <f>VLOOKUP(B81,'Unit of Measure ship March 2026'!A:C,3,false)</f>
        <v>LBS</v>
      </c>
      <c r="F81" s="36"/>
      <c r="G81" s="9"/>
      <c r="H81" s="9"/>
      <c r="J81" s="36"/>
      <c r="K81" s="9"/>
      <c r="L81" s="9"/>
      <c r="N81" s="36"/>
      <c r="O81" s="9"/>
      <c r="P81" s="9"/>
    </row>
    <row r="82" ht="14.25" customHeight="1">
      <c r="A82" s="38"/>
      <c r="B82" s="39">
        <v>16266.0</v>
      </c>
      <c r="C82" s="40" t="str">
        <f>VLOOKUP(B82,'FML March 2026'!E:F,2,false)</f>
        <v>NUTMEG GROUND D`ALLESANDRO/ SPICECO (USA)</v>
      </c>
      <c r="D82" s="9" t="str">
        <f>VLOOKUP(B82,'Unit of Measure ship March 2026'!A:C,3,false)</f>
        <v>UNIT/1LB</v>
      </c>
      <c r="F82" s="36"/>
      <c r="G82" s="9"/>
      <c r="H82" s="9"/>
      <c r="J82" s="36"/>
      <c r="K82" s="9"/>
      <c r="L82" s="9"/>
      <c r="N82" s="36"/>
      <c r="O82" s="9"/>
      <c r="P82" s="9"/>
    </row>
    <row r="83" ht="14.25" customHeight="1">
      <c r="A83" s="38"/>
      <c r="B83" s="39">
        <v>18644.0</v>
      </c>
      <c r="C83" s="40" t="str">
        <f>VLOOKUP(B83,'FML March 2026'!E:F,2,false)</f>
        <v>OLD BAY SEASONING 16 OZ MC CORMICK</v>
      </c>
      <c r="D83" s="9" t="str">
        <f>VLOOKUP(B83,'Unit of Measure ship March 2026'!A:C,3,false)</f>
        <v>TIN16/OZ</v>
      </c>
      <c r="F83" s="36"/>
      <c r="G83" s="9"/>
      <c r="H83" s="9"/>
      <c r="J83" s="36"/>
      <c r="K83" s="9"/>
      <c r="L83" s="9"/>
      <c r="N83" s="36"/>
      <c r="O83" s="9"/>
      <c r="P83" s="9"/>
    </row>
    <row r="84" ht="14.25" customHeight="1">
      <c r="A84" s="38"/>
      <c r="B84" s="41">
        <v>16431.0</v>
      </c>
      <c r="C84" s="40" t="str">
        <f>VLOOKUP(B84,'FML March 2026'!E:F,2,false)</f>
        <v>OLIVES KALAMATA PITTED AMBROSIA 16122 (8X5) (TURKEY)</v>
      </c>
      <c r="D84" s="9" t="str">
        <f>VLOOKUP(B84,'Unit of Measure ship March 2026'!A:C,3,false)</f>
        <v>CAN/2KG</v>
      </c>
      <c r="F84" s="36"/>
      <c r="G84" s="9"/>
      <c r="H84" s="9"/>
      <c r="J84" s="36"/>
      <c r="K84" s="9"/>
      <c r="L84" s="9"/>
      <c r="N84" s="36"/>
      <c r="O84" s="9"/>
      <c r="P84" s="9"/>
    </row>
    <row r="85" ht="15.75" customHeight="1">
      <c r="A85" s="38"/>
      <c r="B85" s="41">
        <v>16432.0</v>
      </c>
      <c r="C85" s="40" t="str">
        <f>VLOOKUP(B85,'FML March 2026'!E:F,2,false)</f>
        <v>OLIVES, BLACK, PITTED, MEDIUM</v>
      </c>
      <c r="D85" s="9" t="str">
        <f>VLOOKUP(B85,'Unit of Measure ship March 2026'!A:C,3,false)</f>
        <v>CN/6.5LB</v>
      </c>
      <c r="F85" s="36"/>
      <c r="G85" s="9"/>
      <c r="H85" s="9"/>
    </row>
    <row r="86" ht="14.25" customHeight="1">
      <c r="A86" s="38"/>
      <c r="B86" s="41">
        <v>62951.0</v>
      </c>
      <c r="C86" s="40" t="str">
        <f>VLOOKUP(B86,'FML March 2026'!E:F,2,false)</f>
        <v>ONION POWDER</v>
      </c>
      <c r="D86" s="9" t="str">
        <f>VLOOKUP(B86,'Unit of Measure ship March 2026'!A:C,3,false)</f>
        <v>LBS</v>
      </c>
      <c r="F86" s="36"/>
      <c r="G86" s="9"/>
      <c r="H86" s="9"/>
      <c r="J86" s="36"/>
      <c r="K86" s="9"/>
      <c r="L86" s="9"/>
      <c r="N86" s="36"/>
      <c r="O86" s="9"/>
      <c r="P86" s="9"/>
    </row>
    <row r="87" ht="14.25" customHeight="1">
      <c r="A87" s="38"/>
      <c r="B87" s="41">
        <v>16571.0</v>
      </c>
      <c r="C87" s="40" t="str">
        <f>VLOOKUP(B87,'FML March 2026'!E:F,2,false)</f>
        <v>ONIONS PEARL, JAR</v>
      </c>
      <c r="D87" s="9" t="str">
        <f>VLOOKUP(B87,'Unit of Measure ship March 2026'!A:C,3,false)</f>
        <v>CN/32OZ</v>
      </c>
      <c r="F87" s="36"/>
      <c r="G87" s="9"/>
      <c r="H87" s="9"/>
      <c r="J87" s="36"/>
      <c r="K87" s="9"/>
      <c r="L87" s="9"/>
      <c r="N87" s="36"/>
      <c r="O87" s="9"/>
      <c r="P87" s="9"/>
    </row>
    <row r="88" ht="14.25" customHeight="1">
      <c r="A88" s="38"/>
      <c r="B88" s="41">
        <v>15213.0</v>
      </c>
      <c r="C88" s="40" t="str">
        <f>VLOOKUP(B88,'FML March 2026'!E:F,2,false)</f>
        <v>ONIONS, PEARL, GRADE A, IQF, FZN, 1/10 KG</v>
      </c>
      <c r="D88" s="9" t="str">
        <f>VLOOKUP(B88,'Unit of Measure ship March 2026'!A:C,3,false)</f>
        <v>LBS</v>
      </c>
      <c r="J88" s="36"/>
      <c r="K88" s="9"/>
      <c r="L88" s="9"/>
      <c r="N88" s="36"/>
      <c r="O88" s="9"/>
      <c r="P88" s="9"/>
    </row>
    <row r="89" ht="14.25" customHeight="1">
      <c r="A89" s="38"/>
      <c r="B89" s="39">
        <v>16268.0</v>
      </c>
      <c r="C89" s="40" t="str">
        <f>VLOOKUP(B89,'FML March 2026'!E:F,2,false)</f>
        <v>OREGANO LEAVES WHOLE D`ALLESANDRO/ SPICECO</v>
      </c>
      <c r="D89" s="9" t="str">
        <f>VLOOKUP(B89,'Unit of Measure ship March 2026'!A:C,3,false)</f>
        <v>PC/5OZ</v>
      </c>
      <c r="J89" s="36"/>
      <c r="K89" s="9"/>
      <c r="L89" s="9"/>
      <c r="N89" s="36"/>
      <c r="O89" s="9"/>
      <c r="P89" s="9"/>
    </row>
    <row r="90" ht="14.25" customHeight="1">
      <c r="A90" s="38"/>
      <c r="B90" s="41">
        <v>106302.0</v>
      </c>
      <c r="C90" s="40" t="str">
        <f>VLOOKUP(B90,'FML March 2026'!E:F,2,false)</f>
        <v>OREGANO MEXICAN DRY CS1/LBS TERRA SPICE</v>
      </c>
      <c r="D90" s="9" t="str">
        <f>VLOOKUP(B90,'Unit of Measure ship March 2026'!A:C,3,false)</f>
        <v>OZ</v>
      </c>
      <c r="J90" s="36"/>
      <c r="K90" s="9"/>
      <c r="L90" s="9"/>
      <c r="N90" s="36"/>
      <c r="O90" s="9"/>
      <c r="P90" s="9"/>
    </row>
    <row r="91" ht="14.25" customHeight="1">
      <c r="A91" s="38"/>
      <c r="B91" s="41">
        <v>105727.0</v>
      </c>
      <c r="C91" s="40" t="str">
        <f>VLOOKUP(B91,'FML March 2026'!E:F,2,false)</f>
        <v>OYSTER SAUCE MSG FREE</v>
      </c>
      <c r="D91" s="9" t="str">
        <f>VLOOKUP(B91,'Unit of Measure ship March 2026'!A:C,3,false)</f>
        <v>CAN/5LB</v>
      </c>
      <c r="J91" s="36"/>
      <c r="K91" s="9"/>
      <c r="L91" s="9"/>
      <c r="N91" s="36"/>
      <c r="O91" s="9"/>
      <c r="P91" s="9"/>
    </row>
    <row r="92" ht="14.25" customHeight="1">
      <c r="A92" s="38"/>
      <c r="B92" s="41">
        <v>16439.0</v>
      </c>
      <c r="C92" s="40" t="str">
        <f>VLOOKUP(B92,'FML March 2026'!E:F,2,false)</f>
        <v>PAN SPRAY NON STICK (USA)</v>
      </c>
      <c r="D92" s="9" t="str">
        <f>VLOOKUP(B92,'Unit of Measure ship March 2026'!A:C,3,false)</f>
        <v>CAN/14OZ</v>
      </c>
      <c r="J92" s="36"/>
      <c r="K92" s="9"/>
      <c r="L92" s="9"/>
      <c r="N92" s="36"/>
      <c r="O92" s="9"/>
      <c r="P92" s="9"/>
    </row>
    <row r="93" ht="14.25" customHeight="1">
      <c r="A93" s="38"/>
      <c r="B93" s="39">
        <v>16269.0</v>
      </c>
      <c r="C93" s="40" t="str">
        <f>VLOOKUP(B93,'FML March 2026'!E:F,2,false)</f>
        <v>PAPRIKA SPANISH MUNOZ Y PUJANTE/ D`ALLESANDRO/ SPICECO</v>
      </c>
      <c r="D93" s="9" t="str">
        <f>VLOOKUP(B93,'Unit of Measure ship March 2026'!A:C,3,false)</f>
        <v>LBS</v>
      </c>
      <c r="J93" s="36"/>
      <c r="K93" s="9"/>
      <c r="L93" s="9"/>
      <c r="N93" s="36"/>
      <c r="O93" s="9"/>
      <c r="P93" s="9"/>
    </row>
    <row r="94" ht="14.25" customHeight="1">
      <c r="A94" s="38"/>
      <c r="B94" s="41">
        <v>15952.0</v>
      </c>
      <c r="C94" s="40" t="str">
        <f>VLOOKUP(B94,'FML March 2026'!E:F,2,false)</f>
        <v>PASTA LASAGNA - BARILLA/DIVELLA</v>
      </c>
      <c r="D94" s="9" t="str">
        <f>VLOOKUP(B94,'Unit of Measure ship March 2026'!A:C,3,false)</f>
        <v>PK/500GR</v>
      </c>
      <c r="J94" s="36"/>
      <c r="K94" s="9"/>
      <c r="L94" s="9"/>
      <c r="N94" s="36"/>
      <c r="O94" s="9"/>
      <c r="P94" s="9"/>
    </row>
    <row r="95" ht="14.25" customHeight="1">
      <c r="A95" s="38"/>
      <c r="B95" s="41">
        <v>15963.0</v>
      </c>
      <c r="C95" s="40" t="str">
        <f>VLOOKUP(B95,'FML March 2026'!E:F,2,false)</f>
        <v>PASTA LINGUINI (BAVETINNI) BARILLA/DIVELLA</v>
      </c>
      <c r="D95" s="9" t="str">
        <f>VLOOKUP(B95,'Unit of Measure ship March 2026'!A:C,3,false)</f>
        <v>LBS</v>
      </c>
      <c r="J95" s="36"/>
      <c r="K95" s="9"/>
      <c r="L95" s="9"/>
      <c r="N95" s="36"/>
      <c r="O95" s="9"/>
      <c r="P95" s="9"/>
    </row>
    <row r="96" ht="14.25" customHeight="1">
      <c r="A96" s="38"/>
      <c r="B96" s="41">
        <v>15955.0</v>
      </c>
      <c r="C96" s="40" t="str">
        <f>VLOOKUP(B96,'FML March 2026'!E:F,2,false)</f>
        <v>PASTA SPAGHETTI #5 BARILLA/DIVELLA 2/10LB 1000354005</v>
      </c>
      <c r="D96" s="9" t="str">
        <f>VLOOKUP(B96,'Unit of Measure ship March 2026'!A:C,3,false)</f>
        <v>LBS</v>
      </c>
      <c r="J96" s="36"/>
      <c r="K96" s="9"/>
      <c r="L96" s="9"/>
      <c r="N96" s="36"/>
      <c r="O96" s="9"/>
      <c r="P96" s="9"/>
    </row>
    <row r="97" ht="14.25" customHeight="1">
      <c r="A97" s="38"/>
      <c r="B97" s="39">
        <v>16239.0</v>
      </c>
      <c r="C97" s="40" t="str">
        <f>VLOOKUP(B97,'FML March 2026'!E:F,2,false)</f>
        <v>PASTE CURRY GREEN MAE PLOY (THAILAND)</v>
      </c>
      <c r="D97" s="9" t="str">
        <f>VLOOKUP(B97,'Unit of Measure ship March 2026'!A:C,3,false)</f>
        <v>PC/35OZ</v>
      </c>
      <c r="J97" s="36"/>
      <c r="K97" s="9"/>
      <c r="L97" s="9"/>
      <c r="N97" s="36"/>
      <c r="O97" s="9"/>
      <c r="P97" s="9"/>
    </row>
    <row r="98" ht="14.25" customHeight="1">
      <c r="A98" s="38"/>
      <c r="B98" s="39">
        <v>16238.0</v>
      </c>
      <c r="C98" s="40" t="str">
        <f>VLOOKUP(B98,'FML March 2026'!E:F,2,false)</f>
        <v>PASTE CURRY RED MAE PLOY (THAILAND)</v>
      </c>
      <c r="D98" s="9" t="str">
        <f>VLOOKUP(B98,'Unit of Measure ship March 2026'!A:C,3,false)</f>
        <v>PC/35OZ</v>
      </c>
      <c r="J98" s="36"/>
      <c r="K98" s="9"/>
      <c r="L98" s="9"/>
      <c r="N98" s="36"/>
      <c r="O98" s="9"/>
      <c r="P98" s="9"/>
    </row>
    <row r="99" ht="14.25" customHeight="1">
      <c r="A99" s="38"/>
      <c r="B99" s="41">
        <v>16490.0</v>
      </c>
      <c r="C99" s="40" t="str">
        <f>VLOOKUP(B99,'FML March 2026'!E:F,2,false)</f>
        <v>PEACH HALVES, LIGHT SYRUP</v>
      </c>
      <c r="D99" s="9" t="str">
        <f>VLOOKUP(B99,'Unit of Measure ship March 2026'!A:C,3,false)</f>
        <v>CAN/3KG</v>
      </c>
      <c r="J99" s="36"/>
      <c r="K99" s="9"/>
      <c r="L99" s="9"/>
      <c r="N99" s="36"/>
      <c r="O99" s="9"/>
      <c r="P99" s="9"/>
    </row>
    <row r="100" ht="14.25" customHeight="1">
      <c r="A100" s="38"/>
      <c r="B100" s="41">
        <v>16492.0</v>
      </c>
      <c r="C100" s="40" t="str">
        <f>VLOOKUP(B100,'FML March 2026'!E:F,2,false)</f>
        <v>PEAR HALVES, LIGHT SYRUP</v>
      </c>
      <c r="D100" s="9" t="str">
        <f>VLOOKUP(B100,'Unit of Measure ship March 2026'!A:C,3,false)</f>
        <v>CAN/3KG</v>
      </c>
      <c r="J100" s="36"/>
      <c r="K100" s="9"/>
      <c r="L100" s="9"/>
      <c r="N100" s="36"/>
      <c r="O100" s="9"/>
      <c r="P100" s="9"/>
    </row>
    <row r="101" ht="14.25" customHeight="1">
      <c r="A101" s="38"/>
      <c r="B101" s="41">
        <v>16598.0</v>
      </c>
      <c r="C101" s="40" t="str">
        <f>VLOOKUP(B101,'FML March 2026'!E:F,2,false)</f>
        <v>PEAS PIGEON CANNED CS24/15 OZ VV</v>
      </c>
      <c r="D101" s="9" t="str">
        <f>VLOOKUP(B101,'Unit of Measure ship March 2026'!A:C,3,false)</f>
        <v>LBS</v>
      </c>
      <c r="J101" s="36"/>
      <c r="K101" s="9"/>
      <c r="L101" s="9"/>
      <c r="N101" s="36"/>
      <c r="O101" s="9"/>
      <c r="P101" s="9"/>
    </row>
    <row r="102" ht="14.25" customHeight="1">
      <c r="A102" s="38"/>
      <c r="B102" s="41">
        <v>15819.0</v>
      </c>
      <c r="C102" s="40" t="str">
        <f>VLOOKUP(B102,'FML March 2026'!E:F,2,false)</f>
        <v>PECANS, HALVES, FANCY, JUMBO, DRY, 1/30 LB</v>
      </c>
      <c r="D102" s="9" t="str">
        <f>VLOOKUP(B102,'Unit of Measure ship March 2026'!A:C,3,false)</f>
        <v>LBS</v>
      </c>
      <c r="J102" s="36"/>
      <c r="K102" s="9"/>
      <c r="L102" s="9"/>
      <c r="N102" s="36"/>
      <c r="O102" s="9"/>
      <c r="P102" s="9"/>
    </row>
    <row r="103" ht="14.25" customHeight="1">
      <c r="A103" s="38"/>
      <c r="B103" s="45">
        <v>108553.0</v>
      </c>
      <c r="C103" s="40" t="str">
        <f>VLOOKUP(B103,'FML March 2026'!E:F,2,false)</f>
        <v>PEPPER ARBOL  D'ALLESANDRO CS/5LB</v>
      </c>
      <c r="D103" s="9" t="str">
        <f>VLOOKUP(B103,'Unit of Measure ship March 2026'!A:C,3,false)</f>
        <v>KG</v>
      </c>
      <c r="J103" s="36"/>
      <c r="K103" s="9"/>
      <c r="L103" s="9"/>
      <c r="N103" s="36"/>
      <c r="O103" s="9"/>
      <c r="P103" s="9"/>
    </row>
    <row r="104" ht="14.25" customHeight="1">
      <c r="A104" s="38"/>
      <c r="B104" s="46">
        <v>33681.0</v>
      </c>
      <c r="C104" s="40" t="str">
        <f>VLOOKUP(B104,'FML March 2026'!E:F,2,false)</f>
        <v>PEPPER BLACK GROUND BADIA (USA )</v>
      </c>
      <c r="D104" s="9" t="str">
        <f>VLOOKUP(B104,'Unit of Measure ship March 2026'!A:C,3,false)</f>
        <v>LBS</v>
      </c>
      <c r="J104" s="36"/>
      <c r="K104" s="9"/>
      <c r="L104" s="9"/>
      <c r="N104" s="36"/>
      <c r="O104" s="9"/>
      <c r="P104" s="9"/>
    </row>
    <row r="105" ht="15.75" customHeight="1">
      <c r="A105" s="38"/>
      <c r="B105" s="46">
        <v>16302.0</v>
      </c>
      <c r="C105" s="40" t="str">
        <f>VLOOKUP(B105,'FML March 2026'!E:F,2,false)</f>
        <v>PEPPER CAYENNE GROUND BADIA (USA )</v>
      </c>
      <c r="D105" s="9" t="str">
        <f>VLOOKUP(B105,'Unit of Measure ship March 2026'!A:C,3,false)</f>
        <v>LBS</v>
      </c>
    </row>
    <row r="106" ht="15.75" customHeight="1">
      <c r="A106" s="38"/>
      <c r="B106" s="45">
        <v>77928.0</v>
      </c>
      <c r="C106" s="40" t="str">
        <f>VLOOKUP(B106,'FML March 2026'!E:F,2,false)</f>
        <v>PEPPER PEPPADEW RED CHERRY PEPPER WHOLE SWEET PIQUANTE 2/6.5 LB</v>
      </c>
      <c r="D106" s="9" t="str">
        <f>VLOOKUP(B106,'Unit of Measure ship March 2026'!A:C,3,false)</f>
        <v>CN/6.5LB</v>
      </c>
    </row>
    <row r="107" ht="15.75" customHeight="1">
      <c r="A107" s="38"/>
      <c r="B107" s="45">
        <v>16272.0</v>
      </c>
      <c r="C107" s="40" t="str">
        <f>VLOOKUP(B107,'FML March 2026'!E:F,2,false)</f>
        <v>PEPPER WHITE GROUND D`ALLESANDRO/ SPICECO</v>
      </c>
      <c r="D107" s="9" t="str">
        <f>VLOOKUP(B107,'Unit of Measure ship March 2026'!A:C,3,false)</f>
        <v>LBS</v>
      </c>
    </row>
    <row r="108" ht="15.75" customHeight="1">
      <c r="A108" s="38"/>
      <c r="B108" s="46">
        <v>16314.0</v>
      </c>
      <c r="C108" s="40" t="str">
        <f>VLOOKUP(B108,'FML March 2026'!E:F,2,false)</f>
        <v>PEPPERCORN PINK WHOLE</v>
      </c>
      <c r="D108" s="9" t="str">
        <f>VLOOKUP(B108,'Unit of Measure ship March 2026'!A:C,3,false)</f>
        <v>LBS</v>
      </c>
    </row>
    <row r="109" ht="15.75" customHeight="1">
      <c r="A109" s="38"/>
      <c r="B109" s="46">
        <v>30052.0</v>
      </c>
      <c r="C109" s="40" t="str">
        <f>VLOOKUP(B109,'FML March 2026'!E:F,2,false)</f>
        <v>PEPPERCORN SZECHWAN 8 OZ D`ALLESANDRO/ PACKER</v>
      </c>
      <c r="D109" s="9" t="str">
        <f>VLOOKUP(B109,'Unit of Measure ship March 2026'!A:C,3,false)</f>
        <v>LBS</v>
      </c>
    </row>
    <row r="110" ht="15.75" customHeight="1">
      <c r="A110" s="38"/>
      <c r="B110" s="46">
        <v>16305.0</v>
      </c>
      <c r="C110" s="40" t="str">
        <f>VLOOKUP(B110,'FML March 2026'!E:F,2,false)</f>
        <v>PEPPERCORN WHITE WHOLE D`ALLESANDRO/ SPICECO</v>
      </c>
      <c r="D110" s="9" t="str">
        <f>VLOOKUP(B110,'Unit of Measure ship March 2026'!A:C,3,false)</f>
        <v>LBS</v>
      </c>
    </row>
    <row r="111" ht="15.75" customHeight="1">
      <c r="A111" s="38"/>
      <c r="B111" s="46">
        <v>16300.0</v>
      </c>
      <c r="C111" s="40" t="str">
        <f>VLOOKUP(B111,'FML March 2026'!E:F,2,false)</f>
        <v>PEPPERCORN WHOLE GREEN IN WATER, TINNED, ROLAND/ PACKER</v>
      </c>
      <c r="D111" s="9" t="str">
        <f>VLOOKUP(B111,'Unit of Measure ship March 2026'!A:C,3,false)</f>
        <v>CN/3.5OZ</v>
      </c>
    </row>
    <row r="112" ht="15.75" customHeight="1">
      <c r="A112" s="38"/>
      <c r="B112" s="45">
        <v>16285.0</v>
      </c>
      <c r="C112" s="40" t="str">
        <f>VLOOKUP(B112,'FML March 2026'!E:F,2,false)</f>
        <v>PEPPERCORN, BLACK, WHOLE, DRY, 6/420 G</v>
      </c>
      <c r="D112" s="9" t="str">
        <f>VLOOKUP(B112,'Unit of Measure ship March 2026'!A:C,3,false)</f>
        <v>LBS</v>
      </c>
    </row>
    <row r="113" ht="15.75" customHeight="1">
      <c r="A113" s="38"/>
      <c r="B113" s="45">
        <v>16384.0</v>
      </c>
      <c r="C113" s="40" t="str">
        <f>VLOOKUP(B113,'FML March 2026'!E:F,2,false)</f>
        <v>PEPPERS JALAPENO WHOLE 6/10 CASA DIVA/ GLOBAL (PERU)</v>
      </c>
      <c r="D113" s="9" t="str">
        <f>VLOOKUP(B113,'Unit of Measure ship March 2026'!A:C,3,false)</f>
        <v>CN/6.5LB</v>
      </c>
    </row>
    <row r="114" ht="15.75" customHeight="1">
      <c r="A114" s="38"/>
      <c r="B114" s="45">
        <v>16392.0</v>
      </c>
      <c r="C114" s="40" t="str">
        <f>VLOOKUP(B114,'FML March 2026'!E:F,2,false)</f>
        <v>PEPPERS RED ROASTED 6X#10</v>
      </c>
      <c r="D114" s="9" t="str">
        <f>VLOOKUP(B114,'Unit of Measure ship March 2026'!A:C,3,false)</f>
        <v>TIN/3KG</v>
      </c>
    </row>
    <row r="115" ht="15.75" customHeight="1">
      <c r="A115" s="38"/>
      <c r="B115" s="45">
        <v>16366.0</v>
      </c>
      <c r="C115" s="40" t="str">
        <f>VLOOKUP(B115,'FML March 2026'!E:F,2,false)</f>
        <v>PICKLE RELISH SWEET NATURAL B&amp;G  4/1 GALLON B&amp;G (USA)</v>
      </c>
      <c r="D115" s="9" t="str">
        <f>VLOOKUP(B115,'Unit of Measure ship March 2026'!A:C,3,false)</f>
        <v>GAL</v>
      </c>
    </row>
    <row r="116" ht="15.75" customHeight="1">
      <c r="A116" s="38"/>
      <c r="B116" s="45">
        <v>47893.0</v>
      </c>
      <c r="C116" s="40" t="str">
        <f>VLOOKUP(B116,'FML March 2026'!E:F,2,false)</f>
        <v>PICKLES KOSHER DRY B&amp;G (USA)</v>
      </c>
      <c r="D116" s="9" t="str">
        <f>VLOOKUP(B116,'Unit of Measure ship March 2026'!A:C,3,false)</f>
        <v>GAL</v>
      </c>
    </row>
    <row r="117" ht="15.75" customHeight="1">
      <c r="A117" s="38"/>
      <c r="B117" s="45">
        <v>16487.0</v>
      </c>
      <c r="C117" s="40" t="str">
        <f>VLOOKUP(B117,'FML March 2026'!E:F,2,false)</f>
        <v>PINEAPPLE, SLICED, IN JUICE</v>
      </c>
      <c r="D117" s="9" t="str">
        <f>VLOOKUP(B117,'Unit of Measure ship March 2026'!A:C,3,false)</f>
        <v>CN/6.5LB</v>
      </c>
    </row>
    <row r="118" ht="15.75" customHeight="1">
      <c r="A118" s="38"/>
      <c r="B118" s="45">
        <v>53666.0</v>
      </c>
      <c r="C118" s="40" t="str">
        <f>VLOOKUP(B118,'FML March 2026'!E:F,2,false)</f>
        <v>PIQUILLO PIMIENTOS WHOLE ROASTED &amp; PEELED 6/#10</v>
      </c>
      <c r="D118" s="9" t="str">
        <f>VLOOKUP(B118,'Unit of Measure ship March 2026'!A:C,3,false)</f>
        <v>CAN/3KG</v>
      </c>
    </row>
    <row r="119" ht="15.75" customHeight="1">
      <c r="A119" s="38"/>
      <c r="B119" s="45">
        <v>15047.0</v>
      </c>
      <c r="C119" s="40" t="str">
        <f>VLOOKUP(B119,'FML March 2026'!E:F,2,false)</f>
        <v>PROVOLONE, LOAF</v>
      </c>
      <c r="D119" s="9" t="str">
        <f>VLOOKUP(B119,'Unit of Measure ship March 2026'!A:C,3,false)</f>
        <v>LBS</v>
      </c>
    </row>
    <row r="120" ht="15.75" customHeight="1">
      <c r="A120" s="38"/>
      <c r="B120" s="45">
        <v>16186.0</v>
      </c>
      <c r="C120" s="40" t="str">
        <f>VLOOKUP(B120,'FML March 2026'!E:F,2,false)</f>
        <v>PRUNES W PIT IN SYRUP - MONTAVISTA 6#10 (USA)</v>
      </c>
      <c r="D120" s="9" t="str">
        <f>VLOOKUP(B120,'Unit of Measure ship March 2026'!A:C,3,false)</f>
        <v>CN/6.5LB</v>
      </c>
    </row>
    <row r="121" ht="15.75" customHeight="1">
      <c r="A121" s="38"/>
      <c r="B121" s="45">
        <v>40159.0</v>
      </c>
      <c r="C121" s="40" t="str">
        <f>VLOOKUP(B121,'FML March 2026'!E:F,2,false)</f>
        <v>RICE PARBOILED 50 LB SUNRISE</v>
      </c>
      <c r="D121" s="9" t="str">
        <f>VLOOKUP(B121,'Unit of Measure ship March 2026'!A:C,3,false)</f>
        <v>LBS</v>
      </c>
    </row>
    <row r="122" ht="15.75" customHeight="1">
      <c r="A122" s="38"/>
      <c r="B122" s="46">
        <v>16276.0</v>
      </c>
      <c r="C122" s="40" t="str">
        <f>VLOOKUP(B122,'FML March 2026'!E:F,2,false)</f>
        <v>ROSEMARY WHOLE 8 OZ BADIA (USA )</v>
      </c>
      <c r="D122" s="9" t="str">
        <f>VLOOKUP(B122,'Unit of Measure ship March 2026'!A:C,3,false)</f>
        <v>PC/8OZ</v>
      </c>
    </row>
    <row r="123" ht="15.75" customHeight="1">
      <c r="A123" s="38"/>
      <c r="B123" s="45">
        <v>33324.0</v>
      </c>
      <c r="C123" s="40" t="str">
        <f>VLOOKUP(B123,'FML March 2026'!E:F,2,false)</f>
        <v>SAFFRON POWDER MANCHA 1 OZ (IRAN)</v>
      </c>
      <c r="D123" s="9" t="str">
        <f>VLOOKUP(B123,'Unit of Measure ship March 2026'!A:C,3,false)</f>
        <v>CAN/1-OZ</v>
      </c>
    </row>
    <row r="124" ht="15.75" customHeight="1">
      <c r="A124" s="38"/>
      <c r="B124" s="46">
        <v>16307.0</v>
      </c>
      <c r="C124" s="40" t="str">
        <f>VLOOKUP(B124,'FML March 2026'!E:F,2,false)</f>
        <v>SALT KOSHER GRANULATED</v>
      </c>
      <c r="D124" s="9" t="str">
        <f>VLOOKUP(B124,'Unit of Measure ship March 2026'!A:C,3,false)</f>
        <v>LBS</v>
      </c>
    </row>
    <row r="125" ht="15.75" customHeight="1">
      <c r="A125" s="38"/>
      <c r="B125" s="46">
        <v>27243.0</v>
      </c>
      <c r="C125" s="40" t="str">
        <f>VLOOKUP(B125,'FML March 2026'!E:F,2,false)</f>
        <v>SALT SEA COARSE 12/CS ROLAND (ITALY)</v>
      </c>
      <c r="D125" s="9" t="str">
        <f>VLOOKUP(B125,'Unit of Measure ship March 2026'!A:C,3,false)</f>
        <v>LBS</v>
      </c>
    </row>
    <row r="126" ht="15.75" customHeight="1">
      <c r="A126" s="38"/>
      <c r="B126" s="45">
        <v>16280.0</v>
      </c>
      <c r="C126" s="40" t="str">
        <f>VLOOKUP(B126,'FML March 2026'!E:F,2,false)</f>
        <v>SALT, GRANULATED, IODIZED, DRY, 12/26 OZ</v>
      </c>
      <c r="D126" s="9" t="str">
        <f>VLOOKUP(B126,'Unit of Measure ship March 2026'!A:C,3,false)</f>
        <v>LBS</v>
      </c>
    </row>
    <row r="127" ht="15.75" customHeight="1">
      <c r="A127" s="38"/>
      <c r="B127" s="45">
        <v>16409.0</v>
      </c>
      <c r="C127" s="40" t="str">
        <f>VLOOKUP(B127,'FML March 2026'!E:F,2,false)</f>
        <v>SAMBAL OELEK CHILI SAUCE</v>
      </c>
      <c r="D127" s="9" t="str">
        <f>VLOOKUP(B127,'Unit of Measure ship March 2026'!A:C,3,false)</f>
        <v>BT/18OZ</v>
      </c>
    </row>
    <row r="128" ht="15.75" customHeight="1">
      <c r="A128" s="38"/>
      <c r="B128" s="45">
        <v>51001.0</v>
      </c>
      <c r="C128" s="40" t="str">
        <f>VLOOKUP(B128,'FML March 2026'!E:F,2,false)</f>
        <v>SAUCE, SWEET CHILI, MAE PLOY, SWCHIX730, DRY, 12/32 OZ</v>
      </c>
      <c r="D128" s="9" t="str">
        <f>VLOOKUP(B128,'Unit of Measure ship March 2026'!A:C,3,false)</f>
        <v>C12/32OZ</v>
      </c>
    </row>
    <row r="129" ht="15.75" customHeight="1">
      <c r="A129" s="38"/>
      <c r="B129" s="45">
        <v>16561.0</v>
      </c>
      <c r="C129" s="40" t="str">
        <f>VLOOKUP(B129,'FML March 2026'!E:F,2,false)</f>
        <v>SAUERKRAUT SHREDDED 6/#10 CAN SILVER FLOSS/ SENECA</v>
      </c>
      <c r="D129" s="9" t="str">
        <f>VLOOKUP(B129,'Unit of Measure ship March 2026'!A:C,3,false)</f>
        <v>CN/2.5KG</v>
      </c>
    </row>
    <row r="130" ht="15.75" customHeight="1">
      <c r="A130" s="38"/>
      <c r="B130" s="45">
        <v>23373.0</v>
      </c>
      <c r="C130" s="40" t="str">
        <f>VLOOKUP(B130,'FML March 2026'!E:F,2,false)</f>
        <v>SAUSAGE LINK BREAKFAST COOKED 0.8  OZ SKINLESS SMITHFIELD CRW (USA)</v>
      </c>
      <c r="D130" s="9" t="str">
        <f>VLOOKUP(B130,'Unit of Measure ship March 2026'!A:C,3,false)</f>
        <v>LBS</v>
      </c>
    </row>
    <row r="131" ht="15.75" customHeight="1">
      <c r="A131" s="38"/>
      <c r="B131" s="45">
        <v>100451.0</v>
      </c>
      <c r="C131" s="40" t="str">
        <f>VLOOKUP(B131,'FML March 2026'!E:F,2,false)</f>
        <v>SEAFOOD BASE</v>
      </c>
      <c r="D131" s="9" t="str">
        <f>VLOOKUP(B131,'Unit of Measure ship March 2026'!A:C,3,false)</f>
        <v>LBS</v>
      </c>
    </row>
    <row r="132" ht="15.75" customHeight="1">
      <c r="A132" s="38"/>
      <c r="B132" s="46">
        <v>20887.0</v>
      </c>
      <c r="C132" s="40" t="str">
        <f>VLOOKUP(B132,'FML March 2026'!E:F,2,false)</f>
        <v>SHICHIMI TOGARASHI CHINESE 7 FLAVOR CHILI PEPPERS</v>
      </c>
      <c r="D132" s="9" t="str">
        <f>VLOOKUP(B132,'Unit of Measure ship March 2026'!A:C,3,false)</f>
        <v>LBS</v>
      </c>
    </row>
    <row r="133" ht="15.75" customHeight="1">
      <c r="A133" s="38"/>
      <c r="B133" s="45">
        <v>14883.0</v>
      </c>
      <c r="C133" s="40" t="str">
        <f>VLOOKUP(B133,'FML March 2026'!E:F,2,false)</f>
        <v>SOUR CREAM LONG LIFE 24% 6/5#</v>
      </c>
      <c r="D133" s="9" t="str">
        <f>VLOOKUP(B133,'Unit of Measure ship March 2026'!A:C,3,false)</f>
        <v>LBS</v>
      </c>
    </row>
    <row r="134" ht="15.75" customHeight="1">
      <c r="A134" s="38"/>
      <c r="B134" s="45">
        <v>20151.0</v>
      </c>
      <c r="C134" s="40" t="str">
        <f>VLOOKUP(B134,'FML March 2026'!E:F,2,false)</f>
        <v>SOY SAUCE LOWER SODIUM CS6/64OZ KIKKOMAN #00130 (USA)</v>
      </c>
      <c r="D134" s="9" t="str">
        <f>VLOOKUP(B134,'Unit of Measure ship March 2026'!A:C,3,false)</f>
        <v>BTL/64OZ</v>
      </c>
    </row>
    <row r="135" ht="15.75" customHeight="1">
      <c r="A135" s="38"/>
      <c r="B135" s="46">
        <v>19407.0</v>
      </c>
      <c r="C135" s="40" t="str">
        <f>VLOOKUP(B135,'FML March 2026'!E:F,2,false)</f>
        <v>SUMAC POWDER CHEFS WAREHOUSE</v>
      </c>
      <c r="D135" s="9" t="str">
        <f>VLOOKUP(B135,'Unit of Measure ship March 2026'!A:C,3,false)</f>
        <v>LBS</v>
      </c>
    </row>
    <row r="136" ht="15.75" customHeight="1">
      <c r="A136" s="38"/>
      <c r="B136" s="46">
        <v>40229.0</v>
      </c>
      <c r="C136" s="40" t="str">
        <f>VLOOKUP(B136,'FML March 2026'!E:F,2,false)</f>
        <v>TANDOORI PASTE PATAKS</v>
      </c>
      <c r="D136" s="9" t="str">
        <f>VLOOKUP(B136,'Unit of Measure ship March 2026'!A:C,3,false)</f>
        <v>CAN/11OZ</v>
      </c>
    </row>
    <row r="137" ht="15.75" customHeight="1">
      <c r="A137" s="38"/>
      <c r="B137" s="45">
        <v>40230.0</v>
      </c>
      <c r="C137" s="40" t="str">
        <f>VLOOKUP(B137,'FML March 2026'!E:F,2,false)</f>
        <v>TANDOORI POWDER D`ALLESANDRO/ SPICECO (INDIA)</v>
      </c>
      <c r="D137" s="9" t="str">
        <f>VLOOKUP(B137,'Unit of Measure ship March 2026'!A:C,3,false)</f>
        <v>PK/22OZ</v>
      </c>
    </row>
    <row r="138" ht="15.75" customHeight="1">
      <c r="A138" s="38"/>
      <c r="B138" s="45">
        <v>109967.0</v>
      </c>
      <c r="C138" s="40" t="str">
        <f>VLOOKUP(B138,'FML March 2026'!E:F,2,false)</f>
        <v>TOFU EXTRA FIRM, TUB</v>
      </c>
      <c r="D138" s="9" t="str">
        <f>VLOOKUP(B138,'Unit of Measure ship March 2026'!A:C,3,false)</f>
        <v>LBS</v>
      </c>
    </row>
    <row r="139" ht="15.75" customHeight="1">
      <c r="A139" s="38"/>
      <c r="B139" s="45">
        <v>16581.0</v>
      </c>
      <c r="C139" s="40" t="str">
        <f>VLOOKUP(B139,'FML March 2026'!E:F,2,false)</f>
        <v>TOMATO, PASTE, HEINZ, 57310, DRY, 6/#10</v>
      </c>
      <c r="D139" s="9" t="str">
        <f>VLOOKUP(B139,'Unit of Measure ship March 2026'!A:C,3,false)</f>
        <v>CN/6.5LB</v>
      </c>
    </row>
    <row r="140" ht="15.75" customHeight="1">
      <c r="A140" s="38"/>
      <c r="B140" s="45">
        <v>15583.0</v>
      </c>
      <c r="C140" s="40" t="str">
        <f>VLOOKUP(B140,'FML March 2026'!E:F,2,false)</f>
        <v>TOMATO, SUN-DRIED, HALVES, STANDARD, DRY, 4/5 LB</v>
      </c>
      <c r="D140" s="9" t="str">
        <f>VLOOKUP(B140,'Unit of Measure ship March 2026'!A:C,3,false)</f>
        <v>LBS</v>
      </c>
    </row>
    <row r="141" ht="15.75" customHeight="1">
      <c r="A141" s="38"/>
      <c r="B141" s="47">
        <v>143140.0</v>
      </c>
      <c r="C141" s="40" t="str">
        <f>VLOOKUP(B141,'FML March 2026'!E:F,2,false)</f>
        <v>TOMATO, WHOLE, PEELED, IN JUICE, DRY, 6/#10</v>
      </c>
      <c r="D141" s="9" t="str">
        <f>VLOOKUP(B141,'Unit of Measure ship March 2026'!A:C,3,false)</f>
        <v>C6/6.5LB</v>
      </c>
    </row>
    <row r="142" ht="15.75" customHeight="1">
      <c r="A142" s="38"/>
      <c r="B142" s="46">
        <v>16064.0</v>
      </c>
      <c r="C142" s="40" t="str">
        <f>VLOOKUP(B142,'FML March 2026'!E:F,2,false)</f>
        <v>TUNA ALBACORE SOLID PACK  IN WATER 66 OZ PREMIUM/ CELEBRITY (INDONESIA)</v>
      </c>
      <c r="D142" s="9" t="str">
        <f>VLOOKUP(B142,'Unit of Measure ship March 2026'!A:C,3,false)</f>
        <v>CAN/66OZ</v>
      </c>
    </row>
    <row r="143" ht="15.75" customHeight="1">
      <c r="A143" s="38"/>
      <c r="B143" s="46">
        <v>16310.0</v>
      </c>
      <c r="C143" s="40" t="str">
        <f>VLOOKUP(B143,'FML March 2026'!E:F,2,false)</f>
        <v>TURMERIC GROUND</v>
      </c>
      <c r="D143" s="9" t="str">
        <f>VLOOKUP(B143,'Unit of Measure ship March 2026'!A:C,3,false)</f>
        <v>LBS</v>
      </c>
    </row>
    <row r="144" ht="15.75" customHeight="1">
      <c r="A144" s="38"/>
      <c r="B144" s="45">
        <v>101420.0</v>
      </c>
      <c r="C144" s="40" t="str">
        <f>VLOOKUP(B144,'FML March 2026'!E:F,2,false)</f>
        <v>VEGGIE BURGER 48/3.5 OZ BOCA  CREW</v>
      </c>
      <c r="D144" s="9" t="str">
        <f>VLOOKUP(B144,'Unit of Measure ship March 2026'!A:C,3,false)</f>
        <v>EA</v>
      </c>
    </row>
    <row r="145" ht="15.75" customHeight="1">
      <c r="A145" s="38"/>
      <c r="B145" s="45">
        <v>16399.0</v>
      </c>
      <c r="C145" s="40" t="str">
        <f>VLOOKUP(B145,'FML March 2026'!E:F,2,false)</f>
        <v>VINEGAR RASPBERRY 12/33.8 OZ ROLAND</v>
      </c>
      <c r="D145" s="9" t="str">
        <f>VLOOKUP(B145,'Unit of Measure ship March 2026'!A:C,3,false)</f>
        <v>BTL/34OZ</v>
      </c>
    </row>
    <row r="146" ht="15.75" customHeight="1">
      <c r="A146" s="38"/>
      <c r="B146" s="45">
        <v>16427.0</v>
      </c>
      <c r="C146" s="40" t="str">
        <f>VLOOKUP(B146,'FML March 2026'!E:F,2,false)</f>
        <v>VINEGAR, MALT VINEGAR, HEINZ, BOTTLE</v>
      </c>
      <c r="D146" s="9" t="str">
        <f>VLOOKUP(B146,'Unit of Measure ship March 2026'!A:C,3,false)</f>
        <v>BTL/12OZ</v>
      </c>
    </row>
    <row r="147" ht="15.75" customHeight="1">
      <c r="A147" s="38"/>
      <c r="B147" s="46">
        <v>38071.0</v>
      </c>
      <c r="C147" s="40" t="str">
        <f>VLOOKUP(B147,'FML March 2026'!E:F,2,false)</f>
        <v>WASABI POWDER SANWA JAPANESE</v>
      </c>
      <c r="D147" s="9" t="str">
        <f>VLOOKUP(B147,'Unit of Measure ship March 2026'!A:C,3,false)</f>
        <v>KG</v>
      </c>
    </row>
    <row r="148" ht="15.75" customHeight="1">
      <c r="A148" s="38"/>
      <c r="B148" s="45">
        <v>49450.0</v>
      </c>
      <c r="C148" s="40" t="str">
        <f>VLOOKUP(B148,'FML March 2026'!E:F,2,false)</f>
        <v>WHIPPING CREAM (35% TO 36%) UHT</v>
      </c>
      <c r="D148" s="9" t="str">
        <f>VLOOKUP(B148,'Unit of Measure ship March 2026'!A:C,3,false)</f>
        <v>QRT</v>
      </c>
    </row>
    <row r="149" ht="15.75" customHeight="1">
      <c r="A149" s="38"/>
      <c r="B149" s="45">
        <v>109846.0</v>
      </c>
      <c r="C149" s="40" t="str">
        <f>VLOOKUP(B149,'FML March 2026'!E:F,2,false)</f>
        <v>YOGURT GREEK BULK</v>
      </c>
      <c r="D149" s="9" t="str">
        <f>VLOOKUP(B149,'Unit of Measure ship March 2026'!A:C,3,false)</f>
        <v>LBS</v>
      </c>
    </row>
    <row r="150" ht="15.75" customHeight="1">
      <c r="A150" s="38"/>
      <c r="B150" s="38"/>
    </row>
    <row r="151" ht="15.75" customHeight="1">
      <c r="A151" s="38"/>
      <c r="B151" s="38"/>
    </row>
    <row r="152" ht="15.75" customHeight="1">
      <c r="A152" s="38"/>
      <c r="B152" s="38"/>
    </row>
    <row r="153" ht="15.75" customHeight="1">
      <c r="A153" s="38"/>
      <c r="B153" s="38"/>
    </row>
    <row r="154" ht="15.75" customHeight="1">
      <c r="A154" s="38"/>
      <c r="B154" s="38"/>
    </row>
    <row r="155" ht="15.75" customHeight="1">
      <c r="A155" s="38"/>
      <c r="B155" s="38"/>
    </row>
    <row r="156" ht="15.75" customHeight="1">
      <c r="A156" s="38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3" max="3" width="59.57"/>
    <col customWidth="1" min="5" max="5" width="3.14"/>
    <col customWidth="1" min="7" max="7" width="59.57"/>
    <col customWidth="1" min="9" max="9" width="3.14"/>
  </cols>
  <sheetData>
    <row r="1">
      <c r="B1" s="1" t="s">
        <v>47</v>
      </c>
      <c r="C1" s="2"/>
      <c r="D1" s="3"/>
      <c r="F1" s="1" t="s">
        <v>48</v>
      </c>
      <c r="G1" s="2"/>
      <c r="H1" s="3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</row>
  </sheetData>
  <mergeCells count="2">
    <mergeCell ref="B1:D1"/>
    <mergeCell ref="F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8" width="8.71"/>
  </cols>
  <sheetData>
    <row r="1">
      <c r="B1" s="1" t="s">
        <v>49</v>
      </c>
      <c r="C1" s="2"/>
      <c r="D1" s="3"/>
      <c r="F1" s="1" t="s">
        <v>50</v>
      </c>
      <c r="G1" s="2"/>
      <c r="H1" s="3"/>
      <c r="J1" s="1" t="s">
        <v>51</v>
      </c>
      <c r="K1" s="2"/>
      <c r="L1" s="3"/>
      <c r="N1" s="1" t="s">
        <v>52</v>
      </c>
      <c r="O1" s="2"/>
      <c r="P1" s="3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</row>
    <row r="3" ht="14.25" customHeight="1">
      <c r="B3" s="17">
        <v>51236.0</v>
      </c>
      <c r="C3" s="40" t="str">
        <f>VLOOKUP(B3,'FML March 2026'!E:F,2,false)</f>
        <v>ACID CITRIC  1 KG L. FRANCOIS CUISINE TECH</v>
      </c>
      <c r="D3" s="9" t="str">
        <f>VLOOKUP(B3,'Unit of Measure ship March 2026'!A:C,3,false)</f>
        <v>LBS</v>
      </c>
      <c r="F3" s="8">
        <v>53697.0</v>
      </c>
      <c r="G3" s="9" t="str">
        <f>VLOOKUP(F3,'FML March 2026'!E:F,2,false)</f>
        <v>ARTICHOKE, JERUSALEM, FRESH</v>
      </c>
      <c r="H3" s="9" t="str">
        <f>VLOOKUP(F3,'Unit of Measure ship March 2026'!A:C,3,false)</f>
        <v>LBS</v>
      </c>
      <c r="J3" s="48">
        <v>148887.0</v>
      </c>
      <c r="K3" s="9" t="str">
        <f>VLOOKUP(J3,'FML March 2026'!E:F,2,false)</f>
        <v>BEEF TENDERLOIN PEELED STRAP-ON  100 DAY GRAIN FED JBS (AUSTRALIA) NAMP-189A</v>
      </c>
      <c r="L3" s="9" t="str">
        <f>VLOOKUP(J3,'Unit of Measure ship March 2026'!A:C,3,false)</f>
        <v>LBS</v>
      </c>
      <c r="N3" s="17">
        <v>10052.0</v>
      </c>
      <c r="O3" s="9" t="str">
        <f>VLOOKUP(N3,'FML March 2026'!E:F,2,false)</f>
        <v>COD FILLET BERING SEA 16/32 OZ FROZEN (PCH) (CHINA)</v>
      </c>
      <c r="P3" s="9" t="str">
        <f>VLOOKUP(N3,'Unit of Measure ship March 2026'!A:C,3,false)</f>
        <v>LBS</v>
      </c>
    </row>
    <row r="4" ht="14.25" customHeight="1">
      <c r="B4" s="17">
        <v>16211.0</v>
      </c>
      <c r="C4" s="40" t="str">
        <f>VLOOKUP(B4,'FML March 2026'!E:F,2,false)</f>
        <v>AGAR AGAR POWDER CUISINE TECH</v>
      </c>
      <c r="D4" s="9" t="str">
        <f>VLOOKUP(B4,'Unit of Measure ship March 2026'!A:C,3,false)</f>
        <v>LBS</v>
      </c>
      <c r="F4" s="17">
        <v>11843.0</v>
      </c>
      <c r="G4" s="9" t="str">
        <f>VLOOKUP(F4,'FML March 2026'!E:F,2,false)</f>
        <v>ASPARAGUS WHITE FRESH</v>
      </c>
      <c r="H4" s="9" t="str">
        <f>VLOOKUP(F4,'Unit of Measure ship March 2026'!A:C,3,false)</f>
        <v>LBS</v>
      </c>
      <c r="J4" s="17">
        <v>14386.0</v>
      </c>
      <c r="K4" s="9" t="str">
        <f>VLOOKUP(J4,'FML March 2026'!E:F,2,false)</f>
        <v>CALVES FEET 35# PACKED W PLASTIC WRAP</v>
      </c>
      <c r="L4" s="9" t="str">
        <f>VLOOKUP(J4,'Unit of Measure ship March 2026'!A:C,3,false)</f>
        <v>PC</v>
      </c>
      <c r="N4" s="17">
        <v>148490.0</v>
      </c>
      <c r="O4" s="9" t="str">
        <f>VLOOKUP(N4,'FML March 2026'!E:F,2,false)</f>
        <v>GRILLED EEL/ UNAGI/ KABAYAKI (BBQ EEL SUSHI)</v>
      </c>
      <c r="P4" s="9" t="str">
        <f>VLOOKUP(N4,'Unit of Measure ship March 2026'!A:C,3,false)</f>
        <v>LBS</v>
      </c>
    </row>
    <row r="5" ht="14.25" customHeight="1">
      <c r="B5" s="8">
        <v>16262.0</v>
      </c>
      <c r="C5" s="40" t="str">
        <f>VLOOKUP(B5,'FML March 2026'!E:F,2,false)</f>
        <v>ALLSPICE BADIA</v>
      </c>
      <c r="D5" s="9" t="str">
        <f>VLOOKUP(B5,'Unit of Measure ship March 2026'!A:C,3,false)</f>
        <v>LBS</v>
      </c>
      <c r="F5" s="17">
        <v>15572.0</v>
      </c>
      <c r="G5" s="9" t="str">
        <f>VLOOKUP(F5,'FML March 2026'!E:F,2,false)</f>
        <v>ASPARAGUS, FRESH, LARGE, FULL 11# BOX, 17 PC/BOX</v>
      </c>
      <c r="H5" s="9" t="str">
        <f>VLOOKUP(F5,'Unit of Measure ship March 2026'!A:C,3,false)</f>
        <v>LBS</v>
      </c>
      <c r="J5" s="17">
        <v>108520.0</v>
      </c>
      <c r="K5" s="9" t="str">
        <f>VLOOKUP(J5,'FML March 2026'!E:F,2,false)</f>
        <v>CHICKEN WHOLE ANTIBIOTIC-FREE (NAKED) JOYCE FARMS</v>
      </c>
      <c r="L5" s="9" t="str">
        <f>VLOOKUP(J5,'Unit of Measure ship March 2026'!A:C,3,false)</f>
        <v>LBS</v>
      </c>
      <c r="N5" s="17">
        <v>53625.0</v>
      </c>
      <c r="O5" s="9" t="str">
        <f>VLOOKUP(N5,'FML March 2026'!E:F,2,false)</f>
        <v>SALMON FILLET, ATLANTIC, PREMIUM, FROZEN, 3 - 4 LB D-TRIM INDV. CRYOVAC (CHILE)</v>
      </c>
      <c r="P5" s="9" t="str">
        <f>VLOOKUP(N5,'Unit of Measure ship March 2026'!A:C,3,false)</f>
        <v>LBS</v>
      </c>
    </row>
    <row r="6" ht="14.25" customHeight="1">
      <c r="B6" s="8">
        <v>110967.0</v>
      </c>
      <c r="C6" s="40" t="str">
        <f>VLOOKUP(B6,'FML March 2026'!E:F,2,false)</f>
        <v>ALMONDS HICKORY SMOKED CS9/9OZ BACK TO NATURE SMOKED</v>
      </c>
      <c r="D6" s="9" t="str">
        <f>VLOOKUP(B6,'Unit of Measure ship March 2026'!A:C,3,false)</f>
        <v>LBS</v>
      </c>
      <c r="F6" s="17">
        <v>15429.0</v>
      </c>
      <c r="G6" s="9" t="str">
        <f>VLOOKUP(F6,'FML March 2026'!E:F,2,false)</f>
        <v>BASIL (12 BUNCH) HYDROPONIC OR REGULAR 1 LB/CS</v>
      </c>
      <c r="H6" s="9" t="str">
        <f>VLOOKUP(F6,'Unit of Measure ship March 2026'!A:C,3,false)</f>
        <v>LBS</v>
      </c>
      <c r="J6" s="17">
        <v>14576.0</v>
      </c>
      <c r="K6" s="9" t="str">
        <f>VLOOKUP(J6,'FML March 2026'!E:F,2,false)</f>
        <v>CHICKEN, FRYER, WOG, IND WRAPPED, NON-INJECTED, 2.50-3.25 LB EA, FZN, 12/1 EA</v>
      </c>
      <c r="L6" s="9" t="str">
        <f>VLOOKUP(J6,'Unit of Measure ship March 2026'!A:C,3,false)</f>
        <v>LBS</v>
      </c>
      <c r="N6" s="18">
        <v>102829.0</v>
      </c>
      <c r="O6" s="9" t="str">
        <f>VLOOKUP(N6,'FML March 2026'!E:F,2,false)</f>
        <v>Scallops 10/15 CT</v>
      </c>
      <c r="P6" s="9" t="str">
        <f>VLOOKUP(N6,'Unit of Measure ship March 2026'!A:C,3,false)</f>
        <v>LBS</v>
      </c>
    </row>
    <row r="7" ht="14.25" customHeight="1">
      <c r="B7" s="8">
        <v>109664.0</v>
      </c>
      <c r="C7" s="40" t="str">
        <f>VLOOKUP(B7,'FML March 2026'!E:F,2,false)</f>
        <v>APPLE CIDER VINEGAR SPARROW LANE V</v>
      </c>
      <c r="D7" s="9" t="str">
        <f>VLOOKUP(B7,'Unit of Measure ship March 2026'!A:C,3,false)</f>
        <v>GAL</v>
      </c>
      <c r="F7" s="17">
        <v>111119.0</v>
      </c>
      <c r="G7" s="9" t="str">
        <f>VLOOKUP(F7,'FML March 2026'!E:F,2,false)</f>
        <v>BASIL BLOSSOMS FRESH TRAY 6/POTS HARPKE FARMS</v>
      </c>
      <c r="H7" s="9" t="str">
        <f>VLOOKUP(F7,'Unit of Measure ship March 2026'!A:C,3,false)</f>
        <v>LBS</v>
      </c>
      <c r="J7" s="17">
        <v>27414.0</v>
      </c>
      <c r="K7" s="9" t="str">
        <f>VLOOKUP(J7,'FML March 2026'!E:F,2,false)</f>
        <v>LAMB RACKS CAPOFF FRENCHED 20/28 OZ FROZEN INDV VAC PAC  (NEW ZEALAND/AUSTRALIA)</v>
      </c>
      <c r="L7" s="9" t="str">
        <f>VLOOKUP(J7,'Unit of Measure ship March 2026'!A:C,3,false)</f>
        <v>LBS</v>
      </c>
      <c r="N7" s="17">
        <v>42269.0</v>
      </c>
      <c r="O7" s="9" t="str">
        <f>VLOOKUP(N7,'FML March 2026'!E:F,2,false)</f>
        <v>SHRIMP 16/20 RAW P&amp;D TAIL-ON CS10/LB SURAM ROYAL WHITE (VIETNAM)</v>
      </c>
      <c r="P7" s="9" t="str">
        <f>VLOOKUP(N7,'Unit of Measure ship March 2026'!A:C,3,false)</f>
        <v>LBS</v>
      </c>
    </row>
    <row r="8" ht="14.25" customHeight="1">
      <c r="B8" s="8">
        <v>109223.0</v>
      </c>
      <c r="C8" s="40" t="str">
        <f>VLOOKUP(B8,'FML March 2026'!E:F,2,false)</f>
        <v>AQUAFABA POWDER EGG REPLACER SAHELI PK 300GR</v>
      </c>
      <c r="D8" s="9" t="str">
        <f>VLOOKUP(B8,'Unit of Measure ship March 2026'!A:C,3,false)</f>
        <v>LBS</v>
      </c>
      <c r="F8" s="8">
        <v>15449.0</v>
      </c>
      <c r="G8" s="9" t="str">
        <f>VLOOKUP(F8,'FML March 2026'!E:F,2,false)</f>
        <v>BEET ROOTS LARGE 1/25#</v>
      </c>
      <c r="H8" s="9" t="str">
        <f>VLOOKUP(F8,'Unit of Measure ship March 2026'!A:C,3,false)</f>
        <v>LBS</v>
      </c>
      <c r="J8" s="17">
        <v>42345.0</v>
      </c>
      <c r="K8" s="9" t="str">
        <f>VLOOKUP(J8,'FML March 2026'!E:F,2,false)</f>
        <v>VENISON, STRIPLOIN, BONELESS, DENUDED, 4-6 LB EA, FZN</v>
      </c>
      <c r="L8" s="9" t="str">
        <f>VLOOKUP(J8,'Unit of Measure ship March 2026'!A:C,3,false)</f>
        <v>LBS</v>
      </c>
      <c r="N8" s="17"/>
      <c r="O8" s="9"/>
      <c r="P8" s="9"/>
    </row>
    <row r="9" ht="14.25" customHeight="1">
      <c r="B9" s="8">
        <v>15651.0</v>
      </c>
      <c r="C9" s="40" t="str">
        <f>VLOOKUP(B9,'FML March 2026'!E:F,2,false)</f>
        <v>BAKING POWDER 50 LB</v>
      </c>
      <c r="D9" s="9" t="str">
        <f>VLOOKUP(B9,'Unit of Measure ship March 2026'!A:C,3,false)</f>
        <v>LBS</v>
      </c>
      <c r="F9" s="8">
        <v>15335.0</v>
      </c>
      <c r="G9" s="9" t="str">
        <f>VLOOKUP(F9,'FML March 2026'!E:F,2,false)</f>
        <v>BLUEBERRIES FRESH 12 1/2 PT 4.5#</v>
      </c>
      <c r="H9" s="9" t="str">
        <f>VLOOKUP(F9,'Unit of Measure ship March 2026'!A:C,3,false)</f>
        <v>LBS</v>
      </c>
      <c r="O9" s="9"/>
      <c r="P9" s="9"/>
    </row>
    <row r="10" ht="14.25" customHeight="1">
      <c r="B10" s="8">
        <v>15652.0</v>
      </c>
      <c r="C10" s="40" t="str">
        <f>VLOOKUP(B10,'FML March 2026'!E:F,2,false)</f>
        <v>BAKING SODA</v>
      </c>
      <c r="D10" s="9" t="str">
        <f>VLOOKUP(B10,'Unit of Measure ship March 2026'!A:C,3,false)</f>
        <v>LBS</v>
      </c>
      <c r="F10" s="8">
        <v>15458.0</v>
      </c>
      <c r="G10" s="9" t="str">
        <f>VLOOKUP(F10,'FML March 2026'!E:F,2,false)</f>
        <v>CARROTS CLIP TOP 50#</v>
      </c>
      <c r="H10" s="9" t="str">
        <f>VLOOKUP(F10,'Unit of Measure ship March 2026'!A:C,3,false)</f>
        <v>LBS</v>
      </c>
      <c r="K10" s="9"/>
      <c r="L10" s="9"/>
      <c r="O10" s="9"/>
      <c r="P10" s="9"/>
    </row>
    <row r="11" ht="14.25" customHeight="1">
      <c r="B11" s="8">
        <v>16182.0</v>
      </c>
      <c r="C11" s="40" t="str">
        <f>VLOOKUP(B11,'FML March 2026'!E:F,2,false)</f>
        <v>BARLEY PEARLED</v>
      </c>
      <c r="D11" s="9" t="str">
        <f>VLOOKUP(B11,'Unit of Measure ship March 2026'!A:C,3,false)</f>
        <v>LBS</v>
      </c>
      <c r="F11" s="17">
        <v>110917.0</v>
      </c>
      <c r="G11" s="9" t="str">
        <f>VLOOKUP(F11,'FML March 2026'!E:F,2,false)</f>
        <v>CAULIFLOWER ORANGE 12CT (28LB)</v>
      </c>
      <c r="H11" s="9" t="str">
        <f>VLOOKUP(F11,'Unit of Measure ship March 2026'!A:C,3,false)</f>
        <v>LBS</v>
      </c>
      <c r="K11" s="9"/>
      <c r="L11" s="9"/>
      <c r="O11" s="9"/>
      <c r="P11" s="9"/>
    </row>
    <row r="12" ht="14.25" customHeight="1">
      <c r="B12" s="8">
        <v>110934.0</v>
      </c>
      <c r="C12" s="40" t="str">
        <f>VLOOKUP(B12,'FML March 2026'!E:F,2,false)</f>
        <v>BASIL SEEDS PKG 1 LB   KALUSTYANS</v>
      </c>
      <c r="D12" s="9" t="str">
        <f>VLOOKUP(B12,'Unit of Measure ship March 2026'!A:C,3,false)</f>
        <v>LBS</v>
      </c>
      <c r="F12" s="8">
        <v>15562.0</v>
      </c>
      <c r="G12" s="9" t="str">
        <f>VLOOKUP(F12,'FML March 2026'!E:F,2,false)</f>
        <v>CELERIAC (CELERY ROOT) 20#</v>
      </c>
      <c r="H12" s="9" t="str">
        <f>VLOOKUP(F12,'Unit of Measure ship March 2026'!A:C,3,false)</f>
        <v>LBS</v>
      </c>
      <c r="J12" s="17"/>
      <c r="K12" s="9"/>
      <c r="L12" s="9"/>
      <c r="O12" s="9"/>
      <c r="P12" s="9"/>
    </row>
    <row r="13" ht="14.25" customHeight="1">
      <c r="B13" s="8">
        <v>16250.0</v>
      </c>
      <c r="C13" s="40" t="str">
        <f>VLOOKUP(B13,'FML March 2026'!E:F,2,false)</f>
        <v>BAY LEAVES WHOLE D`ALLESANDRO/ SPICECO</v>
      </c>
      <c r="D13" s="9" t="str">
        <f>VLOOKUP(B13,'Unit of Measure ship March 2026'!A:C,3,false)</f>
        <v>LBS</v>
      </c>
      <c r="F13" s="17">
        <v>15460.0</v>
      </c>
      <c r="G13" s="9" t="str">
        <f>VLOOKUP(F13,'FML March 2026'!E:F,2,false)</f>
        <v>CELERY #1 CAL. 36CT 60#</v>
      </c>
      <c r="H13" s="9" t="str">
        <f>VLOOKUP(F13,'Unit of Measure ship March 2026'!A:C,3,false)</f>
        <v>LBS</v>
      </c>
      <c r="J13" s="17"/>
      <c r="K13" s="9"/>
      <c r="L13" s="9"/>
      <c r="O13" s="9"/>
      <c r="P13" s="9"/>
    </row>
    <row r="14" ht="14.25" customHeight="1">
      <c r="B14" s="8">
        <v>109712.0</v>
      </c>
      <c r="C14" s="40" t="str">
        <f>VLOOKUP(B14,'FML March 2026'!E:F,2,false)</f>
        <v>BREAD SOURDOUGH COUNTRY WHEAT BRD40B19  1KG LOAF  ZAK THE BAKER</v>
      </c>
      <c r="D14" s="9" t="str">
        <f>VLOOKUP(B14,'Unit of Measure ship March 2026'!A:C,3,false)</f>
        <v>LV</v>
      </c>
      <c r="F14" s="8">
        <v>109760.0</v>
      </c>
      <c r="G14" s="9" t="str">
        <f>VLOOKUP(F14,'FML March 2026'!E:F,2,false)</f>
        <v>CELERY MICRO HARPKE FAMILY FARM - PK/5 OZ PACKED IN 60 OZ CLAM SHELL</v>
      </c>
      <c r="H14" s="9" t="str">
        <f>VLOOKUP(F14,'Unit of Measure ship March 2026'!A:C,3,false)</f>
        <v>PK/5OZ</v>
      </c>
      <c r="K14" s="9"/>
      <c r="L14" s="9"/>
      <c r="O14" s="9"/>
      <c r="P14" s="9"/>
    </row>
    <row r="15" ht="14.25" customHeight="1">
      <c r="B15" s="8">
        <v>16981.0</v>
      </c>
      <c r="C15" s="40" t="str">
        <f>VLOOKUP(B15,'FML March 2026'!E:F,2,false)</f>
        <v>BRIE MON PERE 60% 3KG / DEXPA # 53726</v>
      </c>
      <c r="D15" s="9" t="str">
        <f>VLOOKUP(B15,'Unit of Measure ship March 2026'!A:C,3,false)</f>
        <v>LBS</v>
      </c>
      <c r="F15" s="17">
        <v>15543.0</v>
      </c>
      <c r="G15" s="9" t="str">
        <f>VLOOKUP(F15,'FML March 2026'!E:F,2,false)</f>
        <v>CHERVIL, FRESH, 12BU 1 LB/CS</v>
      </c>
      <c r="H15" s="9" t="str">
        <f>VLOOKUP(F15,'Unit of Measure ship March 2026'!A:C,3,false)</f>
        <v>LBS</v>
      </c>
      <c r="K15" s="9"/>
      <c r="L15" s="9"/>
      <c r="N15" s="49"/>
      <c r="O15" s="9"/>
      <c r="P15" s="9"/>
    </row>
    <row r="16" ht="14.25" customHeight="1">
      <c r="B16" s="8">
        <v>109933.0</v>
      </c>
      <c r="C16" s="40" t="str">
        <f>VLOOKUP(B16,'FML March 2026'!E:F,2,false)</f>
        <v>BUTTER ALTERNATIVE VEGAN PLANT PERFECT (USA)</v>
      </c>
      <c r="D16" s="9" t="str">
        <f>VLOOKUP(B16,'Unit of Measure ship March 2026'!A:C,3,false)</f>
        <v>LBS</v>
      </c>
      <c r="F16" s="17">
        <v>15438.0</v>
      </c>
      <c r="G16" s="9" t="str">
        <f>VLOOKUP(F16,'FML March 2026'!E:F,2,false)</f>
        <v>CHIVES (12 BUNCH), 1 LB/CS</v>
      </c>
      <c r="H16" s="9" t="str">
        <f>VLOOKUP(F16,'Unit of Measure ship March 2026'!A:C,3,false)</f>
        <v>LBS</v>
      </c>
      <c r="K16" s="9"/>
      <c r="L16" s="9"/>
      <c r="N16" s="49"/>
      <c r="O16" s="9"/>
      <c r="P16" s="9"/>
    </row>
    <row r="17" ht="14.25" customHeight="1">
      <c r="B17" s="17">
        <v>15016.0</v>
      </c>
      <c r="C17" s="40" t="str">
        <f>VLOOKUP(B17,'FML March 2026'!E:F,2,false)</f>
        <v>BUTTER, UNSALTED, 82% FAT, FZN, 50/200 G</v>
      </c>
      <c r="D17" s="9" t="str">
        <f>VLOOKUP(B17,'Unit of Measure ship March 2026'!A:C,3,false)</f>
        <v>LBS</v>
      </c>
      <c r="F17" s="17">
        <v>15431.0</v>
      </c>
      <c r="G17" s="9" t="str">
        <f>VLOOKUP(F17,'FML March 2026'!E:F,2,false)</f>
        <v>CILANTRO (12 BUNCH) 1 LB/CS DOMESTIC</v>
      </c>
      <c r="H17" s="9" t="str">
        <f>VLOOKUP(F17,'Unit of Measure ship March 2026'!A:C,3,false)</f>
        <v>LBS</v>
      </c>
      <c r="K17" s="9"/>
      <c r="L17" s="9"/>
      <c r="N17" s="49"/>
      <c r="O17" s="9"/>
      <c r="P17" s="9"/>
    </row>
    <row r="18" ht="14.25" customHeight="1">
      <c r="B18" s="8">
        <v>43176.0</v>
      </c>
      <c r="C18" s="40" t="str">
        <f>VLOOKUP(B18,'FML March 2026'!E:F,2,false)</f>
        <v>BUTTER, UNSALTED, 84% FAT, EXTRA DRY, SHEETED, CROISSANT, FZN, 5/2 KG</v>
      </c>
      <c r="D18" s="9" t="str">
        <f>VLOOKUP(B18,'Unit of Measure ship March 2026'!A:C,3,false)</f>
        <v>KG</v>
      </c>
      <c r="F18" s="8">
        <v>111175.0</v>
      </c>
      <c r="G18" s="9" t="str">
        <f>VLOOKUP(F18,'FML March 2026'!E:F,2,false)</f>
        <v>CILANTRO MICRO FRESH HARPKE FAMILY FARM PK/5 OZ PACKED IN 60 OZ SIZE CLAM SHELL</v>
      </c>
      <c r="H18" s="9" t="str">
        <f>VLOOKUP(F18,'Unit of Measure ship March 2026'!A:C,3,false)</f>
        <v>EA</v>
      </c>
      <c r="K18" s="9"/>
      <c r="L18" s="9"/>
      <c r="N18" s="49"/>
      <c r="O18" s="9"/>
      <c r="P18" s="9"/>
    </row>
    <row r="19" ht="14.25" customHeight="1">
      <c r="B19" s="8">
        <v>14893.0</v>
      </c>
      <c r="C19" s="40" t="str">
        <f>VLOOKUP(B19,'FML March 2026'!E:F,2,false)</f>
        <v>BUTTERMILK LOCAL 10 DAYS CS9/HGAL</v>
      </c>
      <c r="D19" s="9" t="str">
        <f>VLOOKUP(B19,'Unit of Measure ship March 2026'!A:C,3,false)</f>
        <v>QRT</v>
      </c>
      <c r="F19" s="8">
        <v>10013.0</v>
      </c>
      <c r="G19" s="9" t="str">
        <f>VLOOKUP(F19,'FML March 2026'!E:F,2,false)</f>
        <v>CORN ON THE COB FRESH</v>
      </c>
      <c r="H19" s="9" t="str">
        <f>VLOOKUP(F19,'Unit of Measure ship March 2026'!A:C,3,false)</f>
        <v>LBS</v>
      </c>
      <c r="K19" s="9"/>
      <c r="L19" s="9"/>
      <c r="N19" s="49"/>
      <c r="O19" s="9"/>
      <c r="P19" s="9"/>
    </row>
    <row r="20" ht="14.25" customHeight="1">
      <c r="B20" s="17">
        <v>15893.0</v>
      </c>
      <c r="C20" s="40" t="str">
        <f>VLOOKUP(B20,'FML March 2026'!E:F,2,false)</f>
        <v>CASHEWS, RAW, WHOLE, #320, DRY, 1/50 LB</v>
      </c>
      <c r="D20" s="9" t="str">
        <f>VLOOKUP(B20,'Unit of Measure ship March 2026'!A:C,3,false)</f>
        <v>LBS</v>
      </c>
      <c r="F20" s="17">
        <v>109754.0</v>
      </c>
      <c r="G20" s="9" t="str">
        <f>VLOOKUP(F20,'FML March 2026'!E:F,2,false)</f>
        <v>CUCUMBER ENGLISH SEEDLESS, LARGE</v>
      </c>
      <c r="H20" s="9" t="str">
        <f>VLOOKUP(F20,'Unit of Measure ship March 2026'!A:C,3,false)</f>
        <v>LBS</v>
      </c>
      <c r="K20" s="9"/>
      <c r="L20" s="9"/>
      <c r="N20" s="49"/>
      <c r="O20" s="9"/>
      <c r="P20" s="9"/>
    </row>
    <row r="21" ht="14.25" customHeight="1">
      <c r="B21" s="8">
        <v>145538.0</v>
      </c>
      <c r="C21" s="40" t="str">
        <f>VLOOKUP(B21,'FML March 2026'!E:F,2,false)</f>
        <v>CAVIAR WHITE STURGEON CAN 250 GRAM</v>
      </c>
      <c r="D21" s="9" t="str">
        <f>VLOOKUP(B21,'Unit of Measure ship March 2026'!A:C,3,false)</f>
        <v>JAR/250G</v>
      </c>
      <c r="F21" s="8">
        <v>110076.0</v>
      </c>
      <c r="G21" s="9" t="str">
        <f>VLOOKUP(F21,'FML March 2026'!E:F,2,false)</f>
        <v>CUCUMBER MINI PERSIAN</v>
      </c>
      <c r="H21" s="9" t="str">
        <f>VLOOKUP(F21,'Unit of Measure ship March 2026'!A:C,3,false)</f>
        <v>LBS</v>
      </c>
      <c r="K21" s="9"/>
      <c r="L21" s="9"/>
      <c r="N21" s="49"/>
      <c r="O21" s="9"/>
      <c r="P21" s="9"/>
    </row>
    <row r="22" ht="14.25" customHeight="1">
      <c r="B22" s="8">
        <v>111997.0</v>
      </c>
      <c r="C22" s="40" t="str">
        <f>VLOOKUP(B22,'FML March 2026'!E:F,2,false)</f>
        <v>CAVIAROLI  OLIVE OIL/ TRUFFLE   APPETIZER</v>
      </c>
      <c r="D22" s="9" t="str">
        <f>VLOOKUP(B22,'Unit of Measure ship March 2026'!A:C,3,false)</f>
        <v>PC50/GR</v>
      </c>
      <c r="F22" s="8">
        <v>15462.0</v>
      </c>
      <c r="G22" s="9" t="str">
        <f>VLOOKUP(F22,'FML March 2026'!E:F,2,false)</f>
        <v>CUCUMBERS SEEDLESS LARGE, PLASTIC WRAPPED 13#</v>
      </c>
      <c r="H22" s="9" t="str">
        <f>VLOOKUP(F22,'Unit of Measure ship March 2026'!A:C,3,false)</f>
        <v>LBS</v>
      </c>
      <c r="K22" s="9"/>
      <c r="L22" s="9"/>
      <c r="N22" s="49"/>
      <c r="O22" s="9"/>
      <c r="P22" s="9"/>
    </row>
    <row r="23" ht="14.25" customHeight="1">
      <c r="B23" s="8">
        <v>35186.0</v>
      </c>
      <c r="C23" s="40" t="str">
        <f>VLOOKUP(B23,'FML March 2026'!E:F,2,false)</f>
        <v>CELERY SALT 32 OZ D`ALLESANDRO/ SPICE CO</v>
      </c>
      <c r="D23" s="9" t="str">
        <f>VLOOKUP(B23,'Unit of Measure ship March 2026'!A:C,3,false)</f>
        <v>JAR/32OZ</v>
      </c>
      <c r="F23" s="8">
        <v>15619.0</v>
      </c>
      <c r="G23" s="9" t="str">
        <f>VLOOKUP(F23,'FML March 2026'!E:F,2,false)</f>
        <v>DAIKON 20#/CS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8">
        <v>16265.0</v>
      </c>
      <c r="C24" s="40" t="str">
        <f>VLOOKUP(B24,'FML March 2026'!E:F,2,false)</f>
        <v>CHINESE FIVE SPICE 16 OZ D`ALLESANDRO/ SPICECO</v>
      </c>
      <c r="D24" s="9" t="str">
        <f>VLOOKUP(B24,'Unit of Measure ship March 2026'!A:C,3,false)</f>
        <v>LBS</v>
      </c>
      <c r="F24" s="17">
        <v>15433.0</v>
      </c>
      <c r="G24" s="9" t="str">
        <f>VLOOKUP(F24,'FML March 2026'!E:F,2,false)</f>
        <v>DILL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8">
        <v>16253.0</v>
      </c>
      <c r="C25" s="40" t="str">
        <f>VLOOKUP(B25,'FML March 2026'!E:F,2,false)</f>
        <v>CINNAMON GROUND</v>
      </c>
      <c r="D25" s="9" t="str">
        <f>VLOOKUP(B25,'Unit of Measure ship March 2026'!A:C,3,false)</f>
        <v>LBS</v>
      </c>
      <c r="F25" s="17">
        <v>36433.0</v>
      </c>
      <c r="G25" s="9" t="str">
        <f>VLOOKUP(F25,'FML March 2026'!E:F,2,false)</f>
        <v>EGGPLANT JAPANESE 10#/CS</v>
      </c>
      <c r="H25" s="9" t="str">
        <f>VLOOKUP(F25,'Unit of Measure ship March 2026'!A:C,3,false)</f>
        <v>CS10/LBS</v>
      </c>
      <c r="J25" s="49"/>
      <c r="K25" s="9"/>
      <c r="L25" s="9"/>
      <c r="N25" s="49"/>
      <c r="O25" s="9"/>
      <c r="P25" s="9"/>
    </row>
    <row r="26" ht="14.25" customHeight="1">
      <c r="B26" s="8">
        <v>35447.0</v>
      </c>
      <c r="C26" s="40" t="str">
        <f>VLOOKUP(B26,'FML March 2026'!E:F,2,false)</f>
        <v>COCOA BUTTER CALLEBAUT/ COCOA BARRY</v>
      </c>
      <c r="D26" s="9" t="str">
        <f>VLOOKUP(B26,'Unit of Measure ship March 2026'!A:C,3,false)</f>
        <v>LBS</v>
      </c>
      <c r="F26" s="17">
        <v>15464.0</v>
      </c>
      <c r="G26" s="9" t="str">
        <f>VLOOKUP(F26,'FML March 2026'!E:F,2,false)</f>
        <v>EGGPLANT MEDIUM, 225 - 300 MM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8">
        <v>62920.0</v>
      </c>
      <c r="C27" s="40" t="str">
        <f>VLOOKUP(B27,'FML March 2026'!E:F,2,false)</f>
        <v>COCONUT MILK CS24/14OZ  17% TO 18%</v>
      </c>
      <c r="D27" s="9" t="str">
        <f>VLOOKUP(B27,'Unit of Measure ship March 2026'!A:C,3,false)</f>
        <v>PC/13.5Z</v>
      </c>
      <c r="F27" s="17">
        <v>15547.0</v>
      </c>
      <c r="G27" s="9" t="str">
        <f>VLOOKUP(F27,'FML March 2026'!E:F,2,false)</f>
        <v>FENNEL FRESH CAL. 40#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8">
        <v>109675.0</v>
      </c>
      <c r="C28" s="40" t="str">
        <f>VLOOKUP(B28,'FML March 2026'!E:F,2,false)</f>
        <v>COCONUT OIL LA TOURANGELLE</v>
      </c>
      <c r="D28" s="9" t="str">
        <f>VLOOKUP(B28,'Unit of Measure ship March 2026'!A:C,3,false)</f>
        <v>GAL</v>
      </c>
      <c r="F28" s="8">
        <v>109766.0</v>
      </c>
      <c r="G28" s="9" t="str">
        <f>VLOOKUP(F28,'FML March 2026'!E:F,2,false)</f>
        <v>GARLIC BLACK PEELED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8">
        <v>16288.0</v>
      </c>
      <c r="C29" s="40" t="str">
        <f>VLOOKUP(B29,'FML March 2026'!E:F,2,false)</f>
        <v>CORIANDER WHOLE BADIA (USA )</v>
      </c>
      <c r="D29" s="9" t="str">
        <f>VLOOKUP(B29,'Unit of Measure ship March 2026'!A:C,3,false)</f>
        <v>LBS</v>
      </c>
      <c r="F29" s="17">
        <v>15466.0</v>
      </c>
      <c r="G29" s="9" t="str">
        <f>VLOOKUP(F29,'FML March 2026'!E:F,2,false)</f>
        <v>GARLIC CRATE JUMBO 30# 8 CT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8">
        <v>16264.0</v>
      </c>
      <c r="C30" s="40" t="str">
        <f>VLOOKUP(B30,'FML March 2026'!E:F,2,false)</f>
        <v>CUMIN SEED WHOLE BADIA (USA )</v>
      </c>
      <c r="D30" s="9" t="str">
        <f>VLOOKUP(B30,'Unit of Measure ship March 2026'!A:C,3,false)</f>
        <v>LBS</v>
      </c>
      <c r="F30" s="17">
        <v>30639.0</v>
      </c>
      <c r="G30" s="9" t="str">
        <f>VLOOKUP(F30,'FML March 2026'!E:F,2,false)</f>
        <v>GARLIC PEELED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8">
        <v>111106.0</v>
      </c>
      <c r="C31" s="40" t="str">
        <f>VLOOKUP(B31,'FML March 2026'!E:F,2,false)</f>
        <v>DOENJANG SOY BEAN PASTE  ASSI</v>
      </c>
      <c r="D31" s="9" t="str">
        <f>VLOOKUP(B31,'Unit of Measure ship March 2026'!A:C,3,false)</f>
        <v>LBS</v>
      </c>
      <c r="F31" s="8">
        <v>110907.0</v>
      </c>
      <c r="G31" s="9" t="str">
        <f>VLOOKUP(F31,'FML March 2026'!E:F,2,false)</f>
        <v>KALE GREEN  FRESH CS15/LBS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8">
        <v>109522.0</v>
      </c>
      <c r="C32" s="40" t="str">
        <f>VLOOKUP(B32,'FML March 2026'!E:F,2,false)</f>
        <v>EDIBLE CHARCOAL POWDER VEGAN PKG 2LB AMERICAN HARDWOOD (USA)</v>
      </c>
      <c r="D32" s="9" t="str">
        <f>VLOOKUP(B32,'Unit of Measure ship March 2026'!A:C,3,false)</f>
        <v>LBS</v>
      </c>
      <c r="F32" s="8">
        <v>15471.0</v>
      </c>
      <c r="G32" s="9" t="str">
        <f>VLOOKUP(F32,'FML March 2026'!E:F,2,false)</f>
        <v>LEEKS LARGE FRESH 12 BU 15#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8">
        <v>106916.0</v>
      </c>
      <c r="C33" s="40" t="str">
        <f>VLOOKUP(B33,'FML March 2026'!E:F,2,false)</f>
        <v>EGG WHITE POWDER</v>
      </c>
      <c r="D33" s="9" t="str">
        <f>VLOOKUP(B33,'Unit of Measure ship March 2026'!A:C,3,false)</f>
        <v>JAR/800G</v>
      </c>
      <c r="F33" s="17">
        <v>15397.0</v>
      </c>
      <c r="G33" s="9" t="str">
        <f>VLOOKUP(F33,'FML March 2026'!E:F,2,false)</f>
        <v>LEMONS FRESH FIRM FANCY CALIF. SUNKIST #1 200CT 40#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17">
        <v>15022.0</v>
      </c>
      <c r="C34" s="40" t="str">
        <f>VLOOKUP(B34,'FML March 2026'!E:F,2,false)</f>
        <v>EGGS-DATED, MEDIUM, REGULAR</v>
      </c>
      <c r="D34" s="9" t="str">
        <f>VLOOKUP(B34,'Unit of Measure ship March 2026'!A:C,3,false)</f>
        <v>PC</v>
      </c>
      <c r="F34" s="17">
        <v>15399.0</v>
      </c>
      <c r="G34" s="9" t="str">
        <f>VLOOKUP(F34,'FML March 2026'!E:F,2,false)</f>
        <v>LIMES, FRESH, FIRM #1 200CT 40#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8">
        <v>16259.0</v>
      </c>
      <c r="C35" s="40" t="str">
        <f>VLOOKUP(B35,'FML March 2026'!E:F,2,false)</f>
        <v>FENNEL SEED WHOLE BADIA (USA )</v>
      </c>
      <c r="D35" s="9" t="str">
        <f>VLOOKUP(B35,'Unit of Measure ship March 2026'!A:C,3,false)</f>
        <v>LBS</v>
      </c>
      <c r="F35" s="17">
        <v>110908.0</v>
      </c>
      <c r="G35" s="9" t="str">
        <f>VLOOKUP(F35,'FML March 2026'!E:F,2,false)</f>
        <v>MARIGOLD FLOWERS FRESH 50 CT (4 OZ)</v>
      </c>
      <c r="H35" s="9" t="str">
        <f>VLOOKUP(F35,'Unit of Measure ship March 2026'!A:C,3,false)</f>
        <v>EA</v>
      </c>
      <c r="J35" s="49"/>
      <c r="K35" s="9"/>
      <c r="L35" s="9"/>
      <c r="N35" s="49"/>
      <c r="O35" s="9"/>
      <c r="P35" s="9"/>
    </row>
    <row r="36" ht="14.25" customHeight="1">
      <c r="B36" s="17">
        <v>16535.0</v>
      </c>
      <c r="C36" s="40" t="str">
        <f>VLOOKUP(B36,'FML March 2026'!E:F,2,false)</f>
        <v>FISH SAUCE, BTL (REQUIRES INSPECTION)</v>
      </c>
      <c r="D36" s="9" t="str">
        <f>VLOOKUP(B36,'Unit of Measure ship March 2026'!A:C,3,false)</f>
        <v>BTL/24OZ</v>
      </c>
      <c r="F36" s="17">
        <v>110915.0</v>
      </c>
      <c r="G36" s="9" t="str">
        <f>VLOOKUP(F36,'FML March 2026'!E:F,2,false)</f>
        <v>MICRO GREEN FLOWER BLEND PKG 8 OZ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</row>
    <row r="37" ht="14.25" customHeight="1">
      <c r="B37" s="8">
        <v>31226.0</v>
      </c>
      <c r="C37" s="40" t="str">
        <f>VLOOKUP(B37,'FML March 2026'!E:F,2,false)</f>
        <v>FLEUR DE SEL / SEL DE GUERANDE 1 KG PAIL</v>
      </c>
      <c r="D37" s="9" t="str">
        <f>VLOOKUP(B37,'Unit of Measure ship March 2026'!A:C,3,false)</f>
        <v>LBS</v>
      </c>
      <c r="F37" s="17">
        <v>110919.0</v>
      </c>
      <c r="G37" s="9" t="str">
        <f>VLOOKUP(F37,'FML March 2026'!E:F,2,false)</f>
        <v>MICRO GREEN NASTURDIUM  PKG/8OZ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</row>
    <row r="38" ht="14.25" customHeight="1">
      <c r="B38" s="8">
        <v>147847.0</v>
      </c>
      <c r="C38" s="40" t="str">
        <f>VLOOKUP(B38,'FML March 2026'!E:F,2,false)</f>
        <v>FLOUR GLUTEN FREE/ SUGAR FREE  CUP 4 CUP CS25/ LB</v>
      </c>
      <c r="D38" s="9" t="str">
        <f>VLOOKUP(B38,'Unit of Measure ship March 2026'!A:C,3,false)</f>
        <v>LBS</v>
      </c>
      <c r="F38" s="8">
        <v>110911.0</v>
      </c>
      <c r="G38" s="9" t="str">
        <f>VLOOKUP(F38,'FML March 2026'!E:F,2,false)</f>
        <v>MICRO GREEN PLUM SORREL PURPLR PKG 8 OZ</v>
      </c>
      <c r="H38" s="9" t="str">
        <f>VLOOKUP(F38,'Unit of Measure ship March 2026'!A:C,3,false)</f>
        <v>PKG4/OZ</v>
      </c>
      <c r="J38" s="49"/>
      <c r="K38" s="9"/>
      <c r="L38" s="9"/>
      <c r="N38" s="49"/>
      <c r="O38" s="9"/>
      <c r="P38" s="9"/>
    </row>
    <row r="39" ht="14.25" customHeight="1">
      <c r="B39" s="8">
        <v>109714.0</v>
      </c>
      <c r="C39" s="40" t="str">
        <f>VLOOKUP(B39,'FML March 2026'!E:F,2,false)</f>
        <v>FOOD COLOR BLACK  CHEF RUBBER</v>
      </c>
      <c r="D39" s="9" t="str">
        <f>VLOOKUP(B39,'Unit of Measure ship March 2026'!A:C,3,false)</f>
        <v>CUP/125G</v>
      </c>
      <c r="F39" s="8">
        <v>111180.0</v>
      </c>
      <c r="G39" s="9" t="str">
        <f>VLOOKUP(F39,'FML March 2026'!E:F,2,false)</f>
        <v>MICRO GREENS BASIL FRESH HARPKE FAMILY FARMS - PK/5 OZ PACKED IN 60 OZ CLAM SHELL SIZE</v>
      </c>
      <c r="H39" s="9" t="str">
        <f>VLOOKUP(F39,'Unit of Measure ship March 2026'!A:C,3,false)</f>
        <v>EA</v>
      </c>
      <c r="J39" s="49"/>
      <c r="K39" s="9"/>
      <c r="L39" s="9"/>
      <c r="N39" s="49"/>
      <c r="O39" s="9"/>
      <c r="P39" s="9"/>
    </row>
    <row r="40" ht="14.25" customHeight="1">
      <c r="B40" s="17">
        <v>15671.0</v>
      </c>
      <c r="C40" s="40" t="str">
        <f>VLOOKUP(B40,'FML March 2026'!E:F,2,false)</f>
        <v>FOOD COLOR GREEN 1/10.5 OZ CHEFMASTER</v>
      </c>
      <c r="D40" s="9" t="str">
        <f>VLOOKUP(B40,'Unit of Measure ship March 2026'!A:C,3,false)</f>
        <v>BTL/10OZ</v>
      </c>
      <c r="F40" s="8">
        <v>110914.0</v>
      </c>
      <c r="G40" s="9" t="str">
        <f>VLOOKUP(F40,'FML March 2026'!E:F,2,false)</f>
        <v>MICRO SPINACH NEW ZEALAND</v>
      </c>
      <c r="H40" s="9" t="str">
        <f>VLOOKUP(F40,'Unit of Measure ship March 2026'!A:C,3,false)</f>
        <v>PKG/8OZ</v>
      </c>
      <c r="J40" s="49"/>
      <c r="K40" s="9"/>
      <c r="L40" s="9"/>
      <c r="N40" s="49"/>
      <c r="O40" s="9"/>
      <c r="P40" s="9"/>
    </row>
    <row r="41" ht="14.25" customHeight="1">
      <c r="B41" s="8">
        <v>15673.0</v>
      </c>
      <c r="C41" s="40" t="str">
        <f>VLOOKUP(B41,'FML March 2026'!E:F,2,false)</f>
        <v>FOOD COLOR YELLOW 1/10.5 OZ CHEFMASTER</v>
      </c>
      <c r="D41" s="9" t="str">
        <f>VLOOKUP(B41,'Unit of Measure ship March 2026'!A:C,3,false)</f>
        <v>BTL/10OZ</v>
      </c>
      <c r="F41" s="8">
        <v>111046.0</v>
      </c>
      <c r="G41" s="9" t="str">
        <f>VLOOKUP(F41,'FML March 2026'!E:F,2,false)</f>
        <v>MUSHROOM HON SHIMEJII BROIWNFRESH CS3/LB</v>
      </c>
      <c r="H41" s="9" t="str">
        <f>VLOOKUP(F41,'Unit of Measure ship March 2026'!A:C,3,false)</f>
        <v>LBS</v>
      </c>
      <c r="J41" s="49"/>
      <c r="K41" s="9"/>
      <c r="L41" s="9"/>
      <c r="N41" s="49"/>
      <c r="O41" s="9"/>
      <c r="P41" s="9"/>
    </row>
    <row r="42" ht="14.25" customHeight="1">
      <c r="B42" s="8">
        <v>111698.0</v>
      </c>
      <c r="C42" s="40" t="str">
        <f>VLOOKUP(B42,'FML March 2026'!E:F,2,false)</f>
        <v>FRIED SHALLOTS LA RUSTICHELLA</v>
      </c>
      <c r="D42" s="9" t="str">
        <f>VLOOKUP(B42,'Unit of Measure ship March 2026'!A:C,3,false)</f>
        <v>LBS</v>
      </c>
      <c r="F42" s="8">
        <v>24459.0</v>
      </c>
      <c r="G42" s="9" t="str">
        <f>VLOOKUP(F42,'FML March 2026'!E:F,2,false)</f>
        <v>MUSHROOM, CRIMINI</v>
      </c>
      <c r="H42" s="9" t="str">
        <f>VLOOKUP(F42,'Unit of Measure ship March 2026'!A:C,3,false)</f>
        <v>LBS</v>
      </c>
      <c r="J42" s="49"/>
      <c r="K42" s="9"/>
      <c r="L42" s="9"/>
      <c r="N42" s="49"/>
      <c r="O42" s="9"/>
      <c r="P42" s="9"/>
    </row>
    <row r="43" ht="14.25" customHeight="1">
      <c r="B43" s="8">
        <v>16260.0</v>
      </c>
      <c r="C43" s="40" t="str">
        <f>VLOOKUP(B43,'FML March 2026'!E:F,2,false)</f>
        <v>GARLIC, POWDER, DRY, 12/16 OZ</v>
      </c>
      <c r="D43" s="9" t="str">
        <f>VLOOKUP(B43,'Unit of Measure ship March 2026'!A:C,3,false)</f>
        <v>LBS</v>
      </c>
      <c r="F43" s="17">
        <v>15551.0</v>
      </c>
      <c r="G43" s="9" t="str">
        <f>VLOOKUP(F43,'FML March 2026'!E:F,2,false)</f>
        <v>MUSHROOMS PORTOBELLO FRESH</v>
      </c>
      <c r="H43" s="9" t="str">
        <f>VLOOKUP(F43,'Unit of Measure ship March 2026'!A:C,3,false)</f>
        <v>LBS</v>
      </c>
      <c r="J43" s="49"/>
      <c r="K43" s="9"/>
      <c r="L43" s="9"/>
      <c r="N43" s="49"/>
      <c r="O43" s="9"/>
      <c r="P43" s="9"/>
    </row>
    <row r="44" ht="14.25" customHeight="1">
      <c r="B44" s="17">
        <v>51164.0</v>
      </c>
      <c r="C44" s="40" t="str">
        <f>VLOOKUP(B44,'FML March 2026'!E:F,2,false)</f>
        <v>GELATIN LEAVES 160BLOOM 1KG/PACK /400 LEAVES PASTISFRANCE/ GELITA</v>
      </c>
      <c r="D44" s="9" t="str">
        <f>VLOOKUP(B44,'Unit of Measure ship March 2026'!A:C,3,false)</f>
        <v>PACK/1KG</v>
      </c>
      <c r="F44" s="8">
        <v>15556.0</v>
      </c>
      <c r="G44" s="9" t="str">
        <f>VLOOKUP(F44,'FML March 2026'!E:F,2,false)</f>
        <v>MUSHROOMS SHIITAKE  FRESH NO 1</v>
      </c>
      <c r="H44" s="9" t="str">
        <f>VLOOKUP(F44,'Unit of Measure ship March 2026'!A:C,3,false)</f>
        <v>LBS</v>
      </c>
      <c r="J44" s="49"/>
      <c r="K44" s="9"/>
      <c r="L44" s="9"/>
      <c r="N44" s="49"/>
      <c r="O44" s="9"/>
      <c r="P44" s="9"/>
    </row>
    <row r="45" ht="14.25" customHeight="1">
      <c r="B45" s="8">
        <v>16318.0</v>
      </c>
      <c r="C45" s="40" t="str">
        <f>VLOOKUP(B45,'FML March 2026'!E:F,2,false)</f>
        <v>GINGER PICKLED PINK CHINESE K SEA/SE FOODS 20 LB</v>
      </c>
      <c r="D45" s="9" t="str">
        <f>VLOOKUP(B45,'Unit of Measure ship March 2026'!A:C,3,false)</f>
        <v>LBS</v>
      </c>
      <c r="F45" s="8">
        <v>31638.0</v>
      </c>
      <c r="G45" s="9" t="str">
        <f>VLOOKUP(F45,'FML March 2026'!E:F,2,false)</f>
        <v>MUSHROOMS, FRESH WHITE, 8 OZ CELLO PACK</v>
      </c>
      <c r="H45" s="9" t="str">
        <f>VLOOKUP(F45,'Unit of Measure ship March 2026'!A:C,3,false)</f>
        <v>LBS</v>
      </c>
      <c r="J45" s="49"/>
      <c r="K45" s="9"/>
      <c r="L45" s="9"/>
      <c r="N45" s="49"/>
      <c r="O45" s="9"/>
      <c r="P45" s="9"/>
    </row>
    <row r="46" ht="14.25" customHeight="1">
      <c r="B46" s="8">
        <v>148494.0</v>
      </c>
      <c r="C46" s="40" t="str">
        <f>VLOOKUP(B46,'FML March 2026'!E:F,2,false)</f>
        <v>GLUCOSE POWDER KITCHEN ALCHEMY</v>
      </c>
      <c r="D46" s="9" t="str">
        <f>VLOOKUP(B46,'Unit of Measure ship March 2026'!A:C,3,false)</f>
        <v>LBS</v>
      </c>
      <c r="F46" s="8">
        <v>46179.0</v>
      </c>
      <c r="G46" s="9" t="str">
        <f>VLOOKUP(F46,'FML March 2026'!E:F,2,false)</f>
        <v>ONION WHITE BIG FRESH</v>
      </c>
      <c r="H46" s="9" t="str">
        <f>VLOOKUP(F46,'Unit of Measure ship March 2026'!A:C,3,false)</f>
        <v>LBS</v>
      </c>
      <c r="J46" s="49"/>
      <c r="K46" s="9"/>
      <c r="L46" s="9"/>
      <c r="N46" s="49"/>
      <c r="O46" s="9"/>
      <c r="P46" s="9"/>
    </row>
    <row r="47" ht="14.25" customHeight="1">
      <c r="B47" s="17">
        <v>15832.0</v>
      </c>
      <c r="C47" s="40" t="str">
        <f>VLOOKUP(B47,'FML March 2026'!E:F,2,false)</f>
        <v>GLUCOSE PURE 7 KG</v>
      </c>
      <c r="D47" s="9" t="str">
        <f>VLOOKUP(B47,'Unit of Measure ship March 2026'!A:C,3,false)</f>
        <v>KG</v>
      </c>
      <c r="F47" s="17">
        <v>15496.0</v>
      </c>
      <c r="G47" s="9" t="str">
        <f>VLOOKUP(F47,'FML March 2026'!E:F,2,false)</f>
        <v>ONIONS RED, MEDIUM 25#</v>
      </c>
      <c r="H47" s="9" t="str">
        <f>VLOOKUP(F47,'Unit of Measure ship March 2026'!A:C,3,false)</f>
        <v>LBS</v>
      </c>
      <c r="J47" s="49"/>
      <c r="K47" s="9"/>
      <c r="L47" s="9"/>
      <c r="N47" s="49"/>
      <c r="O47" s="9"/>
      <c r="P47" s="9"/>
    </row>
    <row r="48" ht="14.25" customHeight="1">
      <c r="B48" s="8">
        <v>112068.0</v>
      </c>
      <c r="C48" s="40" t="str">
        <f>VLOOKUP(B48,'FML March 2026'!E:F,2,false)</f>
        <v>GOAT CHEESE  CHEFS CHEVRE CS 2/4 LB LAUR CHENEL</v>
      </c>
      <c r="D48" s="9" t="str">
        <f>VLOOKUP(B48,'Unit of Measure ship March 2026'!A:C,3,false)</f>
        <v>LBS</v>
      </c>
      <c r="F48" s="17">
        <v>15497.0</v>
      </c>
      <c r="G48" s="9" t="str">
        <f>VLOOKUP(F48,'FML March 2026'!E:F,2,false)</f>
        <v>ONIONS, YELLOW, MEDIUM, SPANISH #1, 50#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</row>
    <row r="49" ht="14.25" customHeight="1">
      <c r="B49" s="8">
        <v>110091.0</v>
      </c>
      <c r="C49" s="40" t="str">
        <f>VLOOKUP(B49,'FML March 2026'!E:F,2,false)</f>
        <v>GOCHUGARU KOREAN CHILI RED PEPPER FLAKES ASSI</v>
      </c>
      <c r="D49" s="9" t="str">
        <f>VLOOKUP(B49,'Unit of Measure ship March 2026'!A:C,3,false)</f>
        <v>CS8/5LB</v>
      </c>
      <c r="F49" s="17">
        <v>15408.0</v>
      </c>
      <c r="G49" s="9" t="str">
        <f>VLOOKUP(F49,'FML March 2026'!E:F,2,false)</f>
        <v>ORANGES CAL. SUNKIST FANCY, VALENCIA NAVEL,88CT 40#</v>
      </c>
      <c r="H49" s="9" t="str">
        <f>VLOOKUP(F49,'Unit of Measure ship March 2026'!A:C,3,false)</f>
        <v>LBS</v>
      </c>
      <c r="J49" s="49"/>
      <c r="K49" s="9"/>
      <c r="L49" s="9"/>
      <c r="N49" s="49"/>
      <c r="O49" s="9"/>
      <c r="P49" s="9"/>
    </row>
    <row r="50" ht="14.25" customHeight="1">
      <c r="B50" s="8">
        <v>148487.0</v>
      </c>
      <c r="C50" s="40" t="str">
        <f>VLOOKUP(B50,'FML March 2026'!E:F,2,false)</f>
        <v>GOJI BERRIES DRIED CS10/LBS WOODLAND FARMS</v>
      </c>
      <c r="D50" s="9" t="str">
        <f>VLOOKUP(B50,'Unit of Measure ship March 2026'!A:C,3,false)</f>
        <v>LBS</v>
      </c>
      <c r="F50" s="17">
        <v>15500.0</v>
      </c>
      <c r="G50" s="9" t="str">
        <f>VLOOKUP(F50,'FML March 2026'!E:F,2,false)</f>
        <v>PARSLEY ITALIAN,  20#/CS</v>
      </c>
      <c r="H50" s="9" t="str">
        <f>VLOOKUP(F50,'Unit of Measure ship March 2026'!A:C,3,false)</f>
        <v>LBS</v>
      </c>
      <c r="J50" s="49"/>
      <c r="K50" s="9"/>
      <c r="L50" s="9"/>
      <c r="N50" s="49"/>
      <c r="O50" s="9"/>
      <c r="P50" s="9"/>
    </row>
    <row r="51" ht="14.25" customHeight="1">
      <c r="B51" s="8">
        <v>102496.0</v>
      </c>
      <c r="C51" s="40" t="str">
        <f>VLOOKUP(B51,'FML March 2026'!E:F,2,false)</f>
        <v>GUAR GUM CS 8/8 OZ BOBS RED MILL</v>
      </c>
      <c r="D51" s="9" t="str">
        <f>VLOOKUP(B51,'Unit of Measure ship March 2026'!A:C,3,false)</f>
        <v>LBS</v>
      </c>
      <c r="F51" s="17">
        <v>110088.0</v>
      </c>
      <c r="G51" s="9" t="str">
        <f>VLOOKUP(F51,'FML March 2026'!E:F,2,false)</f>
        <v>PEA FLOWERS FRESH</v>
      </c>
      <c r="H51" s="9" t="str">
        <f>VLOOKUP(F51,'Unit of Measure ship March 2026'!A:C,3,false)</f>
        <v>LBS</v>
      </c>
      <c r="J51" s="49"/>
      <c r="K51" s="9"/>
      <c r="L51" s="9"/>
      <c r="N51" s="49"/>
      <c r="O51" s="9"/>
      <c r="P51" s="9"/>
    </row>
    <row r="52" ht="14.25" customHeight="1">
      <c r="B52" s="17">
        <v>14907.0</v>
      </c>
      <c r="C52" s="40" t="str">
        <f>VLOOKUP(B52,'FML March 2026'!E:F,2,false)</f>
        <v>HEAVY CREAM UHT LONG LIFE 38%-40% 12/1LT</v>
      </c>
      <c r="D52" s="9" t="str">
        <f>VLOOKUP(B52,'Unit of Measure ship March 2026'!A:C,3,false)</f>
        <v>LT</v>
      </c>
      <c r="F52" s="17">
        <v>15412.0</v>
      </c>
      <c r="G52" s="9" t="str">
        <f>VLOOKUP(F52,'FML March 2026'!E:F,2,false)</f>
        <v>PEARS #1, BARTLETT, 120CT 40#</v>
      </c>
      <c r="H52" s="9" t="str">
        <f>VLOOKUP(F52,'Unit of Measure ship March 2026'!A:C,3,false)</f>
        <v>LBS</v>
      </c>
      <c r="K52" s="9"/>
      <c r="L52" s="9"/>
      <c r="N52" s="49"/>
      <c r="O52" s="9"/>
      <c r="P52" s="9"/>
    </row>
    <row r="53" ht="14.25" customHeight="1">
      <c r="B53" s="8">
        <v>16949.0</v>
      </c>
      <c r="C53" s="40" t="str">
        <f>VLOOKUP(B53,'FML March 2026'!E:F,2,false)</f>
        <v>KOMBU SQUARE DASHI KST</v>
      </c>
      <c r="D53" s="9" t="str">
        <f>VLOOKUP(B53,'Unit of Measure ship March 2026'!A:C,3,false)</f>
        <v>PK/5LBS</v>
      </c>
      <c r="F53" s="17">
        <v>110913.0</v>
      </c>
      <c r="G53" s="9" t="str">
        <f>VLOOKUP(F53,'FML March 2026'!E:F,2,false)</f>
        <v>PEAS ENGLISH IN POD  FRESH CS5/LBS</v>
      </c>
      <c r="H53" s="9" t="str">
        <f>VLOOKUP(F53,'Unit of Measure ship March 2026'!A:C,3,false)</f>
        <v>KG</v>
      </c>
      <c r="K53" s="9"/>
      <c r="L53" s="9"/>
      <c r="N53" s="49"/>
      <c r="O53" s="9"/>
      <c r="P53" s="9"/>
    </row>
    <row r="54" ht="14.25" customHeight="1">
      <c r="B54" s="8">
        <v>110969.0</v>
      </c>
      <c r="C54" s="40" t="str">
        <f>VLOOKUP(B54,'FML March 2026'!E:F,2,false)</f>
        <v>MALTODEXTRINE</v>
      </c>
      <c r="D54" s="9" t="str">
        <f>VLOOKUP(B54,'Unit of Measure ship March 2026'!A:C,3,false)</f>
        <v>LBS</v>
      </c>
      <c r="F54" s="17">
        <v>15502.0</v>
      </c>
      <c r="G54" s="9" t="str">
        <f>VLOOKUP(F54,'FML March 2026'!E:F,2,false)</f>
        <v>PEPPERS RED, MEDIUM, 88-100 MM</v>
      </c>
      <c r="H54" s="9" t="str">
        <f>VLOOKUP(F54,'Unit of Measure ship March 2026'!A:C,3,false)</f>
        <v>LBS</v>
      </c>
      <c r="K54" s="9"/>
      <c r="L54" s="9"/>
      <c r="N54" s="49"/>
      <c r="O54" s="9"/>
      <c r="P54" s="9"/>
    </row>
    <row r="55" ht="14.25" customHeight="1">
      <c r="B55" s="17">
        <v>11745.0</v>
      </c>
      <c r="C55" s="40" t="str">
        <f>VLOOKUP(B55,'FML March 2026'!E:F,2,false)</f>
        <v>MAYTAG BLUE CHEESE</v>
      </c>
      <c r="D55" s="9" t="str">
        <f>VLOOKUP(B55,'Unit of Measure ship March 2026'!A:C,3,false)</f>
        <v>LBS</v>
      </c>
      <c r="F55" s="17">
        <v>109751.0</v>
      </c>
      <c r="G55" s="9" t="str">
        <f>VLOOKUP(F55,'FML March 2026'!E:F,2,false)</f>
        <v>POTATO RUSSET  110 CT</v>
      </c>
      <c r="H55" s="9" t="str">
        <f>VLOOKUP(F55,'Unit of Measure ship March 2026'!A:C,3,false)</f>
        <v>LBS</v>
      </c>
      <c r="K55" s="9"/>
      <c r="L55" s="9"/>
      <c r="N55" s="49"/>
      <c r="O55" s="9"/>
      <c r="P55" s="9"/>
    </row>
    <row r="56" ht="14.25" customHeight="1">
      <c r="B56" s="17">
        <v>14869.0</v>
      </c>
      <c r="C56" s="40" t="str">
        <f>VLOOKUP(B56,'FML March 2026'!E:F,2,false)</f>
        <v>MILK, UHT, WHOLE, 3.5% FAT, DRY, 12/1 LT</v>
      </c>
      <c r="D56" s="9" t="str">
        <f>VLOOKUP(B56,'Unit of Measure ship March 2026'!A:C,3,false)</f>
        <v>LT</v>
      </c>
      <c r="F56" s="8">
        <v>32705.0</v>
      </c>
      <c r="G56" s="9" t="str">
        <f>VLOOKUP(F56,'FML March 2026'!E:F,2,false)</f>
        <v>PUMPKIN/CALABASA, FRESH</v>
      </c>
      <c r="H56" s="9" t="str">
        <f>VLOOKUP(F56,'Unit of Measure ship March 2026'!A:C,3,false)</f>
        <v>LBS</v>
      </c>
      <c r="K56" s="9"/>
      <c r="L56" s="9"/>
      <c r="N56" s="49"/>
      <c r="O56" s="9"/>
      <c r="P56" s="9"/>
    </row>
    <row r="57" ht="14.25" customHeight="1">
      <c r="B57" s="8">
        <v>16948.0</v>
      </c>
      <c r="C57" s="40" t="str">
        <f>VLOOKUP(B57,'FML March 2026'!E:F,2,false)</f>
        <v>MISO PASTE WHITE, TUB</v>
      </c>
      <c r="D57" s="9" t="str">
        <f>VLOOKUP(B57,'Unit of Measure ship March 2026'!A:C,3,false)</f>
        <v>PC/2.2LB</v>
      </c>
      <c r="F57" s="17">
        <v>110054.0</v>
      </c>
      <c r="G57" s="9" t="str">
        <f>VLOOKUP(F57,'FML March 2026'!E:F,2,false)</f>
        <v>RED RIBBON SORREL FRESH</v>
      </c>
      <c r="H57" s="9" t="str">
        <f>VLOOKUP(F57,'Unit of Measure ship March 2026'!A:C,3,false)</f>
        <v>LBS</v>
      </c>
      <c r="K57" s="9"/>
      <c r="L57" s="9"/>
      <c r="N57" s="49"/>
      <c r="O57" s="9"/>
      <c r="P57" s="9"/>
    </row>
    <row r="58" ht="14.25" customHeight="1">
      <c r="B58" s="8">
        <v>110062.0</v>
      </c>
      <c r="C58" s="40" t="str">
        <f>VLOOKUP(B58,'FML March 2026'!E:F,2,false)</f>
        <v>MOUNTAIN HUCKLEBERRY FROZEN PKG 1/LB</v>
      </c>
      <c r="D58" s="9" t="str">
        <f>VLOOKUP(B58,'Unit of Measure ship March 2026'!A:C,3,false)</f>
        <v>LBS</v>
      </c>
      <c r="F58" s="8">
        <v>11838.0</v>
      </c>
      <c r="G58" s="9" t="str">
        <f>VLOOKUP(F58,'FML March 2026'!E:F,2,false)</f>
        <v>ROMANESCO FRESH</v>
      </c>
      <c r="H58" s="9" t="str">
        <f>VLOOKUP(F58,'Unit of Measure ship March 2026'!A:C,3,false)</f>
        <v>LBS</v>
      </c>
      <c r="K58" s="9"/>
      <c r="L58" s="9"/>
      <c r="N58" s="49"/>
      <c r="O58" s="9"/>
      <c r="P58" s="9"/>
    </row>
    <row r="59" ht="14.25" customHeight="1">
      <c r="B59" s="18">
        <v>16414.0</v>
      </c>
      <c r="C59" s="40" t="str">
        <f>VLOOKUP(B59,'FML March 2026'!E:F,2,false)</f>
        <v>MUSHROOM MOREL DRY</v>
      </c>
      <c r="D59" s="9" t="str">
        <f>VLOOKUP(B59,'Unit of Measure ship March 2026'!A:C,3,false)</f>
        <v>LBS</v>
      </c>
      <c r="F59" s="17">
        <v>15427.0</v>
      </c>
      <c r="G59" s="9" t="str">
        <f>VLOOKUP(F59,'FML March 2026'!E:F,2,false)</f>
        <v>ROSEMARY (12 BUNCH) 1 LB/CS</v>
      </c>
      <c r="H59" s="9" t="str">
        <f>VLOOKUP(F59,'Unit of Measure ship March 2026'!A:C,3,false)</f>
        <v>LBS</v>
      </c>
      <c r="K59" s="9"/>
      <c r="L59" s="9"/>
      <c r="N59" s="49"/>
      <c r="O59" s="9"/>
      <c r="P59" s="9"/>
    </row>
    <row r="60" ht="14.25" customHeight="1">
      <c r="B60" s="8">
        <v>11940.0</v>
      </c>
      <c r="C60" s="40" t="str">
        <f>VLOOKUP(B60,'FML March 2026'!E:F,2,false)</f>
        <v>MUSHROOM SHITAKI DRY  URBANI/MARKY`S</v>
      </c>
      <c r="D60" s="9" t="str">
        <f>VLOOKUP(B60,'Unit of Measure ship March 2026'!A:C,3,false)</f>
        <v>LBS</v>
      </c>
      <c r="F60" s="8">
        <v>15444.0</v>
      </c>
      <c r="G60" s="9" t="str">
        <f>VLOOKUP(F60,'FML March 2026'!E:F,2,false)</f>
        <v>SAGE FRESH</v>
      </c>
      <c r="H60" s="9" t="str">
        <f>VLOOKUP(F60,'Unit of Measure ship March 2026'!A:C,3,false)</f>
        <v>LBS</v>
      </c>
      <c r="K60" s="9"/>
      <c r="L60" s="9"/>
      <c r="N60" s="49"/>
      <c r="O60" s="9"/>
      <c r="P60" s="9"/>
    </row>
    <row r="61" ht="14.25" customHeight="1">
      <c r="B61" s="8">
        <v>16426.0</v>
      </c>
      <c r="C61" s="40" t="str">
        <f>VLOOKUP(B61,'FML March 2026'!E:F,2,false)</f>
        <v>MUSTARD  TUB GREY POUPON - DIJON MUSTARD PLAIN (FRANCE)</v>
      </c>
      <c r="D61" s="9" t="str">
        <f>VLOOKUP(B61,'Unit of Measure ship March 2026'!A:C,3,false)</f>
        <v>JAR/48OZ</v>
      </c>
      <c r="F61" s="8">
        <v>24185.0</v>
      </c>
      <c r="G61" s="9" t="str">
        <f>VLOOKUP(F61,'FML March 2026'!E:F,2,false)</f>
        <v>SCALLIONS FRESH - ICELESS</v>
      </c>
      <c r="H61" s="9" t="str">
        <f>VLOOKUP(F61,'Unit of Measure ship March 2026'!A:C,3,false)</f>
        <v>LBS</v>
      </c>
      <c r="K61" s="9"/>
      <c r="L61" s="9"/>
      <c r="N61" s="49"/>
      <c r="O61" s="9"/>
      <c r="P61" s="9"/>
    </row>
    <row r="62" ht="14.25" customHeight="1">
      <c r="B62" s="8">
        <v>16320.0</v>
      </c>
      <c r="C62" s="40" t="str">
        <f>VLOOKUP(B62,'FML March 2026'!E:F,2,false)</f>
        <v>MUSTARD SEED 24 OZ D`ALLESANDRO/ SPICECO</v>
      </c>
      <c r="D62" s="9" t="str">
        <f>VLOOKUP(B62,'Unit of Measure ship March 2026'!A:C,3,false)</f>
        <v>LBS</v>
      </c>
      <c r="F62" s="8">
        <v>148489.0</v>
      </c>
      <c r="G62" s="9" t="str">
        <f>VLOOKUP(F62,'FML March 2026'!E:F,2,false)</f>
        <v>SEA BEANS FRESH</v>
      </c>
      <c r="H62" s="9" t="str">
        <f>VLOOKUP(F62,'Unit of Measure ship March 2026'!A:C,3,false)</f>
        <v>LBS</v>
      </c>
      <c r="K62" s="9"/>
      <c r="L62" s="9"/>
      <c r="N62" s="49"/>
      <c r="O62" s="9"/>
      <c r="P62" s="9"/>
    </row>
    <row r="63" ht="14.25" customHeight="1">
      <c r="B63" s="8">
        <v>109227.0</v>
      </c>
      <c r="C63" s="40" t="str">
        <f>VLOOKUP(B63,'FML March 2026'!E:F,2,false)</f>
        <v>NUTRITIONAL YEAST FLAKES VEGAN C6/5OZ BOBS RED ,MILL (USA)</v>
      </c>
      <c r="D63" s="9" t="str">
        <f>VLOOKUP(B63,'Unit of Measure ship March 2026'!A:C,3,false)</f>
        <v>CS6/5OZ</v>
      </c>
      <c r="F63" s="8">
        <v>15522.0</v>
      </c>
      <c r="G63" s="9" t="str">
        <f>VLOOKUP(F63,'FML March 2026'!E:F,2,false)</f>
        <v>SHALLOTS CLOVES #1 FRESH 5#</v>
      </c>
      <c r="H63" s="9" t="str">
        <f>VLOOKUP(F63,'Unit of Measure ship March 2026'!A:C,3,false)</f>
        <v>LBS</v>
      </c>
      <c r="J63" s="50"/>
      <c r="K63" s="9"/>
      <c r="L63" s="9"/>
      <c r="N63" s="49"/>
      <c r="O63" s="9"/>
      <c r="P63" s="9"/>
    </row>
    <row r="64" ht="14.25" customHeight="1">
      <c r="B64" s="8">
        <v>16420.0</v>
      </c>
      <c r="C64" s="40" t="str">
        <f>VLOOKUP(B64,'FML March 2026'!E:F,2,false)</f>
        <v>OIL GRAPESEED (USA)</v>
      </c>
      <c r="D64" s="9" t="str">
        <f>VLOOKUP(B64,'Unit of Measure ship March 2026'!A:C,3,false)</f>
        <v>BTL/17OZ</v>
      </c>
      <c r="F64" s="8">
        <v>11842.0</v>
      </c>
      <c r="G64" s="9" t="str">
        <f>VLOOKUP(F64,'FML March 2026'!E:F,2,false)</f>
        <v>SORREL FRESH</v>
      </c>
      <c r="H64" s="9" t="str">
        <f>VLOOKUP(F64,'Unit of Measure ship March 2026'!A:C,3,false)</f>
        <v>LBS</v>
      </c>
      <c r="J64" s="50"/>
      <c r="K64" s="9"/>
      <c r="L64" s="9"/>
      <c r="N64" s="49"/>
      <c r="O64" s="9"/>
      <c r="P64" s="9"/>
    </row>
    <row r="65" ht="14.25" customHeight="1">
      <c r="B65" s="8">
        <v>142741.0</v>
      </c>
      <c r="C65" s="40" t="str">
        <f>VLOOKUP(B65,'FML March 2026'!E:F,2,false)</f>
        <v>OIL OLIVE EXTRA VIRGIN ESPLENDIDO DOURO  500 ML - PORTUGAL</v>
      </c>
      <c r="D65" s="9" t="str">
        <f>VLOOKUP(B65,'Unit of Measure ship March 2026'!A:C,3,false)</f>
        <v>BT/500ML</v>
      </c>
      <c r="F65" s="17">
        <v>15525.0</v>
      </c>
      <c r="G65" s="9" t="str">
        <f>VLOOKUP(F65,'FML March 2026'!E:F,2,false)</f>
        <v>SPINACH FLAT LEAF, FRESH, CRISP 4/2.5# 10#</v>
      </c>
      <c r="H65" s="9" t="str">
        <f>VLOOKUP(F65,'Unit of Measure ship March 2026'!A:C,3,false)</f>
        <v>LBS</v>
      </c>
      <c r="J65" s="50"/>
      <c r="K65" s="9"/>
      <c r="L65" s="9"/>
      <c r="N65" s="49"/>
      <c r="O65" s="9"/>
      <c r="P65" s="9"/>
    </row>
    <row r="66" ht="14.25" customHeight="1">
      <c r="B66" s="8">
        <v>110938.0</v>
      </c>
      <c r="C66" s="40" t="str">
        <f>VLOOKUP(B66,'FML March 2026'!E:F,2,false)</f>
        <v>OIL PUMPKIN SEED CS6/250 ML LA TOURANGELLE </v>
      </c>
      <c r="D66" s="9" t="str">
        <f>VLOOKUP(B66,'Unit of Measure ship March 2026'!A:C,3,false)</f>
        <v>LT</v>
      </c>
      <c r="F66" s="17">
        <v>110912.0</v>
      </c>
      <c r="G66" s="9" t="str">
        <f>VLOOKUP(F66,'FML March 2026'!E:F,2,false)</f>
        <v>SPROUTS GREEN PEA TENDRIL</v>
      </c>
      <c r="H66" s="9" t="str">
        <f>VLOOKUP(F66,'Unit of Measure ship March 2026'!A:C,3,false)</f>
        <v>LBS</v>
      </c>
      <c r="J66" s="50"/>
      <c r="K66" s="9"/>
      <c r="L66" s="9"/>
      <c r="N66" s="49"/>
      <c r="O66" s="9"/>
      <c r="P66" s="9"/>
    </row>
    <row r="67" ht="14.25" customHeight="1">
      <c r="B67" s="8">
        <v>16346.0</v>
      </c>
      <c r="C67" s="40" t="str">
        <f>VLOOKUP(B67,'FML March 2026'!E:F,2,false)</f>
        <v>OIL, 100% SESAME, TOASTED, DRY, 10/56 OZ</v>
      </c>
      <c r="D67" s="9" t="str">
        <f>VLOOKUP(B67,'Unit of Measure ship March 2026'!A:C,3,false)</f>
        <v>BT/56OZ</v>
      </c>
      <c r="F67" s="8">
        <v>148485.0</v>
      </c>
      <c r="G67" s="9" t="str">
        <f>VLOOKUP(F67,'FML March 2026'!E:F,2,false)</f>
        <v>SQUASH BLOSSOM FRESH</v>
      </c>
      <c r="H67" s="9" t="str">
        <f>VLOOKUP(F67,'Unit of Measure ship March 2026'!A:C,3,false)</f>
        <v>PC</v>
      </c>
      <c r="J67" s="50"/>
      <c r="K67" s="9"/>
      <c r="L67" s="9"/>
      <c r="N67" s="49"/>
      <c r="O67" s="9"/>
      <c r="P67" s="9"/>
    </row>
    <row r="68" ht="14.25" customHeight="1">
      <c r="B68" s="17">
        <v>16377.0</v>
      </c>
      <c r="C68" s="40" t="str">
        <f>VLOOKUP(B68,'FML March 2026'!E:F,2,false)</f>
        <v>OIL, 100% VEGETABLE SOYBEAN, DRY, 4/5 LT</v>
      </c>
      <c r="D68" s="9" t="str">
        <f>VLOOKUP(B68,'Unit of Measure ship March 2026'!A:C,3,false)</f>
        <v>C4/5LT</v>
      </c>
      <c r="F68" s="8">
        <v>15528.0</v>
      </c>
      <c r="G68" s="9" t="str">
        <f>VLOOKUP(F68,'FML March 2026'!E:F,2,false)</f>
        <v>SQUASH BUTTERNUT 40#</v>
      </c>
      <c r="H68" s="9" t="str">
        <f>VLOOKUP(F68,'Unit of Measure ship March 2026'!A:C,3,false)</f>
        <v>LBS</v>
      </c>
      <c r="J68" s="50"/>
      <c r="K68" s="9"/>
      <c r="L68" s="9"/>
      <c r="N68" s="49"/>
      <c r="O68" s="9"/>
      <c r="P68" s="9"/>
    </row>
    <row r="69" ht="14.25" customHeight="1">
      <c r="B69" s="17">
        <v>10265.0</v>
      </c>
      <c r="C69" s="40" t="str">
        <f>VLOOKUP(B69,'FML March 2026'!E:F,2,false)</f>
        <v>OIL, FRYING, 100% SOYBEAN, TRANS FAT FREE, FLASHPOINT &gt;600F, DRY, 4/5 LT</v>
      </c>
      <c r="D69" s="9" t="str">
        <f>VLOOKUP(B69,'Unit of Measure ship March 2026'!A:C,3,false)</f>
        <v>CS4/5LT</v>
      </c>
      <c r="F69" s="8">
        <v>15530.0</v>
      </c>
      <c r="G69" s="9" t="str">
        <f>VLOOKUP(F69,'FML March 2026'!E:F,2,false)</f>
        <v>SQUASH PATTY PAN ASSORTED COLORS</v>
      </c>
      <c r="H69" s="9" t="str">
        <f>VLOOKUP(F69,'Unit of Measure ship March 2026'!A:C,3,false)</f>
        <v>CS20/LBS</v>
      </c>
      <c r="J69" s="50"/>
      <c r="K69" s="9"/>
      <c r="L69" s="9"/>
      <c r="N69" s="49"/>
      <c r="O69" s="9"/>
      <c r="P69" s="9"/>
    </row>
    <row r="70" ht="14.25" customHeight="1">
      <c r="B70" s="8">
        <v>102133.0</v>
      </c>
      <c r="C70" s="40" t="str">
        <f>VLOOKUP(B70,'FML March 2026'!E:F,2,false)</f>
        <v>OLIVE OIL TERRE BORMANE CITRON 500 ML  CS6/500ML</v>
      </c>
      <c r="D70" s="9" t="str">
        <f>VLOOKUP(B70,'Unit of Measure ship March 2026'!A:C,3,false)</f>
        <v>BT/500ML</v>
      </c>
      <c r="F70" s="8">
        <v>11729.0</v>
      </c>
      <c r="G70" s="9" t="str">
        <f>VLOOKUP(F70,'FML March 2026'!E:F,2,false)</f>
        <v>SQUASH SPAGHETTI FRESH CS40/LBS</v>
      </c>
      <c r="H70" s="9" t="str">
        <f>VLOOKUP(F70,'Unit of Measure ship March 2026'!A:C,3,false)</f>
        <v>LBS</v>
      </c>
      <c r="J70" s="50"/>
      <c r="K70" s="9"/>
      <c r="L70" s="9"/>
      <c r="N70" s="49"/>
      <c r="O70" s="9"/>
      <c r="P70" s="9"/>
    </row>
    <row r="71" ht="14.25" customHeight="1">
      <c r="B71" s="17">
        <v>52603.0</v>
      </c>
      <c r="C71" s="40" t="str">
        <f>VLOOKUP(B71,'FML March 2026'!E:F,2,false)</f>
        <v>OLIVE/CANOLA BLEND OIL</v>
      </c>
      <c r="D71" s="9" t="str">
        <f>VLOOKUP(B71,'Unit of Measure ship March 2026'!A:C,3,false)</f>
        <v>LT</v>
      </c>
      <c r="F71" s="8">
        <v>15442.0</v>
      </c>
      <c r="G71" s="9" t="str">
        <f>VLOOKUP(F71,'FML March 2026'!E:F,2,false)</f>
        <v>TARRAGON (12 BUNCH), 1 LB/CS</v>
      </c>
      <c r="H71" s="9" t="str">
        <f>VLOOKUP(F71,'Unit of Measure ship March 2026'!A:C,3,false)</f>
        <v>LBS</v>
      </c>
      <c r="J71" s="50"/>
      <c r="K71" s="9"/>
      <c r="L71" s="9"/>
      <c r="N71" s="49"/>
      <c r="O71" s="9"/>
      <c r="P71" s="9"/>
    </row>
    <row r="72" ht="14.25" customHeight="1">
      <c r="B72" s="8">
        <v>16431.0</v>
      </c>
      <c r="C72" s="40" t="str">
        <f>VLOOKUP(B72,'FML March 2026'!E:F,2,false)</f>
        <v>OLIVES KALAMATA PITTED AMBROSIA 16122 (8X5) (TURKEY)</v>
      </c>
      <c r="D72" s="9" t="str">
        <f>VLOOKUP(B72,'Unit of Measure ship March 2026'!A:C,3,false)</f>
        <v>CAN/2KG</v>
      </c>
      <c r="F72" s="17">
        <v>15446.0</v>
      </c>
      <c r="G72" s="9" t="str">
        <f>VLOOKUP(F72,'FML March 2026'!E:F,2,false)</f>
        <v>THYME FRESH</v>
      </c>
      <c r="H72" s="9" t="str">
        <f>VLOOKUP(F72,'Unit of Measure ship March 2026'!A:C,3,false)</f>
        <v>LBS</v>
      </c>
      <c r="J72" s="50"/>
      <c r="K72" s="9"/>
      <c r="L72" s="9"/>
      <c r="N72" s="49"/>
      <c r="O72" s="9"/>
      <c r="P72" s="9"/>
    </row>
    <row r="73" ht="14.25" customHeight="1">
      <c r="B73" s="8">
        <v>62951.0</v>
      </c>
      <c r="C73" s="40" t="str">
        <f>VLOOKUP(B73,'FML March 2026'!E:F,2,false)</f>
        <v>ONION POWDER</v>
      </c>
      <c r="D73" s="9" t="str">
        <f>VLOOKUP(B73,'Unit of Measure ship March 2026'!A:C,3,false)</f>
        <v>LBS</v>
      </c>
      <c r="F73" s="17">
        <v>15537.0</v>
      </c>
      <c r="G73" s="9" t="str">
        <f>VLOOKUP(F73,'FML March 2026'!E:F,2,false)</f>
        <v>TOMATOES 6X6 #1 18# RED RIPE, FIRM (LAYERED), 55-65 MM</v>
      </c>
      <c r="H73" s="9" t="str">
        <f>VLOOKUP(F73,'Unit of Measure ship March 2026'!A:C,3,false)</f>
        <v>LBS</v>
      </c>
      <c r="J73" s="50"/>
      <c r="K73" s="9"/>
      <c r="L73" s="9"/>
      <c r="N73" s="49"/>
      <c r="O73" s="9"/>
      <c r="P73" s="9"/>
    </row>
    <row r="74" ht="14.25" customHeight="1">
      <c r="B74" s="8">
        <v>11263.0</v>
      </c>
      <c r="C74" s="40" t="str">
        <f>VLOOKUP(B74,'FML March 2026'!E:F,2,false)</f>
        <v>PALM SUGAR PURE THAILAND DUN G JONG/ TASTY JOY (THAILAND)</v>
      </c>
      <c r="D74" s="9" t="str">
        <f>VLOOKUP(B74,'Unit of Measure ship March 2026'!A:C,3,false)</f>
        <v>LBS</v>
      </c>
      <c r="F74" s="8">
        <v>15534.0</v>
      </c>
      <c r="G74" s="9" t="str">
        <f>VLOOKUP(F74,'FML March 2026'!E:F,2,false)</f>
        <v>TOMATOES CHERRY #1 (GRAPE) 10 PINK, RED, FIRM SMALL</v>
      </c>
      <c r="H74" s="9" t="str">
        <f>VLOOKUP(F74,'Unit of Measure ship March 2026'!A:C,3,false)</f>
        <v>LBS</v>
      </c>
      <c r="J74" s="50"/>
      <c r="K74" s="9"/>
      <c r="L74" s="9"/>
      <c r="N74" s="49"/>
      <c r="O74" s="9"/>
      <c r="P74" s="9"/>
    </row>
    <row r="75" ht="14.25" customHeight="1">
      <c r="B75" s="8">
        <v>16269.0</v>
      </c>
      <c r="C75" s="40" t="str">
        <f>VLOOKUP(B75,'FML March 2026'!E:F,2,false)</f>
        <v>PAPRIKA SPANISH MUNOZ Y PUJANTE/ D`ALLESANDRO/ SPICECO</v>
      </c>
      <c r="D75" s="9" t="str">
        <f>VLOOKUP(B75,'Unit of Measure ship March 2026'!A:C,3,false)</f>
        <v>LBS</v>
      </c>
      <c r="F75" s="17">
        <v>109765.0</v>
      </c>
      <c r="G75" s="9" t="str">
        <f>VLOOKUP(F75,'FML March 2026'!E:F,2,false)</f>
        <v>TOMATOES CHERRY MIXED HEIRLOOM</v>
      </c>
      <c r="H75" s="9" t="str">
        <f>VLOOKUP(F75,'Unit of Measure ship March 2026'!A:C,3,false)</f>
        <v>LBS</v>
      </c>
      <c r="J75" s="50"/>
      <c r="K75" s="9"/>
      <c r="L75" s="9"/>
      <c r="N75" s="49"/>
      <c r="O75" s="9"/>
      <c r="P75" s="9"/>
    </row>
    <row r="76" ht="14.25" customHeight="1">
      <c r="B76" s="17">
        <v>33681.0</v>
      </c>
      <c r="C76" s="40" t="str">
        <f>VLOOKUP(B76,'FML March 2026'!E:F,2,false)</f>
        <v>PEPPER BLACK GROUND BADIA (USA )</v>
      </c>
      <c r="D76" s="9" t="str">
        <f>VLOOKUP(B76,'Unit of Measure ship March 2026'!A:C,3,false)</f>
        <v>LBS</v>
      </c>
      <c r="F76" s="8">
        <v>35223.0</v>
      </c>
      <c r="G76" s="9" t="str">
        <f>VLOOKUP(F76,'FML March 2026'!E:F,2,false)</f>
        <v>TOMATOES, RED BEEFSTEAK TOMATOES, HEIRLOOM</v>
      </c>
      <c r="H76" s="9" t="str">
        <f>VLOOKUP(F76,'Unit of Measure ship March 2026'!A:C,3,false)</f>
        <v>LBS</v>
      </c>
      <c r="J76" s="50"/>
      <c r="K76" s="9"/>
      <c r="L76" s="9"/>
      <c r="N76" s="49"/>
      <c r="O76" s="9"/>
      <c r="P76" s="9"/>
    </row>
    <row r="77" ht="14.25" customHeight="1">
      <c r="B77" s="8">
        <v>16305.0</v>
      </c>
      <c r="C77" s="40" t="str">
        <f>VLOOKUP(B77,'FML March 2026'!E:F,2,false)</f>
        <v>PEPPERCORN WHITE WHOLE D`ALLESANDRO/ SPICECO</v>
      </c>
      <c r="D77" s="9" t="str">
        <f>VLOOKUP(B77,'Unit of Measure ship March 2026'!A:C,3,false)</f>
        <v>LBS</v>
      </c>
      <c r="F77" s="17">
        <v>15542.0</v>
      </c>
      <c r="G77" s="9" t="str">
        <f>VLOOKUP(F77,'FML March 2026'!E:F,2,false)</f>
        <v>ZUCCHINI MEDIUM #1 FANCY 20#/CS, 180-210 MM</v>
      </c>
      <c r="H77" s="9" t="str">
        <f>VLOOKUP(F77,'Unit of Measure ship March 2026'!A:C,3,false)</f>
        <v>LBS</v>
      </c>
      <c r="J77" s="50"/>
      <c r="K77" s="9"/>
      <c r="L77" s="9"/>
      <c r="N77" s="49"/>
      <c r="O77" s="9"/>
      <c r="P77" s="9"/>
    </row>
    <row r="78" ht="14.25" customHeight="1">
      <c r="B78" s="8">
        <v>16285.0</v>
      </c>
      <c r="C78" s="40" t="str">
        <f>VLOOKUP(B78,'FML March 2026'!E:F,2,false)</f>
        <v>PEPPERCORN, BLACK, WHOLE, DRY, 6/420 G</v>
      </c>
      <c r="D78" s="9" t="str">
        <f>VLOOKUP(B78,'Unit of Measure ship March 2026'!A:C,3,false)</f>
        <v>LBS</v>
      </c>
      <c r="J78" s="50"/>
      <c r="K78" s="9"/>
      <c r="L78" s="9"/>
      <c r="N78" s="49"/>
      <c r="O78" s="9"/>
      <c r="P78" s="9"/>
    </row>
    <row r="79" ht="14.25" customHeight="1">
      <c r="B79" s="8">
        <v>47893.0</v>
      </c>
      <c r="C79" s="40" t="str">
        <f>VLOOKUP(B79,'FML March 2026'!E:F,2,false)</f>
        <v>PICKLES KOSHER DRY B&amp;G (USA)</v>
      </c>
      <c r="D79" s="9" t="str">
        <f>VLOOKUP(B79,'Unit of Measure ship March 2026'!A:C,3,false)</f>
        <v>GAL</v>
      </c>
      <c r="H79" s="9"/>
      <c r="J79" s="50"/>
      <c r="K79" s="9"/>
      <c r="L79" s="9"/>
      <c r="N79" s="49"/>
      <c r="O79" s="9"/>
      <c r="P79" s="9"/>
    </row>
    <row r="80" ht="14.25" customHeight="1">
      <c r="B80" s="8">
        <v>15894.0</v>
      </c>
      <c r="C80" s="40" t="str">
        <f>VLOOKUP(B80,'FML March 2026'!E:F,2,false)</f>
        <v>PISTACHIO NUTS WHOLE SHELLED RAW NUTLAND</v>
      </c>
      <c r="D80" s="9" t="str">
        <f>VLOOKUP(B80,'Unit of Measure ship March 2026'!A:C,3,false)</f>
        <v>LBS</v>
      </c>
      <c r="H80" s="9"/>
      <c r="J80" s="50"/>
      <c r="K80" s="9"/>
      <c r="L80" s="9"/>
      <c r="N80" s="49"/>
      <c r="O80" s="9"/>
      <c r="P80" s="9"/>
    </row>
    <row r="81" ht="14.25" customHeight="1">
      <c r="B81" s="8">
        <v>14967.0</v>
      </c>
      <c r="C81" s="40" t="str">
        <f>VLOOKUP(B81,'FML March 2026'!E:F,2,false)</f>
        <v>PLAIN PLANT BASED YOGURT (BULK PACK)</v>
      </c>
      <c r="D81" s="9" t="str">
        <f>VLOOKUP(B81,'Unit of Measure ship March 2026'!A:C,3,false)</f>
        <v>PC24/OZ</v>
      </c>
      <c r="H81" s="9"/>
      <c r="J81" s="50"/>
      <c r="K81" s="9"/>
      <c r="L81" s="9"/>
      <c r="N81" s="49"/>
      <c r="O81" s="9"/>
      <c r="P81" s="9"/>
    </row>
    <row r="82" ht="14.25" customHeight="1">
      <c r="B82" s="8">
        <v>16885.0</v>
      </c>
      <c r="C82" s="40" t="str">
        <f>VLOOKUP(B82,'FML March 2026'!E:F,2,false)</f>
        <v>POPCORN KERNELS YELLOW 50LB PACKER (USA)</v>
      </c>
      <c r="D82" s="9" t="str">
        <f>VLOOKUP(B82,'Unit of Measure ship March 2026'!A:C,3,false)</f>
        <v>LBS</v>
      </c>
      <c r="H82" s="9"/>
      <c r="J82" s="50"/>
      <c r="K82" s="9"/>
      <c r="L82" s="9"/>
      <c r="N82" s="49"/>
      <c r="O82" s="9"/>
      <c r="P82" s="9"/>
    </row>
    <row r="83" ht="14.25" customHeight="1">
      <c r="B83" s="8">
        <v>110935.0</v>
      </c>
      <c r="C83" s="40" t="str">
        <f>VLOOKUP(B83,'FML March 2026'!E:F,2,false)</f>
        <v>PORCINI POWDER</v>
      </c>
      <c r="D83" s="9" t="str">
        <f>VLOOKUP(B83,'Unit of Measure ship March 2026'!A:C,3,false)</f>
        <v>LBS</v>
      </c>
      <c r="H83" s="9"/>
      <c r="J83" s="50"/>
      <c r="K83" s="9"/>
      <c r="L83" s="9"/>
      <c r="N83" s="49"/>
      <c r="O83" s="9"/>
      <c r="P83" s="9"/>
    </row>
    <row r="84" ht="14.25" customHeight="1">
      <c r="B84" s="17">
        <v>14541.0</v>
      </c>
      <c r="C84" s="40" t="str">
        <f>VLOOKUP(B84,'FML March 2026'!E:F,2,false)</f>
        <v>PORK, BACON, SLICED, APPLEWOOD SMOKED, LAID OUT, 18-22/LB, FZN, 1/15 LB</v>
      </c>
      <c r="D84" s="9" t="str">
        <f>VLOOKUP(B84,'Unit of Measure ship March 2026'!A:C,3,false)</f>
        <v>LBS</v>
      </c>
      <c r="H84" s="9"/>
      <c r="J84" s="50"/>
      <c r="K84" s="9"/>
      <c r="L84" s="9"/>
      <c r="N84" s="49"/>
      <c r="O84" s="9"/>
      <c r="P84" s="9"/>
    </row>
    <row r="85" ht="14.25" customHeight="1">
      <c r="B85" s="8">
        <v>14541.0</v>
      </c>
      <c r="C85" s="40" t="str">
        <f>VLOOKUP(B85,'FML March 2026'!E:F,2,false)</f>
        <v>PORK, BACON, SLICED, APPLEWOOD SMOKED, LAID OUT, 18-22/LB, FZN, 1/15 LB</v>
      </c>
      <c r="D85" s="9" t="str">
        <f>VLOOKUP(B85,'Unit of Measure ship March 2026'!A:C,3,false)</f>
        <v>LBS</v>
      </c>
      <c r="H85" s="9"/>
      <c r="J85" s="50"/>
      <c r="K85" s="9"/>
      <c r="L85" s="9"/>
      <c r="O85" s="9"/>
      <c r="P85" s="9"/>
    </row>
    <row r="86" ht="14.25" customHeight="1">
      <c r="B86" s="8">
        <v>101442.0</v>
      </c>
      <c r="C86" s="40" t="str">
        <f>VLOOKUP(B86,'FML March 2026'!E:F,2,false)</f>
        <v>PROSCIUTTO DI SAN DANIELE LEVONI BONELESS 16 MONTH  RESERVE CS/16 LBS</v>
      </c>
      <c r="D86" s="9" t="str">
        <f>VLOOKUP(B86,'Unit of Measure ship March 2026'!A:C,3,false)</f>
        <v>LBS</v>
      </c>
      <c r="H86" s="9"/>
      <c r="J86" s="50"/>
      <c r="K86" s="9"/>
      <c r="L86" s="9"/>
      <c r="O86" s="9"/>
      <c r="P86" s="9"/>
    </row>
    <row r="87" ht="14.25" customHeight="1">
      <c r="B87" s="8">
        <v>15897.0</v>
      </c>
      <c r="C87" s="40" t="str">
        <f>VLOOKUP(B87,'FML March 2026'!E:F,2,false)</f>
        <v>PUMPKIN SEEDS WHOLE SHELLED RAW 10 LB HIALEAH/ D`ALLESANDRO</v>
      </c>
      <c r="D87" s="9" t="str">
        <f>VLOOKUP(B87,'Unit of Measure ship March 2026'!A:C,3,false)</f>
        <v>LBS</v>
      </c>
      <c r="H87" s="9"/>
      <c r="J87" s="50"/>
      <c r="K87" s="9"/>
      <c r="L87" s="9"/>
      <c r="O87" s="9"/>
      <c r="P87" s="9"/>
    </row>
    <row r="88" ht="14.25" customHeight="1">
      <c r="B88" s="8">
        <v>16946.0</v>
      </c>
      <c r="C88" s="40" t="str">
        <f>VLOOKUP(B88,'FML March 2026'!E:F,2,false)</f>
        <v>QUINOA WHITE</v>
      </c>
      <c r="D88" s="9" t="str">
        <f>VLOOKUP(B88,'Unit of Measure ship March 2026'!A:C,3,false)</f>
        <v>PC/12OZ</v>
      </c>
      <c r="H88" s="9"/>
      <c r="J88" s="50"/>
      <c r="K88" s="9"/>
      <c r="L88" s="9"/>
      <c r="O88" s="9"/>
      <c r="P88" s="9"/>
    </row>
    <row r="89" ht="14.25" customHeight="1">
      <c r="B89" s="8">
        <v>142891.0</v>
      </c>
      <c r="C89" s="40" t="str">
        <f>VLOOKUP(B89,'FML March 2026'!E:F,2,false)</f>
        <v>SALT CURING PRAGUE #1 2.5 LB HOOSIER HILL</v>
      </c>
      <c r="D89" s="9" t="str">
        <f>VLOOKUP(B89,'Unit of Measure ship March 2026'!A:C,3,false)</f>
        <v>LBS</v>
      </c>
      <c r="H89" s="9"/>
      <c r="J89" s="50"/>
      <c r="K89" s="9"/>
      <c r="L89" s="9"/>
      <c r="O89" s="9"/>
      <c r="P89" s="9"/>
    </row>
    <row r="90" ht="14.25" customHeight="1">
      <c r="B90" s="17">
        <v>16307.0</v>
      </c>
      <c r="C90" s="40" t="str">
        <f>VLOOKUP(B90,'FML March 2026'!E:F,2,false)</f>
        <v>SALT KOSHER GRANULATED</v>
      </c>
      <c r="D90" s="9" t="str">
        <f>VLOOKUP(B90,'Unit of Measure ship March 2026'!A:C,3,false)</f>
        <v>LBS</v>
      </c>
      <c r="H90" s="9"/>
      <c r="J90" s="50"/>
      <c r="K90" s="9"/>
      <c r="L90" s="9"/>
      <c r="O90" s="9"/>
      <c r="P90" s="9"/>
    </row>
    <row r="91" ht="14.25" customHeight="1">
      <c r="B91" s="17">
        <v>20880.0</v>
      </c>
      <c r="C91" s="40" t="str">
        <f>VLOOKUP(B91,'FML March 2026'!E:F,2,false)</f>
        <v>SALT SEA MALDON</v>
      </c>
      <c r="D91" s="9" t="str">
        <f>VLOOKUP(B91,'Unit of Measure ship March 2026'!A:C,3,false)</f>
        <v>LBS</v>
      </c>
      <c r="H91" s="9"/>
      <c r="J91" s="50"/>
      <c r="K91" s="9"/>
      <c r="L91" s="9"/>
      <c r="N91" s="51"/>
      <c r="P91" s="9"/>
    </row>
    <row r="92" ht="14.25" customHeight="1">
      <c r="B92" s="8">
        <v>111932.0</v>
      </c>
      <c r="C92" s="40" t="str">
        <f>VLOOKUP(B92,'FML March 2026'!E:F,2,false)</f>
        <v>SEAWEED DULCE DRIED BROWNE TRADING</v>
      </c>
      <c r="D92" s="9" t="str">
        <f>VLOOKUP(B92,'Unit of Measure ship March 2026'!A:C,3,false)</f>
        <v>LBS</v>
      </c>
      <c r="F92" s="8"/>
      <c r="G92" s="9"/>
      <c r="H92" s="9"/>
      <c r="J92" s="50"/>
      <c r="K92" s="9"/>
      <c r="L92" s="9"/>
      <c r="N92" s="51"/>
      <c r="P92" s="9"/>
    </row>
    <row r="93" ht="14.25" customHeight="1">
      <c r="B93" s="8">
        <v>112896.0</v>
      </c>
      <c r="C93" s="40" t="str">
        <f>VLOOKUP(B93,'FML March 2026'!E:F,2,false)</f>
        <v>SEAWEED SEA LETTUCE DRIED BROWNE TRADING</v>
      </c>
      <c r="D93" s="9" t="str">
        <f>VLOOKUP(B93,'Unit of Measure ship March 2026'!A:C,3,false)</f>
        <v>LBS</v>
      </c>
      <c r="H93" s="9"/>
      <c r="J93" s="50"/>
      <c r="K93" s="9"/>
      <c r="L93" s="9"/>
      <c r="N93" s="51"/>
      <c r="P93" s="9"/>
    </row>
    <row r="94" ht="14.25" customHeight="1">
      <c r="B94" s="8">
        <v>110954.0</v>
      </c>
      <c r="C94" s="40" t="str">
        <f>VLOOKUP(B94,'FML March 2026'!E:F,2,false)</f>
        <v>SESAME PASTE BLACK 1.1 LB  MARUHON</v>
      </c>
      <c r="D94" s="9" t="str">
        <f>VLOOKUP(B94,'Unit of Measure ship March 2026'!A:C,3,false)</f>
        <v>LBS</v>
      </c>
      <c r="H94" s="9"/>
      <c r="J94" s="50"/>
      <c r="K94" s="9"/>
      <c r="L94" s="9"/>
      <c r="N94" s="51"/>
      <c r="P94" s="9"/>
    </row>
    <row r="95" ht="14.25" customHeight="1">
      <c r="B95" s="8">
        <v>11260.0</v>
      </c>
      <c r="C95" s="40" t="str">
        <f>VLOOKUP(B95,'FML March 2026'!E:F,2,false)</f>
        <v>SESAME SEED BLACK</v>
      </c>
      <c r="D95" s="9" t="str">
        <f>VLOOKUP(B95,'Unit of Measure ship March 2026'!A:C,3,false)</f>
        <v>LBS</v>
      </c>
      <c r="H95" s="9"/>
      <c r="J95" s="50"/>
      <c r="K95" s="9"/>
      <c r="L95" s="9"/>
      <c r="N95" s="51"/>
      <c r="P95" s="9"/>
    </row>
    <row r="96" ht="14.25" customHeight="1">
      <c r="B96" s="8">
        <v>15818.0</v>
      </c>
      <c r="C96" s="40" t="str">
        <f>VLOOKUP(B96,'FML March 2026'!E:F,2,false)</f>
        <v>SESAME SEEDS WHITE BADIA (USA )</v>
      </c>
      <c r="D96" s="9" t="str">
        <f>VLOOKUP(B96,'Unit of Measure ship March 2026'!A:C,3,false)</f>
        <v>LBS</v>
      </c>
      <c r="F96" s="8"/>
      <c r="G96" s="9"/>
      <c r="H96" s="9"/>
      <c r="N96" s="51"/>
      <c r="P96" s="9"/>
    </row>
    <row r="97" ht="14.25" customHeight="1">
      <c r="B97" s="8">
        <v>111141.0</v>
      </c>
      <c r="C97" s="40" t="str">
        <f>VLOOKUP(B97,'FML March 2026'!E:F,2,false)</f>
        <v>SHITAKE MUSHROOM POWDER CS6/8OZ D'ALLESANDRO</v>
      </c>
      <c r="D97" s="9" t="str">
        <f>VLOOKUP(B97,'Unit of Measure ship March 2026'!A:C,3,false)</f>
        <v>LBS</v>
      </c>
      <c r="F97" s="8"/>
      <c r="G97" s="9"/>
      <c r="H97" s="9"/>
      <c r="N97" s="51"/>
      <c r="P97" s="9"/>
    </row>
    <row r="98" ht="14.25" customHeight="1">
      <c r="B98" s="8">
        <v>102790.0</v>
      </c>
      <c r="C98" s="40" t="str">
        <f>VLOOKUP(B98,'FML March 2026'!E:F,2,false)</f>
        <v>SHREDDED COCONUT MED RAW ORGANIC 25LB</v>
      </c>
      <c r="D98" s="9" t="str">
        <f>VLOOKUP(B98,'Unit of Measure ship March 2026'!A:C,3,false)</f>
        <v>LBS</v>
      </c>
      <c r="G98" s="9"/>
      <c r="H98" s="9"/>
      <c r="N98" s="51"/>
      <c r="P98" s="9"/>
    </row>
    <row r="99" ht="14.25" customHeight="1">
      <c r="B99" s="8">
        <v>109695.0</v>
      </c>
      <c r="C99" s="40" t="str">
        <f>VLOOKUP(B99,'FML March 2026'!E:F,2,false)</f>
        <v>SMOKED SALT MALDON</v>
      </c>
      <c r="D99" s="9" t="str">
        <f>VLOOKUP(B99,'Unit of Measure ship March 2026'!A:C,3,false)</f>
        <v>LBS</v>
      </c>
      <c r="G99" s="9"/>
      <c r="H99" s="9"/>
      <c r="N99" s="51"/>
      <c r="P99" s="9"/>
    </row>
    <row r="100" ht="14.25" customHeight="1">
      <c r="B100" s="8">
        <v>111016.0</v>
      </c>
      <c r="C100" s="40" t="str">
        <f>VLOOKUP(B100,'FML March 2026'!E:F,2,false)</f>
        <v>SOY LECITHIN PKG 1 LB CUISINE TECH</v>
      </c>
      <c r="D100" s="9" t="str">
        <f>VLOOKUP(B100,'Unit of Measure ship March 2026'!A:C,3,false)</f>
        <v>PK500GR</v>
      </c>
      <c r="H100" s="9"/>
      <c r="N100" s="51"/>
    </row>
    <row r="101" ht="15.75" customHeight="1">
      <c r="B101" s="17">
        <v>16945.0</v>
      </c>
      <c r="C101" s="40" t="str">
        <f>VLOOKUP(B101,'FML March 2026'!E:F,2,false)</f>
        <v>SOY MILK  12/32 OZ SILK/ PACKER</v>
      </c>
      <c r="D101" s="9" t="str">
        <f>VLOOKUP(B101,'Unit of Measure ship March 2026'!A:C,3,false)</f>
        <v>LT</v>
      </c>
    </row>
    <row r="102" ht="15.75" customHeight="1">
      <c r="B102" s="8">
        <v>20150.0</v>
      </c>
      <c r="C102" s="40" t="str">
        <f>VLOOKUP(B102,'FML March 2026'!E:F,2,false)</f>
        <v>SOY SAUCE 4/1 GALLON KIKKOMAN</v>
      </c>
      <c r="D102" s="9" t="str">
        <f>VLOOKUP(B102,'Unit of Measure ship March 2026'!A:C,3,false)</f>
        <v>GAL</v>
      </c>
    </row>
    <row r="103" ht="15.75" customHeight="1">
      <c r="B103" s="8">
        <v>148491.0</v>
      </c>
      <c r="C103" s="40" t="str">
        <f>VLOOKUP(B103,'FML March 2026'!E:F,2,false)</f>
        <v>SOY SAUCE YAMAROKU 4 YEARS AGED TSURU BISIHO, 5 OUNCE</v>
      </c>
      <c r="D103" s="9" t="str">
        <f>VLOOKUP(B103,'Unit of Measure ship March 2026'!A:C,3,false)</f>
        <v>PC5/OZ</v>
      </c>
    </row>
    <row r="104" ht="15.75" customHeight="1">
      <c r="B104" s="8">
        <v>15646.0</v>
      </c>
      <c r="C104" s="40" t="str">
        <f>VLOOKUP(B104,'FML March 2026'!E:F,2,false)</f>
        <v>SUGAR BROWN DARK  24/1LB  DOMINO (404310) (USA)</v>
      </c>
      <c r="D104" s="9" t="str">
        <f>VLOOKUP(B104,'Unit of Measure ship March 2026'!A:C,3,false)</f>
        <v>LBS</v>
      </c>
    </row>
    <row r="105" ht="15.75" customHeight="1">
      <c r="B105" s="8">
        <v>100872.0</v>
      </c>
      <c r="C105" s="40" t="str">
        <f>VLOOKUP(B105,'FML March 2026'!E:F,2,false)</f>
        <v>SUGAR BROWN LIGHT 24LB  DOMINO (404309)</v>
      </c>
      <c r="D105" s="9" t="str">
        <f>VLOOKUP(B105,'Unit of Measure ship March 2026'!A:C,3,false)</f>
        <v>LBS</v>
      </c>
    </row>
    <row r="106" ht="15.75" customHeight="1">
      <c r="B106" s="17">
        <v>15642.0</v>
      </c>
      <c r="C106" s="40" t="str">
        <f>VLOOKUP(B106,'FML March 2026'!E:F,2,false)</f>
        <v>SUGAR, GRANULATED, ICUMSA 150, SUGARCANE, DRY, 1/50 LB</v>
      </c>
      <c r="D106" s="9" t="str">
        <f>VLOOKUP(B106,'Unit of Measure ship March 2026'!A:C,3,false)</f>
        <v>LBS</v>
      </c>
    </row>
    <row r="107" ht="15.75" customHeight="1">
      <c r="B107" s="8">
        <v>110928.0</v>
      </c>
      <c r="C107" s="40" t="str">
        <f>VLOOKUP(B107,'FML March 2026'!E:F,2,false)</f>
        <v>TAHINI PASTE  CS12/1LB SOOM</v>
      </c>
      <c r="D107" s="9" t="str">
        <f>VLOOKUP(B107,'Unit of Measure ship March 2026'!A:C,3,false)</f>
        <v>LBS</v>
      </c>
    </row>
    <row r="108" ht="15.75" customHeight="1">
      <c r="B108" s="8">
        <v>16939.0</v>
      </c>
      <c r="C108" s="40" t="str">
        <f>VLOOKUP(B108,'FML March 2026'!E:F,2,false)</f>
        <v>TAMARI, GLUTEN FREE SOY SAUCE IH 11/20</v>
      </c>
      <c r="D108" s="9" t="str">
        <f>VLOOKUP(B108,'Unit of Measure ship March 2026'!A:C,3,false)</f>
        <v>PC/10OZ</v>
      </c>
    </row>
    <row r="109" ht="15.75" customHeight="1">
      <c r="B109" s="8">
        <v>111017.0</v>
      </c>
      <c r="C109" s="40" t="str">
        <f>VLOOKUP(B109,'FML March 2026'!E:F,2,false)</f>
        <v>TAPIOCA MALTODEXTRIN PKG 1.5LB CUISINE TECH</v>
      </c>
      <c r="D109" s="9" t="str">
        <f>VLOOKUP(B109,'Unit of Measure ship March 2026'!A:C,3,false)</f>
        <v>LBS</v>
      </c>
    </row>
    <row r="110" ht="15.75" customHeight="1">
      <c r="B110" s="8">
        <v>109967.0</v>
      </c>
      <c r="C110" s="40" t="str">
        <f>VLOOKUP(B110,'FML March 2026'!E:F,2,false)</f>
        <v>TOFU EXTRA FIRM, TUB</v>
      </c>
      <c r="D110" s="9" t="str">
        <f>VLOOKUP(B110,'Unit of Measure ship March 2026'!A:C,3,false)</f>
        <v>LBS</v>
      </c>
    </row>
    <row r="111" ht="15.75" customHeight="1">
      <c r="B111" s="8">
        <v>16951.0</v>
      </c>
      <c r="C111" s="40" t="str">
        <f>VLOOKUP(B111,'FML March 2026'!E:F,2,false)</f>
        <v>TOFU SILKY SOFT (KINU TOFU)</v>
      </c>
      <c r="D111" s="9" t="str">
        <f>VLOOKUP(B111,'Unit of Measure ship March 2026'!A:C,3,false)</f>
        <v>PC/12OZ</v>
      </c>
    </row>
    <row r="112" ht="15.75" customHeight="1">
      <c r="B112" s="8">
        <v>16581.0</v>
      </c>
      <c r="C112" s="40" t="str">
        <f>VLOOKUP(B112,'FML March 2026'!E:F,2,false)</f>
        <v>TOMATO, PASTE, HEINZ, 57310, DRY, 6/#10</v>
      </c>
      <c r="D112" s="9" t="str">
        <f>VLOOKUP(B112,'Unit of Measure ship March 2026'!A:C,3,false)</f>
        <v>CN/6.5LB</v>
      </c>
    </row>
    <row r="113" ht="15.75" customHeight="1">
      <c r="B113" s="8">
        <v>100775.0</v>
      </c>
      <c r="C113" s="40" t="str">
        <f>VLOOKUP(B113,'FML March 2026'!E:F,2,false)</f>
        <v>TRANSGLUTAMINASE PROTEIN GLUE</v>
      </c>
      <c r="D113" s="9" t="str">
        <f>VLOOKUP(B113,'Unit of Measure ship March 2026'!A:C,3,false)</f>
        <v>LBS</v>
      </c>
    </row>
    <row r="114" ht="15.75" customHeight="1">
      <c r="B114" s="8">
        <v>20844.0</v>
      </c>
      <c r="C114" s="40" t="str">
        <f>VLOOKUP(B114,'FML March 2026'!E:F,2,false)</f>
        <v>VEAL DEMI GLACE CUISINE SOLUTIONS 1003743 (NO INSPECTION NEEDED) (NETHERLANDS)</v>
      </c>
      <c r="D114" s="9" t="str">
        <f>VLOOKUP(B114,'Unit of Measure ship March 2026'!A:C,3,false)</f>
        <v>LBS</v>
      </c>
    </row>
    <row r="115" ht="15.75" customHeight="1">
      <c r="B115" s="8">
        <v>110035.0</v>
      </c>
      <c r="C115" s="40" t="str">
        <f>VLOOKUP(B115,'FML March 2026'!E:F,2,false)</f>
        <v>VEGAN WORCESTERSHIRE SAUCE CS12/8 OZ ANNIES</v>
      </c>
      <c r="D115" s="9" t="str">
        <f>VLOOKUP(B115,'Unit of Measure ship March 2026'!A:C,3,false)</f>
        <v>CS12/8OZ</v>
      </c>
    </row>
    <row r="116" ht="15.75" customHeight="1">
      <c r="B116" s="8">
        <v>111933.0</v>
      </c>
      <c r="C116" s="40" t="str">
        <f>VLOOKUP(B116,'FML March 2026'!E:F,2,false)</f>
        <v>VEGETABLE STOCK LIQUID  CS 4.5/ LITER SAVORY CHOICE</v>
      </c>
      <c r="D116" s="9" t="str">
        <f>VLOOKUP(B116,'Unit of Measure ship March 2026'!A:C,3,false)</f>
        <v>LT</v>
      </c>
    </row>
    <row r="117" ht="15.75" customHeight="1">
      <c r="B117" s="8">
        <v>109665.0</v>
      </c>
      <c r="C117" s="40" t="str">
        <f>VLOOKUP(B117,'FML March 2026'!E:F,2,false)</f>
        <v>VINEGAR CABERNET SPARROW LANE</v>
      </c>
      <c r="D117" s="9" t="str">
        <f>VLOOKUP(B117,'Unit of Measure ship March 2026'!A:C,3,false)</f>
        <v>GAL</v>
      </c>
    </row>
    <row r="118" ht="15.75" customHeight="1">
      <c r="B118" s="8">
        <v>109666.0</v>
      </c>
      <c r="C118" s="40" t="str">
        <f>VLOOKUP(B118,'FML March 2026'!E:F,2,false)</f>
        <v>VINEGAR CHAMPAGNE WINE SPARROW LANE/ PACKER</v>
      </c>
      <c r="D118" s="9" t="str">
        <f>VLOOKUP(B118,'Unit of Measure ship March 2026'!A:C,3,false)</f>
        <v>GAL</v>
      </c>
    </row>
    <row r="119" ht="15.75" customHeight="1">
      <c r="B119" s="8">
        <v>148488.0</v>
      </c>
      <c r="C119" s="40" t="str">
        <f>VLOOKUP(B119,'FML March 2026'!E:F,2,false)</f>
        <v>VINEGAR PLUM</v>
      </c>
      <c r="D119" s="9" t="str">
        <f>VLOOKUP(B119,'Unit of Measure ship March 2026'!A:C,3,false)</f>
        <v>BT/5OZ</v>
      </c>
    </row>
    <row r="120" ht="15.75" customHeight="1">
      <c r="B120" s="8">
        <v>16399.0</v>
      </c>
      <c r="C120" s="40" t="str">
        <f>VLOOKUP(B120,'FML March 2026'!E:F,2,false)</f>
        <v>VINEGAR RASPBERRY 12/33.8 OZ ROLAND</v>
      </c>
      <c r="D120" s="9" t="str">
        <f>VLOOKUP(B120,'Unit of Measure ship March 2026'!A:C,3,false)</f>
        <v>BTL/34OZ</v>
      </c>
    </row>
    <row r="121" ht="15.75" customHeight="1">
      <c r="B121" s="8">
        <v>16402.0</v>
      </c>
      <c r="C121" s="40" t="str">
        <f>VLOOKUP(B121,'FML March 2026'!E:F,2,false)</f>
        <v>VINEGAR SHERRY/ XERES CS4/5 LT ROLAND</v>
      </c>
      <c r="D121" s="9" t="str">
        <f>VLOOKUP(B121,'Unit of Measure ship March 2026'!A:C,3,false)</f>
        <v>BT/750ML</v>
      </c>
    </row>
    <row r="122" ht="15.75" customHeight="1">
      <c r="B122" s="17">
        <v>16387.0</v>
      </c>
      <c r="C122" s="40" t="str">
        <f>VLOOKUP(B122,'FML March 2026'!E:F,2,false)</f>
        <v>WHITE TRUFFLE OIL</v>
      </c>
      <c r="D122" s="9" t="str">
        <f>VLOOKUP(B122,'Unit of Measure ship March 2026'!A:C,3,false)</f>
        <v>BT/250ML</v>
      </c>
    </row>
    <row r="123" ht="15.75" customHeight="1">
      <c r="B123" s="8">
        <v>102288.0</v>
      </c>
      <c r="C123" s="40" t="str">
        <f>VLOOKUP(B123,'FML March 2026'!E:F,2,false)</f>
        <v>XANTHAN GUM (AUSTRIA)</v>
      </c>
      <c r="D123" s="9" t="str">
        <f>VLOOKUP(B123,'Unit of Measure ship March 2026'!A:C,3,false)</f>
        <v>LBS</v>
      </c>
    </row>
    <row r="124" ht="15.75" customHeight="1">
      <c r="B124" s="8">
        <v>19409.0</v>
      </c>
      <c r="C124" s="40" t="str">
        <f>VLOOKUP(B124,'FML March 2026'!E:F,2,false)</f>
        <v>YUZU JUICE PURE UNSEASONED SHIBORI YAKAMI ORCHARD</v>
      </c>
      <c r="D124" s="9" t="str">
        <f>VLOOKUP(B124,'Unit of Measure ship March 2026'!A:C,3,false)</f>
        <v>BT/750ML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>
      <c r="C131" s="52"/>
      <c r="D131" s="9"/>
    </row>
    <row r="132" ht="15.75" customHeight="1"/>
    <row r="133" ht="15.75" customHeight="1">
      <c r="C133" s="52"/>
      <c r="D133" s="9"/>
    </row>
    <row r="134" ht="15.75" customHeight="1">
      <c r="C134" s="52"/>
      <c r="D134" s="9"/>
    </row>
    <row r="135" ht="15.75" customHeight="1">
      <c r="C135" s="52"/>
      <c r="D135" s="9"/>
    </row>
    <row r="136" ht="15.75" customHeight="1">
      <c r="C136" s="52"/>
      <c r="D136" s="9"/>
    </row>
    <row r="137" ht="15.75" customHeight="1">
      <c r="C137" s="52"/>
      <c r="D137" s="9"/>
    </row>
    <row r="138" ht="15.75" customHeight="1">
      <c r="C138" s="52"/>
      <c r="D138" s="9"/>
    </row>
    <row r="139" ht="15.75" customHeight="1">
      <c r="C139" s="52"/>
      <c r="D139" s="9"/>
    </row>
    <row r="140" ht="15.75" customHeight="1">
      <c r="C140" s="52"/>
      <c r="D140" s="9"/>
    </row>
    <row r="141" ht="15.75" customHeight="1">
      <c r="C141" s="52"/>
      <c r="D141" s="9"/>
    </row>
    <row r="142" ht="15.75" customHeight="1">
      <c r="C142" s="52"/>
      <c r="D142" s="9"/>
    </row>
    <row r="143" ht="15.75" customHeight="1">
      <c r="C143" s="52"/>
      <c r="D143" s="9"/>
    </row>
    <row r="144" ht="15.75" customHeight="1">
      <c r="C144" s="52"/>
      <c r="D144" s="9"/>
    </row>
    <row r="145" ht="15.75" customHeight="1">
      <c r="C145" s="52"/>
      <c r="D145" s="9"/>
    </row>
    <row r="146" ht="15.75" customHeight="1">
      <c r="C146" s="52"/>
      <c r="D146" s="9"/>
    </row>
    <row r="147" ht="15.75" customHeight="1">
      <c r="C147" s="52"/>
      <c r="D147" s="9"/>
    </row>
    <row r="148" ht="15.75" customHeight="1">
      <c r="C148" s="52"/>
      <c r="D148" s="9"/>
    </row>
    <row r="149" ht="15.75" customHeight="1">
      <c r="C149" s="52"/>
      <c r="D149" s="9"/>
    </row>
    <row r="150" ht="15.75" customHeight="1">
      <c r="C150" s="52"/>
      <c r="D150" s="9"/>
    </row>
    <row r="151" ht="15.75" customHeight="1">
      <c r="D151" s="9"/>
    </row>
    <row r="152" ht="15.75" customHeight="1">
      <c r="C152" s="52"/>
      <c r="D152" s="9"/>
    </row>
    <row r="153" ht="15.75" customHeight="1"/>
    <row r="154" ht="15.75" customHeight="1"/>
    <row r="155" ht="15.75" customHeight="1"/>
    <row r="156" ht="15.75" customHeight="1"/>
    <row r="157" ht="15.75" customHeight="1">
      <c r="C157" s="52"/>
      <c r="D157" s="9"/>
    </row>
    <row r="158" ht="15.75" customHeight="1">
      <c r="C158" s="52"/>
      <c r="D158" s="9"/>
    </row>
    <row r="159" ht="15.75" customHeight="1">
      <c r="C159" s="52"/>
      <c r="D159" s="9"/>
    </row>
    <row r="160" ht="15.75" customHeight="1">
      <c r="C160" s="52"/>
      <c r="D160" s="9"/>
    </row>
    <row r="161" ht="15.75" customHeight="1">
      <c r="C161" s="52"/>
      <c r="D161" s="9"/>
      <c r="G161" s="53" t="s">
        <v>53</v>
      </c>
    </row>
    <row r="162" ht="15.75" customHeight="1">
      <c r="D162" s="9"/>
    </row>
    <row r="163" ht="15.75" customHeight="1">
      <c r="D163" s="9"/>
    </row>
    <row r="164" ht="15.75" customHeight="1">
      <c r="D164" s="9"/>
    </row>
    <row r="165" ht="15.75" customHeight="1">
      <c r="D165" s="9"/>
    </row>
    <row r="166" ht="15.75" customHeight="1">
      <c r="D166" s="9"/>
    </row>
    <row r="167" ht="15.75" customHeight="1">
      <c r="D167" s="9"/>
    </row>
    <row r="168" ht="15.75" customHeight="1">
      <c r="D168" s="9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>
      <c r="C186" s="52"/>
    </row>
    <row r="187" ht="15.75" customHeight="1">
      <c r="C187" s="52"/>
    </row>
    <row r="188" ht="15.75" customHeight="1">
      <c r="C188" s="52"/>
    </row>
    <row r="189" ht="15.75" customHeight="1">
      <c r="C189" s="52"/>
    </row>
    <row r="190" ht="15.75" customHeight="1">
      <c r="C190" s="52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>
      <c r="C200" s="52"/>
    </row>
    <row r="201" ht="15.75" customHeight="1">
      <c r="C201" s="52"/>
    </row>
    <row r="202" ht="15.75" customHeight="1">
      <c r="C202" s="52"/>
    </row>
    <row r="203" ht="15.75" customHeight="1">
      <c r="C203" s="52"/>
    </row>
    <row r="204" ht="15.75" customHeight="1">
      <c r="C204" s="52"/>
    </row>
    <row r="205" ht="15.75" customHeight="1">
      <c r="C205" s="52"/>
    </row>
    <row r="206" ht="15.75" customHeight="1">
      <c r="C206" s="52"/>
    </row>
    <row r="207" ht="15.75" customHeight="1">
      <c r="C207" s="52"/>
    </row>
    <row r="208" ht="15.75" customHeight="1">
      <c r="C208" s="52"/>
    </row>
    <row r="209" ht="15.75" customHeight="1">
      <c r="C209" s="52"/>
    </row>
    <row r="210" ht="15.75" customHeight="1">
      <c r="C210" s="52"/>
    </row>
    <row r="211" ht="15.75" customHeight="1">
      <c r="C211" s="52"/>
    </row>
    <row r="212" ht="15.75" customHeight="1">
      <c r="C212" s="52"/>
    </row>
    <row r="213" ht="15.75" customHeight="1">
      <c r="C213" s="52"/>
    </row>
    <row r="214" ht="15.75" customHeight="1">
      <c r="C214" s="52"/>
    </row>
    <row r="215" ht="15.75" customHeight="1">
      <c r="C215" s="52"/>
    </row>
    <row r="216" ht="15.75" customHeight="1">
      <c r="C216" s="52"/>
    </row>
    <row r="217" ht="15.75" customHeight="1">
      <c r="C217" s="52"/>
    </row>
    <row r="218" ht="15.75" customHeight="1">
      <c r="C218" s="52"/>
    </row>
    <row r="219" ht="15.75" customHeight="1">
      <c r="C219" s="52"/>
    </row>
    <row r="220" ht="15.75" customHeight="1">
      <c r="C220" s="52"/>
    </row>
    <row r="221" ht="15.75" customHeight="1">
      <c r="C221" s="52"/>
    </row>
    <row r="222" ht="15.75" customHeight="1">
      <c r="C222" s="52"/>
    </row>
    <row r="223" ht="15.75" customHeight="1">
      <c r="C223" s="52"/>
    </row>
    <row r="224" ht="15.75" customHeight="1">
      <c r="C224" s="52"/>
    </row>
    <row r="225" ht="15.75" customHeight="1">
      <c r="C225" s="52"/>
    </row>
    <row r="226" ht="15.75" customHeight="1">
      <c r="C226" s="52"/>
    </row>
    <row r="227" ht="15.75" customHeight="1">
      <c r="C227" s="52"/>
    </row>
    <row r="228" ht="15.75" customHeight="1">
      <c r="C228" s="52"/>
    </row>
    <row r="229" ht="15.75" customHeight="1">
      <c r="C229" s="52"/>
    </row>
    <row r="230" ht="15.75" customHeight="1">
      <c r="C230" s="52"/>
    </row>
    <row r="231" ht="15.75" customHeight="1">
      <c r="C231" s="52"/>
    </row>
    <row r="232" ht="15.75" customHeight="1">
      <c r="C232" s="52"/>
    </row>
    <row r="233" ht="15.75" customHeight="1">
      <c r="C233" s="52"/>
    </row>
    <row r="234" ht="15.75" customHeight="1">
      <c r="C234" s="52"/>
    </row>
    <row r="235" ht="15.75" customHeight="1">
      <c r="C235" s="52"/>
    </row>
    <row r="236" ht="15.75" customHeight="1">
      <c r="C236" s="52"/>
    </row>
    <row r="237" ht="15.75" customHeight="1">
      <c r="C237" s="52"/>
    </row>
    <row r="238" ht="15.75" customHeight="1">
      <c r="C238" s="52"/>
    </row>
    <row r="239" ht="15.75" customHeight="1">
      <c r="C239" s="52"/>
    </row>
    <row r="240" ht="15.75" customHeight="1">
      <c r="C240" s="52"/>
    </row>
    <row r="241" ht="15.75" customHeight="1">
      <c r="C241" s="52"/>
    </row>
    <row r="242" ht="15.75" customHeight="1">
      <c r="C242" s="52"/>
    </row>
    <row r="243" ht="15.75" customHeight="1">
      <c r="C243" s="52"/>
    </row>
    <row r="244" ht="15.75" customHeight="1">
      <c r="C244" s="52"/>
    </row>
    <row r="245" ht="15.75" customHeight="1">
      <c r="C245" s="52"/>
    </row>
    <row r="246" ht="15.75" customHeight="1">
      <c r="C246" s="52"/>
    </row>
    <row r="247" ht="15.75" customHeight="1">
      <c r="C247" s="52"/>
    </row>
    <row r="248" ht="15.75" customHeight="1">
      <c r="C248" s="52"/>
    </row>
    <row r="249" ht="15.75" customHeight="1">
      <c r="C249" s="52"/>
    </row>
    <row r="250" ht="15.75" customHeight="1">
      <c r="C250" s="52"/>
    </row>
    <row r="251" ht="15.75" customHeight="1">
      <c r="C251" s="52"/>
    </row>
    <row r="252" ht="15.75" customHeight="1">
      <c r="C252" s="52"/>
    </row>
    <row r="253" ht="15.75" customHeight="1">
      <c r="C253" s="52"/>
    </row>
    <row r="254" ht="15.75" customHeight="1">
      <c r="C254" s="52"/>
    </row>
    <row r="255" ht="15.75" customHeight="1">
      <c r="C255" s="52"/>
    </row>
    <row r="256" ht="15.75" customHeight="1">
      <c r="C256" s="52"/>
    </row>
    <row r="257" ht="15.75" customHeight="1">
      <c r="C257" s="52"/>
    </row>
    <row r="258" ht="15.75" customHeight="1">
      <c r="C258" s="52"/>
    </row>
    <row r="259" ht="15.75" customHeight="1">
      <c r="C259" s="52"/>
    </row>
    <row r="260" ht="15.75" customHeight="1">
      <c r="C260" s="52"/>
    </row>
    <row r="261" ht="15.75" customHeight="1">
      <c r="C261" s="52"/>
    </row>
    <row r="262" ht="15.75" customHeight="1">
      <c r="C262" s="52"/>
    </row>
    <row r="263" ht="15.75" customHeight="1">
      <c r="C263" s="52"/>
    </row>
    <row r="264" ht="15.75" customHeight="1">
      <c r="C264" s="52"/>
    </row>
    <row r="265" ht="15.75" customHeight="1">
      <c r="C265" s="52"/>
    </row>
    <row r="266" ht="15.75" customHeight="1">
      <c r="C266" s="52"/>
    </row>
    <row r="267" ht="15.75" customHeight="1">
      <c r="C267" s="52"/>
    </row>
    <row r="268" ht="15.75" customHeight="1">
      <c r="C268" s="52"/>
    </row>
    <row r="269" ht="15.75" customHeight="1">
      <c r="C269" s="52"/>
    </row>
    <row r="270" ht="15.75" customHeight="1">
      <c r="C270" s="52"/>
    </row>
    <row r="271" ht="15.75" customHeight="1">
      <c r="C271" s="52"/>
    </row>
    <row r="272" ht="15.75" customHeight="1">
      <c r="C272" s="52"/>
    </row>
    <row r="273" ht="15.75" customHeight="1">
      <c r="C273" s="52"/>
    </row>
    <row r="274" ht="15.75" customHeight="1">
      <c r="C274" s="52"/>
    </row>
    <row r="275" ht="15.75" customHeight="1">
      <c r="C275" s="52"/>
    </row>
    <row r="276" ht="15.75" customHeight="1">
      <c r="C276" s="52"/>
    </row>
    <row r="277" ht="15.75" customHeight="1">
      <c r="C277" s="52"/>
    </row>
    <row r="278" ht="15.75" customHeight="1">
      <c r="C278" s="52"/>
    </row>
    <row r="279" ht="15.75" customHeight="1">
      <c r="C279" s="52"/>
    </row>
    <row r="280" ht="15.75" customHeight="1">
      <c r="C280" s="52"/>
    </row>
    <row r="281" ht="15.75" customHeight="1">
      <c r="C281" s="52"/>
    </row>
    <row r="282" ht="15.75" customHeight="1">
      <c r="C282" s="52"/>
    </row>
    <row r="283" ht="15.75" customHeight="1">
      <c r="C283" s="52"/>
    </row>
    <row r="284" ht="15.75" customHeight="1">
      <c r="C284" s="52"/>
    </row>
    <row r="285" ht="15.75" customHeight="1">
      <c r="C285" s="52"/>
    </row>
    <row r="286" ht="15.75" customHeight="1">
      <c r="C286" s="52"/>
    </row>
    <row r="287" ht="15.75" customHeight="1">
      <c r="C287" s="52"/>
    </row>
    <row r="288" ht="15.75" customHeight="1">
      <c r="C288" s="52"/>
    </row>
    <row r="289" ht="15.75" customHeight="1">
      <c r="C289" s="52"/>
    </row>
    <row r="290" ht="15.75" customHeight="1">
      <c r="C290" s="52"/>
    </row>
    <row r="291" ht="15.75" customHeight="1">
      <c r="C291" s="52"/>
    </row>
    <row r="292" ht="15.75" customHeight="1">
      <c r="C292" s="52"/>
    </row>
    <row r="293" ht="15.75" customHeight="1">
      <c r="C293" s="52"/>
    </row>
    <row r="294" ht="15.75" customHeight="1">
      <c r="C294" s="52"/>
    </row>
    <row r="295" ht="15.75" customHeight="1">
      <c r="C295" s="52"/>
    </row>
    <row r="296" ht="15.75" customHeight="1">
      <c r="C296" s="52"/>
    </row>
    <row r="297" ht="15.75" customHeight="1">
      <c r="C297" s="52"/>
    </row>
    <row r="298" ht="15.75" customHeight="1">
      <c r="C298" s="52"/>
    </row>
    <row r="299" ht="15.75" customHeight="1">
      <c r="C299" s="52"/>
    </row>
    <row r="300" ht="15.75" customHeight="1">
      <c r="C300" s="52"/>
    </row>
    <row r="301" ht="15.75" customHeight="1">
      <c r="C301" s="52"/>
    </row>
    <row r="302" ht="15.75" customHeight="1">
      <c r="C302" s="52"/>
    </row>
    <row r="303" ht="15.75" customHeight="1">
      <c r="C303" s="52"/>
    </row>
    <row r="304" ht="15.75" customHeight="1">
      <c r="C304" s="52"/>
    </row>
    <row r="305" ht="15.75" customHeight="1">
      <c r="C305" s="52"/>
    </row>
    <row r="306" ht="15.75" customHeight="1">
      <c r="C306" s="52"/>
    </row>
    <row r="307" ht="15.75" customHeight="1">
      <c r="C307" s="52"/>
    </row>
    <row r="308" ht="15.75" customHeight="1">
      <c r="C308" s="52"/>
    </row>
    <row r="309" ht="15.75" customHeight="1">
      <c r="C309" s="52"/>
    </row>
    <row r="310" ht="15.75" customHeight="1">
      <c r="C310" s="52"/>
    </row>
    <row r="311" ht="15.75" customHeight="1">
      <c r="C311" s="52"/>
    </row>
    <row r="312" ht="15.75" customHeight="1">
      <c r="C312" s="52"/>
    </row>
    <row r="313" ht="15.75" customHeight="1">
      <c r="C313" s="52"/>
    </row>
    <row r="314" ht="15.75" customHeight="1">
      <c r="C314" s="52"/>
    </row>
    <row r="315" ht="15.75" customHeight="1">
      <c r="C315" s="52"/>
    </row>
    <row r="316" ht="15.75" customHeight="1">
      <c r="C316" s="52"/>
    </row>
    <row r="317" ht="15.75" customHeight="1">
      <c r="C317" s="52"/>
    </row>
    <row r="318" ht="15.75" customHeight="1">
      <c r="C318" s="52"/>
    </row>
    <row r="319" ht="15.75" customHeight="1">
      <c r="C319" s="52"/>
    </row>
    <row r="320" ht="15.75" customHeight="1">
      <c r="C320" s="52"/>
    </row>
    <row r="321" ht="15.75" customHeight="1">
      <c r="C321" s="52"/>
    </row>
    <row r="322" ht="15.75" customHeight="1">
      <c r="C322" s="52"/>
    </row>
    <row r="323" ht="15.75" customHeight="1">
      <c r="C323" s="52"/>
    </row>
    <row r="324" ht="15.75" customHeight="1">
      <c r="C324" s="52"/>
    </row>
    <row r="325" ht="15.75" customHeight="1">
      <c r="C325" s="52"/>
    </row>
    <row r="326" ht="15.75" customHeight="1">
      <c r="C326" s="52"/>
    </row>
    <row r="327" ht="15.75" customHeight="1">
      <c r="C327" s="52"/>
    </row>
    <row r="328" ht="15.75" customHeight="1">
      <c r="C328" s="52"/>
    </row>
    <row r="329" ht="15.75" customHeight="1">
      <c r="C329" s="52"/>
    </row>
    <row r="330" ht="15.75" customHeight="1">
      <c r="C330" s="52"/>
    </row>
    <row r="331" ht="15.75" customHeight="1">
      <c r="C331" s="52"/>
    </row>
    <row r="332" ht="15.75" customHeight="1">
      <c r="C332" s="52"/>
    </row>
    <row r="333" ht="15.75" customHeight="1">
      <c r="C333" s="52"/>
    </row>
    <row r="334" ht="15.75" customHeight="1">
      <c r="C334" s="52"/>
    </row>
    <row r="335" ht="15.75" customHeight="1">
      <c r="C335" s="52"/>
    </row>
    <row r="336" ht="15.75" customHeight="1">
      <c r="C336" s="52"/>
    </row>
    <row r="337" ht="15.75" customHeight="1">
      <c r="C337" s="52"/>
    </row>
    <row r="338" ht="15.75" customHeight="1">
      <c r="C338" s="52"/>
    </row>
    <row r="339" ht="15.75" customHeight="1">
      <c r="C339" s="52"/>
    </row>
    <row r="340" ht="15.75" customHeight="1">
      <c r="C340" s="52"/>
    </row>
    <row r="341" ht="15.75" customHeight="1">
      <c r="C341" s="52"/>
    </row>
    <row r="342" ht="15.75" customHeight="1">
      <c r="C342" s="52"/>
    </row>
    <row r="343" ht="15.75" customHeight="1">
      <c r="C343" s="52"/>
    </row>
    <row r="344" ht="15.75" customHeight="1">
      <c r="C344" s="52"/>
    </row>
    <row r="345" ht="15.75" customHeight="1">
      <c r="C345" s="52"/>
    </row>
    <row r="346" ht="15.75" customHeight="1">
      <c r="C346" s="52"/>
    </row>
    <row r="347" ht="15.75" customHeight="1">
      <c r="C347" s="52"/>
    </row>
    <row r="348" ht="15.75" customHeight="1">
      <c r="C348" s="52"/>
    </row>
    <row r="349" ht="15.75" customHeight="1">
      <c r="C349" s="52"/>
    </row>
    <row r="350" ht="15.75" customHeight="1">
      <c r="C350" s="52"/>
    </row>
    <row r="351" ht="15.75" customHeight="1">
      <c r="C351" s="52"/>
    </row>
    <row r="352" ht="15.75" customHeight="1">
      <c r="C352" s="52"/>
    </row>
    <row r="353" ht="15.75" customHeight="1">
      <c r="C353" s="52"/>
    </row>
    <row r="354" ht="15.75" customHeight="1">
      <c r="C354" s="52"/>
    </row>
    <row r="355" ht="15.75" customHeight="1">
      <c r="C355" s="52"/>
    </row>
    <row r="356" ht="15.75" customHeight="1">
      <c r="C356" s="52"/>
    </row>
    <row r="357" ht="15.75" customHeight="1">
      <c r="C357" s="52"/>
    </row>
    <row r="358" ht="15.75" customHeight="1">
      <c r="C358" s="52"/>
    </row>
    <row r="359" ht="15.75" customHeight="1">
      <c r="C359" s="52"/>
    </row>
    <row r="360" ht="15.75" customHeight="1">
      <c r="C360" s="52"/>
    </row>
    <row r="361" ht="15.75" customHeight="1">
      <c r="C361" s="52"/>
    </row>
    <row r="362" ht="15.75" customHeight="1">
      <c r="C362" s="52"/>
    </row>
    <row r="363" ht="15.75" customHeight="1">
      <c r="C363" s="52"/>
    </row>
    <row r="364" ht="15.75" customHeight="1">
      <c r="C364" s="52"/>
    </row>
    <row r="365" ht="15.75" customHeight="1">
      <c r="C365" s="52"/>
    </row>
    <row r="366" ht="15.75" customHeight="1">
      <c r="C366" s="52"/>
    </row>
    <row r="367" ht="15.75" customHeight="1">
      <c r="C367" s="52"/>
    </row>
    <row r="368" ht="15.75" customHeight="1">
      <c r="C368" s="52"/>
    </row>
    <row r="369" ht="15.75" customHeight="1">
      <c r="C369" s="52"/>
    </row>
    <row r="370" ht="15.75" customHeight="1">
      <c r="C370" s="52"/>
    </row>
    <row r="371" ht="15.75" customHeight="1">
      <c r="C371" s="52"/>
    </row>
    <row r="372" ht="15.75" customHeight="1">
      <c r="C372" s="52"/>
    </row>
    <row r="373" ht="15.75" customHeight="1">
      <c r="C373" s="52"/>
    </row>
    <row r="374" ht="15.75" customHeight="1">
      <c r="C374" s="52"/>
    </row>
    <row r="375" ht="15.75" customHeight="1">
      <c r="C375" s="52"/>
    </row>
    <row r="376" ht="15.75" customHeight="1">
      <c r="C376" s="52"/>
    </row>
    <row r="377" ht="15.75" customHeight="1">
      <c r="C377" s="52"/>
    </row>
    <row r="378" ht="15.75" customHeight="1">
      <c r="C378" s="52"/>
    </row>
    <row r="379" ht="15.75" customHeight="1">
      <c r="C379" s="52"/>
    </row>
    <row r="380" ht="15.75" customHeight="1">
      <c r="C380" s="52"/>
    </row>
    <row r="381" ht="15.75" customHeight="1">
      <c r="C381" s="52"/>
    </row>
    <row r="382" ht="15.75" customHeight="1">
      <c r="C382" s="52"/>
    </row>
    <row r="383" ht="15.75" customHeight="1">
      <c r="C383" s="52"/>
    </row>
    <row r="384" ht="15.75" customHeight="1">
      <c r="C384" s="52"/>
    </row>
    <row r="385" ht="15.75" customHeight="1">
      <c r="C385" s="52"/>
    </row>
    <row r="386" ht="15.75" customHeight="1">
      <c r="C386" s="52"/>
    </row>
    <row r="387" ht="15.75" customHeight="1">
      <c r="C387" s="52"/>
    </row>
    <row r="388" ht="15.75" customHeight="1">
      <c r="C388" s="52"/>
    </row>
    <row r="389" ht="15.75" customHeight="1">
      <c r="C389" s="52"/>
    </row>
    <row r="390" ht="15.75" customHeight="1">
      <c r="C390" s="52"/>
    </row>
    <row r="391" ht="15.75" customHeight="1">
      <c r="C391" s="52"/>
    </row>
    <row r="392" ht="15.75" customHeight="1">
      <c r="C392" s="52"/>
    </row>
    <row r="393" ht="15.75" customHeight="1">
      <c r="C393" s="52"/>
    </row>
    <row r="394" ht="15.75" customHeight="1">
      <c r="C394" s="52"/>
    </row>
    <row r="395" ht="15.75" customHeight="1">
      <c r="C395" s="52"/>
    </row>
    <row r="396" ht="15.75" customHeight="1">
      <c r="C396" s="52"/>
    </row>
    <row r="397" ht="15.75" customHeight="1">
      <c r="C397" s="52"/>
    </row>
    <row r="398" ht="15.75" customHeight="1">
      <c r="C398" s="52"/>
    </row>
    <row r="399" ht="15.75" customHeight="1">
      <c r="C399" s="52"/>
    </row>
    <row r="400" ht="15.75" customHeight="1">
      <c r="C400" s="52"/>
    </row>
    <row r="401" ht="15.75" customHeight="1">
      <c r="C401" s="52"/>
    </row>
    <row r="402" ht="15.75" customHeight="1">
      <c r="C402" s="52"/>
    </row>
    <row r="403" ht="15.75" customHeight="1">
      <c r="C403" s="52"/>
    </row>
    <row r="404" ht="15.75" customHeight="1">
      <c r="C404" s="52"/>
    </row>
    <row r="405" ht="15.75" customHeight="1">
      <c r="C405" s="52"/>
    </row>
    <row r="406" ht="15.75" customHeight="1">
      <c r="C406" s="52"/>
    </row>
    <row r="407" ht="15.75" customHeight="1">
      <c r="C407" s="52"/>
    </row>
    <row r="408" ht="15.75" customHeight="1">
      <c r="C408" s="52"/>
    </row>
    <row r="409" ht="15.75" customHeight="1">
      <c r="C409" s="52"/>
    </row>
    <row r="410" ht="15.75" customHeight="1">
      <c r="C410" s="52"/>
    </row>
    <row r="411" ht="15.75" customHeight="1">
      <c r="C411" s="52"/>
    </row>
    <row r="412" ht="15.75" customHeight="1">
      <c r="C412" s="52"/>
    </row>
    <row r="413" ht="15.75" customHeight="1">
      <c r="C413" s="52"/>
    </row>
    <row r="414" ht="15.75" customHeight="1">
      <c r="C414" s="52"/>
    </row>
    <row r="415" ht="15.75" customHeight="1">
      <c r="C415" s="52"/>
    </row>
    <row r="416" ht="15.75" customHeight="1">
      <c r="C416" s="52"/>
    </row>
    <row r="417" ht="15.75" customHeight="1">
      <c r="C417" s="52"/>
    </row>
    <row r="418" ht="15.75" customHeight="1">
      <c r="C418" s="52"/>
    </row>
    <row r="419" ht="15.75" customHeight="1">
      <c r="C419" s="52"/>
    </row>
    <row r="420" ht="15.75" customHeight="1">
      <c r="C420" s="52"/>
    </row>
    <row r="421" ht="15.75" customHeight="1">
      <c r="C421" s="52"/>
    </row>
    <row r="422" ht="15.75" customHeight="1">
      <c r="C422" s="52"/>
    </row>
    <row r="423" ht="15.75" customHeight="1">
      <c r="C423" s="52"/>
    </row>
    <row r="424" ht="15.75" customHeight="1">
      <c r="C424" s="52"/>
    </row>
    <row r="425" ht="15.75" customHeight="1">
      <c r="C425" s="52"/>
    </row>
    <row r="426" ht="15.75" customHeight="1">
      <c r="C426" s="52"/>
    </row>
    <row r="427" ht="15.75" customHeight="1">
      <c r="C427" s="52"/>
    </row>
    <row r="428" ht="15.75" customHeight="1">
      <c r="C428" s="52"/>
    </row>
    <row r="429" ht="15.75" customHeight="1">
      <c r="C429" s="52"/>
    </row>
    <row r="430" ht="15.75" customHeight="1">
      <c r="C430" s="52"/>
    </row>
    <row r="431" ht="15.75" customHeight="1">
      <c r="C431" s="52"/>
    </row>
    <row r="432" ht="15.75" customHeight="1">
      <c r="C432" s="52"/>
    </row>
    <row r="433" ht="15.75" customHeight="1">
      <c r="C433" s="52"/>
    </row>
    <row r="434" ht="15.75" customHeight="1">
      <c r="C434" s="52"/>
    </row>
    <row r="435" ht="15.75" customHeight="1">
      <c r="C435" s="52"/>
    </row>
    <row r="436" ht="15.75" customHeight="1">
      <c r="C436" s="52"/>
    </row>
    <row r="437" ht="15.75" customHeight="1">
      <c r="C437" s="52"/>
    </row>
    <row r="438" ht="15.75" customHeight="1">
      <c r="C438" s="52"/>
    </row>
    <row r="439" ht="15.75" customHeight="1">
      <c r="C439" s="52"/>
    </row>
    <row r="440" ht="15.75" customHeight="1">
      <c r="C440" s="52"/>
    </row>
    <row r="441" ht="15.75" customHeight="1">
      <c r="C441" s="52"/>
    </row>
    <row r="442" ht="15.75" customHeight="1">
      <c r="C442" s="52"/>
    </row>
    <row r="443" ht="15.75" customHeight="1">
      <c r="C443" s="52"/>
    </row>
    <row r="444" ht="15.75" customHeight="1">
      <c r="C444" s="52"/>
    </row>
    <row r="445" ht="15.75" customHeight="1">
      <c r="C445" s="52"/>
    </row>
    <row r="446" ht="15.75" customHeight="1">
      <c r="C446" s="52"/>
    </row>
    <row r="447" ht="15.75" customHeight="1">
      <c r="C447" s="52"/>
    </row>
    <row r="448" ht="15.75" customHeight="1">
      <c r="C448" s="52"/>
    </row>
    <row r="449" ht="15.75" customHeight="1">
      <c r="C449" s="52"/>
    </row>
    <row r="450" ht="15.75" customHeight="1">
      <c r="C450" s="52"/>
    </row>
    <row r="451" ht="15.75" customHeight="1">
      <c r="C451" s="52"/>
    </row>
    <row r="452" ht="15.75" customHeight="1">
      <c r="C452" s="52"/>
    </row>
    <row r="453" ht="15.75" customHeight="1">
      <c r="C453" s="52"/>
    </row>
    <row r="454" ht="15.75" customHeight="1">
      <c r="C454" s="52"/>
    </row>
    <row r="455" ht="15.75" customHeight="1">
      <c r="C455" s="52"/>
    </row>
    <row r="456" ht="15.75" customHeight="1">
      <c r="C456" s="52"/>
    </row>
    <row r="457" ht="15.75" customHeight="1">
      <c r="C457" s="52"/>
    </row>
    <row r="458" ht="15.75" customHeight="1">
      <c r="C458" s="52"/>
    </row>
    <row r="459" ht="15.75" customHeight="1">
      <c r="C459" s="52"/>
    </row>
    <row r="460" ht="15.75" customHeight="1">
      <c r="C460" s="52"/>
    </row>
    <row r="461" ht="15.75" customHeight="1">
      <c r="C461" s="52"/>
    </row>
    <row r="462" ht="15.75" customHeight="1">
      <c r="C462" s="52"/>
    </row>
    <row r="463" ht="15.75" customHeight="1">
      <c r="C463" s="52"/>
    </row>
    <row r="464" ht="15.75" customHeight="1">
      <c r="C464" s="52"/>
    </row>
    <row r="465" ht="15.75" customHeight="1">
      <c r="C465" s="52"/>
    </row>
    <row r="466" ht="15.75" customHeight="1">
      <c r="C466" s="52"/>
    </row>
    <row r="467" ht="15.75" customHeight="1">
      <c r="C467" s="52"/>
    </row>
    <row r="468" ht="15.75" customHeight="1">
      <c r="C468" s="52"/>
    </row>
    <row r="469" ht="15.75" customHeight="1">
      <c r="C469" s="52"/>
    </row>
    <row r="470" ht="15.75" customHeight="1">
      <c r="C470" s="52"/>
    </row>
    <row r="471" ht="15.75" customHeight="1">
      <c r="C471" s="52"/>
    </row>
    <row r="472" ht="15.75" customHeight="1">
      <c r="C472" s="52"/>
    </row>
    <row r="473" ht="15.75" customHeight="1">
      <c r="C473" s="52"/>
    </row>
    <row r="474" ht="15.75" customHeight="1">
      <c r="C474" s="52"/>
    </row>
    <row r="475" ht="15.75" customHeight="1">
      <c r="C475" s="52"/>
    </row>
    <row r="476" ht="15.75" customHeight="1">
      <c r="C476" s="52"/>
    </row>
    <row r="477" ht="15.75" customHeight="1">
      <c r="C477" s="52"/>
    </row>
    <row r="478" ht="15.75" customHeight="1">
      <c r="C478" s="52"/>
    </row>
    <row r="479" ht="15.75" customHeight="1">
      <c r="C479" s="52"/>
    </row>
    <row r="480" ht="15.75" customHeight="1">
      <c r="C480" s="52"/>
    </row>
    <row r="481" ht="15.75" customHeight="1">
      <c r="C481" s="52"/>
    </row>
    <row r="482" ht="15.75" customHeight="1">
      <c r="C482" s="52"/>
    </row>
    <row r="483" ht="15.75" customHeight="1">
      <c r="C483" s="52"/>
    </row>
    <row r="484" ht="15.75" customHeight="1">
      <c r="C484" s="52"/>
    </row>
    <row r="485" ht="15.75" customHeight="1">
      <c r="C485" s="52"/>
    </row>
    <row r="486" ht="15.75" customHeight="1">
      <c r="C486" s="52"/>
    </row>
    <row r="487" ht="15.75" customHeight="1">
      <c r="C487" s="52"/>
    </row>
    <row r="488" ht="15.75" customHeight="1">
      <c r="C488" s="52"/>
    </row>
    <row r="489" ht="15.75" customHeight="1">
      <c r="C489" s="52"/>
    </row>
    <row r="490" ht="15.75" customHeight="1">
      <c r="C490" s="52"/>
    </row>
    <row r="491" ht="15.75" customHeight="1">
      <c r="C491" s="52"/>
    </row>
    <row r="492" ht="15.75" customHeight="1">
      <c r="C492" s="52"/>
    </row>
    <row r="493" ht="15.75" customHeight="1">
      <c r="C493" s="52"/>
    </row>
    <row r="494" ht="15.75" customHeight="1">
      <c r="C494" s="52"/>
    </row>
    <row r="495" ht="15.75" customHeight="1">
      <c r="C495" s="52"/>
    </row>
    <row r="496" ht="15.75" customHeight="1">
      <c r="C496" s="52"/>
    </row>
    <row r="497" ht="15.75" customHeight="1">
      <c r="C497" s="52"/>
    </row>
    <row r="498" ht="15.75" customHeight="1">
      <c r="C498" s="52"/>
    </row>
    <row r="499" ht="15.75" customHeight="1">
      <c r="C499" s="52"/>
    </row>
    <row r="500" ht="15.75" customHeight="1">
      <c r="C500" s="52"/>
    </row>
    <row r="501" ht="15.75" customHeight="1">
      <c r="C501" s="52"/>
    </row>
    <row r="502" ht="15.75" customHeight="1">
      <c r="C502" s="52"/>
    </row>
    <row r="503" ht="15.75" customHeight="1">
      <c r="C503" s="52"/>
    </row>
    <row r="504" ht="15.75" customHeight="1">
      <c r="C504" s="52"/>
    </row>
    <row r="505" ht="15.75" customHeight="1">
      <c r="C505" s="52"/>
    </row>
    <row r="506" ht="15.75" customHeight="1">
      <c r="C506" s="52"/>
    </row>
    <row r="507" ht="15.75" customHeight="1">
      <c r="C507" s="52"/>
    </row>
    <row r="508" ht="15.75" customHeight="1">
      <c r="C508" s="52"/>
    </row>
    <row r="509" ht="15.75" customHeight="1">
      <c r="C509" s="52"/>
    </row>
    <row r="510" ht="15.75" customHeight="1">
      <c r="C510" s="52"/>
    </row>
    <row r="511" ht="15.75" customHeight="1">
      <c r="C511" s="52"/>
    </row>
    <row r="512" ht="15.75" customHeight="1">
      <c r="C512" s="52"/>
    </row>
    <row r="513" ht="15.75" customHeight="1">
      <c r="C513" s="52"/>
    </row>
    <row r="514" ht="15.75" customHeight="1">
      <c r="C514" s="52"/>
    </row>
    <row r="515" ht="15.75" customHeight="1">
      <c r="C515" s="52"/>
    </row>
    <row r="516" ht="15.75" customHeight="1">
      <c r="C516" s="52"/>
    </row>
    <row r="517" ht="15.75" customHeight="1">
      <c r="C517" s="52"/>
    </row>
    <row r="518" ht="15.75" customHeight="1">
      <c r="C518" s="52"/>
    </row>
    <row r="519" ht="15.75" customHeight="1">
      <c r="C519" s="52"/>
    </row>
    <row r="520" ht="15.75" customHeight="1">
      <c r="C520" s="52"/>
    </row>
    <row r="521" ht="15.75" customHeight="1">
      <c r="C521" s="52"/>
    </row>
    <row r="522" ht="15.75" customHeight="1">
      <c r="C522" s="52"/>
    </row>
    <row r="523" ht="15.75" customHeight="1">
      <c r="C523" s="52"/>
    </row>
    <row r="524" ht="15.75" customHeight="1">
      <c r="C524" s="52"/>
    </row>
    <row r="525" ht="15.75" customHeight="1">
      <c r="C525" s="52"/>
    </row>
    <row r="526" ht="15.75" customHeight="1">
      <c r="C526" s="52"/>
    </row>
    <row r="527" ht="15.75" customHeight="1">
      <c r="C527" s="52"/>
    </row>
    <row r="528" ht="15.75" customHeight="1">
      <c r="C528" s="52"/>
    </row>
    <row r="529" ht="15.75" customHeight="1">
      <c r="C529" s="52"/>
    </row>
    <row r="530" ht="15.75" customHeight="1">
      <c r="C530" s="52"/>
    </row>
    <row r="531" ht="15.75" customHeight="1">
      <c r="C531" s="52"/>
    </row>
    <row r="532" ht="15.75" customHeight="1">
      <c r="C532" s="52"/>
    </row>
    <row r="533" ht="15.75" customHeight="1">
      <c r="C533" s="52"/>
    </row>
    <row r="534" ht="15.75" customHeight="1">
      <c r="C534" s="52"/>
    </row>
    <row r="535" ht="15.75" customHeight="1">
      <c r="C535" s="52"/>
    </row>
    <row r="536" ht="15.75" customHeight="1">
      <c r="C536" s="52"/>
    </row>
    <row r="537" ht="15.75" customHeight="1">
      <c r="C537" s="52"/>
    </row>
    <row r="538" ht="15.75" customHeight="1">
      <c r="C538" s="52"/>
    </row>
    <row r="539" ht="15.75" customHeight="1">
      <c r="C539" s="52"/>
    </row>
    <row r="540" ht="15.75" customHeight="1">
      <c r="C540" s="52"/>
    </row>
    <row r="541" ht="15.75" customHeight="1">
      <c r="C541" s="52"/>
    </row>
    <row r="542" ht="15.75" customHeight="1">
      <c r="C542" s="52"/>
    </row>
    <row r="543" ht="15.75" customHeight="1">
      <c r="C543" s="52"/>
    </row>
    <row r="544" ht="15.75" customHeight="1">
      <c r="C544" s="52"/>
    </row>
    <row r="545" ht="15.75" customHeight="1">
      <c r="C545" s="52"/>
    </row>
    <row r="546" ht="15.75" customHeight="1">
      <c r="C546" s="52"/>
    </row>
    <row r="547" ht="15.75" customHeight="1">
      <c r="C547" s="52"/>
    </row>
    <row r="548" ht="15.75" customHeight="1">
      <c r="C548" s="52"/>
    </row>
    <row r="549" ht="15.75" customHeight="1">
      <c r="C549" s="52"/>
    </row>
    <row r="550" ht="15.75" customHeight="1">
      <c r="C550" s="52"/>
    </row>
    <row r="551" ht="15.75" customHeight="1">
      <c r="C551" s="52"/>
    </row>
    <row r="552" ht="15.75" customHeight="1">
      <c r="C552" s="52"/>
    </row>
    <row r="553" ht="15.75" customHeight="1">
      <c r="C553" s="52"/>
    </row>
    <row r="554" ht="15.75" customHeight="1">
      <c r="C554" s="52"/>
    </row>
    <row r="555" ht="15.75" customHeight="1">
      <c r="C555" s="52"/>
    </row>
    <row r="556" ht="15.75" customHeight="1">
      <c r="C556" s="52"/>
    </row>
    <row r="557" ht="15.75" customHeight="1">
      <c r="C557" s="52"/>
    </row>
    <row r="558" ht="15.75" customHeight="1">
      <c r="C558" s="52"/>
    </row>
    <row r="559" ht="15.75" customHeight="1">
      <c r="C559" s="52"/>
    </row>
    <row r="560" ht="15.75" customHeight="1">
      <c r="C560" s="52"/>
    </row>
    <row r="561" ht="15.75" customHeight="1">
      <c r="C561" s="52"/>
    </row>
    <row r="562" ht="15.75" customHeight="1">
      <c r="C562" s="52"/>
    </row>
    <row r="563" ht="15.75" customHeight="1">
      <c r="C563" s="52"/>
    </row>
    <row r="564" ht="15.75" customHeight="1">
      <c r="C564" s="52"/>
    </row>
    <row r="565" ht="15.75" customHeight="1">
      <c r="C565" s="52"/>
    </row>
    <row r="566" ht="15.75" customHeight="1">
      <c r="C566" s="52"/>
    </row>
    <row r="567" ht="15.75" customHeight="1">
      <c r="C567" s="52"/>
    </row>
    <row r="568" ht="15.75" customHeight="1">
      <c r="C568" s="52"/>
    </row>
    <row r="569" ht="15.75" customHeight="1">
      <c r="C569" s="52"/>
    </row>
    <row r="570" ht="15.75" customHeight="1">
      <c r="C570" s="52"/>
    </row>
    <row r="571" ht="15.75" customHeight="1">
      <c r="C571" s="52"/>
    </row>
    <row r="572" ht="15.75" customHeight="1">
      <c r="C572" s="52"/>
    </row>
    <row r="573" ht="15.75" customHeight="1">
      <c r="C573" s="52"/>
    </row>
    <row r="574" ht="15.75" customHeight="1">
      <c r="C574" s="52"/>
    </row>
    <row r="575" ht="15.75" customHeight="1">
      <c r="C575" s="52"/>
    </row>
    <row r="576" ht="15.75" customHeight="1">
      <c r="C576" s="52"/>
    </row>
    <row r="577" ht="15.75" customHeight="1">
      <c r="C577" s="52"/>
    </row>
    <row r="578" ht="15.75" customHeight="1">
      <c r="C578" s="52"/>
    </row>
    <row r="579" ht="15.75" customHeight="1">
      <c r="C579" s="52"/>
    </row>
    <row r="580" ht="15.75" customHeight="1">
      <c r="C580" s="52"/>
    </row>
    <row r="581" ht="15.75" customHeight="1">
      <c r="C581" s="52"/>
    </row>
    <row r="582" ht="15.75" customHeight="1">
      <c r="C582" s="52"/>
    </row>
    <row r="583" ht="15.75" customHeight="1">
      <c r="C583" s="52"/>
    </row>
    <row r="584" ht="15.75" customHeight="1">
      <c r="C584" s="52"/>
    </row>
    <row r="585" ht="15.75" customHeight="1">
      <c r="C585" s="52"/>
    </row>
    <row r="586" ht="15.75" customHeight="1">
      <c r="C586" s="52"/>
    </row>
    <row r="587" ht="15.75" customHeight="1">
      <c r="C587" s="52"/>
    </row>
    <row r="588" ht="15.75" customHeight="1">
      <c r="C588" s="52"/>
    </row>
    <row r="589" ht="15.75" customHeight="1">
      <c r="C589" s="52"/>
    </row>
    <row r="590" ht="15.75" customHeight="1">
      <c r="C590" s="52"/>
    </row>
    <row r="591" ht="15.75" customHeight="1">
      <c r="C591" s="52"/>
    </row>
    <row r="592" ht="15.75" customHeight="1">
      <c r="C592" s="52"/>
    </row>
    <row r="593" ht="15.75" customHeight="1">
      <c r="C593" s="52"/>
    </row>
    <row r="594" ht="15.75" customHeight="1">
      <c r="C594" s="52"/>
    </row>
    <row r="595" ht="15.75" customHeight="1">
      <c r="C595" s="52"/>
    </row>
    <row r="596" ht="15.75" customHeight="1">
      <c r="C596" s="52"/>
    </row>
    <row r="597" ht="15.75" customHeight="1">
      <c r="C597" s="52"/>
    </row>
    <row r="598" ht="15.75" customHeight="1">
      <c r="C598" s="52"/>
    </row>
    <row r="599" ht="15.75" customHeight="1">
      <c r="C599" s="52"/>
    </row>
    <row r="600" ht="15.75" customHeight="1">
      <c r="C600" s="52"/>
    </row>
    <row r="601" ht="15.75" customHeight="1">
      <c r="C601" s="52"/>
    </row>
    <row r="602" ht="15.75" customHeight="1">
      <c r="C602" s="52"/>
    </row>
    <row r="603" ht="15.75" customHeight="1">
      <c r="C603" s="52"/>
    </row>
    <row r="604" ht="15.75" customHeight="1">
      <c r="C604" s="52"/>
    </row>
    <row r="605" ht="15.75" customHeight="1">
      <c r="C605" s="52"/>
    </row>
    <row r="606" ht="15.75" customHeight="1">
      <c r="C606" s="52"/>
    </row>
    <row r="607" ht="15.75" customHeight="1">
      <c r="C607" s="52"/>
    </row>
    <row r="608" ht="15.75" customHeight="1">
      <c r="C608" s="52"/>
    </row>
    <row r="609" ht="15.75" customHeight="1">
      <c r="C609" s="52"/>
    </row>
    <row r="610" ht="15.75" customHeight="1">
      <c r="C610" s="52"/>
    </row>
    <row r="611" ht="15.75" customHeight="1">
      <c r="C611" s="52"/>
    </row>
    <row r="612" ht="15.75" customHeight="1">
      <c r="C612" s="52"/>
    </row>
    <row r="613" ht="15.75" customHeight="1">
      <c r="C613" s="52"/>
    </row>
    <row r="614" ht="15.75" customHeight="1">
      <c r="C614" s="52"/>
    </row>
    <row r="615" ht="15.75" customHeight="1">
      <c r="C615" s="52"/>
    </row>
    <row r="616" ht="15.75" customHeight="1">
      <c r="C616" s="52"/>
    </row>
    <row r="617" ht="15.75" customHeight="1">
      <c r="C617" s="52"/>
    </row>
    <row r="618" ht="15.75" customHeight="1">
      <c r="C618" s="52"/>
    </row>
    <row r="619" ht="15.75" customHeight="1">
      <c r="C619" s="52"/>
    </row>
    <row r="620" ht="15.75" customHeight="1">
      <c r="C620" s="52"/>
    </row>
    <row r="621" ht="15.75" customHeight="1">
      <c r="C621" s="52"/>
    </row>
    <row r="622" ht="15.75" customHeight="1">
      <c r="C622" s="52"/>
    </row>
    <row r="623" ht="15.75" customHeight="1">
      <c r="C623" s="52"/>
    </row>
    <row r="624" ht="15.75" customHeight="1">
      <c r="C624" s="52"/>
    </row>
    <row r="625" ht="15.75" customHeight="1">
      <c r="C625" s="52"/>
    </row>
    <row r="626" ht="15.75" customHeight="1">
      <c r="C626" s="52"/>
    </row>
    <row r="627" ht="15.75" customHeight="1">
      <c r="C627" s="52"/>
    </row>
    <row r="628" ht="15.75" customHeight="1">
      <c r="C628" s="52"/>
    </row>
    <row r="629" ht="15.75" customHeight="1">
      <c r="C629" s="52"/>
    </row>
    <row r="630" ht="15.75" customHeight="1">
      <c r="C630" s="52"/>
    </row>
    <row r="631" ht="15.75" customHeight="1">
      <c r="C631" s="52"/>
    </row>
    <row r="632" ht="15.75" customHeight="1">
      <c r="C632" s="52"/>
    </row>
    <row r="633" ht="15.75" customHeight="1">
      <c r="C633" s="52"/>
    </row>
    <row r="634" ht="15.75" customHeight="1">
      <c r="C634" s="52"/>
    </row>
    <row r="635" ht="15.75" customHeight="1">
      <c r="C635" s="52"/>
    </row>
    <row r="636" ht="15.75" customHeight="1">
      <c r="C636" s="52"/>
    </row>
    <row r="637" ht="15.75" customHeight="1">
      <c r="C637" s="52"/>
    </row>
    <row r="638" ht="15.75" customHeight="1">
      <c r="C638" s="52"/>
    </row>
    <row r="639" ht="15.75" customHeight="1">
      <c r="C639" s="52"/>
    </row>
    <row r="640" ht="15.75" customHeight="1">
      <c r="C640" s="52"/>
    </row>
    <row r="641" ht="15.75" customHeight="1">
      <c r="C641" s="52"/>
    </row>
    <row r="642" ht="15.75" customHeight="1">
      <c r="C642" s="52"/>
    </row>
    <row r="643" ht="15.75" customHeight="1">
      <c r="C643" s="52"/>
    </row>
    <row r="644" ht="15.75" customHeight="1">
      <c r="C644" s="52"/>
    </row>
    <row r="645" ht="15.75" customHeight="1">
      <c r="C645" s="52"/>
    </row>
    <row r="646" ht="15.75" customHeight="1">
      <c r="C646" s="52"/>
    </row>
    <row r="647" ht="15.75" customHeight="1">
      <c r="C647" s="52"/>
    </row>
    <row r="648" ht="15.75" customHeight="1">
      <c r="C648" s="52"/>
    </row>
    <row r="649" ht="15.75" customHeight="1">
      <c r="C649" s="52"/>
    </row>
    <row r="650" ht="15.75" customHeight="1">
      <c r="C650" s="52"/>
    </row>
    <row r="651" ht="15.75" customHeight="1">
      <c r="C651" s="52"/>
    </row>
    <row r="652" ht="15.75" customHeight="1">
      <c r="C652" s="52"/>
    </row>
    <row r="653" ht="15.75" customHeight="1">
      <c r="C653" s="52"/>
    </row>
    <row r="654" ht="15.75" customHeight="1">
      <c r="C654" s="52"/>
    </row>
    <row r="655" ht="15.75" customHeight="1">
      <c r="C655" s="52"/>
    </row>
    <row r="656" ht="15.75" customHeight="1">
      <c r="C656" s="52"/>
    </row>
    <row r="657" ht="15.75" customHeight="1">
      <c r="C657" s="52"/>
    </row>
    <row r="658" ht="15.75" customHeight="1">
      <c r="C658" s="52"/>
    </row>
    <row r="659" ht="15.75" customHeight="1">
      <c r="C659" s="52"/>
    </row>
    <row r="660" ht="15.75" customHeight="1">
      <c r="C660" s="52"/>
    </row>
    <row r="661" ht="15.75" customHeight="1">
      <c r="C661" s="52"/>
    </row>
    <row r="662" ht="15.75" customHeight="1">
      <c r="C662" s="52"/>
    </row>
    <row r="663" ht="15.75" customHeight="1">
      <c r="C663" s="52"/>
    </row>
    <row r="664" ht="15.75" customHeight="1">
      <c r="C664" s="52"/>
    </row>
    <row r="665" ht="15.75" customHeight="1">
      <c r="C665" s="52"/>
    </row>
    <row r="666" ht="15.75" customHeight="1">
      <c r="C666" s="52"/>
    </row>
    <row r="667" ht="15.75" customHeight="1">
      <c r="C667" s="52"/>
    </row>
    <row r="668" ht="15.75" customHeight="1">
      <c r="C668" s="52"/>
    </row>
    <row r="669" ht="15.75" customHeight="1">
      <c r="C669" s="52"/>
    </row>
    <row r="670" ht="15.75" customHeight="1">
      <c r="C670" s="52"/>
    </row>
    <row r="671" ht="15.75" customHeight="1">
      <c r="C671" s="52"/>
    </row>
    <row r="672" ht="15.75" customHeight="1">
      <c r="C672" s="52"/>
    </row>
    <row r="673" ht="15.75" customHeight="1">
      <c r="C673" s="52"/>
    </row>
    <row r="674" ht="15.75" customHeight="1">
      <c r="C674" s="52"/>
    </row>
    <row r="675" ht="15.75" customHeight="1">
      <c r="C675" s="52"/>
    </row>
    <row r="676" ht="15.75" customHeight="1">
      <c r="C676" s="52"/>
    </row>
    <row r="677" ht="15.75" customHeight="1">
      <c r="C677" s="52"/>
    </row>
    <row r="678" ht="15.75" customHeight="1">
      <c r="C678" s="52"/>
    </row>
    <row r="679" ht="15.75" customHeight="1">
      <c r="C679" s="52"/>
    </row>
    <row r="680" ht="15.75" customHeight="1">
      <c r="C680" s="52"/>
    </row>
    <row r="681" ht="15.75" customHeight="1">
      <c r="C681" s="52"/>
    </row>
    <row r="682" ht="15.75" customHeight="1">
      <c r="C682" s="52"/>
    </row>
    <row r="683" ht="15.75" customHeight="1">
      <c r="C683" s="52"/>
    </row>
    <row r="684" ht="15.75" customHeight="1">
      <c r="C684" s="52"/>
    </row>
    <row r="685" ht="15.75" customHeight="1">
      <c r="C685" s="52"/>
    </row>
    <row r="686" ht="15.75" customHeight="1">
      <c r="C686" s="52"/>
    </row>
    <row r="687" ht="15.75" customHeight="1">
      <c r="C687" s="52"/>
    </row>
    <row r="688" ht="15.75" customHeight="1">
      <c r="C688" s="52"/>
    </row>
    <row r="689" ht="15.75" customHeight="1">
      <c r="C689" s="52"/>
    </row>
    <row r="690" ht="15.75" customHeight="1">
      <c r="C690" s="52"/>
    </row>
    <row r="691" ht="15.75" customHeight="1">
      <c r="C691" s="52"/>
    </row>
    <row r="692" ht="15.75" customHeight="1">
      <c r="C692" s="52"/>
    </row>
    <row r="693" ht="15.75" customHeight="1">
      <c r="C693" s="52"/>
    </row>
    <row r="694" ht="15.75" customHeight="1">
      <c r="C694" s="52"/>
    </row>
    <row r="695" ht="15.75" customHeight="1">
      <c r="C695" s="52"/>
    </row>
    <row r="696" ht="15.75" customHeight="1">
      <c r="C696" s="52"/>
    </row>
    <row r="697" ht="15.75" customHeight="1">
      <c r="C697" s="52"/>
    </row>
    <row r="698" ht="15.75" customHeight="1">
      <c r="C698" s="52"/>
    </row>
    <row r="699" ht="15.75" customHeight="1">
      <c r="C699" s="52"/>
    </row>
    <row r="700" ht="15.75" customHeight="1">
      <c r="C700" s="52"/>
    </row>
    <row r="701" ht="15.75" customHeight="1">
      <c r="C701" s="52"/>
    </row>
    <row r="702" ht="15.75" customHeight="1">
      <c r="C702" s="52"/>
    </row>
    <row r="703" ht="15.75" customHeight="1">
      <c r="C703" s="52"/>
    </row>
    <row r="704" ht="15.75" customHeight="1">
      <c r="C704" s="52"/>
    </row>
    <row r="705" ht="15.75" customHeight="1">
      <c r="C705" s="52"/>
    </row>
    <row r="706" ht="15.75" customHeight="1">
      <c r="C706" s="52"/>
    </row>
    <row r="707" ht="15.75" customHeight="1">
      <c r="C707" s="52"/>
    </row>
    <row r="708" ht="15.75" customHeight="1">
      <c r="C708" s="52"/>
    </row>
    <row r="709" ht="15.75" customHeight="1">
      <c r="C709" s="52"/>
    </row>
    <row r="710" ht="15.75" customHeight="1">
      <c r="C710" s="52"/>
    </row>
    <row r="711" ht="15.75" customHeight="1">
      <c r="C711" s="52"/>
    </row>
    <row r="712" ht="15.75" customHeight="1">
      <c r="C712" s="52"/>
    </row>
    <row r="713" ht="15.75" customHeight="1">
      <c r="C713" s="52"/>
    </row>
    <row r="714" ht="15.75" customHeight="1">
      <c r="C714" s="52"/>
    </row>
    <row r="715" ht="15.75" customHeight="1">
      <c r="C715" s="52"/>
    </row>
    <row r="716" ht="15.75" customHeight="1">
      <c r="C716" s="52"/>
    </row>
    <row r="717" ht="15.75" customHeight="1">
      <c r="C717" s="52"/>
    </row>
    <row r="718" ht="15.75" customHeight="1">
      <c r="C718" s="52"/>
    </row>
    <row r="719" ht="15.75" customHeight="1">
      <c r="C719" s="52"/>
    </row>
    <row r="720" ht="15.75" customHeight="1">
      <c r="C720" s="52"/>
    </row>
    <row r="721" ht="15.75" customHeight="1">
      <c r="C721" s="52"/>
    </row>
    <row r="722" ht="15.75" customHeight="1">
      <c r="C722" s="52"/>
    </row>
    <row r="723" ht="15.75" customHeight="1">
      <c r="C723" s="52"/>
    </row>
    <row r="724" ht="15.75" customHeight="1">
      <c r="C724" s="52"/>
    </row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3.57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9" width="8.71"/>
  </cols>
  <sheetData>
    <row r="1">
      <c r="B1" s="1" t="s">
        <v>54</v>
      </c>
      <c r="C1" s="2"/>
      <c r="D1" s="3"/>
      <c r="F1" s="54" t="s">
        <v>55</v>
      </c>
      <c r="G1" s="2"/>
      <c r="H1" s="3"/>
      <c r="J1" s="54" t="s">
        <v>56</v>
      </c>
      <c r="K1" s="2"/>
      <c r="L1" s="3"/>
      <c r="N1" s="54" t="s">
        <v>57</v>
      </c>
      <c r="O1" s="2"/>
      <c r="P1" s="3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</row>
    <row r="3" ht="14.25" customHeight="1">
      <c r="B3" s="8">
        <v>111691.0</v>
      </c>
      <c r="C3" s="9" t="str">
        <f>VLOOKUP(B3,'FML March 2026'!E:F,2,false)</f>
        <v>ACHIOTE PASTE CS 12/3.5OZ EL YUCATECO</v>
      </c>
      <c r="D3" s="9" t="str">
        <f>VLOOKUP(B3,'Unit of Measure ship March 2026'!A:C,3,false)</f>
        <v>LBS</v>
      </c>
      <c r="F3" s="17">
        <v>37612.0</v>
      </c>
      <c r="G3" s="9" t="str">
        <f>VLOOKUP(F3,'FML March 2026'!E:F,2,false)</f>
        <v>AMARANTH CRESS</v>
      </c>
      <c r="H3" s="9" t="str">
        <f>VLOOKUP(F3,'Unit of Measure ship March 2026'!A:C,3,false)</f>
        <v>LBS</v>
      </c>
      <c r="J3" s="48">
        <v>34727.0</v>
      </c>
      <c r="K3" s="9" t="str">
        <f>VLOOKUP(J3,'FML March 2026'!E:F,2,false)</f>
        <v>BEEF EXPORT RIBS, CAB CHOICE 18/DOWN 4/PC, 30D AGE,BLST/FRZN (USA) NAMP-109E</v>
      </c>
      <c r="L3" s="9" t="str">
        <f>VLOOKUP(J3,'Unit of Measure ship March 2026'!A:C,3,false)</f>
        <v>LBS</v>
      </c>
      <c r="N3" s="17">
        <v>42269.0</v>
      </c>
      <c r="O3" s="9" t="str">
        <f>VLOOKUP(N3,'FML March 2026'!E:F,2,false)</f>
        <v>SHRIMP 16/20 RAW P&amp;D TAIL-ON CS10/LB SURAM ROYAL WHITE (VIETNAM)</v>
      </c>
      <c r="P3" s="9" t="str">
        <f>VLOOKUP(#REF!,'Unit of Measure ship March 2026'!A:C,3,false)</f>
        <v>#REF!</v>
      </c>
    </row>
    <row r="4" ht="14.25" customHeight="1">
      <c r="B4" s="8">
        <v>16262.0</v>
      </c>
      <c r="C4" s="9" t="str">
        <f>VLOOKUP(B4,'FML March 2026'!E:F,2,false)</f>
        <v>ALLSPICE BADIA</v>
      </c>
      <c r="D4" s="9" t="str">
        <f>VLOOKUP(B4,'Unit of Measure ship March 2026'!A:C,3,false)</f>
        <v>LBS</v>
      </c>
      <c r="F4" s="17">
        <v>15378.0</v>
      </c>
      <c r="G4" s="9" t="str">
        <f>VLOOKUP(F4,'FML March 2026'!E:F,2,false)</f>
        <v>AVOCADOS HASS FRESH CA-48PC FL-12/14PC 20#</v>
      </c>
      <c r="H4" s="9" t="str">
        <f>VLOOKUP(F4,'Unit of Measure ship March 2026'!A:C,3,false)</f>
        <v>LBS</v>
      </c>
      <c r="J4" s="17">
        <v>14576.0</v>
      </c>
      <c r="K4" s="9" t="str">
        <f>VLOOKUP(J4,'FML March 2026'!E:F,2,false)</f>
        <v>CHICKEN, FRYER, WOG, IND WRAPPED, NON-INJECTED, 2.50-3.25 LB EA, FZN, 12/1 EA</v>
      </c>
      <c r="L4" s="9" t="str">
        <f>VLOOKUP(J4,'Unit of Measure ship March 2026'!A:C,3,false)</f>
        <v>LBS</v>
      </c>
      <c r="N4" s="17">
        <v>53677.0</v>
      </c>
      <c r="O4" s="9" t="str">
        <f>VLOOKUP(N4,'FML March 2026'!E:F,2,false)</f>
        <v>STRIPED BASS FILLET WILD SKIN-ON 2/3 LB  IQFCS/25 LB</v>
      </c>
      <c r="P4" s="9" t="str">
        <f>VLOOKUP(N3,'Unit of Measure ship March 2026'!A:C,3,false)</f>
        <v>LBS</v>
      </c>
    </row>
    <row r="5" ht="14.25" customHeight="1">
      <c r="B5" s="32">
        <v>16304.0</v>
      </c>
      <c r="C5" s="33" t="str">
        <f>VLOOKUP(B5,'FML March 2026'!E:F,2,false)</f>
        <v>ANISE STAR BADIA</v>
      </c>
      <c r="D5" s="33" t="str">
        <f>VLOOKUP(B5,'Unit of Measure ship March 2026'!A:C,3,false)</f>
        <v>UNIT/8OZ</v>
      </c>
      <c r="F5" s="17">
        <v>15605.0</v>
      </c>
      <c r="G5" s="9" t="str">
        <f>VLOOKUP(F5,'FML March 2026'!E:F,2,false)</f>
        <v>BEANS FRESH EXTRA FINE GREEN (FRENCH) 1/5 (HARICOT VERT)</v>
      </c>
      <c r="H5" s="9" t="str">
        <f>VLOOKUP(F5,'Unit of Measure ship March 2026'!A:C,3,false)</f>
        <v>LBS</v>
      </c>
      <c r="J5" s="17">
        <v>14573.0</v>
      </c>
      <c r="K5" s="9" t="str">
        <f>VLOOKUP(J5,'FML March 2026'!E:F,2,false)</f>
        <v>DUCK WHOLE GRADE, "A" 4.00 -  5.0LB CS6/PC</v>
      </c>
      <c r="L5" s="9" t="str">
        <f>VLOOKUP(J5,'Unit of Measure ship March 2026'!A:C,3,false)</f>
        <v>LBS</v>
      </c>
      <c r="N5" s="17">
        <v>14651.0</v>
      </c>
      <c r="O5" s="9" t="str">
        <f>VLOOKUP(N5,'FML March 2026'!E:F,2,false)</f>
        <v>TUNA LOIN SKINLESS FROZEN,  (IP IS FTZ) (YEMEN)</v>
      </c>
      <c r="P5" s="35" t="s">
        <v>42</v>
      </c>
    </row>
    <row r="6" ht="14.25" customHeight="1">
      <c r="B6" s="8">
        <v>109664.0</v>
      </c>
      <c r="C6" s="9" t="str">
        <f>VLOOKUP(B6,'FML March 2026'!E:F,2,false)</f>
        <v>APPLE CIDER VINEGAR SPARROW LANE V</v>
      </c>
      <c r="D6" s="9" t="str">
        <f>VLOOKUP(B6,'Unit of Measure ship March 2026'!A:C,3,false)</f>
        <v>GAL</v>
      </c>
      <c r="F6" s="8">
        <v>111931.0</v>
      </c>
      <c r="G6" s="9" t="str">
        <f>VLOOKUP(F6,'FML March 2026'!E:F,2,false)</f>
        <v>CACTUS PEAR RED  XOCONOSTLE 30/36 CT</v>
      </c>
      <c r="H6" s="9" t="str">
        <f>VLOOKUP(F6,'Unit of Measure ship March 2026'!A:C,3,false)</f>
        <v>LBS</v>
      </c>
      <c r="J6" s="17">
        <v>10533.0</v>
      </c>
      <c r="K6" s="9" t="str">
        <f>VLOOKUP(J6,'FML March 2026'!E:F,2,false)</f>
        <v>PORK SHOULDER BUTT BONELESS</v>
      </c>
      <c r="L6" s="9" t="str">
        <f>VLOOKUP(J6,'Unit of Measure ship March 2026'!A:C,3,false)</f>
        <v>LBS</v>
      </c>
      <c r="N6" s="18"/>
      <c r="O6" s="9"/>
      <c r="P6" s="9"/>
    </row>
    <row r="7" ht="14.25" customHeight="1">
      <c r="B7" s="8">
        <v>30023.0</v>
      </c>
      <c r="C7" s="9" t="str">
        <f>VLOOKUP(B7,'FML March 2026'!E:F,2,false)</f>
        <v>BANANA LEAVES, 30/1 LB, SUN VOI (THAILAND)</v>
      </c>
      <c r="D7" s="9" t="str">
        <f>VLOOKUP(B7,'Unit of Measure ship March 2026'!A:C,3,false)</f>
        <v>LBS</v>
      </c>
      <c r="F7" s="17">
        <v>15559.0</v>
      </c>
      <c r="G7" s="9" t="str">
        <f>VLOOKUP(F7,'FML March 2026'!E:F,2,false)</f>
        <v>CARROTS MINI W/TOPS, PEELED, 1/5LB, VAC. PACK</v>
      </c>
      <c r="H7" s="9" t="str">
        <f>VLOOKUP(F7,'Unit of Measure ship March 2026'!A:C,3,false)</f>
        <v>LBS</v>
      </c>
      <c r="N7" s="17"/>
      <c r="O7" s="9"/>
      <c r="P7" s="9"/>
    </row>
    <row r="8" ht="14.25" customHeight="1">
      <c r="B8" s="8">
        <v>16250.0</v>
      </c>
      <c r="C8" s="9" t="str">
        <f>VLOOKUP(B8,'FML March 2026'!E:F,2,false)</f>
        <v>BAY LEAVES WHOLE D`ALLESANDRO/ SPICECO</v>
      </c>
      <c r="D8" s="9" t="str">
        <f>VLOOKUP(B8,'Unit of Measure ship March 2026'!A:C,3,false)</f>
        <v>LBS</v>
      </c>
      <c r="F8" s="17">
        <v>15589.0</v>
      </c>
      <c r="G8" s="9" t="str">
        <f>VLOOKUP(F8,'FML March 2026'!E:F,2,false)</f>
        <v>CHAYOTE, SELECT, 48CT 40#/CS</v>
      </c>
      <c r="H8" s="9" t="str">
        <f>VLOOKUP(F8,'Unit of Measure ship March 2026'!A:C,3,false)</f>
        <v>LBS</v>
      </c>
      <c r="J8" s="55"/>
      <c r="K8" s="9"/>
      <c r="L8" s="9"/>
      <c r="O8" s="9"/>
      <c r="P8" s="9"/>
    </row>
    <row r="9" ht="14.25" customHeight="1">
      <c r="B9" s="8">
        <v>16178.0</v>
      </c>
      <c r="C9" s="9" t="str">
        <f>VLOOKUP(B9,'FML March 2026'!E:F,2,false)</f>
        <v>BEANS BLACK COMMERCIAL DE LEGUMBRES/ TORINO</v>
      </c>
      <c r="D9" s="9" t="str">
        <f>VLOOKUP(B9,'Unit of Measure ship March 2026'!A:C,3,false)</f>
        <v>LBS</v>
      </c>
      <c r="F9" s="17">
        <v>15431.0</v>
      </c>
      <c r="G9" s="9" t="str">
        <f>VLOOKUP(F9,'FML March 2026'!E:F,2,false)</f>
        <v>CILANTRO (12 BUNCH) 1 LB/CS DOMESTIC</v>
      </c>
      <c r="H9" s="9" t="str">
        <f>VLOOKUP(F9,'Unit of Measure ship March 2026'!A:C,3,false)</f>
        <v>LBS</v>
      </c>
      <c r="K9" s="9"/>
      <c r="L9" s="9"/>
      <c r="O9" s="9"/>
      <c r="P9" s="9"/>
    </row>
    <row r="10" ht="14.25" customHeight="1">
      <c r="B10" s="8">
        <v>24910.0</v>
      </c>
      <c r="C10" s="9" t="str">
        <f>VLOOKUP(B10,'FML March 2026'!E:F,2,false)</f>
        <v>BEANS, PINTO DRY (VV)</v>
      </c>
      <c r="D10" s="9" t="str">
        <f>VLOOKUP(B10,'Unit of Measure ship March 2026'!A:C,3,false)</f>
        <v>LBS</v>
      </c>
      <c r="F10" s="8">
        <v>111175.0</v>
      </c>
      <c r="G10" s="9" t="str">
        <f>VLOOKUP(F10,'FML March 2026'!E:F,2,false)</f>
        <v>CILANTRO MICRO FRESH HARPKE FAMILY FARM PK/5 OZ PACKED IN 60 OZ SIZE CLAM SHELL</v>
      </c>
      <c r="H10" s="9" t="str">
        <f>VLOOKUP(F10,'Unit of Measure ship March 2026'!A:C,3,false)</f>
        <v>EA</v>
      </c>
      <c r="K10" s="9"/>
      <c r="L10" s="9"/>
      <c r="O10" s="9"/>
      <c r="P10" s="9"/>
    </row>
    <row r="11" ht="14.25" customHeight="1">
      <c r="B11" s="32">
        <v>109933.0</v>
      </c>
      <c r="C11" s="33" t="str">
        <f>VLOOKUP(B11,'FML March 2026'!E:F,2,false)</f>
        <v>BUTTER ALTERNATIVE VEGAN PLANT PERFECT (USA)</v>
      </c>
      <c r="D11" s="33" t="str">
        <f>VLOOKUP(B11,'Unit of Measure ship March 2026'!A:C,3,false)</f>
        <v>LBS</v>
      </c>
      <c r="F11" s="8">
        <v>10013.0</v>
      </c>
      <c r="G11" s="9" t="str">
        <f>VLOOKUP(F11,'FML March 2026'!E:F,2,false)</f>
        <v>CORN ON THE COB FRESH</v>
      </c>
      <c r="H11" s="9" t="str">
        <f>VLOOKUP(F11,'Unit of Measure ship March 2026'!A:C,3,false)</f>
        <v>LBS</v>
      </c>
      <c r="K11" s="9"/>
      <c r="L11" s="9"/>
      <c r="O11" s="9"/>
      <c r="P11" s="9"/>
    </row>
    <row r="12" ht="14.25" customHeight="1">
      <c r="B12" s="17">
        <v>15016.0</v>
      </c>
      <c r="C12" s="9" t="str">
        <f>VLOOKUP(B12,'FML March 2026'!E:F,2,false)</f>
        <v>BUTTER, UNSALTED, 82% FAT, FZN, 50/200 G</v>
      </c>
      <c r="D12" s="9" t="str">
        <f>VLOOKUP(B12,'Unit of Measure ship March 2026'!A:C,3,false)</f>
        <v>LBS</v>
      </c>
      <c r="F12" s="17">
        <v>15462.0</v>
      </c>
      <c r="G12" s="9" t="str">
        <f>VLOOKUP(F12,'FML March 2026'!E:F,2,false)</f>
        <v>CUCUMBERS SEEDLESS LARGE, PLASTIC WRAPPED 13#</v>
      </c>
      <c r="H12" s="9" t="str">
        <f>VLOOKUP(F12,'Unit of Measure ship March 2026'!A:C,3,false)</f>
        <v>LBS</v>
      </c>
      <c r="K12" s="9"/>
      <c r="L12" s="9"/>
      <c r="N12" s="49"/>
      <c r="O12" s="9"/>
      <c r="P12" s="9"/>
    </row>
    <row r="13" ht="14.25" customHeight="1">
      <c r="B13" s="8">
        <v>111964.0</v>
      </c>
      <c r="C13" s="9" t="str">
        <f>VLOOKUP(B13,'FML March 2026'!E:F,2,false)</f>
        <v>CHEESE COTIJA QUESO CASE 2/5 LB SUPREMO VV</v>
      </c>
      <c r="D13" s="9" t="str">
        <f>VLOOKUP(B13,'Unit of Measure ship March 2026'!A:C,3,false)</f>
        <v>LBS</v>
      </c>
      <c r="F13" s="8">
        <v>15466.0</v>
      </c>
      <c r="G13" s="9" t="str">
        <f>VLOOKUP(F13,'FML March 2026'!E:F,2,false)</f>
        <v>GARLIC CRATE JUMBO 30# 8 CT</v>
      </c>
      <c r="H13" s="9" t="str">
        <f>VLOOKUP(F13,'Unit of Measure ship March 2026'!A:C,3,false)</f>
        <v>LBS</v>
      </c>
      <c r="K13" s="9"/>
      <c r="L13" s="9"/>
      <c r="N13" s="49"/>
      <c r="O13" s="9"/>
      <c r="P13" s="9"/>
    </row>
    <row r="14" ht="14.25" customHeight="1">
      <c r="B14" s="8">
        <v>111930.0</v>
      </c>
      <c r="C14" s="9" t="str">
        <f>VLOOKUP(B14,'FML March 2026'!E:F,2,false)</f>
        <v>CHEESE OAXACA FRESH CS2/5LB SUPREMO VV</v>
      </c>
      <c r="D14" s="9" t="str">
        <f>VLOOKUP(B14,'Unit of Measure ship March 2026'!A:C,3,false)</f>
        <v>LBS</v>
      </c>
      <c r="F14" s="17">
        <v>30639.0</v>
      </c>
      <c r="G14" s="9" t="str">
        <f>VLOOKUP(F14,'FML March 2026'!E:F,2,false)</f>
        <v>GARLIC PEELED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32">
        <v>15701.0</v>
      </c>
      <c r="C15" s="33" t="str">
        <f>VLOOKUP(B15,'FML March 2026'!E:F,2,false)</f>
        <v>CHERRIES, RED DRIED SWEET (USA)</v>
      </c>
      <c r="D15" s="33" t="str">
        <f>VLOOKUP(B15,'Unit of Measure ship March 2026'!A:C,3,false)</f>
        <v>LBS</v>
      </c>
      <c r="F15" s="17">
        <v>61703.0</v>
      </c>
      <c r="G15" s="9" t="str">
        <f>VLOOKUP(F15,'FML March 2026'!E:F,2,false)</f>
        <v>HABANERO PEPPERS FRESH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8">
        <v>109681.0</v>
      </c>
      <c r="C16" s="9" t="str">
        <f>VLOOKUP(B16,'FML March 2026'!E:F,2,false)</f>
        <v>CHICKEN STOCK  CS4.5 LT SAVORY CHOICE  FLAVOR</v>
      </c>
      <c r="D16" s="9" t="str">
        <f>VLOOKUP(B16,'Unit of Measure ship March 2026'!A:C,3,false)</f>
        <v>LITER</v>
      </c>
      <c r="F16" s="17">
        <v>15463.0</v>
      </c>
      <c r="G16" s="9" t="str">
        <f>VLOOKUP(F16,'FML March 2026'!E:F,2,false)</f>
        <v>JICAMA FRESH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8">
        <v>22328.0</v>
      </c>
      <c r="C17" s="9" t="str">
        <f>VLOOKUP(B17,'FML March 2026'!E:F,2,false)</f>
        <v>CHILI ANCHO  DRY CS5/LBS</v>
      </c>
      <c r="D17" s="9" t="str">
        <f>VLOOKUP(B17,'Unit of Measure ship March 2026'!A:C,3,false)</f>
        <v>KG</v>
      </c>
      <c r="F17" s="17">
        <v>15471.0</v>
      </c>
      <c r="G17" s="9" t="str">
        <f>VLOOKUP(F17,'FML March 2026'!E:F,2,false)</f>
        <v>LEEKS LARGE FRESH 12 BU 15#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8">
        <v>108523.0</v>
      </c>
      <c r="C18" s="9" t="str">
        <f>VLOOKUP(B18,'FML March 2026'!E:F,2,false)</f>
        <v>CHOCOLATE MEXIQUE 70% - ORIGINE DARK CHOCOLATE CS4/2.5 KG COCOA BARRY</v>
      </c>
      <c r="D18" s="9" t="str">
        <f>VLOOKUP(B18,'Unit of Measure ship March 2026'!A:C,3,false)</f>
        <v>LBS</v>
      </c>
      <c r="F18" s="17">
        <v>15397.0</v>
      </c>
      <c r="G18" s="9" t="str">
        <f>VLOOKUP(F18,'FML March 2026'!E:F,2,false)</f>
        <v>LEMONS FRESH FIRM FANCY CALIF. SUNKIST #1 200CT 40#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53">
        <v>147889.0</v>
      </c>
      <c r="C19" s="9" t="str">
        <f>VLOOKUP(B19,'FML March 2026'!E:F,2,false)</f>
        <v>CHORIZO SAUSAGE MEAT 12/14 OZ BULK OLE FOODS</v>
      </c>
      <c r="D19" s="9" t="str">
        <f>VLOOKUP(B19,'Unit of Measure ship March 2026'!A:C,3,false)</f>
        <v>LBS</v>
      </c>
      <c r="F19" s="17">
        <v>15399.0</v>
      </c>
      <c r="G19" s="9" t="str">
        <f>VLOOKUP(F19,'FML March 2026'!E:F,2,false)</f>
        <v>LIMES, FRESH, FIRM #1 200CT 40#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17">
        <v>16267.0</v>
      </c>
      <c r="C20" s="9" t="str">
        <f>VLOOKUP(B20,'FML March 2026'!E:F,2,false)</f>
        <v>CINNAMON STICKS BADIA (USA)</v>
      </c>
      <c r="D20" s="9" t="str">
        <f>VLOOKUP(B20,'Unit of Measure ship March 2026'!A:C,3,false)</f>
        <v>LBS</v>
      </c>
      <c r="F20" s="17">
        <v>110908.0</v>
      </c>
      <c r="G20" s="9" t="str">
        <f>VLOOKUP(F20,'FML March 2026'!E:F,2,false)</f>
        <v>MARIGOLD FLOWERS FRESH 50 CT (4 OZ)</v>
      </c>
      <c r="H20" s="9" t="str">
        <f>VLOOKUP(F20,'Unit of Measure ship March 2026'!A:C,3,false)</f>
        <v>EA</v>
      </c>
      <c r="J20" s="49"/>
      <c r="K20" s="9"/>
      <c r="L20" s="9"/>
      <c r="N20" s="49"/>
      <c r="O20" s="9"/>
      <c r="P20" s="9"/>
    </row>
    <row r="21" ht="14.25" customHeight="1">
      <c r="B21" s="8">
        <v>16254.0</v>
      </c>
      <c r="C21" s="9" t="str">
        <f>VLOOKUP(B21,'FML March 2026'!E:F,2,false)</f>
        <v>CLOVES WHOLE D`ALLESANDRO/ SPICECO</v>
      </c>
      <c r="D21" s="9" t="str">
        <f>VLOOKUP(B21,'Unit of Measure ship March 2026'!A:C,3,false)</f>
        <v>LBS</v>
      </c>
      <c r="F21" s="17">
        <v>110915.0</v>
      </c>
      <c r="G21" s="9" t="str">
        <f>VLOOKUP(F21,'FML March 2026'!E:F,2,false)</f>
        <v>MICRO GREEN FLOWER BLEND PKG 8 OZ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8">
        <v>16288.0</v>
      </c>
      <c r="C22" s="9" t="str">
        <f>VLOOKUP(B22,'FML March 2026'!E:F,2,false)</f>
        <v>CORIANDER WHOLE BADIA (USA )</v>
      </c>
      <c r="D22" s="9" t="str">
        <f>VLOOKUP(B22,'Unit of Measure ship March 2026'!A:C,3,false)</f>
        <v>LBS</v>
      </c>
      <c r="F22" s="17">
        <v>110916.0</v>
      </c>
      <c r="G22" s="9" t="str">
        <f>VLOOKUP(F22,'FML March 2026'!E:F,2,false)</f>
        <v>MICRO GREEN MINT FRESH PKG/4OZ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11882.0</v>
      </c>
      <c r="C23" s="9" t="str">
        <f>VLOOKUP(B23,'FML March 2026'!E:F,2,false)</f>
        <v>CREME FRAICHE</v>
      </c>
      <c r="D23" s="9" t="str">
        <f>VLOOKUP(B23,'Unit of Measure ship March 2026'!A:C,3,false)</f>
        <v>QRT</v>
      </c>
      <c r="F23" s="8">
        <v>46179.0</v>
      </c>
      <c r="G23" s="9" t="str">
        <f>VLOOKUP(F23,'FML March 2026'!E:F,2,false)</f>
        <v>ONION WHITE BIG FRESH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16256.0</v>
      </c>
      <c r="C24" s="9" t="str">
        <f>VLOOKUP(B24,'FML March 2026'!E:F,2,false)</f>
        <v>CUMIN GROUND D`ALLESANDRO/ SPICECO (USA )</v>
      </c>
      <c r="D24" s="9" t="str">
        <f>VLOOKUP(B24,'Unit of Measure ship March 2026'!A:C,3,false)</f>
        <v>LBS</v>
      </c>
      <c r="F24" s="17">
        <v>15496.0</v>
      </c>
      <c r="G24" s="9" t="str">
        <f>VLOOKUP(F24,'FML March 2026'!E:F,2,false)</f>
        <v>ONIONS RED, MEDIUM 25#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17">
        <v>16264.0</v>
      </c>
      <c r="C25" s="9" t="str">
        <f>VLOOKUP(B25,'FML March 2026'!E:F,2,false)</f>
        <v>CUMIN SEED WHOLE BADIA (USA )</v>
      </c>
      <c r="D25" s="9" t="str">
        <f>VLOOKUP(B25,'Unit of Measure ship March 2026'!A:C,3,false)</f>
        <v>LBS</v>
      </c>
      <c r="F25" s="17">
        <v>15497.0</v>
      </c>
      <c r="G25" s="9" t="str">
        <f>VLOOKUP(F25,'FML March 2026'!E:F,2,false)</f>
        <v>ONIONS, YELLOW, MEDIUM, SPANISH #1, 50#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15">
        <v>107107.0</v>
      </c>
      <c r="C26" s="9" t="str">
        <f>VLOOKUP(B26,'FML March 2026'!E:F,2,false)</f>
        <v>DUCK FAT (TH) (VV)</v>
      </c>
      <c r="D26" s="9" t="str">
        <f>VLOOKUP(B26,'Unit of Measure ship March 2026'!A:C,3,false)</f>
        <v>LBS</v>
      </c>
      <c r="F26" s="8">
        <v>112615.0</v>
      </c>
      <c r="G26" s="9" t="str">
        <f>VLOOKUP(F26,'FML March 2026'!E:F,2,false)</f>
        <v>PEPPER JALAPENO RED FRESH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8">
        <v>16259.0</v>
      </c>
      <c r="C27" s="9" t="str">
        <f>VLOOKUP(B27,'FML March 2026'!E:F,2,false)</f>
        <v>FENNEL SEED WHOLE BADIA (USA )</v>
      </c>
      <c r="D27" s="9" t="str">
        <f>VLOOKUP(B27,'Unit of Measure ship March 2026'!A:C,3,false)</f>
        <v>LBS</v>
      </c>
      <c r="F27" s="17">
        <v>15504.0</v>
      </c>
      <c r="G27" s="9" t="str">
        <f>VLOOKUP(F27,'FML March 2026'!E:F,2,false)</f>
        <v>PEPPERS HOT, JALAPENOS 10#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32">
        <v>15703.0</v>
      </c>
      <c r="C28" s="33" t="str">
        <f>VLOOKUP(B28,'FML March 2026'!E:F,2,false)</f>
        <v>FIGS, TURKISH, DRIED (TURKEY)</v>
      </c>
      <c r="D28" s="33" t="str">
        <f>VLOOKUP(B28,'Unit of Measure ship March 2026'!A:C,3,false)</f>
        <v>LBS</v>
      </c>
      <c r="F28" s="17">
        <v>33604.0</v>
      </c>
      <c r="G28" s="9" t="str">
        <f>VLOOKUP(F28,'FML March 2026'!E:F,2,false)</f>
        <v>PEPPERS, POBLANO CHILI #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8">
        <v>16260.0</v>
      </c>
      <c r="C29" s="9" t="str">
        <f>VLOOKUP(B29,'FML March 2026'!E:F,2,false)</f>
        <v>GARLIC, POWDER, DRY, 12/16 OZ</v>
      </c>
      <c r="D29" s="9" t="str">
        <f>VLOOKUP(B29,'Unit of Measure ship March 2026'!A:C,3,false)</f>
        <v>LBS</v>
      </c>
      <c r="F29" s="56">
        <v>15506.0</v>
      </c>
      <c r="G29" s="9" t="str">
        <f>VLOOKUP(F29,'FML March 2026'!E:F,2,false)</f>
        <v>PLANTAINS, GREEN 50#</v>
      </c>
      <c r="H29" s="9" t="str">
        <f>VLOOKUP(F29,'Unit of Measure ship March 2026'!A:C,3,false)</f>
        <v>KG</v>
      </c>
      <c r="J29" s="49"/>
      <c r="K29" s="9"/>
      <c r="L29" s="9"/>
      <c r="N29" s="49"/>
      <c r="O29" s="9"/>
      <c r="P29" s="9"/>
    </row>
    <row r="30" ht="14.25" customHeight="1">
      <c r="B30" s="8">
        <v>23904.0</v>
      </c>
      <c r="C30" s="9" t="str">
        <f>VLOOKUP(B30,'FML March 2026'!E:F,2,false)</f>
        <v>HEAVENLY ORGANICS, 100% RAW ACACIA HONEY ORGANIC</v>
      </c>
      <c r="D30" s="9" t="str">
        <f>VLOOKUP(B30,'Unit of Measure ship March 2026'!A:C,3,false)</f>
        <v>PC/13OZ</v>
      </c>
      <c r="F30" s="17">
        <v>15316.0</v>
      </c>
      <c r="G30" s="9" t="str">
        <f>VLOOKUP(F30,'FML March 2026'!E:F,2,false)</f>
        <v>POMEGRANATE 20-35 CT. 22#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8">
        <v>15658.0</v>
      </c>
      <c r="C31" s="9" t="str">
        <f>VLOOKUP(B31,'FML March 2026'!E:F,2,false)</f>
        <v>HONEY 6/5 LB GROEB/MELONIA/SWEET HARVEST</v>
      </c>
      <c r="D31" s="9" t="str">
        <f>VLOOKUP(B31,'Unit of Measure ship March 2026'!A:C,3,false)</f>
        <v>KG</v>
      </c>
      <c r="F31" s="8">
        <v>110075.0</v>
      </c>
      <c r="G31" s="9" t="str">
        <f>VLOOKUP(F31,'FML March 2026'!E:F,2,false)</f>
        <v>POTATO PEE WEE MULTI COLORED MARBLE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8">
        <v>109680.0</v>
      </c>
      <c r="C32" s="9" t="str">
        <f>VLOOKUP(B32,'FML March 2026'!E:F,2,false)</f>
        <v>HOT SAUCE CHOLULAS</v>
      </c>
      <c r="D32" s="9" t="str">
        <f>VLOOKUP(B32,'Unit of Measure ship March 2026'!A:C,3,false)</f>
        <v>BTL/6OZ</v>
      </c>
      <c r="F32" s="17">
        <v>109751.0</v>
      </c>
      <c r="G32" s="9" t="str">
        <f>VLOOKUP(F32,'FML March 2026'!E:F,2,false)</f>
        <v>POTATO RUSSET  110 CT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8">
        <v>111972.0</v>
      </c>
      <c r="C33" s="9" t="str">
        <f>VLOOKUP(B33,'FML March 2026'!E:F,2,false)</f>
        <v>LIME POWDER DEHYDRATED 5 LB INES</v>
      </c>
      <c r="D33" s="9" t="str">
        <f>VLOOKUP(B33,'Unit of Measure ship March 2026'!A:C,3,false)</f>
        <v>LBS</v>
      </c>
      <c r="F33" s="17">
        <v>15513.0</v>
      </c>
      <c r="G33" s="9" t="str">
        <f>VLOOKUP(F33,'FML March 2026'!E:F,2,false)</f>
        <v>POTATOES CHEF (BAG) 50#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8">
        <v>111822.0</v>
      </c>
      <c r="C34" s="9" t="str">
        <f>VLOOKUP(B34,'FML March 2026'!E:F,2,false)</f>
        <v>MARINADE SOUR ORANGE NARANJA AGRIO  CS4/1 GAL BADIA</v>
      </c>
      <c r="D34" s="9" t="str">
        <f>VLOOKUP(B34,'Unit of Measure ship March 2026'!A:C,3,false)</f>
        <v>GAL</v>
      </c>
      <c r="F34" s="8">
        <v>15516.0</v>
      </c>
      <c r="G34" s="9" t="str">
        <f>VLOOKUP(F34,'FML March 2026'!E:F,2,false)</f>
        <v>POTATOES, SWEET, JUMBO, 40# BAG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8">
        <v>111820.0</v>
      </c>
      <c r="C35" s="9" t="str">
        <f>VLOOKUP(B35,'FML March 2026'!E:F,2,false)</f>
        <v>MASA HARINA CS4/22OZ BOBS RED MILL</v>
      </c>
      <c r="D35" s="9" t="str">
        <f>VLOOKUP(B35,'Unit of Measure ship March 2026'!A:C,3,false)</f>
        <v>LBS</v>
      </c>
      <c r="F35" s="8">
        <v>111808.0</v>
      </c>
      <c r="G35" s="9" t="str">
        <f>VLOOKUP(F35,'FML March 2026'!E:F,2,false)</f>
        <v>RADISH SPROUT MICRO PURPLE FRESH HARPKE FARMS - PK/6 OZ PACKED IN 60 OZ CLAM SHELL SIZE</v>
      </c>
      <c r="H35" s="9" t="str">
        <f>VLOOKUP(F35,'Unit of Measure ship March 2026'!A:C,3,false)</f>
        <v>EA</v>
      </c>
      <c r="J35" s="49"/>
      <c r="K35" s="9"/>
      <c r="L35" s="9"/>
      <c r="N35" s="49"/>
      <c r="O35" s="9"/>
      <c r="P35" s="9"/>
    </row>
    <row r="36" ht="14.25" customHeight="1">
      <c r="B36" s="8">
        <v>109667.0</v>
      </c>
      <c r="C36" s="9" t="str">
        <f>VLOOKUP(B36,'FML March 2026'!E:F,2,false)</f>
        <v>MAYONNAISE, UNILEVER - HELLMANN'S, 4800126530, DRY, 4/1 GAL</v>
      </c>
      <c r="D36" s="9" t="str">
        <f>VLOOKUP(B36,'Unit of Measure ship March 2026'!A:C,3,false)</f>
        <v>GAL</v>
      </c>
      <c r="F36" s="17">
        <v>15518.0</v>
      </c>
      <c r="G36" s="9" t="str">
        <f>VLOOKUP(F36,'FML March 2026'!E:F,2,false)</f>
        <v>RADISHES, FRESH, BULK 40#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</row>
    <row r="37" ht="14.25" customHeight="1">
      <c r="B37" s="8">
        <v>111984.0</v>
      </c>
      <c r="C37" s="9" t="str">
        <f>VLOOKUP(B37,'FML March 2026'!E:F,2,false)</f>
        <v>MILK GOAT MILK ASEPTIC CS12/32 OZ</v>
      </c>
      <c r="D37" s="9" t="str">
        <f>VLOOKUP(B37,'Unit of Measure ship March 2026'!A:C,3,false)</f>
        <v>QT</v>
      </c>
      <c r="F37" s="8">
        <v>15427.0</v>
      </c>
      <c r="G37" s="9" t="str">
        <f>VLOOKUP(F37,'FML March 2026'!E:F,2,false)</f>
        <v>ROSEMARY (12 BUNCH) 1 LB/CS</v>
      </c>
      <c r="H37" s="9" t="str">
        <f>VLOOKUP(F37,'Unit of Measure ship March 2026'!A:C,3,false)</f>
        <v>LBS</v>
      </c>
      <c r="K37" s="9"/>
      <c r="L37" s="9"/>
      <c r="N37" s="49"/>
      <c r="O37" s="9"/>
      <c r="P37" s="9"/>
    </row>
    <row r="38" ht="14.25" customHeight="1">
      <c r="B38" s="17">
        <v>14869.0</v>
      </c>
      <c r="C38" s="9" t="str">
        <f>VLOOKUP(B38,'FML March 2026'!E:F,2,false)</f>
        <v>MILK, UHT, WHOLE, 3.5% FAT, DRY, 12/1 LT</v>
      </c>
      <c r="D38" s="9" t="str">
        <f>VLOOKUP(B38,'Unit of Measure ship March 2026'!A:C,3,false)</f>
        <v>LT</v>
      </c>
      <c r="F38" s="8">
        <v>15522.0</v>
      </c>
      <c r="G38" s="9" t="str">
        <f>VLOOKUP(F38,'FML March 2026'!E:F,2,false)</f>
        <v>SHALLOTS CLOVES #1 FRESH 5#</v>
      </c>
      <c r="H38" s="9" t="str">
        <f>VLOOKUP(F38,'Unit of Measure ship March 2026'!A:C,3,false)</f>
        <v>LBS</v>
      </c>
      <c r="K38" s="9"/>
      <c r="L38" s="9"/>
      <c r="N38" s="49"/>
      <c r="O38" s="9"/>
      <c r="P38" s="9"/>
    </row>
    <row r="39" ht="14.25" customHeight="1">
      <c r="B39" s="8">
        <v>15010.0</v>
      </c>
      <c r="C39" s="9" t="str">
        <f>VLOOKUP(B39,'FML March 2026'!E:F,2,false)</f>
        <v>MONTERREY JACK 10 LB WHEEL</v>
      </c>
      <c r="D39" s="9" t="str">
        <f>VLOOKUP(B39,'Unit of Measure ship March 2026'!A:C,3,false)</f>
        <v>LBS</v>
      </c>
      <c r="F39" s="8">
        <v>15525.0</v>
      </c>
      <c r="G39" s="9" t="str">
        <f>VLOOKUP(F39,'FML March 2026'!E:F,2,false)</f>
        <v>SPINACH FLAT LEAF, FRESH, CRISP 4/2.5# 10#</v>
      </c>
      <c r="H39" s="9" t="str">
        <f>VLOOKUP(F39,'Unit of Measure ship March 2026'!A:C,3,false)</f>
        <v>LBS</v>
      </c>
      <c r="K39" s="9"/>
      <c r="L39" s="9"/>
      <c r="N39" s="49"/>
      <c r="O39" s="9"/>
      <c r="P39" s="9"/>
    </row>
    <row r="40" ht="14.25" customHeight="1">
      <c r="B40" s="8">
        <v>16869.0</v>
      </c>
      <c r="C40" s="9" t="str">
        <f>VLOOKUP(B40,'FML March 2026'!E:F,2,false)</f>
        <v>NUTS PEANUTS DRY ROASTED UNSALTED PLANTERS, 6/52 OZ</v>
      </c>
      <c r="D40" s="9" t="str">
        <f>VLOOKUP(B40,'Unit of Measure ship March 2026'!A:C,3,false)</f>
        <v>PC/52OZ</v>
      </c>
      <c r="F40" s="8">
        <v>15446.0</v>
      </c>
      <c r="G40" s="9" t="str">
        <f>VLOOKUP(F40,'FML March 2026'!E:F,2,false)</f>
        <v>THYME FRESH</v>
      </c>
      <c r="H40" s="9" t="str">
        <f>VLOOKUP(F40,'Unit of Measure ship March 2026'!A:C,3,false)</f>
        <v>LBS</v>
      </c>
      <c r="J40" s="36"/>
      <c r="K40" s="9"/>
      <c r="L40" s="9"/>
      <c r="N40" s="49"/>
      <c r="O40" s="9"/>
      <c r="P40" s="9"/>
    </row>
    <row r="41" ht="14.25" customHeight="1">
      <c r="B41" s="15">
        <v>142741.0</v>
      </c>
      <c r="C41" s="9" t="str">
        <f>VLOOKUP(B41,'FML March 2026'!E:F,2,false)</f>
        <v>OIL OLIVE EXTRA VIRGIN ESPLENDIDO DOURO  500 ML - PORTUGAL</v>
      </c>
      <c r="D41" s="9" t="str">
        <f>VLOOKUP(B41,'Unit of Measure ship March 2026'!A:C,3,false)</f>
        <v>BT/500ML</v>
      </c>
      <c r="F41" s="17">
        <v>15537.0</v>
      </c>
      <c r="G41" s="9" t="str">
        <f>VLOOKUP(F41,'FML March 2026'!E:F,2,false)</f>
        <v>TOMATOES 6X6 #1 18# RED RIPE, FIRM (LAYERED), 55-65 MM</v>
      </c>
      <c r="H41" s="9" t="str">
        <f>VLOOKUP(F41,'Unit of Measure ship March 2026'!A:C,3,false)</f>
        <v>LBS</v>
      </c>
      <c r="J41" s="36"/>
      <c r="K41" s="9"/>
      <c r="L41" s="9"/>
      <c r="O41" s="9"/>
      <c r="P41" s="9"/>
    </row>
    <row r="42" ht="14.25" customHeight="1">
      <c r="B42" s="8">
        <v>16377.0</v>
      </c>
      <c r="C42" s="9" t="str">
        <f>VLOOKUP(B42,'FML March 2026'!E:F,2,false)</f>
        <v>OIL, 100% VEGETABLE SOYBEAN, DRY, 4/5 LT</v>
      </c>
      <c r="D42" s="9" t="str">
        <f>VLOOKUP(B42,'Unit of Measure ship March 2026'!A:C,3,false)</f>
        <v>C4/5LT</v>
      </c>
      <c r="F42" s="8">
        <v>15568.0</v>
      </c>
      <c r="G42" s="9" t="str">
        <f>VLOOKUP(F42,'FML March 2026'!E:F,2,false)</f>
        <v>TOMATOES, TOMATILLOS 10#</v>
      </c>
      <c r="H42" s="9" t="str">
        <f>VLOOKUP(F42,'Unit of Measure ship March 2026'!A:C,3,false)</f>
        <v>LBS</v>
      </c>
      <c r="J42" s="36"/>
      <c r="K42" s="9"/>
      <c r="L42" s="9"/>
      <c r="O42" s="9"/>
      <c r="P42" s="9"/>
    </row>
    <row r="43" ht="14.25" customHeight="1">
      <c r="B43" s="8">
        <v>106302.0</v>
      </c>
      <c r="C43" s="9" t="str">
        <f>VLOOKUP(B43,'FML March 2026'!E:F,2,false)</f>
        <v>OREGANO MEXICAN DRY CS1/LBS TERRA SPICE</v>
      </c>
      <c r="D43" s="9" t="str">
        <f>VLOOKUP(B43,'Unit of Measure ship March 2026'!A:C,3,false)</f>
        <v>OZ</v>
      </c>
      <c r="J43" s="36"/>
      <c r="K43" s="9"/>
      <c r="L43" s="9"/>
      <c r="O43" s="9"/>
      <c r="P43" s="9"/>
    </row>
    <row r="44" ht="14.25" customHeight="1">
      <c r="B44" s="8">
        <v>109697.0</v>
      </c>
      <c r="C44" s="9" t="str">
        <f>VLOOKUP(B44,'FML March 2026'!E:F,2,false)</f>
        <v>PAPRIKA SMOKED PKG 26.46  OZ LA CHINATA</v>
      </c>
      <c r="D44" s="9" t="str">
        <f>VLOOKUP(B44,'Unit of Measure ship March 2026'!A:C,3,false)</f>
        <v>KG</v>
      </c>
      <c r="J44" s="36"/>
      <c r="K44" s="9"/>
      <c r="L44" s="9"/>
      <c r="O44" s="9"/>
      <c r="P44" s="9"/>
    </row>
    <row r="45" ht="14.25" customHeight="1">
      <c r="B45" s="8">
        <v>111994.0</v>
      </c>
      <c r="C45" s="9" t="str">
        <f>VLOOKUP(B45,'FML March 2026'!E:F,2,false)</f>
        <v>PASSION FRUIT ARABESCHI CS 6/1 KG  PREGEL</v>
      </c>
      <c r="D45" s="9" t="str">
        <f>VLOOKUP(B45,'Unit of Measure ship March 2026'!A:C,3,false)</f>
        <v>LBS</v>
      </c>
      <c r="J45" s="36"/>
      <c r="K45" s="9"/>
      <c r="L45" s="9"/>
      <c r="O45" s="9"/>
      <c r="P45" s="9"/>
    </row>
    <row r="46" ht="14.25" customHeight="1">
      <c r="B46" s="8">
        <v>108553.0</v>
      </c>
      <c r="C46" s="9" t="str">
        <f>VLOOKUP(B46,'FML March 2026'!E:F,2,false)</f>
        <v>PEPPER ARBOL  D'ALLESANDRO CS/5LB</v>
      </c>
      <c r="D46" s="9" t="str">
        <f>VLOOKUP(B46,'Unit of Measure ship March 2026'!A:C,3,false)</f>
        <v>KG</v>
      </c>
      <c r="J46" s="36"/>
      <c r="K46" s="9"/>
      <c r="L46" s="9"/>
      <c r="O46" s="9"/>
      <c r="P46" s="9"/>
    </row>
    <row r="47" ht="14.25" customHeight="1">
      <c r="B47" s="8">
        <v>33681.0</v>
      </c>
      <c r="C47" s="9" t="str">
        <f>VLOOKUP(B47,'FML March 2026'!E:F,2,false)</f>
        <v>PEPPER BLACK GROUND BADIA (USA )</v>
      </c>
      <c r="D47" s="9" t="str">
        <f>VLOOKUP(B47,'Unit of Measure ship March 2026'!A:C,3,false)</f>
        <v>LBS</v>
      </c>
      <c r="J47" s="36"/>
      <c r="K47" s="9"/>
      <c r="L47" s="9"/>
      <c r="O47" s="9"/>
      <c r="P47" s="9"/>
    </row>
    <row r="48" ht="14.25" customHeight="1">
      <c r="B48" s="8">
        <v>111695.0</v>
      </c>
      <c r="C48" s="9" t="str">
        <f>VLOOKUP(B48,'FML March 2026'!E:F,2,false)</f>
        <v>PEPPER CHILI DRIED CASCABEL PKG1/LB</v>
      </c>
      <c r="D48" s="9" t="str">
        <f>VLOOKUP(B48,'Unit of Measure ship March 2026'!A:C,3,false)</f>
        <v>LBS</v>
      </c>
      <c r="H48" s="9"/>
      <c r="J48" s="36"/>
      <c r="K48" s="9"/>
      <c r="L48" s="9"/>
      <c r="O48" s="9"/>
      <c r="P48" s="9"/>
    </row>
    <row r="49" ht="14.25" customHeight="1">
      <c r="B49" s="8">
        <v>111696.0</v>
      </c>
      <c r="C49" s="9" t="str">
        <f>VLOOKUP(B49,'FML March 2026'!E:F,2,false)</f>
        <v>PEPPER CHILI DRIED MORITA  PKG1/LB WOODLAND FARMS</v>
      </c>
      <c r="D49" s="9" t="str">
        <f>VLOOKUP(B49,'Unit of Measure ship March 2026'!A:C,3,false)</f>
        <v>LBS</v>
      </c>
      <c r="G49" s="9"/>
      <c r="H49" s="9"/>
      <c r="J49" s="36"/>
      <c r="K49" s="9"/>
      <c r="L49" s="9"/>
      <c r="O49" s="9"/>
      <c r="P49" s="9"/>
    </row>
    <row r="50" ht="14.25" customHeight="1">
      <c r="B50" s="8">
        <v>111701.0</v>
      </c>
      <c r="C50" s="9" t="str">
        <f>VLOOKUP(B50,'FML March 2026'!E:F,2,false)</f>
        <v>PEPPER GUAJILLO  DRIED CS5/LB MI BARRIO</v>
      </c>
      <c r="D50" s="9" t="str">
        <f>VLOOKUP(B50,'Unit of Measure ship March 2026'!A:C,3,false)</f>
        <v>LBS</v>
      </c>
      <c r="G50" s="9"/>
      <c r="H50" s="9"/>
      <c r="J50" s="36"/>
      <c r="K50" s="9"/>
      <c r="L50" s="9"/>
      <c r="O50" s="9"/>
      <c r="P50" s="9"/>
    </row>
    <row r="51" ht="14.25" customHeight="1">
      <c r="B51" s="17">
        <v>16285.0</v>
      </c>
      <c r="C51" s="9" t="str">
        <f>VLOOKUP(B51,'FML March 2026'!E:F,2,false)</f>
        <v>PEPPERCORN, BLACK, WHOLE, DRY, 6/420 G</v>
      </c>
      <c r="D51" s="9" t="str">
        <f>VLOOKUP(B51,'Unit of Measure ship March 2026'!A:C,3,false)</f>
        <v>LBS</v>
      </c>
      <c r="G51" s="9"/>
      <c r="H51" s="9"/>
      <c r="J51" s="36"/>
      <c r="K51" s="9"/>
      <c r="L51" s="9"/>
      <c r="N51" s="57"/>
      <c r="O51" s="9"/>
      <c r="P51" s="9"/>
    </row>
    <row r="52" ht="14.25" customHeight="1">
      <c r="B52" s="8">
        <v>111821.0</v>
      </c>
      <c r="C52" s="9" t="str">
        <f>VLOOKUP(B52,'FML March 2026'!E:F,2,false)</f>
        <v>PILONCILLO CONO-PANELA CS25/8OZ  GOYA</v>
      </c>
      <c r="D52" s="9" t="str">
        <f>VLOOKUP(B52,'Unit of Measure ship March 2026'!A:C,3,false)</f>
        <v>LBS</v>
      </c>
      <c r="G52" s="9"/>
      <c r="H52" s="9"/>
      <c r="J52" s="36"/>
      <c r="K52" s="9"/>
      <c r="L52" s="9"/>
      <c r="N52" s="51"/>
      <c r="O52" s="9"/>
      <c r="P52" s="9"/>
    </row>
    <row r="53" ht="14.25" customHeight="1">
      <c r="B53" s="17">
        <v>15897.0</v>
      </c>
      <c r="C53" s="9" t="str">
        <f>VLOOKUP(B53,'FML March 2026'!E:F,2,false)</f>
        <v>PUMPKIN SEEDS WHOLE SHELLED RAW 10 LB HIALEAH/ D`ALLESANDRO</v>
      </c>
      <c r="D53" s="9" t="str">
        <f>VLOOKUP(B53,'Unit of Measure ship March 2026'!A:C,3,false)</f>
        <v>LBS</v>
      </c>
      <c r="G53" s="9"/>
      <c r="H53" s="9"/>
      <c r="J53" s="36"/>
      <c r="K53" s="9"/>
      <c r="L53" s="9"/>
      <c r="N53" s="51"/>
      <c r="O53" s="9"/>
      <c r="P53" s="9"/>
    </row>
    <row r="54" ht="14.25" customHeight="1">
      <c r="B54" s="8">
        <v>111998.0</v>
      </c>
      <c r="C54" s="9" t="str">
        <f>VLOOKUP(B54,'FML March 2026'!E:F,2,false)</f>
        <v>PUREE TAMARIND CS6/30 OZ PERFECT PUREE</v>
      </c>
      <c r="D54" s="9" t="str">
        <f>VLOOKUP(B54,'Unit of Measure ship March 2026'!A:C,3,false)</f>
        <v>LBS</v>
      </c>
      <c r="G54" s="9"/>
      <c r="H54" s="9"/>
      <c r="J54" s="36"/>
      <c r="K54" s="9"/>
      <c r="L54" s="9"/>
      <c r="N54" s="51"/>
      <c r="O54" s="9"/>
      <c r="P54" s="9"/>
    </row>
    <row r="55" ht="14.25" customHeight="1">
      <c r="B55" s="17">
        <v>16307.0</v>
      </c>
      <c r="C55" s="9" t="str">
        <f>VLOOKUP(B55,'FML March 2026'!E:F,2,false)</f>
        <v>SALT KOSHER GRANULATED</v>
      </c>
      <c r="D55" s="9" t="str">
        <f>VLOOKUP(B55,'Unit of Measure ship March 2026'!A:C,3,false)</f>
        <v>LBS</v>
      </c>
      <c r="G55" s="9"/>
      <c r="H55" s="9"/>
      <c r="J55" s="36"/>
      <c r="K55" s="9"/>
      <c r="L55" s="9"/>
      <c r="N55" s="51"/>
      <c r="O55" s="9"/>
      <c r="P55" s="9"/>
    </row>
    <row r="56" ht="14.25" customHeight="1">
      <c r="B56" s="17">
        <v>15818.0</v>
      </c>
      <c r="C56" s="9" t="str">
        <f>VLOOKUP(B56,'FML March 2026'!E:F,2,false)</f>
        <v>SESAME SEEDS WHITE BADIA (USA )</v>
      </c>
      <c r="D56" s="9" t="str">
        <f>VLOOKUP(B56,'Unit of Measure ship March 2026'!A:C,3,false)</f>
        <v>LBS</v>
      </c>
      <c r="G56" s="9"/>
      <c r="H56" s="9"/>
      <c r="J56" s="36"/>
      <c r="K56" s="9"/>
      <c r="L56" s="9"/>
      <c r="N56" s="51"/>
      <c r="O56" s="9"/>
      <c r="P56" s="9"/>
    </row>
    <row r="57" ht="14.25" customHeight="1">
      <c r="B57" s="8">
        <v>111690.0</v>
      </c>
      <c r="C57" s="9" t="str">
        <f>VLOOKUP(B57,'FML March 2026'!E:F,2,false)</f>
        <v>TORTILLA CORN 4.5 INCH CS6/50PC MISSION</v>
      </c>
      <c r="D57" s="9" t="str">
        <f>VLOOKUP(B57,'Unit of Measure ship March 2026'!A:C,3,false)</f>
        <v>PC</v>
      </c>
      <c r="G57" s="9"/>
      <c r="H57" s="9"/>
      <c r="J57" s="36"/>
      <c r="K57" s="9"/>
      <c r="L57" s="9"/>
      <c r="N57" s="51"/>
      <c r="O57" s="9"/>
      <c r="P57" s="9"/>
    </row>
    <row r="58" ht="14.25" customHeight="1">
      <c r="B58" s="17">
        <v>20844.0</v>
      </c>
      <c r="C58" s="9" t="str">
        <f>VLOOKUP(B58,'FML March 2026'!E:F,2,false)</f>
        <v>VEAL DEMI GLACE CUISINE SOLUTIONS 1003743 (NO INSPECTION NEEDED) (NETHERLANDS)</v>
      </c>
      <c r="D58" s="9" t="str">
        <f>VLOOKUP(B58,'Unit of Measure ship March 2026'!A:C,3,false)</f>
        <v>LBS</v>
      </c>
      <c r="G58" s="9"/>
      <c r="H58" s="9"/>
      <c r="J58" s="36"/>
      <c r="K58" s="9"/>
      <c r="L58" s="9"/>
      <c r="N58" s="51"/>
      <c r="O58" s="9"/>
      <c r="P58" s="9"/>
    </row>
    <row r="59" ht="14.25" customHeight="1">
      <c r="B59" s="8">
        <v>111933.0</v>
      </c>
      <c r="C59" s="9" t="str">
        <f>VLOOKUP(B59,'FML March 2026'!E:F,2,false)</f>
        <v>VEGETABLE STOCK LIQUID  CS 4.5/ LITER SAVORY CHOICE</v>
      </c>
      <c r="D59" s="9" t="str">
        <f>VLOOKUP(B59,'Unit of Measure ship March 2026'!A:C,3,false)</f>
        <v>LT</v>
      </c>
      <c r="G59" s="9"/>
      <c r="H59" s="9"/>
      <c r="J59" s="36"/>
      <c r="K59" s="9"/>
      <c r="L59" s="9"/>
      <c r="N59" s="51"/>
      <c r="O59" s="9"/>
      <c r="P59" s="9"/>
    </row>
    <row r="60" ht="14.25" customHeight="1">
      <c r="B60" s="8">
        <v>109665.0</v>
      </c>
      <c r="C60" s="9" t="str">
        <f>VLOOKUP(B60,'FML March 2026'!E:F,2,false)</f>
        <v>VINEGAR CABERNET SPARROW LANE</v>
      </c>
      <c r="D60" s="9" t="str">
        <f>VLOOKUP(B60,'Unit of Measure ship March 2026'!A:C,3,false)</f>
        <v>GAL</v>
      </c>
      <c r="G60" s="9"/>
      <c r="H60" s="9"/>
      <c r="J60" s="36"/>
      <c r="K60" s="9"/>
      <c r="L60" s="9"/>
      <c r="N60" s="51"/>
      <c r="O60" s="9"/>
      <c r="P60" s="9"/>
    </row>
    <row r="61" ht="14.25" customHeight="1">
      <c r="B61" s="8">
        <v>16374.0</v>
      </c>
      <c r="C61" s="9" t="str">
        <f>VLOOKUP(B61,'FML March 2026'!E:F,2,false)</f>
        <v>VINEGAR, WHITE DISTILLED</v>
      </c>
      <c r="D61" s="9" t="str">
        <f>VLOOKUP(B61,'Unit of Measure ship March 2026'!A:C,3,false)</f>
        <v>BTL/5LT</v>
      </c>
      <c r="G61" s="9"/>
      <c r="H61" s="9"/>
      <c r="J61" s="36"/>
      <c r="K61" s="9"/>
      <c r="L61" s="9"/>
      <c r="N61" s="51"/>
      <c r="O61" s="9"/>
      <c r="P61" s="9"/>
    </row>
    <row r="62" ht="14.25" customHeight="1">
      <c r="B62" s="32">
        <v>15802.0</v>
      </c>
      <c r="C62" s="33" t="str">
        <f>VLOOKUP(B62,'FML March 2026'!E:F,2,false)</f>
        <v>WALNUTS LARGE HALVES</v>
      </c>
      <c r="D62" s="33" t="str">
        <f>VLOOKUP(B62,'Unit of Measure ship March 2026'!A:C,3,false)</f>
        <v>LBS</v>
      </c>
      <c r="G62" s="9"/>
      <c r="H62" s="9"/>
      <c r="J62" s="36"/>
      <c r="K62" s="9"/>
      <c r="L62" s="9"/>
      <c r="N62" s="51"/>
      <c r="O62" s="9"/>
      <c r="P62" s="9"/>
    </row>
    <row r="63" ht="14.25" customHeight="1">
      <c r="B63" s="8">
        <v>49450.0</v>
      </c>
      <c r="C63" s="9" t="str">
        <f>VLOOKUP(B63,'FML March 2026'!E:F,2,false)</f>
        <v>WHIPPING CREAM (35% TO 36%) UHT</v>
      </c>
      <c r="D63" s="9" t="str">
        <f>VLOOKUP(B63,'Unit of Measure ship March 2026'!A:C,3,false)</f>
        <v>QRT</v>
      </c>
      <c r="G63" s="9"/>
      <c r="H63" s="9"/>
      <c r="J63" s="36"/>
      <c r="K63" s="9"/>
      <c r="L63" s="9"/>
      <c r="N63" s="51"/>
      <c r="O63" s="9"/>
      <c r="P63" s="9"/>
    </row>
    <row r="64" ht="14.25" customHeight="1">
      <c r="B64" s="58"/>
      <c r="C64" s="58"/>
      <c r="D64" s="58"/>
      <c r="G64" s="9"/>
      <c r="H64" s="9"/>
      <c r="J64" s="36"/>
      <c r="K64" s="9"/>
      <c r="L64" s="9"/>
      <c r="N64" s="51"/>
      <c r="O64" s="9"/>
      <c r="P64" s="9"/>
    </row>
    <row r="65" ht="14.25" customHeight="1">
      <c r="B65" s="58"/>
      <c r="C65" s="58"/>
      <c r="D65" s="58"/>
      <c r="G65" s="9"/>
      <c r="H65" s="9"/>
      <c r="J65" s="36"/>
      <c r="K65" s="9"/>
      <c r="L65" s="9"/>
      <c r="N65" s="51"/>
      <c r="O65" s="9"/>
      <c r="P65" s="9"/>
    </row>
    <row r="66" ht="14.25" customHeight="1">
      <c r="B66" s="58"/>
      <c r="C66" s="58"/>
      <c r="D66" s="58"/>
      <c r="G66" s="9"/>
      <c r="H66" s="9"/>
      <c r="J66" s="36"/>
      <c r="K66" s="9"/>
      <c r="L66" s="9"/>
      <c r="N66" s="51"/>
      <c r="O66" s="9"/>
      <c r="P66" s="9"/>
    </row>
    <row r="67" ht="14.25" customHeight="1">
      <c r="G67" s="9"/>
      <c r="H67" s="9"/>
      <c r="J67" s="36"/>
      <c r="K67" s="9"/>
      <c r="L67" s="9"/>
      <c r="N67" s="51"/>
      <c r="O67" s="9"/>
      <c r="P67" s="9"/>
    </row>
    <row r="68" ht="14.25" customHeight="1">
      <c r="G68" s="9"/>
      <c r="H68" s="9"/>
      <c r="J68" s="36"/>
      <c r="K68" s="9"/>
      <c r="L68" s="9"/>
      <c r="N68" s="51"/>
      <c r="O68" s="9"/>
      <c r="P68" s="9"/>
    </row>
    <row r="69" ht="14.25" customHeight="1">
      <c r="G69" s="9"/>
      <c r="H69" s="9"/>
      <c r="J69" s="36"/>
      <c r="K69" s="9"/>
      <c r="L69" s="9"/>
      <c r="N69" s="51"/>
      <c r="O69" s="9"/>
      <c r="P69" s="9"/>
    </row>
    <row r="70" ht="14.25" customHeight="1">
      <c r="G70" s="9"/>
      <c r="H70" s="9"/>
      <c r="J70" s="36"/>
      <c r="K70" s="9"/>
      <c r="L70" s="9"/>
      <c r="N70" s="51"/>
      <c r="O70" s="9"/>
      <c r="P70" s="9"/>
    </row>
    <row r="71" ht="14.25" customHeight="1">
      <c r="G71" s="9"/>
      <c r="H71" s="9"/>
      <c r="J71" s="36"/>
      <c r="K71" s="9"/>
      <c r="L71" s="9"/>
      <c r="N71" s="51"/>
      <c r="O71" s="9"/>
      <c r="P71" s="9"/>
    </row>
    <row r="72" ht="14.25" customHeight="1">
      <c r="G72" s="9"/>
      <c r="H72" s="9"/>
      <c r="J72" s="36"/>
      <c r="K72" s="9"/>
      <c r="L72" s="9"/>
      <c r="N72" s="51"/>
      <c r="O72" s="9"/>
      <c r="P72" s="9"/>
    </row>
    <row r="73" ht="14.25" customHeight="1">
      <c r="G73" s="9"/>
      <c r="H73" s="9"/>
      <c r="J73" s="36"/>
      <c r="K73" s="9"/>
      <c r="L73" s="9"/>
      <c r="N73" s="51"/>
      <c r="O73" s="9"/>
      <c r="P73" s="9"/>
    </row>
    <row r="74" ht="14.25" customHeight="1">
      <c r="J74" s="36"/>
      <c r="K74" s="9"/>
      <c r="L74" s="9"/>
      <c r="N74" s="51"/>
      <c r="O74" s="9"/>
      <c r="P74" s="9"/>
    </row>
    <row r="75" ht="14.25" customHeight="1">
      <c r="J75" s="36"/>
      <c r="K75" s="9"/>
      <c r="L75" s="9"/>
      <c r="N75" s="51"/>
      <c r="O75" s="9"/>
      <c r="P75" s="9"/>
    </row>
    <row r="76" ht="14.25" customHeight="1">
      <c r="J76" s="36"/>
      <c r="K76" s="9"/>
      <c r="L76" s="9"/>
      <c r="N76" s="51"/>
      <c r="O76" s="9"/>
      <c r="P76" s="9"/>
    </row>
    <row r="77" ht="14.25" customHeight="1">
      <c r="J77" s="36"/>
      <c r="K77" s="9"/>
      <c r="L77" s="9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>
      <c r="B83" s="30"/>
      <c r="C83" s="59"/>
      <c r="D83" s="5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57"/>
    <col customWidth="1" min="3" max="3" width="11.57"/>
    <col customWidth="1" min="4" max="4" width="2.43"/>
    <col customWidth="1" min="5" max="5" width="8.71"/>
    <col customWidth="1" min="6" max="6" width="59.57"/>
    <col customWidth="1" min="7" max="7" width="11.57"/>
    <col customWidth="1" min="8" max="8" width="2.43"/>
    <col customWidth="1" min="9" max="9" width="8.71"/>
    <col customWidth="1" min="10" max="10" width="59.57"/>
    <col customWidth="1" min="11" max="11" width="11.57"/>
    <col customWidth="1" min="12" max="12" width="2.43"/>
    <col customWidth="1" min="13" max="13" width="8.71"/>
    <col customWidth="1" min="14" max="14" width="59.57"/>
    <col customWidth="1" min="15" max="16" width="11.57"/>
  </cols>
  <sheetData>
    <row r="1">
      <c r="A1" s="1" t="s">
        <v>58</v>
      </c>
      <c r="B1" s="2"/>
      <c r="C1" s="3"/>
      <c r="E1" s="1" t="s">
        <v>59</v>
      </c>
      <c r="F1" s="2"/>
      <c r="G1" s="3"/>
      <c r="I1" s="54" t="s">
        <v>60</v>
      </c>
      <c r="J1" s="2"/>
      <c r="K1" s="3"/>
      <c r="M1" s="54" t="s">
        <v>61</v>
      </c>
      <c r="N1" s="2"/>
      <c r="O1" s="3"/>
      <c r="P1" s="60"/>
    </row>
    <row r="2">
      <c r="A2" s="61" t="s">
        <v>6</v>
      </c>
      <c r="B2" s="62" t="s">
        <v>7</v>
      </c>
      <c r="C2" s="4" t="s">
        <v>8</v>
      </c>
      <c r="E2" s="61" t="s">
        <v>6</v>
      </c>
      <c r="F2" s="62" t="s">
        <v>7</v>
      </c>
      <c r="G2" s="4" t="s">
        <v>8</v>
      </c>
      <c r="I2" s="4" t="s">
        <v>6</v>
      </c>
      <c r="J2" s="5" t="s">
        <v>7</v>
      </c>
      <c r="K2" s="4" t="s">
        <v>8</v>
      </c>
      <c r="M2" s="61" t="s">
        <v>6</v>
      </c>
      <c r="N2" s="62" t="s">
        <v>7</v>
      </c>
      <c r="O2" s="4" t="s">
        <v>8</v>
      </c>
      <c r="P2" s="63"/>
    </row>
    <row r="3" ht="14.25" customHeight="1">
      <c r="A3" s="64">
        <v>111083.0</v>
      </c>
      <c r="B3" s="65" t="str">
        <f>VLOOKUP(A3,'FML March 2026'!E:F,2,false)</f>
        <v>ALEPPO PEPPER  PKG 1/LB  LA BOITE</v>
      </c>
      <c r="C3" s="66" t="str">
        <f>VLOOKUP(A3,'Unit of Measure ship March 2026'!A:C,3,false)</f>
        <v>LBS</v>
      </c>
      <c r="E3" s="64">
        <v>20895.0</v>
      </c>
      <c r="F3" s="67" t="str">
        <f>VLOOKUP(E3,'FML March 2026'!E:F,2,false)</f>
        <v>ASIAN LONG RED CHILI, FRESH MEDIUM HOT</v>
      </c>
      <c r="G3" s="66" t="str">
        <f>VLOOKUP(E3,'Unit of Measure ship March 2026'!A:C,3,false)</f>
        <v>LBS</v>
      </c>
      <c r="I3" s="64">
        <v>34727.0</v>
      </c>
      <c r="J3" s="65" t="str">
        <f>VLOOKUP(I3,'FML March 2026'!E:F,2,false)</f>
        <v>BEEF EXPORT RIBS, CAB CHOICE 18/DOWN 4/PC, 30D AGE,BLST/FRZN (USA) NAMP-109E</v>
      </c>
      <c r="K3" s="66" t="str">
        <f>VLOOKUP(I3,'Unit of Measure ship March 2026'!A:C,3,false)</f>
        <v>LBS</v>
      </c>
      <c r="M3" s="64">
        <v>53625.0</v>
      </c>
      <c r="N3" s="67" t="str">
        <f>VLOOKUP(M3,'FML March 2026'!E:G,2,false)</f>
        <v>SALMON FILLET, ATLANTIC, PREMIUM, FROZEN, 3 - 4 LB D-TRIM INDV. CRYOVAC (CHILE)</v>
      </c>
      <c r="O3" s="66" t="str">
        <f>VLOOKUP(M3,'Unit of Measure ship March 2026'!A:C,3,false)</f>
        <v>LBS</v>
      </c>
      <c r="P3" s="68"/>
    </row>
    <row r="4" ht="14.25" customHeight="1">
      <c r="A4" s="64">
        <v>16262.0</v>
      </c>
      <c r="B4" s="65" t="str">
        <f>VLOOKUP(A4,'FML March 2026'!E:F,2,false)</f>
        <v>ALLSPICE BADIA</v>
      </c>
      <c r="C4" s="66" t="str">
        <f>VLOOKUP(A4,'Unit of Measure ship March 2026'!A:C,3,false)</f>
        <v>LBS</v>
      </c>
      <c r="E4" s="64">
        <v>15572.0</v>
      </c>
      <c r="F4" s="67" t="str">
        <f>VLOOKUP(E4,'FML March 2026'!E:F,2,false)</f>
        <v>ASPARAGUS, FRESH, LARGE, FULL 11# BOX, 17 PC/BOX</v>
      </c>
      <c r="G4" s="66" t="str">
        <f>VLOOKUP(E4,'Unit of Measure ship March 2026'!A:C,3,false)</f>
        <v>LBS</v>
      </c>
      <c r="I4" s="64">
        <v>11695.0</v>
      </c>
      <c r="J4" s="65" t="str">
        <f>VLOOKUP(I4,'FML March 2026'!E:F,2,false)</f>
        <v>CHICKEN LEG/THIGH BONELESS &amp; SKINLESS FROZEN</v>
      </c>
      <c r="K4" s="66" t="str">
        <f>VLOOKUP(I4,'Unit of Measure ship March 2026'!A:C,3,false)</f>
        <v>LBS</v>
      </c>
      <c r="M4" s="64">
        <v>42269.0</v>
      </c>
      <c r="N4" s="67" t="str">
        <f>VLOOKUP(M4,'FML March 2026'!E:G,2,false)</f>
        <v>SHRIMP 16/20 RAW P&amp;D TAIL-ON CS10/LB SURAM ROYAL WHITE (VIETNAM)</v>
      </c>
      <c r="O4" s="66" t="str">
        <f>VLOOKUP(M4,'Unit of Measure ship March 2026'!A:C,3,false)</f>
        <v>LBS</v>
      </c>
      <c r="P4" s="68"/>
    </row>
    <row r="5" ht="14.25" customHeight="1">
      <c r="A5" s="64">
        <v>16304.0</v>
      </c>
      <c r="B5" s="65" t="str">
        <f>VLOOKUP(A5,'FML March 2026'!E:F,2,false)</f>
        <v>ANISE STAR BADIA</v>
      </c>
      <c r="C5" s="66" t="str">
        <f>VLOOKUP(A5,'Unit of Measure ship March 2026'!A:C,3,false)</f>
        <v>UNIT/8OZ</v>
      </c>
      <c r="E5" s="64">
        <v>15378.0</v>
      </c>
      <c r="F5" s="67" t="str">
        <f>VLOOKUP(E5,'FML March 2026'!E:F,2,false)</f>
        <v>AVOCADOS HASS FRESH CA-48PC FL-12/14PC 20#</v>
      </c>
      <c r="G5" s="66" t="str">
        <f>VLOOKUP(E5,'Unit of Measure ship March 2026'!A:C,3,false)</f>
        <v>LBS</v>
      </c>
      <c r="I5" s="64">
        <v>14502.0</v>
      </c>
      <c r="J5" s="65" t="str">
        <f>VLOOKUP(I5,'FML March 2026'!E:F,2,false)</f>
        <v>CHICKEN NECKS/BACKS 50# SKIN-ON (PLASTIC WRAPPED) (USA)</v>
      </c>
      <c r="K5" s="66" t="str">
        <f>VLOOKUP(I5,'Unit of Measure ship March 2026'!A:C,3,false)</f>
        <v>LBS</v>
      </c>
      <c r="M5" s="64">
        <v>14830.0</v>
      </c>
      <c r="N5" s="67" t="str">
        <f>VLOOKUP(M5,'FML March 2026'!E:G,2,false)</f>
        <v>SQUID WHOLE CLEANED 5/8 CT 4/2.5 LB CS FISHERMAN`S PRIDE (CHINA)</v>
      </c>
      <c r="O5" s="66" t="str">
        <f>VLOOKUP(M5,'Unit of Measure ship March 2026'!A:C,3,false)</f>
        <v>LBS</v>
      </c>
      <c r="P5" s="68"/>
    </row>
    <row r="6" ht="14.25" customHeight="1">
      <c r="A6" s="64">
        <v>109664.0</v>
      </c>
      <c r="B6" s="65" t="str">
        <f>VLOOKUP(A6,'FML March 2026'!E:F,2,false)</f>
        <v>APPLE CIDER VINEGAR SPARROW LANE V</v>
      </c>
      <c r="C6" s="66" t="str">
        <f>VLOOKUP(A6,'Unit of Measure ship March 2026'!A:C,3,false)</f>
        <v>GAL</v>
      </c>
      <c r="E6" s="64">
        <v>15449.0</v>
      </c>
      <c r="F6" s="67" t="str">
        <f>VLOOKUP(E6,'FML March 2026'!E:F,2,false)</f>
        <v>BEET ROOTS LARGE 1/25#</v>
      </c>
      <c r="G6" s="66" t="str">
        <f>VLOOKUP(E6,'Unit of Measure ship March 2026'!A:C,3,false)</f>
        <v>LBS</v>
      </c>
      <c r="I6" s="64">
        <v>14573.0</v>
      </c>
      <c r="J6" s="65" t="str">
        <f>VLOOKUP(I6,'FML March 2026'!E:F,2,false)</f>
        <v>DUCK WHOLE GRADE, "A" 4.00 -  5.0LB CS6/PC</v>
      </c>
      <c r="K6" s="66" t="str">
        <f>VLOOKUP(I6,'Unit of Measure ship March 2026'!A:C,3,false)</f>
        <v>LBS</v>
      </c>
      <c r="M6" s="64">
        <v>33510.0</v>
      </c>
      <c r="N6" s="67" t="str">
        <f>VLOOKUP(M6,'FML March 2026'!E:G,2,false)</f>
        <v>WHOLE RED SNAPPER FROZEN, 1-2LB</v>
      </c>
      <c r="O6" s="66" t="s">
        <v>42</v>
      </c>
      <c r="P6" s="68"/>
    </row>
    <row r="7" ht="14.25" customHeight="1">
      <c r="A7" s="69">
        <v>109686.0</v>
      </c>
      <c r="B7" s="65" t="str">
        <f>VLOOKUP(A7,'FML March 2026'!E:F,2,false)</f>
        <v>BACON, NUESKE 24 HOUR  APPLEWOOD SMOKED BACON (NUESKI 2131)</v>
      </c>
      <c r="C7" s="66" t="str">
        <f>VLOOKUP(A7,'Unit of Measure ship March 2026'!A:C,3,false)</f>
        <v>LBS</v>
      </c>
      <c r="E7" s="64">
        <v>15333.0</v>
      </c>
      <c r="F7" s="67" t="str">
        <f>VLOOKUP(E7,'FML March 2026'!E:F,2,false)</f>
        <v>BLACKBERRIES FRESH 12 1/2 PT 4.5#</v>
      </c>
      <c r="G7" s="66" t="str">
        <f>VLOOKUP(E7,'Unit of Measure ship March 2026'!A:C,3,false)</f>
        <v>LBS</v>
      </c>
      <c r="I7" s="64">
        <v>14443.0</v>
      </c>
      <c r="J7" s="65" t="str">
        <f>VLOOKUP(I7,'FML March 2026'!E:F,2,false)</f>
        <v>PORK LOIN BACK RIBS 1-1/2# DOWN DOMESTIC NAMP 422 (USA)</v>
      </c>
      <c r="K7" s="66" t="str">
        <f>VLOOKUP(I7,'Unit of Measure ship March 2026'!A:C,3,false)</f>
        <v>LBS</v>
      </c>
      <c r="P7" s="68"/>
    </row>
    <row r="8" ht="14.25" customHeight="1">
      <c r="A8" s="64">
        <v>16250.0</v>
      </c>
      <c r="B8" s="65" t="str">
        <f>VLOOKUP(A8,'FML March 2026'!E:F,2,false)</f>
        <v>BAY LEAVES WHOLE D`ALLESANDRO/ SPICECO</v>
      </c>
      <c r="C8" s="66" t="str">
        <f>VLOOKUP(A8,'Unit of Measure ship March 2026'!A:C,3,false)</f>
        <v>LBS</v>
      </c>
      <c r="E8" s="64">
        <v>15335.0</v>
      </c>
      <c r="F8" s="67" t="str">
        <f>VLOOKUP(E8,'FML March 2026'!E:F,2,false)</f>
        <v>BLUEBERRIES FRESH 12 1/2 PT 4.5#</v>
      </c>
      <c r="G8" s="66" t="str">
        <f>VLOOKUP(E8,'Unit of Measure ship March 2026'!A:C,3,false)</f>
        <v>LBS</v>
      </c>
      <c r="I8" s="64">
        <v>14399.0</v>
      </c>
      <c r="J8" s="65" t="str">
        <f>VLOOKUP(I8,'FML March 2026'!E:F,2,false)</f>
        <v>PORK LOIN WHOLE CRYOVAC  22-24   DOWN BONE IN, NAMP411 (USA)</v>
      </c>
      <c r="K8" s="66" t="str">
        <f>VLOOKUP(I8,'Unit of Measure ship March 2026'!A:C,3,false)</f>
        <v>LBS</v>
      </c>
      <c r="P8" s="68"/>
    </row>
    <row r="9" ht="14.25" customHeight="1">
      <c r="A9" s="64">
        <v>109688.0</v>
      </c>
      <c r="B9" s="65" t="str">
        <f>VLOOKUP(A9,'FML March 2026'!E:F,2,false)</f>
        <v>BEE POLLEN FRONTIER HERB</v>
      </c>
      <c r="C9" s="66" t="str">
        <f>VLOOKUP(A9,'Unit of Measure ship March 2026'!A:C,3,false)</f>
        <v>PEA1/OZ</v>
      </c>
      <c r="E9" s="64">
        <v>15606.0</v>
      </c>
      <c r="F9" s="67" t="str">
        <f>VLOOKUP(E9,'FML March 2026'!E:F,2,false)</f>
        <v>BOK CHOY BABY</v>
      </c>
      <c r="G9" s="66" t="str">
        <f>VLOOKUP(E9,'Unit of Measure ship March 2026'!A:C,3,false)</f>
        <v>LBS</v>
      </c>
      <c r="I9" s="64">
        <v>10533.0</v>
      </c>
      <c r="J9" s="65" t="str">
        <f>VLOOKUP(I9,'FML March 2026'!E:F,2,false)</f>
        <v>PORK SHOULDER BUTT BONELESS</v>
      </c>
      <c r="K9" s="66" t="str">
        <f>VLOOKUP(I9,'Unit of Measure ship March 2026'!A:C,3,false)</f>
        <v>LBS</v>
      </c>
      <c r="P9" s="68"/>
    </row>
    <row r="10" ht="14.25" customHeight="1">
      <c r="A10" s="64">
        <v>109712.0</v>
      </c>
      <c r="B10" s="65" t="str">
        <f>VLOOKUP(A10,'FML March 2026'!E:F,2,false)</f>
        <v>BREAD SOURDOUGH COUNTRY WHEAT BRD40B19  1KG LOAF  ZAK THE BAKER</v>
      </c>
      <c r="C10" s="66" t="str">
        <f>VLOOKUP(A10,'Unit of Measure ship March 2026'!A:C,3,false)</f>
        <v>LV</v>
      </c>
      <c r="E10" s="64">
        <v>38191.0</v>
      </c>
      <c r="F10" s="67" t="str">
        <f>VLOOKUP(E10,'FML March 2026'!E:F,2,false)</f>
        <v>BRUSSELS SPROUTS SMALL</v>
      </c>
      <c r="G10" s="66" t="str">
        <f>VLOOKUP(E10,'Unit of Measure ship March 2026'!A:C,3,false)</f>
        <v>LBS</v>
      </c>
      <c r="I10" s="64"/>
      <c r="J10" s="65"/>
      <c r="K10" s="66"/>
      <c r="M10" s="64"/>
      <c r="N10" s="67"/>
      <c r="O10" s="66"/>
      <c r="P10" s="68"/>
    </row>
    <row r="11" ht="14.25" customHeight="1">
      <c r="A11" s="64">
        <v>15016.0</v>
      </c>
      <c r="B11" s="65" t="str">
        <f>VLOOKUP(A11,'FML March 2026'!E:F,2,false)</f>
        <v>BUTTER, UNSALTED, 82% FAT, FZN, 50/200 G</v>
      </c>
      <c r="C11" s="66" t="str">
        <f>VLOOKUP(A11,'Unit of Measure ship March 2026'!A:C,3,false)</f>
        <v>LBS</v>
      </c>
      <c r="E11" s="64">
        <v>15454.0</v>
      </c>
      <c r="F11" s="67" t="str">
        <f>VLOOKUP(E11,'FML March 2026'!E:F,2,false)</f>
        <v>CABBAGE GREEN COMM MED/LG TRIMMED 50#</v>
      </c>
      <c r="G11" s="66" t="str">
        <f>VLOOKUP(E11,'Unit of Measure ship March 2026'!A:C,3,false)</f>
        <v>LBS</v>
      </c>
      <c r="I11" s="64"/>
      <c r="J11" s="67"/>
      <c r="K11" s="66"/>
      <c r="M11" s="64"/>
      <c r="N11" s="70"/>
      <c r="O11" s="66"/>
      <c r="P11" s="68"/>
    </row>
    <row r="12" ht="14.25" customHeight="1">
      <c r="A12" s="64">
        <v>14893.0</v>
      </c>
      <c r="B12" s="65" t="str">
        <f>VLOOKUP(A12,'FML March 2026'!E:F,2,false)</f>
        <v>BUTTERMILK LOCAL 10 DAYS CS9/HGAL</v>
      </c>
      <c r="C12" s="66" t="str">
        <f>VLOOKUP(A12,'Unit of Measure ship March 2026'!A:C,3,false)</f>
        <v>QRT</v>
      </c>
      <c r="E12" s="64">
        <v>15456.0</v>
      </c>
      <c r="F12" s="67" t="str">
        <f>VLOOKUP(E12,'FML March 2026'!E:F,2,false)</f>
        <v>CABBAGE NAPA 12CT 30#</v>
      </c>
      <c r="G12" s="66" t="str">
        <f>VLOOKUP(E12,'Unit of Measure ship March 2026'!A:C,3,false)</f>
        <v>LBS</v>
      </c>
      <c r="I12" s="64"/>
      <c r="J12" s="67"/>
      <c r="K12" s="66"/>
      <c r="M12" s="64"/>
      <c r="N12" s="67"/>
      <c r="O12" s="66"/>
      <c r="P12" s="68"/>
    </row>
    <row r="13" ht="14.25" customHeight="1">
      <c r="A13" s="64">
        <v>15816.0</v>
      </c>
      <c r="B13" s="65" t="str">
        <f>VLOOKUP(A13,'FML March 2026'!E:F,2,false)</f>
        <v>CARAWAY SEEDS WHOLE 16 OZ D BADIA</v>
      </c>
      <c r="C13" s="66" t="str">
        <f>VLOOKUP(A13,'Unit of Measure ship March 2026'!A:C,3,false)</f>
        <v>LBS</v>
      </c>
      <c r="E13" s="64">
        <v>15458.0</v>
      </c>
      <c r="F13" s="67" t="str">
        <f>VLOOKUP(E13,'FML March 2026'!E:F,2,false)</f>
        <v>CARROTS CLIP TOP 50#</v>
      </c>
      <c r="G13" s="66" t="str">
        <f>VLOOKUP(E13,'Unit of Measure ship March 2026'!A:C,3,false)</f>
        <v>LBS</v>
      </c>
      <c r="I13" s="64"/>
      <c r="J13" s="67"/>
      <c r="K13" s="66"/>
      <c r="M13" s="64"/>
      <c r="N13" s="67"/>
      <c r="O13" s="66"/>
      <c r="P13" s="68"/>
    </row>
    <row r="14" ht="14.25" customHeight="1">
      <c r="A14" s="64">
        <v>35186.0</v>
      </c>
      <c r="B14" s="65" t="str">
        <f>VLOOKUP(A14,'FML March 2026'!E:F,2,false)</f>
        <v>CELERY SALT 32 OZ D`ALLESANDRO/ SPICE CO</v>
      </c>
      <c r="C14" s="66" t="str">
        <f>VLOOKUP(A14,'Unit of Measure ship March 2026'!A:C,3,false)</f>
        <v>JAR/32OZ</v>
      </c>
      <c r="E14" s="64">
        <v>24674.0</v>
      </c>
      <c r="F14" s="67" t="str">
        <f>VLOOKUP(E14,'FML March 2026'!E:F,2,false)</f>
        <v>CARROTS LOOSE CAL. JUMBO, 50LBS</v>
      </c>
      <c r="G14" s="66" t="str">
        <f>VLOOKUP(E14,'Unit of Measure ship March 2026'!A:C,3,false)</f>
        <v>LBS</v>
      </c>
      <c r="I14" s="64"/>
      <c r="J14" s="67"/>
      <c r="K14" s="66"/>
      <c r="M14" s="64"/>
      <c r="N14" s="67"/>
      <c r="O14" s="66"/>
      <c r="P14" s="68"/>
    </row>
    <row r="15" ht="14.25" customHeight="1">
      <c r="A15" s="64">
        <v>11957.0</v>
      </c>
      <c r="B15" s="65" t="str">
        <f>VLOOKUP(A15,'FML March 2026'!E:F,2,false)</f>
        <v>CELERY SEEDS WHOLE 16 OZ D`ALLESANDRO/ SPICE CO</v>
      </c>
      <c r="C15" s="66" t="str">
        <f>VLOOKUP(A15,'Unit of Measure ship March 2026'!A:C,3,false)</f>
        <v>LBS</v>
      </c>
      <c r="E15" s="64">
        <v>15459.0</v>
      </c>
      <c r="F15" s="67" t="str">
        <f>VLOOKUP(E15,'FML March 2026'!E:F,2,false)</f>
        <v>CAULIFLOWER #1 CAL. 12 CT 25#</v>
      </c>
      <c r="G15" s="66" t="str">
        <f>VLOOKUP(E15,'Unit of Measure ship March 2026'!A:C,3,false)</f>
        <v>LBS</v>
      </c>
      <c r="I15" s="64"/>
      <c r="J15" s="67"/>
      <c r="K15" s="66"/>
      <c r="M15" s="64"/>
      <c r="N15" s="67"/>
      <c r="O15" s="66"/>
      <c r="P15" s="68"/>
    </row>
    <row r="16" ht="14.25" customHeight="1">
      <c r="A16" s="64">
        <v>15701.0</v>
      </c>
      <c r="B16" s="65" t="str">
        <f>VLOOKUP(A16,'FML March 2026'!E:F,2,false)</f>
        <v>CHERRIES, RED DRIED SWEET (USA)</v>
      </c>
      <c r="C16" s="66" t="str">
        <f>VLOOKUP(A16,'Unit of Measure ship March 2026'!A:C,3,false)</f>
        <v>LBS</v>
      </c>
      <c r="E16" s="64">
        <v>110917.0</v>
      </c>
      <c r="F16" s="67" t="str">
        <f>VLOOKUP(E16,'FML March 2026'!E:F,2,false)</f>
        <v>CAULIFLOWER ORANGE 12CT (28LB)</v>
      </c>
      <c r="G16" s="66" t="str">
        <f>VLOOKUP(E16,'Unit of Measure ship March 2026'!A:C,3,false)</f>
        <v>LBS</v>
      </c>
      <c r="I16" s="64"/>
      <c r="J16" s="67"/>
      <c r="K16" s="66"/>
      <c r="M16" s="64"/>
      <c r="N16" s="67"/>
      <c r="O16" s="66"/>
      <c r="P16" s="68"/>
    </row>
    <row r="17" ht="14.25" customHeight="1">
      <c r="A17" s="64">
        <v>110039.0</v>
      </c>
      <c r="B17" s="65" t="str">
        <f>VLOOKUP(A17,'FML March 2026'!E:F,2,false)</f>
        <v>CHILI PEPPER THREADS KOREAN WHOLE PKG 1  OZ  SPICEOLOGY</v>
      </c>
      <c r="C17" s="66" t="str">
        <f>VLOOKUP(A17,'Unit of Measure ship March 2026'!A:C,3,false)</f>
        <v>OZ</v>
      </c>
      <c r="E17" s="64">
        <v>110078.0</v>
      </c>
      <c r="F17" s="67" t="str">
        <f>VLOOKUP(E17,'FML March 2026'!E:F,2,false)</f>
        <v>CAULIFLOWER PURPLR FRESH</v>
      </c>
      <c r="G17" s="66" t="str">
        <f>VLOOKUP(E17,'Unit of Measure ship March 2026'!A:C,3,false)</f>
        <v>EA</v>
      </c>
      <c r="I17" s="64"/>
      <c r="J17" s="67"/>
      <c r="K17" s="66"/>
      <c r="M17" s="64"/>
      <c r="N17" s="67"/>
      <c r="O17" s="66"/>
      <c r="P17" s="68"/>
    </row>
    <row r="18" ht="14.25" customHeight="1">
      <c r="A18" s="64">
        <v>16252.0</v>
      </c>
      <c r="B18" s="65" t="str">
        <f>VLOOKUP(A18,'FML March 2026'!E:F,2,false)</f>
        <v>CHILI POWDER 16 OZ D`ALLESANDRO/ SPICECO</v>
      </c>
      <c r="C18" s="66" t="str">
        <f>VLOOKUP(A18,'Unit of Measure ship March 2026'!A:C,3,false)</f>
        <v>LBS</v>
      </c>
      <c r="E18" s="64">
        <v>15562.0</v>
      </c>
      <c r="F18" s="67" t="str">
        <f>VLOOKUP(E18,'FML March 2026'!E:F,2,false)</f>
        <v>CELERIAC (CELERY ROOT) 20#</v>
      </c>
      <c r="G18" s="66" t="str">
        <f>VLOOKUP(E18,'Unit of Measure ship March 2026'!A:C,3,false)</f>
        <v>LBS</v>
      </c>
      <c r="I18" s="64"/>
      <c r="J18" s="67"/>
      <c r="K18" s="66"/>
      <c r="M18" s="64"/>
      <c r="N18" s="67"/>
      <c r="O18" s="66"/>
      <c r="P18" s="68"/>
    </row>
    <row r="19" ht="14.25" customHeight="1">
      <c r="A19" s="64">
        <v>16265.0</v>
      </c>
      <c r="B19" s="65" t="str">
        <f>VLOOKUP(A19,'FML March 2026'!E:F,2,false)</f>
        <v>CHINESE FIVE SPICE 16 OZ D`ALLESANDRO/ SPICECO</v>
      </c>
      <c r="C19" s="66" t="str">
        <f>VLOOKUP(A19,'Unit of Measure ship March 2026'!A:C,3,false)</f>
        <v>LBS</v>
      </c>
      <c r="E19" s="64">
        <v>15460.0</v>
      </c>
      <c r="F19" s="67" t="str">
        <f>VLOOKUP(E19,'FML March 2026'!E:F,2,false)</f>
        <v>CELERY #1 CAL. 36CT 60#</v>
      </c>
      <c r="G19" s="66" t="str">
        <f>VLOOKUP(E19,'Unit of Measure ship March 2026'!A:C,3,false)</f>
        <v>LBS</v>
      </c>
      <c r="I19" s="64"/>
      <c r="J19" s="67"/>
      <c r="K19" s="66"/>
      <c r="M19" s="64"/>
      <c r="N19" s="67"/>
      <c r="O19" s="66"/>
      <c r="P19" s="68"/>
    </row>
    <row r="20" ht="14.25" customHeight="1">
      <c r="A20" s="64">
        <v>16267.0</v>
      </c>
      <c r="B20" s="65" t="str">
        <f>VLOOKUP(A20,'FML March 2026'!E:F,2,false)</f>
        <v>CINNAMON STICKS BADIA (USA)</v>
      </c>
      <c r="C20" s="66" t="str">
        <f>VLOOKUP(A20,'Unit of Measure ship March 2026'!A:C,3,false)</f>
        <v>LBS</v>
      </c>
      <c r="E20" s="64">
        <v>15460.0</v>
      </c>
      <c r="F20" s="67" t="str">
        <f>VLOOKUP(E20,'FML March 2026'!E:F,2,false)</f>
        <v>CELERY #1 CAL. 36CT 60#</v>
      </c>
      <c r="G20" s="66" t="str">
        <f>VLOOKUP(E20,'Unit of Measure ship March 2026'!A:C,3,false)</f>
        <v>LBS</v>
      </c>
      <c r="I20" s="64"/>
      <c r="J20" s="67"/>
      <c r="K20" s="66"/>
      <c r="M20" s="64"/>
      <c r="N20" s="67"/>
      <c r="O20" s="66"/>
      <c r="P20" s="68"/>
    </row>
    <row r="21" ht="14.25" customHeight="1">
      <c r="A21" s="64">
        <v>16288.0</v>
      </c>
      <c r="B21" s="65" t="str">
        <f>VLOOKUP(A21,'FML March 2026'!E:F,2,false)</f>
        <v>CORIANDER WHOLE BADIA (USA )</v>
      </c>
      <c r="C21" s="66" t="str">
        <f>VLOOKUP(A21,'Unit of Measure ship March 2026'!A:C,3,false)</f>
        <v>LBS</v>
      </c>
      <c r="E21" s="64">
        <v>109760.0</v>
      </c>
      <c r="F21" s="67" t="str">
        <f>VLOOKUP(E21,'FML March 2026'!E:F,2,false)</f>
        <v>CELERY MICRO HARPKE FAMILY FARM - PK/5 OZ PACKED IN 60 OZ CLAM SHELL</v>
      </c>
      <c r="G21" s="66" t="str">
        <f>VLOOKUP(E21,'Unit of Measure ship March 2026'!A:C,3,false)</f>
        <v>PK/5OZ</v>
      </c>
      <c r="I21" s="64"/>
      <c r="J21" s="67"/>
      <c r="K21" s="66"/>
      <c r="M21" s="64"/>
      <c r="N21" s="67"/>
      <c r="O21" s="66"/>
      <c r="P21" s="68"/>
    </row>
    <row r="22" ht="14.25" customHeight="1">
      <c r="A22" s="64">
        <v>109633.0</v>
      </c>
      <c r="B22" s="65" t="str">
        <f>VLOOKUP(A22,'FML March 2026'!E:F,2,false)</f>
        <v>CORN FLOUR 50  LB</v>
      </c>
      <c r="C22" s="66" t="str">
        <f>VLOOKUP(A22,'Unit of Measure ship March 2026'!A:C,3,false)</f>
        <v>KG</v>
      </c>
      <c r="E22" s="64">
        <v>109753.0</v>
      </c>
      <c r="F22" s="67" t="str">
        <f>VLOOKUP(E22,'FML March 2026'!E:F,2,false)</f>
        <v>CHILI FRESNO FRESH</v>
      </c>
      <c r="G22" s="66" t="str">
        <f>VLOOKUP(E22,'Unit of Measure ship March 2026'!A:C,3,false)</f>
        <v>LBS</v>
      </c>
      <c r="I22" s="64"/>
      <c r="J22" s="67"/>
      <c r="K22" s="66"/>
      <c r="M22" s="64"/>
      <c r="N22" s="67"/>
      <c r="O22" s="66"/>
      <c r="P22" s="68"/>
    </row>
    <row r="23" ht="14.25" customHeight="1">
      <c r="A23" s="64">
        <v>16184.0</v>
      </c>
      <c r="B23" s="65" t="str">
        <f>VLOOKUP(A23,'FML March 2026'!E:F,2,false)</f>
        <v>CORNSTARCH BULK</v>
      </c>
      <c r="C23" s="66" t="str">
        <f>VLOOKUP(A23,'Unit of Measure ship March 2026'!A:C,3,false)</f>
        <v>LBS</v>
      </c>
      <c r="E23" s="64">
        <v>15438.0</v>
      </c>
      <c r="F23" s="67" t="str">
        <f>VLOOKUP(E23,'FML March 2026'!E:F,2,false)</f>
        <v>CHIVES (12 BUNCH), 1 LB/CS</v>
      </c>
      <c r="G23" s="66" t="str">
        <f>VLOOKUP(E23,'Unit of Measure ship March 2026'!A:C,3,false)</f>
        <v>LBS</v>
      </c>
      <c r="I23" s="64"/>
      <c r="J23" s="67"/>
      <c r="K23" s="66"/>
      <c r="M23" s="64"/>
      <c r="N23" s="67"/>
      <c r="O23" s="66"/>
      <c r="P23" s="68"/>
    </row>
    <row r="24" ht="14.25" customHeight="1">
      <c r="A24" s="64">
        <v>11882.0</v>
      </c>
      <c r="B24" s="65" t="str">
        <f>VLOOKUP(A24,'FML March 2026'!E:F,2,false)</f>
        <v>CREME FRAICHE</v>
      </c>
      <c r="C24" s="66" t="str">
        <f>VLOOKUP(A24,'Unit of Measure ship March 2026'!A:C,3,false)</f>
        <v>QRT</v>
      </c>
      <c r="E24" s="64">
        <v>15431.0</v>
      </c>
      <c r="F24" s="67" t="str">
        <f>VLOOKUP(E24,'FML March 2026'!E:F,2,false)</f>
        <v>CILANTRO (12 BUNCH) 1 LB/CS DOMESTIC</v>
      </c>
      <c r="G24" s="66" t="str">
        <f>VLOOKUP(E24,'Unit of Measure ship March 2026'!A:C,3,false)</f>
        <v>LBS</v>
      </c>
      <c r="I24" s="64"/>
      <c r="J24" s="67"/>
      <c r="K24" s="66"/>
      <c r="M24" s="64"/>
      <c r="N24" s="67"/>
      <c r="O24" s="66"/>
      <c r="P24" s="68"/>
    </row>
    <row r="25" ht="14.25" customHeight="1">
      <c r="A25" s="64">
        <v>109630.0</v>
      </c>
      <c r="B25" s="65" t="str">
        <f>VLOOKUP(A25,'FML March 2026'!E:F,2,false)</f>
        <v>CURRANTS DRIED HIALEAH</v>
      </c>
      <c r="C25" s="66" t="str">
        <f>VLOOKUP(A25,'Unit of Measure ship March 2026'!A:C,3,false)</f>
        <v>KG</v>
      </c>
      <c r="E25" s="64">
        <v>111175.0</v>
      </c>
      <c r="F25" s="67" t="str">
        <f>VLOOKUP(E25,'FML March 2026'!E:F,2,false)</f>
        <v>CILANTRO MICRO FRESH HARPKE FAMILY FARM PK/5 OZ PACKED IN 60 OZ SIZE CLAM SHELL</v>
      </c>
      <c r="G25" s="66" t="str">
        <f>VLOOKUP(E25,'Unit of Measure ship March 2026'!A:C,3,false)</f>
        <v>EA</v>
      </c>
      <c r="I25" s="64"/>
      <c r="J25" s="67"/>
      <c r="K25" s="66"/>
      <c r="M25" s="64"/>
      <c r="N25" s="67"/>
      <c r="O25" s="66"/>
      <c r="P25" s="68"/>
    </row>
    <row r="26" ht="14.25" customHeight="1">
      <c r="A26" s="64">
        <v>15022.0</v>
      </c>
      <c r="B26" s="65" t="str">
        <f>VLOOKUP(A26,'FML March 2026'!E:F,2,false)</f>
        <v>EGGS-DATED, MEDIUM, REGULAR</v>
      </c>
      <c r="C26" s="66" t="str">
        <f>VLOOKUP(A26,'Unit of Measure ship March 2026'!A:C,3,false)</f>
        <v>PC</v>
      </c>
      <c r="E26" s="64">
        <v>109754.0</v>
      </c>
      <c r="F26" s="67" t="str">
        <f>VLOOKUP(E26,'FML March 2026'!E:F,2,false)</f>
        <v>CUCUMBER ENGLISH SEEDLESS, LARGE</v>
      </c>
      <c r="G26" s="66" t="str">
        <f>VLOOKUP(E26,'Unit of Measure ship March 2026'!A:C,3,false)</f>
        <v>LBS</v>
      </c>
      <c r="I26" s="64"/>
      <c r="J26" s="67"/>
      <c r="K26" s="66"/>
      <c r="M26" s="64"/>
      <c r="N26" s="67"/>
      <c r="O26" s="66"/>
      <c r="P26" s="68"/>
    </row>
    <row r="27" ht="14.25" customHeight="1">
      <c r="A27" s="64">
        <v>16259.0</v>
      </c>
      <c r="B27" s="65" t="str">
        <f>VLOOKUP(A27,'FML March 2026'!E:F,2,false)</f>
        <v>FENNEL SEED WHOLE BADIA (USA )</v>
      </c>
      <c r="C27" s="66" t="str">
        <f>VLOOKUP(A27,'Unit of Measure ship March 2026'!A:C,3,false)</f>
        <v>LBS</v>
      </c>
      <c r="E27" s="64">
        <v>15462.0</v>
      </c>
      <c r="F27" s="67" t="str">
        <f>VLOOKUP(E27,'FML March 2026'!E:F,2,false)</f>
        <v>CUCUMBERS SEEDLESS LARGE, PLASTIC WRAPPED 13#</v>
      </c>
      <c r="G27" s="66" t="str">
        <f>VLOOKUP(E27,'Unit of Measure ship March 2026'!A:C,3,false)</f>
        <v>LBS</v>
      </c>
      <c r="I27" s="64"/>
      <c r="J27" s="67"/>
      <c r="K27" s="66"/>
      <c r="M27" s="64"/>
      <c r="N27" s="67"/>
      <c r="O27" s="66"/>
      <c r="P27" s="68"/>
    </row>
    <row r="28" ht="14.25" customHeight="1">
      <c r="A28" s="64">
        <v>16535.0</v>
      </c>
      <c r="B28" s="65" t="str">
        <f>VLOOKUP(A28,'FML March 2026'!E:F,2,false)</f>
        <v>FISH SAUCE, BTL (REQUIRES INSPECTION)</v>
      </c>
      <c r="C28" s="66" t="str">
        <f>VLOOKUP(A28,'Unit of Measure ship March 2026'!A:C,3,false)</f>
        <v>BTL/24OZ</v>
      </c>
      <c r="E28" s="64">
        <v>15466.0</v>
      </c>
      <c r="F28" s="67" t="str">
        <f>VLOOKUP(E28,'FML March 2026'!E:F,2,false)</f>
        <v>GARLIC CRATE JUMBO 30# 8 CT</v>
      </c>
      <c r="G28" s="66" t="str">
        <f>VLOOKUP(E28,'Unit of Measure ship March 2026'!A:C,3,false)</f>
        <v>LBS</v>
      </c>
      <c r="I28" s="64"/>
      <c r="J28" s="67"/>
      <c r="K28" s="66"/>
      <c r="M28" s="64"/>
      <c r="N28" s="67"/>
      <c r="O28" s="66"/>
      <c r="P28" s="68"/>
    </row>
    <row r="29" ht="14.25" customHeight="1">
      <c r="A29" s="64">
        <v>111865.0</v>
      </c>
      <c r="B29" s="65" t="str">
        <f>VLOOKUP(A29,'FML March 2026'!E:F,2,false)</f>
        <v>FLOUR ALL PURPOSE SIR GALAHAD BAG50/LBS KING ARTHUR</v>
      </c>
      <c r="C29" s="66" t="str">
        <f>VLOOKUP(A29,'Unit of Measure ship March 2026'!A:C,3,false)</f>
        <v>LBS</v>
      </c>
      <c r="E29" s="64">
        <v>30639.0</v>
      </c>
      <c r="F29" s="67" t="str">
        <f>VLOOKUP(E29,'FML March 2026'!E:F,2,false)</f>
        <v>GARLIC PEELED</v>
      </c>
      <c r="G29" s="66" t="str">
        <f>VLOOKUP(E29,'Unit of Measure ship March 2026'!A:C,3,false)</f>
        <v>LBS</v>
      </c>
      <c r="I29" s="64"/>
      <c r="J29" s="67"/>
      <c r="K29" s="66"/>
      <c r="M29" s="64"/>
      <c r="N29" s="67"/>
      <c r="O29" s="66"/>
      <c r="P29" s="68"/>
    </row>
    <row r="30" ht="14.25" customHeight="1">
      <c r="A30" s="64">
        <v>15741.0</v>
      </c>
      <c r="B30" s="65" t="str">
        <f>VLOOKUP(A30,'FML March 2026'!E:F,2,false)</f>
        <v>FLOUR SEMOLINA BAG 50/LBS DURAKOTA/BAY STATE (USA)</v>
      </c>
      <c r="C30" s="66" t="str">
        <f>VLOOKUP(A30,'Unit of Measure ship March 2026'!A:C,3,false)</f>
        <v>LBS</v>
      </c>
      <c r="E30" s="64">
        <v>38392.0</v>
      </c>
      <c r="F30" s="67" t="str">
        <f>VLOOKUP(E30,'FML March 2026'!E:F,2,false)</f>
        <v>GINGER FRESH</v>
      </c>
      <c r="G30" s="66" t="str">
        <f>VLOOKUP(E30,'Unit of Measure ship March 2026'!A:C,3,false)</f>
        <v>LBS</v>
      </c>
      <c r="I30" s="64"/>
      <c r="J30" s="67"/>
      <c r="K30" s="66"/>
      <c r="M30" s="64"/>
      <c r="N30" s="67"/>
      <c r="O30" s="66"/>
      <c r="P30" s="68"/>
    </row>
    <row r="31" ht="14.25" customHeight="1">
      <c r="A31" s="64">
        <v>39714.0</v>
      </c>
      <c r="B31" s="65" t="str">
        <f>VLOOKUP(A31,'FML March 2026'!E:F,2,false)</f>
        <v>FLOUR TEMPURA FLOUR BULK</v>
      </c>
      <c r="C31" s="66" t="str">
        <f>VLOOKUP(A31,'Unit of Measure ship March 2026'!A:C,3,false)</f>
        <v>LBS</v>
      </c>
      <c r="E31" s="64">
        <v>110091.0</v>
      </c>
      <c r="F31" s="67" t="str">
        <f>VLOOKUP(E31,'FML March 2026'!E:F,2,false)</f>
        <v>GOCHUGARU KOREAN CHILI RED PEPPER FLAKES ASSI</v>
      </c>
      <c r="G31" s="66" t="str">
        <f>VLOOKUP(E31,'Unit of Measure ship March 2026'!A:C,3,false)</f>
        <v>CS8/5LB</v>
      </c>
      <c r="I31" s="64"/>
      <c r="J31" s="67"/>
      <c r="K31" s="66"/>
      <c r="M31" s="64"/>
      <c r="N31" s="67"/>
      <c r="O31" s="66"/>
      <c r="P31" s="68"/>
    </row>
    <row r="32" ht="14.25" customHeight="1">
      <c r="A32" s="64">
        <v>111794.0</v>
      </c>
      <c r="B32" s="65" t="str">
        <f>VLOOKUP(A32,'FML March 2026'!E:F,2,false)</f>
        <v>FRENCH FRIES SEASHORE STYLE SEASONED SKIN-ON CS 6/5 LB LAMB WESTON SS101</v>
      </c>
      <c r="C32" s="66" t="str">
        <f>VLOOKUP(A32,'Unit of Measure ship March 2026'!A:C,3,false)</f>
        <v>LBS</v>
      </c>
      <c r="E32" s="64">
        <v>15463.0</v>
      </c>
      <c r="F32" s="67" t="str">
        <f>VLOOKUP(E32,'FML March 2026'!E:F,2,false)</f>
        <v>JICAMA FRESH</v>
      </c>
      <c r="G32" s="66" t="str">
        <f>VLOOKUP(E32,'Unit of Measure ship March 2026'!A:C,3,false)</f>
        <v>LBS</v>
      </c>
      <c r="I32" s="64"/>
      <c r="J32" s="67"/>
      <c r="K32" s="66"/>
      <c r="M32" s="64"/>
      <c r="N32" s="70"/>
      <c r="O32" s="66"/>
      <c r="P32" s="68"/>
    </row>
    <row r="33" ht="14.25" customHeight="1">
      <c r="A33" s="64">
        <v>111698.0</v>
      </c>
      <c r="B33" s="65" t="str">
        <f>VLOOKUP(A33,'FML March 2026'!E:F,2,false)</f>
        <v>FRIED SHALLOTS LA RUSTICHELLA</v>
      </c>
      <c r="C33" s="66" t="str">
        <f>VLOOKUP(A33,'Unit of Measure ship March 2026'!A:C,3,false)</f>
        <v>LBS</v>
      </c>
      <c r="E33" s="64">
        <v>110907.0</v>
      </c>
      <c r="F33" s="67" t="str">
        <f>VLOOKUP(E33,'FML March 2026'!E:F,2,false)</f>
        <v>KALE GREEN  FRESH CS15/LBS</v>
      </c>
      <c r="G33" s="66" t="str">
        <f>VLOOKUP(E33,'Unit of Measure ship March 2026'!A:C,3,false)</f>
        <v>LBS</v>
      </c>
      <c r="I33" s="64"/>
      <c r="J33" s="67"/>
      <c r="K33" s="66"/>
      <c r="M33" s="64"/>
      <c r="N33" s="67"/>
      <c r="O33" s="66"/>
      <c r="P33" s="68"/>
    </row>
    <row r="34" ht="14.25" customHeight="1">
      <c r="A34" s="64">
        <v>111135.0</v>
      </c>
      <c r="B34" s="65" t="str">
        <f>VLOOKUP(A34,'FML March 2026'!E:F,2,false)</f>
        <v>GARLIC MINCED BADIA</v>
      </c>
      <c r="C34" s="66" t="str">
        <f>VLOOKUP(A34,'Unit of Measure ship March 2026'!A:C,3,false)</f>
        <v>LBS</v>
      </c>
      <c r="E34" s="64">
        <v>15397.0</v>
      </c>
      <c r="F34" s="67" t="str">
        <f>VLOOKUP(E34,'FML March 2026'!E:F,2,false)</f>
        <v>LEMONS FRESH FIRM FANCY CALIF. SUNKIST #1 200CT 40#</v>
      </c>
      <c r="G34" s="66" t="str">
        <f>VLOOKUP(E34,'Unit of Measure ship March 2026'!A:C,3,false)</f>
        <v>LBS</v>
      </c>
      <c r="I34" s="64"/>
      <c r="J34" s="67"/>
      <c r="K34" s="66"/>
      <c r="M34" s="64"/>
      <c r="N34" s="67"/>
      <c r="O34" s="66"/>
      <c r="P34" s="68"/>
    </row>
    <row r="35" ht="14.25" customHeight="1">
      <c r="A35" s="64">
        <v>16261.0</v>
      </c>
      <c r="B35" s="65" t="str">
        <f>VLOOKUP(A35,'FML March 2026'!E:F,2,false)</f>
        <v>GINGER GROUND D`ALLESANDRO/ SPICECO</v>
      </c>
      <c r="C35" s="66" t="str">
        <f>VLOOKUP(A35,'Unit of Measure ship March 2026'!A:C,3,false)</f>
        <v>LBS</v>
      </c>
      <c r="E35" s="64">
        <v>15608.0</v>
      </c>
      <c r="F35" s="67" t="str">
        <f>VLOOKUP(E35,'FML March 2026'!E:F,2,false)</f>
        <v>LETTUCE FRISEE 4#</v>
      </c>
      <c r="G35" s="66" t="str">
        <f>VLOOKUP(E35,'Unit of Measure ship March 2026'!A:C,3,false)</f>
        <v>LBS</v>
      </c>
      <c r="I35" s="64"/>
      <c r="J35" s="67"/>
      <c r="K35" s="66"/>
      <c r="M35" s="64"/>
      <c r="N35" s="67"/>
      <c r="O35" s="66"/>
      <c r="P35" s="68"/>
    </row>
    <row r="36" ht="14.25" customHeight="1">
      <c r="A36" s="64">
        <v>143571.0</v>
      </c>
      <c r="B36" s="65" t="str">
        <f>VLOOKUP(A36,'FML March 2026'!E:F,2,false)</f>
        <v>GINGER, CRYSTALLIZED (USA)</v>
      </c>
      <c r="C36" s="66" t="str">
        <f>VLOOKUP(A36,'Unit of Measure ship March 2026'!A:C,3,false)</f>
        <v>LBS</v>
      </c>
      <c r="E36" s="64">
        <v>108947.0</v>
      </c>
      <c r="F36" s="67" t="str">
        <f>VLOOKUP(E36,'FML March 2026'!E:F,2,false)</f>
        <v>LIMES, FRESH, CAVIAR (FINGER LIMES)</v>
      </c>
      <c r="G36" s="66" t="str">
        <f>VLOOKUP(E36,'Unit of Measure ship March 2026'!A:C,3,false)</f>
        <v>LBS</v>
      </c>
      <c r="I36" s="64"/>
      <c r="J36" s="67"/>
      <c r="K36" s="66"/>
      <c r="M36" s="64"/>
      <c r="N36" s="67"/>
      <c r="O36" s="66"/>
      <c r="P36" s="68"/>
    </row>
    <row r="37" ht="14.25" customHeight="1">
      <c r="A37" s="64">
        <v>12666.0</v>
      </c>
      <c r="B37" s="65" t="str">
        <f>VLOOKUP(A37,'FML March 2026'!E:F,2,false)</f>
        <v>GLUTEN FREE WHITE RICE FLOUR</v>
      </c>
      <c r="C37" s="66" t="str">
        <f>VLOOKUP(A37,'Unit of Measure ship March 2026'!A:C,3,false)</f>
        <v>LBS</v>
      </c>
      <c r="E37" s="64">
        <v>15399.0</v>
      </c>
      <c r="F37" s="67" t="str">
        <f>VLOOKUP(E37,'FML March 2026'!E:F,2,false)</f>
        <v>LIMES, FRESH, FIRM #1 200CT 40#</v>
      </c>
      <c r="G37" s="66" t="str">
        <f>VLOOKUP(E37,'Unit of Measure ship March 2026'!A:C,3,false)</f>
        <v>LBS</v>
      </c>
      <c r="I37" s="64"/>
      <c r="J37" s="67"/>
      <c r="K37" s="66"/>
      <c r="M37" s="64"/>
      <c r="N37" s="67"/>
      <c r="O37" s="66"/>
      <c r="P37" s="68"/>
    </row>
    <row r="38" ht="14.25" customHeight="1">
      <c r="A38" s="64">
        <v>110091.0</v>
      </c>
      <c r="B38" s="65" t="str">
        <f>VLOOKUP(A38,'FML March 2026'!E:F,2,false)</f>
        <v>GOCHUGARU KOREAN CHILI RED PEPPER FLAKES ASSI</v>
      </c>
      <c r="C38" s="66" t="str">
        <f>VLOOKUP(A38,'Unit of Measure ship March 2026'!A:C,3,false)</f>
        <v>CS8/5LB</v>
      </c>
      <c r="E38" s="64">
        <v>19401.0</v>
      </c>
      <c r="F38" s="67" t="str">
        <f>VLOOKUP(E38,'FML March 2026'!E:F,2,false)</f>
        <v>LOTUS ROOT FRESH</v>
      </c>
      <c r="G38" s="66" t="str">
        <f>VLOOKUP(E38,'Unit of Measure ship March 2026'!A:C,3,false)</f>
        <v>LBS</v>
      </c>
      <c r="I38" s="64"/>
      <c r="J38" s="67"/>
      <c r="K38" s="66"/>
      <c r="M38" s="64"/>
      <c r="N38" s="67"/>
      <c r="O38" s="66"/>
      <c r="P38" s="68"/>
    </row>
    <row r="39" ht="14.25" customHeight="1">
      <c r="A39" s="71">
        <v>110091.0</v>
      </c>
      <c r="B39" s="65" t="str">
        <f>VLOOKUP(A39,'FML March 2026'!E:F,2,false)</f>
        <v>GOCHUGARU KOREAN CHILI RED PEPPER FLAKES ASSI</v>
      </c>
      <c r="C39" s="66" t="str">
        <f>VLOOKUP(A39,'Unit of Measure ship March 2026'!A:C,3,false)</f>
        <v>CS8/5LB</v>
      </c>
      <c r="E39" s="64">
        <v>110068.0</v>
      </c>
      <c r="F39" s="67" t="str">
        <f>VLOOKUP(E39,'FML March 2026'!E:F,2,false)</f>
        <v>MAITAKE MUSHROOM FRESH</v>
      </c>
      <c r="G39" s="66" t="str">
        <f>VLOOKUP(E39,'Unit of Measure ship March 2026'!A:C,3,false)</f>
        <v>LBS</v>
      </c>
      <c r="I39" s="64"/>
      <c r="J39" s="67"/>
      <c r="K39" s="66"/>
      <c r="M39" s="64"/>
      <c r="N39" s="67"/>
      <c r="O39" s="66"/>
      <c r="P39" s="68"/>
    </row>
    <row r="40" ht="14.25" customHeight="1">
      <c r="A40" s="64">
        <v>15058.0</v>
      </c>
      <c r="B40" s="65" t="str">
        <f>VLOOKUP(A40,'FML March 2026'!E:F,2,false)</f>
        <v>GRUYERE IGP SAVOIE CHABERT 40KG / DEXPA # 8681</v>
      </c>
      <c r="C40" s="66" t="str">
        <f>VLOOKUP(A40,'Unit of Measure ship March 2026'!A:C,3,false)</f>
        <v>LBS</v>
      </c>
      <c r="E40" s="64">
        <v>111046.0</v>
      </c>
      <c r="F40" s="67" t="str">
        <f>VLOOKUP(E40,'FML March 2026'!E:F,2,false)</f>
        <v>MUSHROOM HON SHIMEJII BROIWNFRESH CS3/LB</v>
      </c>
      <c r="G40" s="66" t="str">
        <f>VLOOKUP(E40,'Unit of Measure ship March 2026'!A:C,3,false)</f>
        <v>LBS</v>
      </c>
      <c r="I40" s="64"/>
      <c r="J40" s="67"/>
      <c r="K40" s="66"/>
      <c r="M40" s="64"/>
      <c r="N40" s="67"/>
      <c r="O40" s="66"/>
      <c r="P40" s="68"/>
    </row>
    <row r="41" ht="14.25" customHeight="1">
      <c r="A41" s="64">
        <v>102496.0</v>
      </c>
      <c r="B41" s="65" t="str">
        <f>VLOOKUP(A41,'FML March 2026'!E:F,2,false)</f>
        <v>GUAR GUM CS 8/8 OZ BOBS RED MILL</v>
      </c>
      <c r="C41" s="66" t="str">
        <f>VLOOKUP(A41,'Unit of Measure ship March 2026'!A:C,3,false)</f>
        <v>LBS</v>
      </c>
      <c r="E41" s="64">
        <v>110069.0</v>
      </c>
      <c r="F41" s="67" t="str">
        <f>VLOOKUP(E41,'FML March 2026'!E:F,2,false)</f>
        <v>MUSHROOM KING TRUMPET</v>
      </c>
      <c r="G41" s="66" t="str">
        <f>VLOOKUP(E41,'Unit of Measure ship March 2026'!A:C,3,false)</f>
        <v>LBS</v>
      </c>
      <c r="I41" s="64"/>
      <c r="J41" s="67"/>
      <c r="K41" s="66"/>
      <c r="M41" s="64"/>
      <c r="N41" s="67"/>
      <c r="O41" s="66"/>
      <c r="P41" s="68"/>
    </row>
    <row r="42" ht="14.25" customHeight="1">
      <c r="A42" s="64">
        <v>14907.0</v>
      </c>
      <c r="B42" s="65" t="str">
        <f>VLOOKUP(A42,'FML March 2026'!E:F,2,false)</f>
        <v>HEAVY CREAM UHT LONG LIFE 38%-40% 12/1LT</v>
      </c>
      <c r="C42" s="66" t="str">
        <f>VLOOKUP(A42,'Unit of Measure ship March 2026'!A:C,3,false)</f>
        <v>LT</v>
      </c>
      <c r="E42" s="64">
        <v>11741.0</v>
      </c>
      <c r="F42" s="67" t="str">
        <f>VLOOKUP(E42,'FML March 2026'!E:F,2,false)</f>
        <v>MUSHROOMS CHANTERELLES FRESH</v>
      </c>
      <c r="G42" s="66" t="str">
        <f>VLOOKUP(E42,'Unit of Measure ship March 2026'!A:C,3,false)</f>
        <v>LBS</v>
      </c>
      <c r="I42" s="64"/>
      <c r="J42" s="67"/>
      <c r="K42" s="66"/>
      <c r="M42" s="64"/>
      <c r="N42" s="67"/>
      <c r="O42" s="66"/>
      <c r="P42" s="68"/>
    </row>
    <row r="43" ht="14.25" customHeight="1">
      <c r="A43" s="64">
        <v>105726.0</v>
      </c>
      <c r="B43" s="65" t="str">
        <f>VLOOKUP(A43,'FML March 2026'!E:F,2,false)</f>
        <v>HOISIN SAUCE</v>
      </c>
      <c r="C43" s="66" t="str">
        <f>VLOOKUP(A43,'Unit of Measure ship March 2026'!A:C,3,false)</f>
        <v>CAN/5LBS</v>
      </c>
      <c r="E43" s="64">
        <v>15585.0</v>
      </c>
      <c r="F43" s="67" t="str">
        <f>VLOOKUP(E43,'FML March 2026'!E:F,2,false)</f>
        <v>MUSHROOMS OYSTER 1/5#</v>
      </c>
      <c r="G43" s="66" t="str">
        <f>VLOOKUP(E43,'Unit of Measure ship March 2026'!A:C,3,false)</f>
        <v>LBS</v>
      </c>
      <c r="I43" s="64"/>
      <c r="J43" s="67"/>
      <c r="K43" s="66"/>
      <c r="M43" s="64"/>
      <c r="N43" s="67"/>
      <c r="O43" s="66"/>
      <c r="P43" s="68"/>
    </row>
    <row r="44" ht="14.25" customHeight="1">
      <c r="A44" s="64">
        <v>15658.0</v>
      </c>
      <c r="B44" s="65" t="str">
        <f>VLOOKUP(A44,'FML March 2026'!E:F,2,false)</f>
        <v>HONEY 6/5 LB GROEB/MELONIA/SWEET HARVEST</v>
      </c>
      <c r="C44" s="66" t="str">
        <f>VLOOKUP(A44,'Unit of Measure ship March 2026'!A:C,3,false)</f>
        <v>KG</v>
      </c>
      <c r="E44" s="64">
        <v>15556.0</v>
      </c>
      <c r="F44" s="67" t="str">
        <f>VLOOKUP(E44,'FML March 2026'!E:F,2,false)</f>
        <v>MUSHROOMS SHIITAKE  FRESH NO 1</v>
      </c>
      <c r="G44" s="66" t="str">
        <f>VLOOKUP(E44,'Unit of Measure ship March 2026'!A:C,3,false)</f>
        <v>LBS</v>
      </c>
      <c r="I44" s="64"/>
      <c r="J44" s="67"/>
      <c r="K44" s="66"/>
      <c r="M44" s="64"/>
      <c r="N44" s="67"/>
      <c r="O44" s="66"/>
      <c r="P44" s="68"/>
    </row>
    <row r="45" ht="14.25" customHeight="1">
      <c r="A45" s="64">
        <v>15813.0</v>
      </c>
      <c r="B45" s="65" t="str">
        <f>VLOOKUP(A45,'FML March 2026'!E:F,2,false)</f>
        <v>JAM APRICOT PURE, BULK</v>
      </c>
      <c r="C45" s="66" t="str">
        <f>VLOOKUP(A45,'Unit of Measure ship March 2026'!A:C,3,false)</f>
        <v>CN/6.5LB</v>
      </c>
      <c r="E45" s="64">
        <v>31638.0</v>
      </c>
      <c r="F45" s="67" t="str">
        <f>VLOOKUP(E45,'FML March 2026'!E:F,2,false)</f>
        <v>MUSHROOMS, FRESH WHITE, 8 OZ CELLO PACK</v>
      </c>
      <c r="G45" s="66" t="str">
        <f>VLOOKUP(E45,'Unit of Measure ship March 2026'!A:C,3,false)</f>
        <v>LBS</v>
      </c>
      <c r="I45" s="64"/>
      <c r="J45" s="67"/>
      <c r="K45" s="66"/>
      <c r="M45" s="64"/>
      <c r="N45" s="67"/>
      <c r="O45" s="66"/>
      <c r="P45" s="68"/>
    </row>
    <row r="46" ht="14.25" customHeight="1">
      <c r="A46" s="64">
        <v>16349.0</v>
      </c>
      <c r="B46" s="65" t="str">
        <f>VLOOKUP(A46,'FML March 2026'!E:F,2,false)</f>
        <v>KETCHUP, HEINZ, 51290, DRY, 6/#10</v>
      </c>
      <c r="C46" s="66" t="str">
        <f>VLOOKUP(A46,'Unit of Measure ship March 2026'!A:C,3,false)</f>
        <v>CN/6.5LB</v>
      </c>
      <c r="E46" s="64">
        <v>46179.0</v>
      </c>
      <c r="F46" s="67" t="str">
        <f>VLOOKUP(E46,'FML March 2026'!E:F,2,false)</f>
        <v>ONION WHITE BIG FRESH</v>
      </c>
      <c r="G46" s="66" t="str">
        <f>VLOOKUP(E46,'Unit of Measure ship March 2026'!A:C,3,false)</f>
        <v>LBS</v>
      </c>
      <c r="I46" s="64"/>
      <c r="J46" s="67"/>
      <c r="K46" s="66"/>
      <c r="M46" s="64"/>
      <c r="N46" s="67"/>
      <c r="O46" s="66"/>
      <c r="P46" s="68"/>
    </row>
    <row r="47" ht="14.25" customHeight="1">
      <c r="A47" s="64">
        <v>16949.0</v>
      </c>
      <c r="B47" s="65" t="str">
        <f>VLOOKUP(A47,'FML March 2026'!E:F,2,false)</f>
        <v>KOMBU SQUARE DASHI KST</v>
      </c>
      <c r="C47" s="66" t="str">
        <f>VLOOKUP(A47,'Unit of Measure ship March 2026'!A:C,3,false)</f>
        <v>PK/5LBS</v>
      </c>
      <c r="E47" s="64">
        <v>15496.0</v>
      </c>
      <c r="F47" s="67" t="str">
        <f>VLOOKUP(E47,'FML March 2026'!E:F,2,false)</f>
        <v>ONIONS RED, MEDIUM 25#</v>
      </c>
      <c r="G47" s="66" t="str">
        <f>VLOOKUP(E47,'Unit of Measure ship March 2026'!A:C,3,false)</f>
        <v>LBS</v>
      </c>
      <c r="I47" s="64"/>
      <c r="J47" s="67"/>
      <c r="K47" s="66"/>
      <c r="M47" s="64"/>
      <c r="N47" s="67"/>
      <c r="O47" s="66"/>
      <c r="P47" s="68"/>
    </row>
    <row r="48" ht="14.25" customHeight="1">
      <c r="A48" s="64">
        <v>16316.0</v>
      </c>
      <c r="B48" s="65" t="str">
        <f>VLOOKUP(A48,'FML March 2026'!E:F,2,false)</f>
        <v>LIQUID SMOKE WRIGHTS</v>
      </c>
      <c r="C48" s="66" t="str">
        <f>VLOOKUP(A48,'Unit of Measure ship March 2026'!A:C,3,false)</f>
        <v>GAL</v>
      </c>
      <c r="E48" s="64">
        <v>15497.0</v>
      </c>
      <c r="F48" s="67" t="str">
        <f>VLOOKUP(E48,'FML March 2026'!E:F,2,false)</f>
        <v>ONIONS, YELLOW, MEDIUM, SPANISH #1, 50#</v>
      </c>
      <c r="G48" s="66" t="str">
        <f>VLOOKUP(E48,'Unit of Measure ship March 2026'!A:C,3,false)</f>
        <v>LBS</v>
      </c>
      <c r="I48" s="64"/>
      <c r="J48" s="67"/>
      <c r="K48" s="66"/>
      <c r="M48" s="64"/>
      <c r="N48" s="67"/>
      <c r="O48" s="66"/>
      <c r="P48" s="68"/>
    </row>
    <row r="49" ht="14.25" customHeight="1">
      <c r="A49" s="64">
        <v>15661.0</v>
      </c>
      <c r="B49" s="65" t="str">
        <f>VLOOKUP(A49,'FML March 2026'!E:F,2,false)</f>
        <v>MAG 140 OZ SWTND CONDENSED MILK</v>
      </c>
      <c r="C49" s="66" t="str">
        <f>VLOOKUP(A49,'Unit of Measure ship March 2026'!A:C,3,false)</f>
        <v>C3/140OZ</v>
      </c>
      <c r="E49" s="64">
        <v>15500.0</v>
      </c>
      <c r="F49" s="67" t="str">
        <f>VLOOKUP(E49,'FML March 2026'!E:F,2,false)</f>
        <v>PARSLEY ITALIAN,  20#/CS</v>
      </c>
      <c r="G49" s="66" t="str">
        <f>VLOOKUP(E49,'Unit of Measure ship March 2026'!A:C,3,false)</f>
        <v>LBS</v>
      </c>
      <c r="I49" s="64"/>
      <c r="J49" s="67"/>
      <c r="K49" s="66"/>
      <c r="M49" s="64"/>
      <c r="N49" s="67"/>
      <c r="O49" s="66"/>
      <c r="P49" s="68"/>
    </row>
    <row r="50" ht="14.25" customHeight="1">
      <c r="A50" s="64">
        <v>109667.0</v>
      </c>
      <c r="B50" s="65" t="str">
        <f>VLOOKUP(A50,'FML March 2026'!E:F,2,false)</f>
        <v>MAYONNAISE, UNILEVER - HELLMANN'S, 4800126530, DRY, 4/1 GAL</v>
      </c>
      <c r="C50" s="66" t="str">
        <f>VLOOKUP(A50,'Unit of Measure ship March 2026'!A:C,3,false)</f>
        <v>GAL</v>
      </c>
      <c r="E50" s="64">
        <v>23714.0</v>
      </c>
      <c r="F50" s="67" t="str">
        <f>VLOOKUP(E50,'FML March 2026'!E:F,2,false)</f>
        <v>PARSNIP 20#/CS</v>
      </c>
      <c r="G50" s="66" t="str">
        <f>VLOOKUP(E50,'Unit of Measure ship March 2026'!A:C,3,false)</f>
        <v>LBS</v>
      </c>
      <c r="I50" s="64"/>
      <c r="J50" s="67"/>
      <c r="K50" s="66"/>
      <c r="M50" s="64"/>
      <c r="N50" s="67"/>
      <c r="O50" s="66"/>
      <c r="P50" s="68"/>
    </row>
    <row r="51" ht="14.25" customHeight="1">
      <c r="A51" s="64">
        <v>14869.0</v>
      </c>
      <c r="B51" s="65" t="str">
        <f>VLOOKUP(A51,'FML March 2026'!E:F,2,false)</f>
        <v>MILK, UHT, WHOLE, 3.5% FAT, DRY, 12/1 LT</v>
      </c>
      <c r="C51" s="66" t="str">
        <f>VLOOKUP(A51,'Unit of Measure ship March 2026'!A:C,3,false)</f>
        <v>LT</v>
      </c>
      <c r="E51" s="14">
        <v>108553.0</v>
      </c>
      <c r="F51" s="67" t="str">
        <f>VLOOKUP(E51,'FML March 2026'!E:F,2,false)</f>
        <v>PEPPER ARBOL  D'ALLESANDRO CS/5LB</v>
      </c>
      <c r="G51" s="66" t="str">
        <f>VLOOKUP(E51,'Unit of Measure ship March 2026'!A:C,3,false)</f>
        <v>KG</v>
      </c>
      <c r="I51" s="64"/>
      <c r="J51" s="67"/>
      <c r="K51" s="66"/>
      <c r="M51" s="64"/>
      <c r="N51" s="67"/>
      <c r="O51" s="66"/>
      <c r="P51" s="68"/>
    </row>
    <row r="52" ht="14.25" customHeight="1">
      <c r="A52" s="64">
        <v>15711.0</v>
      </c>
      <c r="B52" s="65" t="str">
        <f>VLOOKUP(A52,'FML March 2026'!E:F,2,false)</f>
        <v>MOLASSES 4/1 GALLON GRANDMAS/ TORINO (USA )</v>
      </c>
      <c r="C52" s="66" t="str">
        <f>VLOOKUP(A52,'Unit of Measure ship March 2026'!A:C,3,false)</f>
        <v>GAL</v>
      </c>
      <c r="E52" s="64">
        <v>15504.0</v>
      </c>
      <c r="F52" s="67" t="str">
        <f>VLOOKUP(E52,'FML March 2026'!E:F,2,false)</f>
        <v>PEPPERS HOT, JALAPENOS 10#</v>
      </c>
      <c r="G52" s="66" t="str">
        <f>VLOOKUP(E52,'Unit of Measure ship March 2026'!A:C,3,false)</f>
        <v>LBS</v>
      </c>
      <c r="I52" s="64"/>
      <c r="J52" s="67"/>
      <c r="K52" s="66"/>
      <c r="M52" s="64"/>
      <c r="N52" s="67"/>
      <c r="O52" s="66"/>
      <c r="P52" s="68"/>
    </row>
    <row r="53" ht="14.25" customHeight="1">
      <c r="A53" s="64">
        <v>112200.0</v>
      </c>
      <c r="B53" s="65" t="str">
        <f>VLOOKUP(A53,'FML March 2026'!E:F,2,false)</f>
        <v>MUSHROOM KIKURAGE /WOODEAR DRIED</v>
      </c>
      <c r="C53" s="66" t="str">
        <f>VLOOKUP(A53,'Unit of Measure ship March 2026'!A:C,3,false)</f>
        <v>LBS</v>
      </c>
      <c r="E53" s="64">
        <v>15502.0</v>
      </c>
      <c r="F53" s="67" t="str">
        <f>VLOOKUP(E53,'FML March 2026'!E:F,2,false)</f>
        <v>PEPPERS RED, MEDIUM, 88-100 MM</v>
      </c>
      <c r="G53" s="66" t="str">
        <f>VLOOKUP(E53,'Unit of Measure ship March 2026'!A:C,3,false)</f>
        <v>LBS</v>
      </c>
      <c r="I53" s="64"/>
      <c r="J53" s="67"/>
      <c r="K53" s="66"/>
      <c r="M53" s="64"/>
      <c r="N53" s="67"/>
      <c r="O53" s="66"/>
      <c r="P53" s="68"/>
    </row>
    <row r="54" ht="14.25" customHeight="1">
      <c r="A54" s="64">
        <v>16426.0</v>
      </c>
      <c r="B54" s="65" t="str">
        <f>VLOOKUP(A54,'FML March 2026'!E:F,2,false)</f>
        <v>MUSTARD  TUB GREY POUPON - DIJON MUSTARD PLAIN (FRANCE)</v>
      </c>
      <c r="C54" s="66" t="str">
        <f>VLOOKUP(A54,'Unit of Measure ship March 2026'!A:C,3,false)</f>
        <v>JAR/48OZ</v>
      </c>
      <c r="E54" s="64">
        <v>108577.0</v>
      </c>
      <c r="F54" s="67" t="str">
        <f>VLOOKUP(E54,'FML March 2026'!E:F,2,false)</f>
        <v>PINEAPPLES, CROWNLESS, GOLD, FRESH</v>
      </c>
      <c r="G54" s="66" t="str">
        <f>VLOOKUP(E54,'Unit of Measure ship March 2026'!A:C,3,false)</f>
        <v>LBS</v>
      </c>
      <c r="I54" s="64"/>
      <c r="J54" s="67"/>
      <c r="K54" s="66"/>
      <c r="M54" s="64"/>
      <c r="N54" s="67"/>
      <c r="O54" s="66"/>
      <c r="P54" s="68"/>
    </row>
    <row r="55" ht="14.25" customHeight="1">
      <c r="A55" s="64">
        <v>16258.0</v>
      </c>
      <c r="B55" s="65" t="str">
        <f>VLOOKUP(A55,'FML March 2026'!E:F,2,false)</f>
        <v>MUSTARD POWDER ENGLISH 12/16 OZ COLEMAN</v>
      </c>
      <c r="C55" s="66" t="str">
        <f>VLOOKUP(A55,'Unit of Measure ship March 2026'!A:C,3,false)</f>
        <v>LBS</v>
      </c>
      <c r="E55" s="64">
        <v>110075.0</v>
      </c>
      <c r="F55" s="67" t="str">
        <f>VLOOKUP(E55,'FML March 2026'!E:F,2,false)</f>
        <v>POTATO PEE WEE MULTI COLORED MARBLE</v>
      </c>
      <c r="G55" s="66" t="str">
        <f>VLOOKUP(E55,'Unit of Measure ship March 2026'!A:C,3,false)</f>
        <v>LBS</v>
      </c>
      <c r="I55" s="64"/>
      <c r="J55" s="67"/>
      <c r="K55" s="66"/>
      <c r="M55" s="64"/>
      <c r="N55" s="67"/>
      <c r="O55" s="66"/>
      <c r="P55" s="68"/>
    </row>
    <row r="56" ht="14.25" customHeight="1">
      <c r="A56" s="64">
        <v>16320.0</v>
      </c>
      <c r="B56" s="65" t="str">
        <f>VLOOKUP(A56,'FML March 2026'!E:F,2,false)</f>
        <v>MUSTARD SEED 24 OZ D`ALLESANDRO/ SPICECO</v>
      </c>
      <c r="C56" s="66" t="str">
        <f>VLOOKUP(A56,'Unit of Measure ship March 2026'!A:C,3,false)</f>
        <v>LBS</v>
      </c>
      <c r="E56" s="64">
        <v>15516.0</v>
      </c>
      <c r="F56" s="67" t="str">
        <f>VLOOKUP(E56,'FML March 2026'!E:F,2,false)</f>
        <v>POTATOES, SWEET, JUMBO, 40# BAG</v>
      </c>
      <c r="G56" s="66" t="str">
        <f>VLOOKUP(E56,'Unit of Measure ship March 2026'!A:C,3,false)</f>
        <v>LBS</v>
      </c>
      <c r="I56" s="64"/>
      <c r="J56" s="67"/>
      <c r="K56" s="66"/>
      <c r="M56" s="64"/>
      <c r="N56" s="67"/>
      <c r="O56" s="66"/>
      <c r="P56" s="68"/>
    </row>
    <row r="57" ht="14.25" customHeight="1">
      <c r="A57" s="64">
        <v>16534.0</v>
      </c>
      <c r="B57" s="65" t="str">
        <f>VLOOKUP(A57,'FML March 2026'!E:F,2,false)</f>
        <v>MUSTARD, GRAINED, JAR</v>
      </c>
      <c r="C57" s="66" t="str">
        <f>VLOOKUP(A57,'Unit of Measure ship March 2026'!A:C,3,false)</f>
        <v>JAR7/OZ</v>
      </c>
      <c r="E57" s="64">
        <v>111808.0</v>
      </c>
      <c r="F57" s="67" t="str">
        <f>VLOOKUP(E57,'FML March 2026'!E:F,2,false)</f>
        <v>RADISH SPROUT MICRO PURPLE FRESH HARPKE FARMS - PK/6 OZ PACKED IN 60 OZ CLAM SHELL SIZE</v>
      </c>
      <c r="G57" s="66" t="str">
        <f>VLOOKUP(E57,'Unit of Measure ship March 2026'!A:C,3,false)</f>
        <v>EA</v>
      </c>
      <c r="I57" s="64"/>
      <c r="J57" s="67"/>
      <c r="K57" s="66"/>
      <c r="M57" s="64"/>
      <c r="N57" s="67"/>
      <c r="O57" s="66"/>
      <c r="P57" s="68"/>
    </row>
    <row r="58" ht="14.25" customHeight="1">
      <c r="A58" s="64">
        <v>149875.0</v>
      </c>
      <c r="B58" s="65" t="str">
        <f>VLOOKUP(A58,'FML March 2026'!E:F,2,false)</f>
        <v>NOODLE GLASS MUNG BEAN PINE BRAND CS100/8.8OZ</v>
      </c>
      <c r="C58" s="66" t="str">
        <f>VLOOKUP(A58,'Unit of Measure ship March 2026'!A:C,3,false)</f>
        <v>100/8.8O</v>
      </c>
      <c r="E58" s="64">
        <v>110065.0</v>
      </c>
      <c r="F58" s="67" t="str">
        <f>VLOOKUP(E58,'FML March 2026'!E:F,2,false)</f>
        <v>RADISH WATERMELON</v>
      </c>
      <c r="G58" s="66" t="str">
        <f>VLOOKUP(E58,'Unit of Measure ship March 2026'!A:C,3,false)</f>
        <v>LBS</v>
      </c>
      <c r="I58" s="64"/>
      <c r="J58" s="67"/>
      <c r="K58" s="66"/>
      <c r="M58" s="64"/>
      <c r="N58" s="67"/>
      <c r="O58" s="66"/>
      <c r="P58" s="68"/>
    </row>
    <row r="59" ht="14.25" customHeight="1">
      <c r="A59" s="64">
        <v>37627.0</v>
      </c>
      <c r="B59" s="65" t="str">
        <f>VLOOKUP(A59,'FML March 2026'!E:F,2,false)</f>
        <v>NOODLE, VERMICELLI, GLASS NOODLES, PACKER</v>
      </c>
      <c r="C59" s="66" t="str">
        <f>VLOOKUP(A59,'Unit of Measure ship March 2026'!A:C,3,false)</f>
        <v>PK/8.8OZ</v>
      </c>
      <c r="E59" s="64">
        <v>15334.0</v>
      </c>
      <c r="F59" s="67" t="str">
        <f>VLOOKUP(E59,'FML March 2026'!E:F,2,false)</f>
        <v>RASPBERRIES FRESH 12 1/2 PT PINK 4.5#</v>
      </c>
      <c r="G59" s="66" t="str">
        <f>VLOOKUP(E59,'Unit of Measure ship March 2026'!A:C,3,false)</f>
        <v>LBS</v>
      </c>
      <c r="I59" s="64"/>
      <c r="J59" s="67"/>
      <c r="K59" s="66"/>
      <c r="M59" s="64"/>
      <c r="N59" s="67"/>
      <c r="O59" s="66"/>
      <c r="P59" s="68"/>
    </row>
    <row r="60" ht="14.25" customHeight="1">
      <c r="A60" s="64">
        <v>16539.0</v>
      </c>
      <c r="B60" s="65" t="str">
        <f>VLOOKUP(A60,'FML March 2026'!E:F,2,false)</f>
        <v>NOODLES ORIENTAL RICE STICK NOODLE MED FLAT 30/16 OZ ERAWAN (CHINA)</v>
      </c>
      <c r="C60" s="66" t="str">
        <f>VLOOKUP(A60,'Unit of Measure ship March 2026'!A:C,3,false)</f>
        <v>PK/16OZ</v>
      </c>
      <c r="E60" s="64">
        <v>15427.0</v>
      </c>
      <c r="F60" s="67" t="str">
        <f>VLOOKUP(E60,'FML March 2026'!E:F,2,false)</f>
        <v>ROSEMARY (12 BUNCH) 1 LB/CS</v>
      </c>
      <c r="G60" s="66" t="str">
        <f>VLOOKUP(E60,'Unit of Measure ship March 2026'!A:C,3,false)</f>
        <v>LBS</v>
      </c>
      <c r="I60" s="64"/>
      <c r="J60" s="67"/>
      <c r="K60" s="66"/>
      <c r="M60" s="64"/>
      <c r="N60" s="67"/>
      <c r="O60" s="66"/>
      <c r="P60" s="68"/>
    </row>
    <row r="61" ht="14.25" customHeight="1">
      <c r="A61" s="64">
        <v>112187.0</v>
      </c>
      <c r="B61" s="65" t="str">
        <f>VLOOKUP(A61,'FML March 2026'!E:F,2,false)</f>
        <v>NOODLES RAMEN FROZEN SUN NOODLE BRAND ONLY VV 5OZ</v>
      </c>
      <c r="C61" s="66" t="str">
        <f>VLOOKUP(A61,'Unit of Measure ship March 2026'!A:C,3,false)</f>
        <v>PKG5/OZ</v>
      </c>
      <c r="E61" s="64">
        <v>15444.0</v>
      </c>
      <c r="F61" s="67" t="str">
        <f>VLOOKUP(E61,'FML March 2026'!E:F,2,false)</f>
        <v>SAGE FRESH</v>
      </c>
      <c r="G61" s="66" t="str">
        <f>VLOOKUP(E61,'Unit of Measure ship March 2026'!A:C,3,false)</f>
        <v>LBS</v>
      </c>
      <c r="I61" s="64"/>
      <c r="J61" s="67"/>
      <c r="K61" s="66"/>
      <c r="M61" s="64"/>
      <c r="N61" s="67"/>
      <c r="O61" s="66"/>
      <c r="P61" s="68"/>
    </row>
    <row r="62" ht="14.25" customHeight="1">
      <c r="A62" s="64">
        <v>16869.0</v>
      </c>
      <c r="B62" s="65" t="str">
        <f>VLOOKUP(A62,'FML March 2026'!E:F,2,false)</f>
        <v>NUTS PEANUTS DRY ROASTED UNSALTED PLANTERS, 6/52 OZ</v>
      </c>
      <c r="C62" s="66" t="str">
        <f>VLOOKUP(A62,'Unit of Measure ship March 2026'!A:C,3,false)</f>
        <v>PC/52OZ</v>
      </c>
      <c r="E62" s="64">
        <v>24185.0</v>
      </c>
      <c r="F62" s="67" t="str">
        <f>VLOOKUP(E62,'FML March 2026'!E:F,2,false)</f>
        <v>SCALLIONS FRESH - ICELESS</v>
      </c>
      <c r="G62" s="66" t="str">
        <f>VLOOKUP(E62,'Unit of Measure ship March 2026'!A:C,3,false)</f>
        <v>LBS</v>
      </c>
      <c r="I62" s="64"/>
      <c r="J62" s="67"/>
      <c r="K62" s="66"/>
      <c r="M62" s="64"/>
      <c r="N62" s="67"/>
      <c r="O62" s="66"/>
      <c r="P62" s="68"/>
    </row>
    <row r="63" ht="14.25" customHeight="1">
      <c r="A63" s="64">
        <v>110639.0</v>
      </c>
      <c r="B63" s="65" t="str">
        <f>VLOOKUP(A63,'FML March 2026'!E:F,2,false)</f>
        <v>OATS, ROLLED, WHOLE GRAIN, OLD FASHIONED, DRY, 1/50 LB</v>
      </c>
      <c r="C63" s="66" t="str">
        <f>VLOOKUP(A63,'Unit of Measure ship March 2026'!A:C,3,false)</f>
        <v>LBS</v>
      </c>
      <c r="E63" s="64">
        <v>15522.0</v>
      </c>
      <c r="F63" s="67" t="str">
        <f>VLOOKUP(E63,'FML March 2026'!E:F,2,false)</f>
        <v>SHALLOTS CLOVES #1 FRESH 5#</v>
      </c>
      <c r="G63" s="66" t="str">
        <f>VLOOKUP(E63,'Unit of Measure ship March 2026'!A:C,3,false)</f>
        <v>LBS</v>
      </c>
      <c r="I63" s="64"/>
      <c r="J63" s="67"/>
      <c r="K63" s="66"/>
      <c r="M63" s="64"/>
      <c r="N63" s="67"/>
      <c r="O63" s="66"/>
      <c r="P63" s="68"/>
    </row>
    <row r="64" ht="14.25" customHeight="1">
      <c r="A64" s="64">
        <v>111948.0</v>
      </c>
      <c r="B64" s="65" t="str">
        <f>VLOOKUP(A64,'FML March 2026'!E:F,2,false)</f>
        <v>OIL CHILI SESAME RAYU/ LA YU</v>
      </c>
      <c r="C64" s="66" t="str">
        <f>VLOOKUP(A64,'Unit of Measure ship March 2026'!A:C,3,false)</f>
        <v>B32.2/OZ</v>
      </c>
      <c r="E64" s="64">
        <v>110066.0</v>
      </c>
      <c r="F64" s="67" t="str">
        <f>VLOOKUP(E64,'FML March 2026'!E:F,2,false)</f>
        <v>SHISHITO PEPPER FRESH</v>
      </c>
      <c r="G64" s="66" t="str">
        <f>VLOOKUP(E64,'Unit of Measure ship March 2026'!A:C,3,false)</f>
        <v>LBS</v>
      </c>
      <c r="I64" s="64"/>
      <c r="J64" s="67"/>
      <c r="K64" s="66"/>
      <c r="M64" s="64"/>
      <c r="N64" s="67"/>
      <c r="O64" s="66"/>
      <c r="P64" s="68"/>
    </row>
    <row r="65" ht="14.25" customHeight="1">
      <c r="A65" s="32">
        <v>52602.0</v>
      </c>
      <c r="B65" s="65" t="str">
        <f>VLOOKUP(A65,'FML March 2026'!E:F,2,false)</f>
        <v>OIL, 100% OLIVE, EXTRA VIRGIN, DRY, 4/5 LT</v>
      </c>
      <c r="C65" s="66" t="str">
        <f>VLOOKUP(A65,'Unit of Measure ship March 2026'!A:C,3,false)</f>
        <v>LT</v>
      </c>
      <c r="E65" s="64">
        <v>18613.0</v>
      </c>
      <c r="F65" s="67" t="str">
        <f>VLOOKUP(E65,'FML March 2026'!E:F,2,false)</f>
        <v>SNOW PEAS, FRESH</v>
      </c>
      <c r="G65" s="66" t="str">
        <f>VLOOKUP(E65,'Unit of Measure ship March 2026'!A:C,3,false)</f>
        <v>LBS</v>
      </c>
      <c r="I65" s="64"/>
      <c r="J65" s="67"/>
      <c r="K65" s="66"/>
      <c r="M65" s="64"/>
      <c r="N65" s="67"/>
      <c r="O65" s="66"/>
      <c r="P65" s="68"/>
    </row>
    <row r="66" ht="14.25" customHeight="1">
      <c r="A66" s="64">
        <v>16346.0</v>
      </c>
      <c r="B66" s="65" t="str">
        <f>VLOOKUP(A66,'FML March 2026'!E:F,2,false)</f>
        <v>OIL, 100% SESAME, TOASTED, DRY, 10/56 OZ</v>
      </c>
      <c r="C66" s="66" t="str">
        <f>VLOOKUP(A66,'Unit of Measure ship March 2026'!A:C,3,false)</f>
        <v>BT/56OZ</v>
      </c>
      <c r="E66" s="64">
        <v>110072.0</v>
      </c>
      <c r="F66" s="67" t="str">
        <f>VLOOKUP(E66,'FML March 2026'!E:F,2,false)</f>
        <v>SQUASH KABOCHA FRESH</v>
      </c>
      <c r="G66" s="66" t="str">
        <f>VLOOKUP(E66,'Unit of Measure ship March 2026'!A:C,3,false)</f>
        <v>LBS</v>
      </c>
      <c r="I66" s="64"/>
      <c r="J66" s="67"/>
      <c r="K66" s="66"/>
      <c r="M66" s="64"/>
      <c r="N66" s="67"/>
      <c r="O66" s="66"/>
      <c r="P66" s="68"/>
    </row>
    <row r="67" ht="14.25" customHeight="1">
      <c r="A67" s="64">
        <v>16377.0</v>
      </c>
      <c r="B67" s="65" t="str">
        <f>VLOOKUP(A67,'FML March 2026'!E:F,2,false)</f>
        <v>OIL, 100% VEGETABLE SOYBEAN, DRY, 4/5 LT</v>
      </c>
      <c r="C67" s="66" t="str">
        <f>VLOOKUP(A67,'Unit of Measure ship March 2026'!A:C,3,false)</f>
        <v>C4/5LT</v>
      </c>
      <c r="E67" s="64">
        <v>15571.0</v>
      </c>
      <c r="F67" s="67" t="str">
        <f>VLOOKUP(E67,'FML March 2026'!E:F,2,false)</f>
        <v>SUGAR SNAP PEAS, FRESH</v>
      </c>
      <c r="G67" s="66" t="str">
        <f>VLOOKUP(E67,'Unit of Measure ship March 2026'!A:C,3,false)</f>
        <v>LBS</v>
      </c>
      <c r="I67" s="64"/>
      <c r="J67" s="67"/>
      <c r="K67" s="66"/>
      <c r="M67" s="64"/>
      <c r="N67" s="67"/>
      <c r="O67" s="66"/>
      <c r="P67" s="68"/>
    </row>
    <row r="68" ht="14.25" customHeight="1">
      <c r="A68" s="64">
        <v>16377.0</v>
      </c>
      <c r="B68" s="65" t="str">
        <f>VLOOKUP(A68,'FML March 2026'!E:F,2,false)</f>
        <v>OIL, 100% VEGETABLE SOYBEAN, DRY, 4/5 LT</v>
      </c>
      <c r="C68" s="66" t="str">
        <f>VLOOKUP(A68,'Unit of Measure ship March 2026'!A:C,3,false)</f>
        <v>C4/5LT</v>
      </c>
      <c r="E68" s="64">
        <v>15446.0</v>
      </c>
      <c r="F68" s="67" t="str">
        <f>VLOOKUP(E68,'FML March 2026'!E:F,2,false)</f>
        <v>THYME FRESH</v>
      </c>
      <c r="G68" s="66" t="str">
        <f>VLOOKUP(E68,'Unit of Measure ship March 2026'!A:C,3,false)</f>
        <v>LBS</v>
      </c>
      <c r="I68" s="64"/>
      <c r="J68" s="67"/>
      <c r="K68" s="66"/>
      <c r="M68" s="64"/>
      <c r="N68" s="67"/>
      <c r="O68" s="66"/>
      <c r="P68" s="68"/>
    </row>
    <row r="69" ht="14.25" customHeight="1">
      <c r="A69" s="64">
        <v>10265.0</v>
      </c>
      <c r="B69" s="65" t="str">
        <f>VLOOKUP(A69,'FML March 2026'!E:F,2,false)</f>
        <v>OIL, FRYING, 100% SOYBEAN, TRANS FAT FREE, FLASHPOINT &gt;600F, DRY, 4/5 LT</v>
      </c>
      <c r="C69" s="66" t="str">
        <f>VLOOKUP(A69,'Unit of Measure ship March 2026'!A:C,3,false)</f>
        <v>CS4/5LT</v>
      </c>
      <c r="E69" s="64">
        <v>15537.0</v>
      </c>
      <c r="F69" s="67" t="str">
        <f>VLOOKUP(E69,'FML March 2026'!E:F,2,false)</f>
        <v>TOMATOES 6X6 #1 18# RED RIPE, FIRM (LAYERED), 55-65 MM</v>
      </c>
      <c r="G69" s="66" t="str">
        <f>VLOOKUP(E69,'Unit of Measure ship March 2026'!A:C,3,false)</f>
        <v>LBS</v>
      </c>
      <c r="I69" s="64"/>
      <c r="J69" s="67"/>
      <c r="K69" s="66"/>
      <c r="M69" s="64"/>
      <c r="N69" s="67"/>
      <c r="O69" s="66"/>
      <c r="P69" s="68"/>
    </row>
    <row r="70" ht="14.25" customHeight="1">
      <c r="A70" s="64">
        <v>52603.0</v>
      </c>
      <c r="B70" s="65" t="str">
        <f>VLOOKUP(A70,'FML March 2026'!E:F,2,false)</f>
        <v>OLIVE/CANOLA BLEND OIL</v>
      </c>
      <c r="C70" s="66" t="str">
        <f>VLOOKUP(A70,'Unit of Measure ship March 2026'!A:C,3,false)</f>
        <v>LT</v>
      </c>
      <c r="E70" s="64">
        <v>15425.0</v>
      </c>
      <c r="F70" s="67" t="str">
        <f>VLOOKUP(E70,'FML March 2026'!E:F,2,false)</f>
        <v>WATERMELONS SEEDLESS 4CT/6C 32#</v>
      </c>
      <c r="G70" s="66" t="str">
        <f>VLOOKUP(E70,'Unit of Measure ship March 2026'!A:C,3,false)</f>
        <v>LBS</v>
      </c>
      <c r="I70" s="64"/>
      <c r="J70" s="67"/>
      <c r="K70" s="66"/>
      <c r="M70" s="64"/>
      <c r="N70" s="67"/>
      <c r="O70" s="66"/>
      <c r="P70" s="68"/>
    </row>
    <row r="71" ht="14.25" customHeight="1">
      <c r="A71" s="64">
        <v>142069.0</v>
      </c>
      <c r="B71" s="65" t="str">
        <f>VLOOKUP(A71,'FML March 2026'!E:F,2,false)</f>
        <v>ONION MINCED BADIA</v>
      </c>
      <c r="C71" s="66" t="str">
        <f>VLOOKUP(A71,'Unit of Measure ship March 2026'!A:C,3,false)</f>
        <v>LBS</v>
      </c>
      <c r="E71" s="49"/>
      <c r="F71" s="9"/>
      <c r="G71" s="9"/>
      <c r="I71" s="64"/>
      <c r="J71" s="67"/>
      <c r="K71" s="66"/>
      <c r="M71" s="64"/>
      <c r="N71" s="67"/>
      <c r="O71" s="66"/>
      <c r="P71" s="68"/>
    </row>
    <row r="72" ht="14.25" customHeight="1">
      <c r="A72" s="64">
        <v>105727.0</v>
      </c>
      <c r="B72" s="65" t="str">
        <f>VLOOKUP(A72,'FML March 2026'!E:F,2,false)</f>
        <v>OYSTER SAUCE MSG FREE</v>
      </c>
      <c r="C72" s="66" t="str">
        <f>VLOOKUP(A72,'Unit of Measure ship March 2026'!A:C,3,false)</f>
        <v>CAN/5LB</v>
      </c>
      <c r="E72" s="49"/>
      <c r="F72" s="9"/>
      <c r="G72" s="9"/>
      <c r="I72" s="64"/>
      <c r="J72" s="67"/>
      <c r="K72" s="66"/>
      <c r="M72" s="64"/>
      <c r="N72" s="67"/>
      <c r="O72" s="66"/>
      <c r="P72" s="68"/>
    </row>
    <row r="73" ht="14.25" customHeight="1">
      <c r="A73" s="64">
        <v>16269.0</v>
      </c>
      <c r="B73" s="65" t="str">
        <f>VLOOKUP(A73,'FML March 2026'!E:F,2,false)</f>
        <v>PAPRIKA SPANISH MUNOZ Y PUJANTE/ D`ALLESANDRO/ SPICECO</v>
      </c>
      <c r="C73" s="66" t="str">
        <f>VLOOKUP(A73,'Unit of Measure ship March 2026'!A:C,3,false)</f>
        <v>LBS</v>
      </c>
      <c r="E73" s="49"/>
      <c r="F73" s="9"/>
      <c r="G73" s="9"/>
      <c r="I73" s="64"/>
      <c r="J73" s="67"/>
      <c r="K73" s="66"/>
      <c r="M73" s="64"/>
      <c r="N73" s="67"/>
      <c r="O73" s="66"/>
      <c r="P73" s="68"/>
    </row>
    <row r="74" ht="14.25" customHeight="1">
      <c r="A74" s="64">
        <v>43805.0</v>
      </c>
      <c r="B74" s="65" t="str">
        <f>VLOOKUP(A74,'FML March 2026'!E:F,2,false)</f>
        <v>PEAS, GREEN, GRADE A, IQF, FZN, 1/10 KG</v>
      </c>
      <c r="C74" s="66" t="str">
        <f>VLOOKUP(A74,'Unit of Measure ship March 2026'!A:C,3,false)</f>
        <v>LBS</v>
      </c>
      <c r="E74" s="49"/>
      <c r="F74" s="9"/>
      <c r="G74" s="9"/>
      <c r="I74" s="64"/>
      <c r="J74" s="67"/>
      <c r="K74" s="66"/>
      <c r="M74" s="64"/>
      <c r="N74" s="67"/>
      <c r="O74" s="66"/>
      <c r="P74" s="68"/>
    </row>
    <row r="75" ht="14.25" customHeight="1">
      <c r="A75" s="64">
        <v>108553.0</v>
      </c>
      <c r="B75" s="65" t="str">
        <f>VLOOKUP(A75,'FML March 2026'!E:F,2,false)</f>
        <v>PEPPER ARBOL  D'ALLESANDRO CS/5LB</v>
      </c>
      <c r="C75" s="66" t="str">
        <f>VLOOKUP(A75,'Unit of Measure ship March 2026'!A:C,3,false)</f>
        <v>KG</v>
      </c>
      <c r="E75" s="49"/>
      <c r="F75" s="9"/>
      <c r="G75" s="9"/>
      <c r="I75" s="64"/>
      <c r="J75" s="67"/>
      <c r="K75" s="66"/>
      <c r="M75" s="64"/>
      <c r="N75" s="67"/>
      <c r="O75" s="66"/>
      <c r="P75" s="68"/>
    </row>
    <row r="76" ht="14.25" customHeight="1">
      <c r="A76" s="64">
        <v>33681.0</v>
      </c>
      <c r="B76" s="65" t="str">
        <f>VLOOKUP(A76,'FML March 2026'!E:F,2,false)</f>
        <v>PEPPER BLACK GROUND BADIA (USA )</v>
      </c>
      <c r="C76" s="66" t="str">
        <f>VLOOKUP(A76,'Unit of Measure ship March 2026'!A:C,3,false)</f>
        <v>LBS</v>
      </c>
      <c r="E76" s="49"/>
      <c r="F76" s="9"/>
      <c r="G76" s="9"/>
      <c r="I76" s="64"/>
      <c r="J76" s="67"/>
      <c r="K76" s="66"/>
      <c r="M76" s="64"/>
      <c r="N76" s="70"/>
      <c r="O76" s="66"/>
      <c r="P76" s="68"/>
    </row>
    <row r="77" ht="14.25" customHeight="1">
      <c r="A77" s="64">
        <v>33681.0</v>
      </c>
      <c r="B77" s="65" t="str">
        <f>VLOOKUP(A77,'FML March 2026'!E:F,2,false)</f>
        <v>PEPPER BLACK GROUND BADIA (USA )</v>
      </c>
      <c r="C77" s="66" t="str">
        <f>VLOOKUP(A77,'Unit of Measure ship March 2026'!A:C,3,false)</f>
        <v>LBS</v>
      </c>
      <c r="E77" s="49"/>
      <c r="F77" s="9"/>
      <c r="G77" s="9"/>
      <c r="I77" s="64"/>
      <c r="J77" s="67"/>
      <c r="K77" s="66"/>
      <c r="M77" s="64"/>
      <c r="N77" s="67"/>
      <c r="O77" s="66"/>
      <c r="P77" s="68"/>
    </row>
    <row r="78" ht="14.25" customHeight="1">
      <c r="A78" s="64">
        <v>16302.0</v>
      </c>
      <c r="B78" s="65" t="str">
        <f>VLOOKUP(A78,'FML March 2026'!E:F,2,false)</f>
        <v>PEPPER CAYENNE GROUND BADIA (USA )</v>
      </c>
      <c r="C78" s="66" t="str">
        <f>VLOOKUP(A78,'Unit of Measure ship March 2026'!A:C,3,false)</f>
        <v>LBS</v>
      </c>
      <c r="E78" s="49"/>
      <c r="F78" s="9"/>
      <c r="G78" s="9"/>
      <c r="I78" s="64"/>
      <c r="J78" s="67"/>
      <c r="K78" s="66"/>
      <c r="M78" s="64"/>
      <c r="N78" s="67"/>
      <c r="O78" s="66"/>
      <c r="P78" s="68"/>
    </row>
    <row r="79" ht="14.25" customHeight="1">
      <c r="A79" s="64">
        <v>16272.0</v>
      </c>
      <c r="B79" s="65" t="str">
        <f>VLOOKUP(A79,'FML March 2026'!E:F,2,false)</f>
        <v>PEPPER WHITE GROUND D`ALLESANDRO/ SPICECO</v>
      </c>
      <c r="C79" s="66" t="str">
        <f>VLOOKUP(A79,'Unit of Measure ship March 2026'!A:C,3,false)</f>
        <v>LBS</v>
      </c>
      <c r="E79" s="49"/>
      <c r="F79" s="9"/>
      <c r="G79" s="9"/>
      <c r="I79" s="64"/>
      <c r="J79" s="67"/>
      <c r="K79" s="66"/>
      <c r="M79" s="64"/>
      <c r="N79" s="67"/>
      <c r="O79" s="66"/>
      <c r="P79" s="68"/>
    </row>
    <row r="80" ht="14.25" customHeight="1">
      <c r="A80" s="64">
        <v>30052.0</v>
      </c>
      <c r="B80" s="65" t="str">
        <f>VLOOKUP(A80,'FML March 2026'!E:F,2,false)</f>
        <v>PEPPERCORN SZECHWAN 8 OZ D`ALLESANDRO/ PACKER</v>
      </c>
      <c r="C80" s="66" t="str">
        <f>VLOOKUP(A80,'Unit of Measure ship March 2026'!A:C,3,false)</f>
        <v>LBS</v>
      </c>
      <c r="E80" s="49"/>
      <c r="F80" s="9"/>
      <c r="G80" s="9"/>
      <c r="I80" s="64"/>
      <c r="J80" s="67"/>
      <c r="K80" s="66"/>
      <c r="M80" s="64"/>
      <c r="N80" s="67"/>
      <c r="O80" s="66"/>
      <c r="P80" s="68"/>
    </row>
    <row r="81" ht="14.25" customHeight="1">
      <c r="A81" s="64">
        <v>16285.0</v>
      </c>
      <c r="B81" s="65" t="str">
        <f>VLOOKUP(A81,'FML March 2026'!E:F,2,false)</f>
        <v>PEPPERCORN, BLACK, WHOLE, DRY, 6/420 G</v>
      </c>
      <c r="C81" s="66" t="str">
        <f>VLOOKUP(A81,'Unit of Measure ship March 2026'!A:C,3,false)</f>
        <v>LBS</v>
      </c>
      <c r="E81" s="49"/>
      <c r="F81" s="9"/>
      <c r="G81" s="9"/>
      <c r="I81" s="64"/>
      <c r="J81" s="67"/>
      <c r="K81" s="66"/>
      <c r="M81" s="64"/>
      <c r="N81" s="67"/>
      <c r="O81" s="66"/>
      <c r="P81" s="68"/>
    </row>
    <row r="82" ht="14.25" customHeight="1">
      <c r="A82" s="64">
        <v>109709.0</v>
      </c>
      <c r="B82" s="65" t="str">
        <f>VLOOKUP(A82,'FML March 2026'!E:F,2,false)</f>
        <v>PIERRE POIVRE PEPPER (LA BOITE A EPICE BRAND)</v>
      </c>
      <c r="C82" s="66" t="str">
        <f>VLOOKUP(A82,'Unit of Measure ship March 2026'!A:C,3,false)</f>
        <v>UNT/16OZ</v>
      </c>
      <c r="E82" s="49"/>
      <c r="F82" s="9"/>
      <c r="G82" s="9"/>
      <c r="I82" s="64"/>
      <c r="J82" s="67"/>
      <c r="K82" s="66"/>
      <c r="M82" s="64"/>
      <c r="N82" s="67"/>
      <c r="O82" s="66"/>
      <c r="P82" s="68"/>
    </row>
    <row r="83" ht="14.25" customHeight="1">
      <c r="A83" s="64">
        <v>16422.0</v>
      </c>
      <c r="B83" s="65" t="str">
        <f>VLOOKUP(A83,'FML March 2026'!E:F,2,false)</f>
        <v>PINE NUTS WHOLE</v>
      </c>
      <c r="C83" s="66" t="str">
        <f>VLOOKUP(A83,'Unit of Measure ship March 2026'!A:C,3,false)</f>
        <v>LBS</v>
      </c>
      <c r="E83" s="49"/>
      <c r="F83" s="9"/>
      <c r="G83" s="9"/>
      <c r="I83" s="64"/>
      <c r="J83" s="67"/>
      <c r="K83" s="66"/>
      <c r="M83" s="64"/>
      <c r="N83" s="67"/>
      <c r="O83" s="66"/>
      <c r="P83" s="68"/>
    </row>
    <row r="84" ht="14.25" customHeight="1">
      <c r="A84" s="64">
        <v>110935.0</v>
      </c>
      <c r="B84" s="65" t="str">
        <f>VLOOKUP(A84,'FML March 2026'!E:F,2,false)</f>
        <v>PORCINI POWDER</v>
      </c>
      <c r="C84" s="66" t="str">
        <f>VLOOKUP(A84,'Unit of Measure ship March 2026'!A:C,3,false)</f>
        <v>LBS</v>
      </c>
      <c r="E84" s="49"/>
      <c r="F84" s="9"/>
      <c r="G84" s="9"/>
      <c r="I84" s="64"/>
      <c r="J84" s="67"/>
      <c r="K84" s="66"/>
      <c r="M84" s="64"/>
      <c r="N84" s="67"/>
      <c r="O84" s="66"/>
      <c r="P84" s="68"/>
    </row>
    <row r="85" ht="14.25" customHeight="1">
      <c r="A85" s="64">
        <v>20890.0</v>
      </c>
      <c r="B85" s="65" t="str">
        <f>VLOOKUP(A85,'FML March 2026'!E:F,2,false)</f>
        <v>POTATO STARCH TOTIGI/ BOBS RED MILL</v>
      </c>
      <c r="C85" s="66" t="str">
        <f>VLOOKUP(A85,'Unit of Measure ship March 2026'!A:C,3,false)</f>
        <v>LBS</v>
      </c>
      <c r="E85" s="49"/>
      <c r="F85" s="9"/>
      <c r="G85" s="9"/>
      <c r="I85" s="64"/>
      <c r="J85" s="67"/>
      <c r="K85" s="66"/>
      <c r="M85" s="64"/>
      <c r="N85" s="67"/>
      <c r="O85" s="66"/>
      <c r="P85" s="68"/>
    </row>
    <row r="86" ht="14.25" customHeight="1">
      <c r="A86" s="64">
        <v>15897.0</v>
      </c>
      <c r="B86" s="65" t="str">
        <f>VLOOKUP(A86,'FML March 2026'!E:F,2,false)</f>
        <v>PUMPKIN SEEDS WHOLE SHELLED RAW 10 LB HIALEAH/ D`ALLESANDRO</v>
      </c>
      <c r="C86" s="66" t="str">
        <f>VLOOKUP(A86,'Unit of Measure ship March 2026'!A:C,3,false)</f>
        <v>LBS</v>
      </c>
      <c r="E86" s="49"/>
      <c r="F86" s="9"/>
      <c r="G86" s="9"/>
      <c r="I86" s="64"/>
      <c r="J86" s="67"/>
      <c r="K86" s="66"/>
      <c r="M86" s="64"/>
      <c r="N86" s="67"/>
      <c r="O86" s="66"/>
      <c r="P86" s="68"/>
    </row>
    <row r="87" ht="14.25" customHeight="1">
      <c r="A87" s="64">
        <v>16946.0</v>
      </c>
      <c r="B87" s="65" t="str">
        <f>VLOOKUP(A87,'FML March 2026'!E:F,2,false)</f>
        <v>QUINOA WHITE</v>
      </c>
      <c r="C87" s="66" t="str">
        <f>VLOOKUP(A87,'Unit of Measure ship March 2026'!A:C,3,false)</f>
        <v>PC/12OZ</v>
      </c>
      <c r="E87" s="49"/>
      <c r="F87" s="9"/>
      <c r="G87" s="9"/>
      <c r="I87" s="64"/>
      <c r="J87" s="67"/>
      <c r="K87" s="66"/>
      <c r="M87" s="64"/>
      <c r="N87" s="67"/>
      <c r="O87" s="66"/>
      <c r="P87" s="68"/>
    </row>
    <row r="88" ht="14.25" customHeight="1">
      <c r="A88" s="64">
        <v>15805.0</v>
      </c>
      <c r="B88" s="65" t="str">
        <f>VLOOKUP(A88,'FML March 2026'!E:F,2,false)</f>
        <v>RAISINS GOLDEN SEEDLESS</v>
      </c>
      <c r="C88" s="66" t="str">
        <f>VLOOKUP(A88,'Unit of Measure ship March 2026'!A:C,3,false)</f>
        <v>LBS</v>
      </c>
      <c r="E88" s="49"/>
      <c r="F88" s="9"/>
      <c r="G88" s="9"/>
      <c r="I88" s="64"/>
      <c r="J88" s="67"/>
      <c r="K88" s="66"/>
      <c r="M88" s="64"/>
      <c r="N88" s="67"/>
      <c r="O88" s="66"/>
      <c r="P88" s="68"/>
    </row>
    <row r="89" ht="14.25" customHeight="1">
      <c r="A89" s="64">
        <v>16234.0</v>
      </c>
      <c r="B89" s="65" t="str">
        <f>VLOOKUP(A89,'FML March 2026'!E:F,2,false)</f>
        <v>RICE BROWN 25 LB PRODUCERS/ PAR EXCELLENCE</v>
      </c>
      <c r="C89" s="66" t="str">
        <f>VLOOKUP(A89,'Unit of Measure ship March 2026'!A:C,3,false)</f>
        <v>LBS</v>
      </c>
      <c r="E89" s="49"/>
      <c r="F89" s="9"/>
      <c r="G89" s="9"/>
      <c r="I89" s="64"/>
      <c r="J89" s="67"/>
      <c r="K89" s="66"/>
      <c r="M89" s="64"/>
      <c r="N89" s="67"/>
      <c r="O89" s="66"/>
      <c r="P89" s="68"/>
    </row>
    <row r="90" ht="14.25" customHeight="1">
      <c r="A90" s="64">
        <v>20143.0</v>
      </c>
      <c r="B90" s="65" t="str">
        <f>VLOOKUP(A90,'FML March 2026'!E:F,2,false)</f>
        <v>RICE TAMAKI GOLD/MATSURI KOSHIHIKARI/MARUYU</v>
      </c>
      <c r="C90" s="66" t="str">
        <f>VLOOKUP(A90,'Unit of Measure ship March 2026'!A:C,3,false)</f>
        <v>LBS</v>
      </c>
      <c r="E90" s="49"/>
      <c r="F90" s="9"/>
      <c r="G90" s="9"/>
      <c r="I90" s="64"/>
      <c r="J90" s="67"/>
      <c r="K90" s="66"/>
      <c r="M90" s="64"/>
      <c r="N90" s="67"/>
      <c r="O90" s="66"/>
      <c r="P90" s="68"/>
    </row>
    <row r="91" ht="14.25" customHeight="1">
      <c r="A91" s="64">
        <v>40158.0</v>
      </c>
      <c r="B91" s="65" t="str">
        <f>VLOOKUP(A91,'FML March 2026'!E:F,2,false)</f>
        <v>RICE, JASMINE, &lt;4% BROKEN KERNELS, DRY, 1/50 LB</v>
      </c>
      <c r="C91" s="66" t="str">
        <f>VLOOKUP(A91,'Unit of Measure ship March 2026'!A:C,3,false)</f>
        <v>LBS</v>
      </c>
      <c r="E91" s="49"/>
      <c r="F91" s="9"/>
      <c r="G91" s="9"/>
      <c r="I91" s="64"/>
      <c r="J91" s="67"/>
      <c r="K91" s="66"/>
      <c r="M91" s="64"/>
      <c r="N91" s="67"/>
      <c r="O91" s="66"/>
      <c r="P91" s="68"/>
    </row>
    <row r="92" ht="14.25" customHeight="1">
      <c r="A92" s="64">
        <v>16307.0</v>
      </c>
      <c r="B92" s="65" t="str">
        <f>VLOOKUP(A92,'FML March 2026'!E:F,2,false)</f>
        <v>SALT KOSHER GRANULATED</v>
      </c>
      <c r="C92" s="66" t="str">
        <f>VLOOKUP(A92,'Unit of Measure ship March 2026'!A:C,3,false)</f>
        <v>LBS</v>
      </c>
      <c r="E92" s="49"/>
      <c r="F92" s="9"/>
      <c r="G92" s="9"/>
      <c r="I92" s="64"/>
      <c r="J92" s="67"/>
      <c r="K92" s="66"/>
      <c r="M92" s="64"/>
      <c r="N92" s="67"/>
      <c r="O92" s="66"/>
      <c r="P92" s="68"/>
    </row>
    <row r="93" ht="14.25" customHeight="1">
      <c r="A93" s="64">
        <v>20880.0</v>
      </c>
      <c r="B93" s="65" t="str">
        <f>VLOOKUP(A93,'FML March 2026'!E:F,2,false)</f>
        <v>SALT SEA MALDON</v>
      </c>
      <c r="C93" s="66" t="str">
        <f>VLOOKUP(A93,'Unit of Measure ship March 2026'!A:C,3,false)</f>
        <v>LBS</v>
      </c>
      <c r="E93" s="49"/>
      <c r="F93" s="9"/>
      <c r="G93" s="9"/>
      <c r="I93" s="64"/>
      <c r="J93" s="67"/>
      <c r="K93" s="66"/>
      <c r="M93" s="64"/>
      <c r="N93" s="67"/>
      <c r="O93" s="66"/>
      <c r="P93" s="68"/>
    </row>
    <row r="94" ht="14.25" customHeight="1">
      <c r="A94" s="64">
        <v>149880.0</v>
      </c>
      <c r="B94" s="65" t="str">
        <f>VLOOKUP(A94,'FML March 2026'!E:F,2,false)</f>
        <v>SALTED SPICY RADISH</v>
      </c>
      <c r="C94" s="66" t="s">
        <v>62</v>
      </c>
      <c r="E94" s="49"/>
      <c r="F94" s="9"/>
      <c r="G94" s="9"/>
      <c r="I94" s="64"/>
      <c r="J94" s="67"/>
      <c r="K94" s="66"/>
      <c r="M94" s="64"/>
      <c r="N94" s="67"/>
      <c r="O94" s="66"/>
      <c r="P94" s="68"/>
    </row>
    <row r="95" ht="14.25" customHeight="1">
      <c r="A95" s="64">
        <v>16409.0</v>
      </c>
      <c r="B95" s="65" t="str">
        <f>VLOOKUP(A95,'FML March 2026'!E:F,2,false)</f>
        <v>SAMBAL OELEK CHILI SAUCE</v>
      </c>
      <c r="C95" s="66" t="str">
        <f>VLOOKUP(A95,'Unit of Measure ship March 2026'!A:C,3,false)</f>
        <v>BT/18OZ</v>
      </c>
      <c r="E95" s="49"/>
      <c r="F95" s="9"/>
      <c r="G95" s="9"/>
      <c r="I95" s="64"/>
      <c r="J95" s="67"/>
      <c r="K95" s="66"/>
      <c r="M95" s="64"/>
      <c r="N95" s="67"/>
      <c r="O95" s="66"/>
      <c r="P95" s="68"/>
    </row>
    <row r="96" ht="14.25" customHeight="1">
      <c r="A96" s="64">
        <v>51001.0</v>
      </c>
      <c r="B96" s="65" t="str">
        <f>VLOOKUP(A96,'FML March 2026'!E:F,2,false)</f>
        <v>SAUCE, SWEET CHILI, MAE PLOY, SWCHIX730, DRY, 12/32 OZ</v>
      </c>
      <c r="C96" s="66" t="str">
        <f>VLOOKUP(A96,'Unit of Measure ship March 2026'!A:C,3,false)</f>
        <v>C12/32OZ</v>
      </c>
      <c r="E96" s="49"/>
      <c r="F96" s="9"/>
      <c r="G96" s="9"/>
      <c r="I96" s="64"/>
      <c r="J96" s="67"/>
      <c r="K96" s="66"/>
      <c r="M96" s="64"/>
      <c r="N96" s="67"/>
      <c r="O96" s="66"/>
      <c r="P96" s="68"/>
    </row>
    <row r="97" ht="14.25" customHeight="1">
      <c r="A97" s="64">
        <v>15818.0</v>
      </c>
      <c r="B97" s="65" t="str">
        <f>VLOOKUP(A97,'FML March 2026'!E:F,2,false)</f>
        <v>SESAME SEEDS WHITE BADIA (USA )</v>
      </c>
      <c r="C97" s="66" t="str">
        <f>VLOOKUP(A97,'Unit of Measure ship March 2026'!A:C,3,false)</f>
        <v>LBS</v>
      </c>
      <c r="E97" s="49"/>
      <c r="F97" s="9"/>
      <c r="G97" s="9"/>
      <c r="I97" s="49"/>
      <c r="J97" s="9"/>
      <c r="K97" s="9"/>
      <c r="M97" s="64"/>
      <c r="N97" s="67"/>
      <c r="O97" s="66"/>
      <c r="P97" s="68"/>
    </row>
    <row r="98" ht="14.25" customHeight="1">
      <c r="A98" s="64">
        <v>20150.0</v>
      </c>
      <c r="B98" s="65" t="str">
        <f>VLOOKUP(A98,'FML March 2026'!E:F,2,false)</f>
        <v>SOY SAUCE 4/1 GALLON KIKKOMAN</v>
      </c>
      <c r="C98" s="66" t="str">
        <f>VLOOKUP(A98,'Unit of Measure ship March 2026'!A:C,3,false)</f>
        <v>GAL</v>
      </c>
      <c r="E98" s="49"/>
      <c r="F98" s="9"/>
      <c r="G98" s="9"/>
      <c r="I98" s="49"/>
      <c r="J98" s="9"/>
      <c r="K98" s="9"/>
      <c r="M98" s="64"/>
      <c r="N98" s="67"/>
      <c r="O98" s="66"/>
      <c r="P98" s="68"/>
    </row>
    <row r="99" ht="14.25" customHeight="1">
      <c r="A99" s="64">
        <v>149549.0</v>
      </c>
      <c r="B99" s="65" t="str">
        <f>VLOOKUP(A99,'FML March 2026'!E:F,2,false)</f>
        <v>SOY SAUCE DARK CS 12/4LB CHINESE</v>
      </c>
      <c r="C99" s="66" t="s">
        <v>42</v>
      </c>
      <c r="E99" s="49"/>
      <c r="F99" s="9"/>
      <c r="G99" s="9"/>
      <c r="I99" s="49"/>
      <c r="J99" s="9"/>
      <c r="K99" s="9"/>
      <c r="M99" s="64"/>
      <c r="N99" s="67"/>
      <c r="O99" s="66"/>
      <c r="P99" s="68"/>
    </row>
    <row r="100" ht="14.25" customHeight="1">
      <c r="A100" s="64">
        <v>109689.0</v>
      </c>
      <c r="B100" s="65" t="str">
        <f>VLOOKUP(A100,'FML March 2026'!E:F,2,false)</f>
        <v>SPICE BLEND REIMS LA BOITE</v>
      </c>
      <c r="C100" s="66" t="str">
        <f>VLOOKUP(A100,'Unit of Measure ship March 2026'!A:C,3,false)</f>
        <v>PKG/1LB</v>
      </c>
      <c r="E100" s="49"/>
      <c r="F100" s="9"/>
      <c r="G100" s="9"/>
      <c r="I100" s="49"/>
      <c r="J100" s="9"/>
      <c r="K100" s="9"/>
      <c r="M100" s="64"/>
      <c r="N100" s="67"/>
      <c r="O100" s="66"/>
      <c r="P100" s="68"/>
    </row>
    <row r="101" ht="14.25" customHeight="1">
      <c r="A101" s="64">
        <v>20879.0</v>
      </c>
      <c r="B101" s="65" t="str">
        <f>VLOOKUP(A101,'FML March 2026'!E:F,2,false)</f>
        <v>SRIRACHA, HOT CHILI SAUCE, HUY FONG, 28OZ</v>
      </c>
      <c r="C101" s="66" t="str">
        <f>VLOOKUP(A101,'Unit of Measure ship March 2026'!A:C,3,false)</f>
        <v>BT/17OZ</v>
      </c>
      <c r="E101" s="49"/>
      <c r="F101" s="9"/>
      <c r="G101" s="9"/>
      <c r="I101" s="49"/>
      <c r="J101" s="9"/>
      <c r="K101" s="9"/>
      <c r="M101" s="64"/>
      <c r="N101" s="67"/>
      <c r="O101" s="66"/>
      <c r="P101" s="68"/>
    </row>
    <row r="102" ht="14.25" customHeight="1">
      <c r="A102" s="64">
        <v>15646.0</v>
      </c>
      <c r="B102" s="65" t="str">
        <f>VLOOKUP(A102,'FML March 2026'!E:F,2,false)</f>
        <v>SUGAR BROWN DARK  24/1LB  DOMINO (404310) (USA)</v>
      </c>
      <c r="C102" s="66" t="str">
        <f>VLOOKUP(A102,'Unit of Measure ship March 2026'!A:C,3,false)</f>
        <v>LBS</v>
      </c>
      <c r="E102" s="49"/>
      <c r="F102" s="9"/>
      <c r="G102" s="9"/>
      <c r="I102" s="49"/>
      <c r="J102" s="9"/>
      <c r="K102" s="9"/>
      <c r="M102" s="64"/>
      <c r="N102" s="67"/>
      <c r="O102" s="66"/>
      <c r="P102" s="68"/>
    </row>
    <row r="103" ht="14.25" customHeight="1">
      <c r="A103" s="64">
        <v>109843.0</v>
      </c>
      <c r="B103" s="65" t="str">
        <f>VLOOKUP(A103,'FML March 2026'!E:F,2,false)</f>
        <v>SUGAR IN THE RAW  CS12/2 LB</v>
      </c>
      <c r="C103" s="66" t="str">
        <f>VLOOKUP(A103,'Unit of Measure ship March 2026'!A:C,3,false)</f>
        <v>KG</v>
      </c>
      <c r="E103" s="49"/>
      <c r="F103" s="9"/>
      <c r="G103" s="9"/>
      <c r="I103" s="49"/>
      <c r="J103" s="9"/>
      <c r="K103" s="9"/>
      <c r="M103" s="64"/>
      <c r="N103" s="67"/>
      <c r="O103" s="66"/>
      <c r="P103" s="68"/>
    </row>
    <row r="104" ht="14.25" customHeight="1">
      <c r="A104" s="64">
        <v>15642.0</v>
      </c>
      <c r="B104" s="65" t="str">
        <f>VLOOKUP(A104,'FML March 2026'!E:F,2,false)</f>
        <v>SUGAR, GRANULATED, ICUMSA 150, SUGARCANE, DRY, 1/50 LB</v>
      </c>
      <c r="C104" s="66" t="str">
        <f>VLOOKUP(A104,'Unit of Measure ship March 2026'!A:C,3,false)</f>
        <v>LBS</v>
      </c>
      <c r="E104" s="49"/>
      <c r="F104" s="9"/>
      <c r="G104" s="9"/>
      <c r="I104" s="49"/>
      <c r="J104" s="9"/>
      <c r="K104" s="9"/>
      <c r="M104" s="64"/>
      <c r="N104" s="67"/>
      <c r="O104" s="66"/>
      <c r="P104" s="68"/>
    </row>
    <row r="105" ht="14.25" customHeight="1">
      <c r="A105" s="64">
        <v>15892.0</v>
      </c>
      <c r="B105" s="65" t="str">
        <f>VLOOKUP(A105,'FML March 2026'!E:F,2,false)</f>
        <v>SUNFLOWER SEEDS WHOLE SHELL-OFF RAW  HIALEAH (USA )</v>
      </c>
      <c r="C105" s="66" t="str">
        <f>VLOOKUP(A105,'Unit of Measure ship March 2026'!A:C,3,false)</f>
        <v>LBS</v>
      </c>
      <c r="E105" s="49"/>
      <c r="F105" s="9"/>
      <c r="G105" s="9"/>
      <c r="I105" s="49"/>
      <c r="J105" s="9"/>
      <c r="K105" s="9"/>
      <c r="M105" s="64"/>
      <c r="N105" s="67"/>
      <c r="O105" s="66"/>
      <c r="P105" s="68"/>
    </row>
    <row r="106" ht="14.25" customHeight="1">
      <c r="A106" s="64">
        <v>29904.0</v>
      </c>
      <c r="B106" s="65" t="str">
        <f>VLOOKUP(A106,'FML March 2026'!E:F,2,false)</f>
        <v>SYRUP, MAPLE, 100% PURE, GRADE A, AMBER, DRY, 4/4 LT</v>
      </c>
      <c r="C106" s="66" t="str">
        <f>VLOOKUP(A106,'Unit of Measure ship March 2026'!A:C,3,false)</f>
        <v>BOX/4LTR</v>
      </c>
      <c r="E106" s="49"/>
      <c r="F106" s="9"/>
      <c r="G106" s="9"/>
      <c r="I106" s="49"/>
      <c r="J106" s="9"/>
      <c r="K106" s="9"/>
      <c r="M106" s="64"/>
      <c r="N106" s="67"/>
      <c r="O106" s="66"/>
      <c r="P106" s="68"/>
    </row>
    <row r="107" ht="14.25" customHeight="1">
      <c r="A107" s="64">
        <v>110928.0</v>
      </c>
      <c r="B107" s="65" t="str">
        <f>VLOOKUP(A107,'FML March 2026'!E:F,2,false)</f>
        <v>TAHINI PASTE  CS12/1LB SOOM</v>
      </c>
      <c r="C107" s="66" t="str">
        <f>VLOOKUP(A107,'Unit of Measure ship March 2026'!A:C,3,false)</f>
        <v>LBS</v>
      </c>
      <c r="E107" s="49"/>
      <c r="F107" s="9"/>
      <c r="G107" s="9"/>
      <c r="I107" s="49"/>
      <c r="J107" s="9"/>
      <c r="K107" s="9"/>
      <c r="M107" s="64"/>
      <c r="N107" s="67"/>
      <c r="O107" s="66"/>
      <c r="P107" s="68"/>
    </row>
    <row r="108" ht="14.25" customHeight="1">
      <c r="A108" s="64">
        <v>16939.0</v>
      </c>
      <c r="B108" s="65" t="str">
        <f>VLOOKUP(A108,'FML March 2026'!E:F,2,false)</f>
        <v>TAMARI, GLUTEN FREE SOY SAUCE IH 11/20</v>
      </c>
      <c r="C108" s="66" t="str">
        <f>VLOOKUP(A108,'Unit of Measure ship March 2026'!A:C,3,false)</f>
        <v>PC/10OZ</v>
      </c>
      <c r="E108" s="49"/>
      <c r="F108" s="9"/>
      <c r="G108" s="9"/>
      <c r="I108" s="49"/>
      <c r="J108" s="9"/>
      <c r="K108" s="9"/>
      <c r="M108" s="64"/>
      <c r="N108" s="67"/>
      <c r="O108" s="66"/>
      <c r="P108" s="68"/>
    </row>
    <row r="109" ht="14.25" customHeight="1">
      <c r="A109" s="64">
        <v>109632.0</v>
      </c>
      <c r="B109" s="65" t="str">
        <f>VLOOKUP(A109,'FML March 2026'!E:F,2,false)</f>
        <v>TAPIOCA FLOUR BOBS RED MILL</v>
      </c>
      <c r="C109" s="66" t="str">
        <f>VLOOKUP(A109,'Unit of Measure ship March 2026'!A:C,3,false)</f>
        <v>KG</v>
      </c>
      <c r="E109" s="49"/>
      <c r="F109" s="9"/>
      <c r="G109" s="9"/>
      <c r="I109" s="49"/>
      <c r="J109" s="9"/>
      <c r="K109" s="9"/>
      <c r="M109" s="64"/>
      <c r="N109" s="67"/>
      <c r="O109" s="66"/>
      <c r="P109" s="68"/>
    </row>
    <row r="110" ht="14.25" customHeight="1">
      <c r="A110" s="64">
        <v>112637.0</v>
      </c>
      <c r="B110" s="65" t="str">
        <f>VLOOKUP(A110,'FML March 2026'!E:F,2,false)</f>
        <v>TOBANJAN SAUCE CS12/17 OZ YOUKI</v>
      </c>
      <c r="C110" s="66" t="str">
        <f>VLOOKUP(A110,'Unit of Measure ship March 2026'!A:C,3,false)</f>
        <v>PKG1/KG</v>
      </c>
      <c r="E110" s="49"/>
      <c r="F110" s="9"/>
      <c r="G110" s="9"/>
      <c r="I110" s="49"/>
      <c r="J110" s="9"/>
      <c r="K110" s="9"/>
      <c r="M110" s="64"/>
      <c r="N110" s="67"/>
      <c r="O110" s="66"/>
      <c r="P110" s="68"/>
    </row>
    <row r="111" ht="14.25" customHeight="1">
      <c r="A111" s="64">
        <v>15060.0</v>
      </c>
      <c r="B111" s="65" t="str">
        <f>VLOOKUP(A111,'FML March 2026'!E:F,2,false)</f>
        <v>TOFU FIRM, TUB</v>
      </c>
      <c r="C111" s="66" t="str">
        <f>VLOOKUP(A111,'Unit of Measure ship March 2026'!A:C,3,false)</f>
        <v>PC/12OZ</v>
      </c>
      <c r="E111" s="49"/>
      <c r="F111" s="9"/>
      <c r="G111" s="9"/>
      <c r="I111" s="49"/>
      <c r="J111" s="9"/>
      <c r="K111" s="9"/>
      <c r="M111" s="64"/>
      <c r="N111" s="67"/>
      <c r="O111" s="66"/>
      <c r="P111" s="68"/>
    </row>
    <row r="112" ht="14.25" customHeight="1">
      <c r="A112" s="64">
        <v>101990.0</v>
      </c>
      <c r="B112" s="65" t="str">
        <f>VLOOKUP(A112,'FML March 2026'!E:F,2,false)</f>
        <v>TRUFFLE AESTIVUM-SUMMER PEELINGS HENRAS (FRANCE)</v>
      </c>
      <c r="C112" s="66" t="str">
        <f>VLOOKUP(A112,'Unit of Measure ship March 2026'!A:C,3,false)</f>
        <v>CAN/7OZ</v>
      </c>
      <c r="E112" s="49"/>
      <c r="F112" s="9"/>
      <c r="G112" s="9"/>
      <c r="I112" s="49"/>
      <c r="J112" s="9"/>
      <c r="K112" s="9"/>
      <c r="M112" s="64"/>
      <c r="N112" s="67"/>
      <c r="O112" s="66"/>
      <c r="P112" s="68"/>
    </row>
    <row r="113" ht="14.25" customHeight="1">
      <c r="A113" s="64">
        <v>109927.0</v>
      </c>
      <c r="B113" s="65" t="str">
        <f>VLOOKUP(A113,'FML March 2026'!E:F,2,false)</f>
        <v>VEGAN GROUND BEEF ALTERNATIVE IMPOSSIBLE BULK</v>
      </c>
      <c r="C113" s="66" t="str">
        <f>VLOOKUP(A113,'Unit of Measure ship March 2026'!A:C,3,false)</f>
        <v>LBS</v>
      </c>
      <c r="E113" s="49"/>
      <c r="F113" s="9"/>
      <c r="G113" s="9"/>
      <c r="I113" s="49"/>
      <c r="J113" s="9"/>
      <c r="K113" s="9"/>
      <c r="M113" s="64"/>
      <c r="N113" s="67"/>
      <c r="O113" s="66"/>
      <c r="P113" s="68"/>
    </row>
    <row r="114" ht="14.25" customHeight="1">
      <c r="A114" s="64">
        <v>79609.0</v>
      </c>
      <c r="B114" s="65" t="str">
        <f>VLOOKUP(A114,'FML March 2026'!E:F,2,false)</f>
        <v>VEGAN SUGAR ORGANIC (BONE CHAR FREE ) WHOLESOME</v>
      </c>
      <c r="C114" s="66" t="str">
        <f>VLOOKUP(A114,'Unit of Measure ship March 2026'!A:C,3,false)</f>
        <v>LBS</v>
      </c>
      <c r="E114" s="49"/>
      <c r="F114" s="9"/>
      <c r="G114" s="9"/>
      <c r="I114" s="49"/>
      <c r="J114" s="9"/>
      <c r="K114" s="9"/>
      <c r="M114" s="64"/>
      <c r="N114" s="67"/>
      <c r="O114" s="66"/>
      <c r="P114" s="68"/>
    </row>
    <row r="115" ht="14.25" customHeight="1">
      <c r="A115" s="64">
        <v>111933.0</v>
      </c>
      <c r="B115" s="65" t="str">
        <f>VLOOKUP(A115,'FML March 2026'!E:F,2,false)</f>
        <v>VEGETABLE STOCK LIQUID  CS 4.5/ LITER SAVORY CHOICE</v>
      </c>
      <c r="C115" s="66" t="str">
        <f>VLOOKUP(A115,'Unit of Measure ship March 2026'!A:C,3,false)</f>
        <v>LT</v>
      </c>
      <c r="E115" s="49"/>
      <c r="F115" s="9"/>
      <c r="G115" s="9"/>
      <c r="I115" s="49"/>
      <c r="J115" s="9"/>
      <c r="K115" s="9"/>
      <c r="M115" s="64"/>
      <c r="N115" s="67"/>
      <c r="O115" s="66"/>
      <c r="P115" s="68"/>
    </row>
    <row r="116" ht="14.25" customHeight="1">
      <c r="A116" s="64">
        <v>109665.0</v>
      </c>
      <c r="B116" s="65" t="str">
        <f>VLOOKUP(A116,'FML March 2026'!E:F,2,false)</f>
        <v>VINEGAR CABERNET SPARROW LANE</v>
      </c>
      <c r="C116" s="66" t="str">
        <f>VLOOKUP(A116,'Unit of Measure ship March 2026'!A:C,3,false)</f>
        <v>GAL</v>
      </c>
      <c r="E116" s="49"/>
      <c r="F116" s="9"/>
      <c r="G116" s="9"/>
      <c r="I116" s="49"/>
      <c r="J116" s="9"/>
      <c r="M116" s="64"/>
      <c r="N116" s="67"/>
      <c r="O116" s="66"/>
      <c r="P116" s="68"/>
    </row>
    <row r="117" ht="14.25" customHeight="1">
      <c r="A117" s="64">
        <v>109666.0</v>
      </c>
      <c r="B117" s="65" t="str">
        <f>VLOOKUP(A117,'FML March 2026'!E:F,2,false)</f>
        <v>VINEGAR CHAMPAGNE WINE SPARROW LANE/ PACKER</v>
      </c>
      <c r="C117" s="66" t="str">
        <f>VLOOKUP(A117,'Unit of Measure ship March 2026'!A:C,3,false)</f>
        <v>GAL</v>
      </c>
      <c r="E117" s="49"/>
      <c r="F117" s="9"/>
      <c r="I117" s="49"/>
      <c r="J117" s="9"/>
      <c r="M117" s="64"/>
      <c r="N117" s="67"/>
      <c r="O117" s="66"/>
      <c r="P117" s="68"/>
    </row>
    <row r="118" ht="14.25" customHeight="1">
      <c r="A118" s="64">
        <v>112015.0</v>
      </c>
      <c r="B118" s="65" t="str">
        <f>VLOOKUP(A118,'FML March 2026'!E:F,2,false)</f>
        <v>VINEGAR DARK BALSAMIC CS 4/1 GAL  SPARROW LANE</v>
      </c>
      <c r="C118" s="66" t="str">
        <f>VLOOKUP(A118,'Unit of Measure ship March 2026'!A:C,3,false)</f>
        <v>GAL</v>
      </c>
      <c r="E118" s="49"/>
      <c r="F118" s="9"/>
      <c r="I118" s="49"/>
      <c r="J118" s="9"/>
      <c r="M118" s="64"/>
      <c r="N118" s="67"/>
      <c r="O118" s="66"/>
      <c r="P118" s="68"/>
    </row>
    <row r="119" ht="14.25" customHeight="1">
      <c r="A119" s="64">
        <v>16402.0</v>
      </c>
      <c r="B119" s="65" t="str">
        <f>VLOOKUP(A119,'FML March 2026'!E:F,2,false)</f>
        <v>VINEGAR SHERRY/ XERES CS4/5 LT ROLAND</v>
      </c>
      <c r="C119" s="66" t="str">
        <f>VLOOKUP(A119,'Unit of Measure ship March 2026'!A:C,3,false)</f>
        <v>BT/750ML</v>
      </c>
      <c r="E119" s="49"/>
      <c r="F119" s="9"/>
      <c r="I119" s="49"/>
      <c r="J119" s="9"/>
      <c r="M119" s="64"/>
      <c r="N119" s="67"/>
      <c r="O119" s="66"/>
      <c r="P119" s="68"/>
    </row>
    <row r="120" ht="14.25" customHeight="1">
      <c r="A120" s="64">
        <v>10033.0</v>
      </c>
      <c r="B120" s="65" t="str">
        <f>VLOOKUP(A120,'FML March 2026'!E:F,2,false)</f>
        <v>VINEGAR, RED WINE VINEGAR</v>
      </c>
      <c r="C120" s="66" t="str">
        <f>VLOOKUP(A120,'Unit of Measure ship March 2026'!A:C,3,false)</f>
        <v>BTL/5LT</v>
      </c>
      <c r="E120" s="49"/>
      <c r="F120" s="9"/>
      <c r="I120" s="49"/>
      <c r="J120" s="9"/>
      <c r="M120" s="64"/>
      <c r="N120" s="67"/>
      <c r="O120" s="66"/>
      <c r="P120" s="68"/>
    </row>
    <row r="121" ht="14.25" customHeight="1">
      <c r="A121" s="64">
        <v>16413.0</v>
      </c>
      <c r="B121" s="65" t="str">
        <f>VLOOKUP(A121,'FML March 2026'!E:F,2,false)</f>
        <v>VINEGAR, RICE WINE, UNSEASONED, JUG</v>
      </c>
      <c r="C121" s="66" t="str">
        <f>VLOOKUP(A121,'Unit of Measure ship March 2026'!A:C,3,false)</f>
        <v>GAL</v>
      </c>
      <c r="E121" s="49"/>
      <c r="F121" s="9"/>
      <c r="I121" s="49"/>
      <c r="J121" s="9"/>
      <c r="M121" s="64"/>
      <c r="N121" s="67"/>
      <c r="O121" s="66"/>
      <c r="P121" s="68"/>
    </row>
    <row r="122" ht="14.25" customHeight="1">
      <c r="A122" s="64">
        <v>16374.0</v>
      </c>
      <c r="B122" s="65" t="str">
        <f>VLOOKUP(A122,'FML March 2026'!E:F,2,false)</f>
        <v>VINEGAR, WHITE DISTILLED</v>
      </c>
      <c r="C122" s="66" t="str">
        <f>VLOOKUP(A122,'Unit of Measure ship March 2026'!A:C,3,false)</f>
        <v>BTL/5LT</v>
      </c>
      <c r="E122" s="49"/>
      <c r="F122" s="9"/>
      <c r="I122" s="49"/>
      <c r="J122" s="9"/>
      <c r="M122" s="64"/>
      <c r="N122" s="67"/>
      <c r="O122" s="66"/>
      <c r="P122" s="68"/>
    </row>
    <row r="123" ht="14.25" customHeight="1">
      <c r="A123" s="64">
        <v>15802.0</v>
      </c>
      <c r="B123" s="65" t="str">
        <f>VLOOKUP(A123,'FML March 2026'!E:F,2,false)</f>
        <v>WALNUTS LARGE HALVES</v>
      </c>
      <c r="C123" s="66" t="str">
        <f>VLOOKUP(A123,'Unit of Measure ship March 2026'!A:C,3,false)</f>
        <v>LBS</v>
      </c>
      <c r="E123" s="49"/>
      <c r="F123" s="9"/>
      <c r="I123" s="49"/>
      <c r="J123" s="9"/>
      <c r="M123" s="64"/>
      <c r="N123" s="67"/>
      <c r="O123" s="66"/>
      <c r="P123" s="68"/>
    </row>
    <row r="124" ht="14.25" customHeight="1">
      <c r="A124" s="64">
        <v>16387.0</v>
      </c>
      <c r="B124" s="65" t="str">
        <f>VLOOKUP(A124,'FML March 2026'!E:F,2,false)</f>
        <v>WHITE TRUFFLE OIL</v>
      </c>
      <c r="C124" s="66" t="str">
        <f>VLOOKUP(A124,'Unit of Measure ship March 2026'!A:C,3,false)</f>
        <v>BT/250ML</v>
      </c>
      <c r="E124" s="49"/>
      <c r="F124" s="9"/>
      <c r="I124" s="49"/>
      <c r="J124" s="9"/>
      <c r="M124" s="64"/>
      <c r="N124" s="67"/>
      <c r="O124" s="66"/>
      <c r="P124" s="68"/>
    </row>
    <row r="125" ht="14.25" customHeight="1">
      <c r="A125" s="64">
        <v>15239.0</v>
      </c>
      <c r="B125" s="65" t="str">
        <f>VLOOKUP(A125,'FML March 2026'!E:F,2,false)</f>
        <v>WONTON WRAPPERS, SQUARE, FRZN</v>
      </c>
      <c r="C125" s="66" t="str">
        <f>VLOOKUP(A125,'Unit of Measure ship March 2026'!A:C,3,false)</f>
        <v>LBS</v>
      </c>
      <c r="E125" s="49"/>
      <c r="F125" s="9"/>
      <c r="I125" s="49"/>
      <c r="J125" s="9"/>
      <c r="M125" s="64"/>
      <c r="N125" s="67"/>
      <c r="O125" s="66"/>
      <c r="P125" s="68"/>
    </row>
    <row r="126" ht="14.25" customHeight="1">
      <c r="A126" s="72">
        <v>149548.0</v>
      </c>
      <c r="B126" s="65" t="str">
        <f>VLOOKUP(A126,'FML March 2026'!E:F,2,false)</f>
        <v>WRAPPERS, WONTON HONG KONG</v>
      </c>
      <c r="C126" s="66" t="str">
        <f>VLOOKUP(A126,'Unit of Measure ship March 2026'!A:C,3,false)</f>
        <v>LBS</v>
      </c>
      <c r="E126" s="49"/>
      <c r="F126" s="9"/>
      <c r="I126" s="49"/>
      <c r="J126" s="9"/>
      <c r="M126" s="64"/>
      <c r="N126" s="70"/>
      <c r="O126" s="66"/>
      <c r="P126" s="68"/>
    </row>
    <row r="127" ht="14.25" customHeight="1">
      <c r="A127" s="64">
        <v>109846.0</v>
      </c>
      <c r="B127" s="65" t="str">
        <f>VLOOKUP(A127,'FML March 2026'!E:F,2,false)</f>
        <v>YOGURT GREEK BULK</v>
      </c>
      <c r="C127" s="66" t="str">
        <f>VLOOKUP(A127,'Unit of Measure ship March 2026'!A:C,3,false)</f>
        <v>LBS</v>
      </c>
      <c r="E127" s="49"/>
      <c r="F127" s="9"/>
      <c r="I127" s="49"/>
      <c r="J127" s="9"/>
      <c r="M127" s="73"/>
      <c r="N127" s="74"/>
      <c r="O127" s="68"/>
      <c r="P127" s="68"/>
    </row>
    <row r="128" ht="14.25" customHeight="1">
      <c r="A128" s="49"/>
      <c r="B128" s="9"/>
      <c r="E128" s="49"/>
      <c r="F128" s="9"/>
      <c r="I128" s="49"/>
      <c r="J128" s="9"/>
      <c r="M128" s="71"/>
      <c r="N128" s="75"/>
      <c r="O128" s="68"/>
      <c r="P128" s="68"/>
    </row>
    <row r="129" ht="14.25" customHeight="1">
      <c r="A129" s="49"/>
      <c r="B129" s="9"/>
      <c r="E129" s="49"/>
      <c r="F129" s="9"/>
      <c r="I129" s="49"/>
      <c r="J129" s="9"/>
      <c r="M129" s="76"/>
      <c r="N129" s="76"/>
      <c r="O129" s="76"/>
      <c r="P129" s="76"/>
    </row>
    <row r="130" ht="14.25" customHeight="1">
      <c r="A130" s="49"/>
      <c r="B130" s="9"/>
      <c r="E130" s="49"/>
      <c r="F130" s="9"/>
      <c r="I130" s="49"/>
      <c r="J130" s="9"/>
      <c r="P130" s="76"/>
    </row>
    <row r="131" ht="14.25" customHeight="1">
      <c r="B131" s="7"/>
      <c r="E131" s="49"/>
      <c r="F131" s="9"/>
      <c r="I131" s="49"/>
      <c r="J131" s="9"/>
      <c r="P131" s="76"/>
    </row>
    <row r="132" ht="14.25" customHeight="1">
      <c r="A132" s="49"/>
      <c r="B132" s="9"/>
      <c r="E132" s="49"/>
      <c r="F132" s="9"/>
      <c r="I132" s="49"/>
      <c r="J132" s="9"/>
      <c r="P132" s="76"/>
    </row>
    <row r="133" ht="14.25" customHeight="1">
      <c r="A133" s="49"/>
      <c r="B133" s="9"/>
      <c r="E133" s="49"/>
      <c r="F133" s="9"/>
      <c r="I133" s="49"/>
      <c r="J133" s="9"/>
      <c r="P133" s="76"/>
    </row>
    <row r="134" ht="15.75" customHeight="1">
      <c r="A134" s="49"/>
      <c r="B134" s="9"/>
      <c r="E134" s="49"/>
      <c r="F134" s="9"/>
      <c r="I134" s="49"/>
      <c r="J134" s="9"/>
      <c r="P134" s="76"/>
    </row>
    <row r="135" ht="15.75" customHeight="1">
      <c r="A135" s="49"/>
      <c r="B135" s="9"/>
      <c r="E135" s="49"/>
      <c r="F135" s="9"/>
      <c r="I135" s="49"/>
      <c r="J135" s="9"/>
      <c r="P135" s="76"/>
    </row>
    <row r="136" ht="15.75" customHeight="1">
      <c r="A136" s="49"/>
      <c r="B136" s="9"/>
      <c r="E136" s="49"/>
      <c r="F136" s="9"/>
      <c r="I136" s="49"/>
      <c r="J136" s="9"/>
      <c r="P136" s="76"/>
    </row>
    <row r="137" ht="15.75" customHeight="1">
      <c r="A137" s="49"/>
      <c r="B137" s="9"/>
      <c r="E137" s="49"/>
      <c r="F137" s="9"/>
      <c r="I137" s="49"/>
      <c r="J137" s="9"/>
      <c r="P137" s="76"/>
    </row>
    <row r="138" ht="15.75" customHeight="1">
      <c r="A138" s="49"/>
      <c r="B138" s="9"/>
      <c r="E138" s="49"/>
      <c r="F138" s="9"/>
      <c r="I138" s="49"/>
      <c r="J138" s="9"/>
      <c r="P138" s="76"/>
    </row>
    <row r="139" ht="15.75" customHeight="1">
      <c r="A139" s="49"/>
      <c r="B139" s="9"/>
      <c r="E139" s="49"/>
      <c r="F139" s="9"/>
      <c r="I139" s="49"/>
      <c r="J139" s="9"/>
      <c r="P139" s="76"/>
    </row>
    <row r="140" ht="15.75" customHeight="1">
      <c r="A140" s="49"/>
      <c r="B140" s="9"/>
      <c r="E140" s="49"/>
      <c r="F140" s="9"/>
      <c r="I140" s="49"/>
      <c r="J140" s="9"/>
      <c r="P140" s="76"/>
    </row>
    <row r="141" ht="15.75" customHeight="1">
      <c r="A141" s="49"/>
      <c r="B141" s="9"/>
      <c r="E141" s="49"/>
      <c r="F141" s="9"/>
      <c r="I141" s="49"/>
      <c r="J141" s="9"/>
      <c r="P141" s="76"/>
    </row>
    <row r="142" ht="15.75" customHeight="1">
      <c r="A142" s="49"/>
      <c r="B142" s="9"/>
      <c r="E142" s="49"/>
      <c r="F142" s="9"/>
      <c r="I142" s="49"/>
      <c r="J142" s="9"/>
      <c r="P142" s="76"/>
    </row>
    <row r="143" ht="15.75" customHeight="1">
      <c r="A143" s="49"/>
      <c r="B143" s="9"/>
      <c r="E143" s="49"/>
      <c r="F143" s="9"/>
      <c r="I143" s="49"/>
      <c r="J143" s="9"/>
      <c r="P143" s="76"/>
    </row>
    <row r="144" ht="15.75" customHeight="1">
      <c r="A144" s="49"/>
      <c r="B144" s="9"/>
      <c r="E144" s="49"/>
      <c r="F144" s="9"/>
      <c r="I144" s="49"/>
      <c r="J144" s="9"/>
      <c r="P144" s="76"/>
    </row>
    <row r="145" ht="15.75" customHeight="1">
      <c r="A145" s="49"/>
      <c r="B145" s="9"/>
      <c r="E145" s="49"/>
      <c r="F145" s="9"/>
      <c r="I145" s="49"/>
      <c r="J145" s="9"/>
      <c r="P145" s="76"/>
    </row>
    <row r="146" ht="15.75" customHeight="1">
      <c r="A146" s="49"/>
      <c r="B146" s="9"/>
      <c r="E146" s="49"/>
      <c r="F146" s="9"/>
      <c r="I146" s="49"/>
      <c r="J146" s="9"/>
      <c r="P146" s="76"/>
    </row>
    <row r="147" ht="15.75" customHeight="1">
      <c r="A147" s="49"/>
      <c r="B147" s="9"/>
      <c r="E147" s="49"/>
      <c r="F147" s="9"/>
      <c r="I147" s="49"/>
      <c r="J147" s="9"/>
      <c r="P147" s="76"/>
    </row>
    <row r="148" ht="15.75" customHeight="1">
      <c r="A148" s="49"/>
      <c r="B148" s="9"/>
      <c r="E148" s="49"/>
      <c r="F148" s="9"/>
      <c r="I148" s="49"/>
      <c r="J148" s="9"/>
      <c r="P148" s="76"/>
    </row>
    <row r="149" ht="15.75" customHeight="1">
      <c r="A149" s="49"/>
      <c r="B149" s="9"/>
      <c r="E149" s="49"/>
      <c r="F149" s="9"/>
      <c r="I149" s="49"/>
      <c r="J149" s="9"/>
      <c r="P149" s="76"/>
    </row>
    <row r="150" ht="15.75" customHeight="1">
      <c r="A150" s="49"/>
      <c r="B150" s="9"/>
      <c r="E150" s="49"/>
      <c r="F150" s="9"/>
      <c r="I150" s="49"/>
      <c r="J150" s="9"/>
      <c r="P150" s="76"/>
    </row>
    <row r="151" ht="15.75" customHeight="1">
      <c r="A151" s="49"/>
      <c r="B151" s="9"/>
      <c r="E151" s="49"/>
      <c r="F151" s="9"/>
      <c r="I151" s="49"/>
      <c r="J151" s="9"/>
      <c r="P151" s="76"/>
    </row>
    <row r="152" ht="15.75" customHeight="1">
      <c r="A152" s="49"/>
      <c r="B152" s="9"/>
      <c r="E152" s="49"/>
      <c r="F152" s="9"/>
      <c r="I152" s="49"/>
      <c r="J152" s="9"/>
      <c r="P152" s="76"/>
    </row>
    <row r="153" ht="15.75" customHeight="1">
      <c r="A153" s="49"/>
      <c r="B153" s="9"/>
      <c r="E153" s="49"/>
      <c r="F153" s="9"/>
      <c r="I153" s="49"/>
      <c r="J153" s="9"/>
      <c r="P153" s="76"/>
    </row>
    <row r="154" ht="15.75" customHeight="1">
      <c r="A154" s="49"/>
      <c r="B154" s="9"/>
      <c r="E154" s="49"/>
      <c r="F154" s="9"/>
      <c r="I154" s="49"/>
      <c r="J154" s="9"/>
      <c r="P154" s="76"/>
    </row>
    <row r="155" ht="15.75" customHeight="1">
      <c r="A155" s="49"/>
      <c r="B155" s="9"/>
      <c r="E155" s="49"/>
      <c r="F155" s="9"/>
      <c r="I155" s="49"/>
      <c r="J155" s="9"/>
      <c r="P155" s="76"/>
    </row>
    <row r="156" ht="15.75" customHeight="1">
      <c r="A156" s="49"/>
      <c r="B156" s="9"/>
      <c r="E156" s="49"/>
      <c r="F156" s="9"/>
      <c r="I156" s="49"/>
      <c r="J156" s="9"/>
      <c r="P156" s="76"/>
    </row>
    <row r="157" ht="15.75" customHeight="1">
      <c r="A157" s="49"/>
      <c r="B157" s="9"/>
      <c r="E157" s="49"/>
      <c r="F157" s="9"/>
      <c r="I157" s="49"/>
      <c r="J157" s="9"/>
      <c r="P157" s="76"/>
    </row>
    <row r="158" ht="15.75" customHeight="1">
      <c r="A158" s="49"/>
      <c r="B158" s="9"/>
      <c r="E158" s="49"/>
      <c r="F158" s="9"/>
      <c r="I158" s="49"/>
      <c r="J158" s="9"/>
      <c r="P158" s="76"/>
    </row>
    <row r="159" ht="15.75" customHeight="1">
      <c r="A159" s="49"/>
      <c r="B159" s="9"/>
      <c r="E159" s="49"/>
      <c r="F159" s="9"/>
      <c r="I159" s="49"/>
      <c r="J159" s="9"/>
      <c r="P159" s="76"/>
    </row>
    <row r="160" ht="15.75" customHeight="1">
      <c r="A160" s="49"/>
      <c r="B160" s="9"/>
      <c r="E160" s="49"/>
      <c r="F160" s="9"/>
      <c r="J160" s="9"/>
      <c r="P160" s="76"/>
    </row>
    <row r="161" ht="15.75" customHeight="1">
      <c r="A161" s="49"/>
      <c r="B161" s="9"/>
      <c r="F161" s="9"/>
      <c r="J161" s="9"/>
      <c r="P161" s="76"/>
    </row>
    <row r="162" ht="15.75" customHeight="1">
      <c r="B162" s="9"/>
      <c r="F162" s="9"/>
      <c r="J162" s="9"/>
      <c r="P162" s="76"/>
    </row>
    <row r="163" ht="15.75" customHeight="1">
      <c r="B163" s="9"/>
      <c r="F163" s="9"/>
      <c r="J163" s="9"/>
      <c r="P163" s="76"/>
    </row>
    <row r="164" ht="15.75" customHeight="1">
      <c r="B164" s="9"/>
      <c r="F164" s="9"/>
      <c r="J164" s="9"/>
      <c r="P164" s="76"/>
    </row>
    <row r="165" ht="15.75" customHeight="1">
      <c r="B165" s="9"/>
      <c r="F165" s="9"/>
      <c r="J165" s="9"/>
      <c r="P165" s="76"/>
    </row>
    <row r="166" ht="15.75" customHeight="1">
      <c r="B166" s="9"/>
      <c r="F166" s="9"/>
      <c r="I166" s="49"/>
      <c r="J166" s="9"/>
      <c r="P166" s="76"/>
    </row>
    <row r="167" ht="15.75" customHeight="1">
      <c r="B167" s="9"/>
      <c r="E167" s="49"/>
      <c r="F167" s="9"/>
      <c r="I167" s="57"/>
      <c r="J167" s="9"/>
      <c r="P167" s="76"/>
    </row>
    <row r="168" ht="15.75" customHeight="1">
      <c r="A168" s="49"/>
      <c r="B168" s="9"/>
      <c r="E168" s="57"/>
      <c r="F168" s="9"/>
      <c r="P168" s="76"/>
    </row>
    <row r="169" ht="15.75" customHeight="1">
      <c r="A169" s="57"/>
      <c r="B169" s="9"/>
      <c r="P169" s="76"/>
    </row>
    <row r="170" ht="15.75" customHeight="1">
      <c r="P170" s="76"/>
    </row>
    <row r="171" ht="15.75" customHeight="1">
      <c r="P171" s="76"/>
    </row>
    <row r="172" ht="15.75" customHeight="1">
      <c r="P172" s="76"/>
    </row>
    <row r="173" ht="15.75" customHeight="1">
      <c r="P173" s="76"/>
    </row>
    <row r="174" ht="15.75" customHeight="1">
      <c r="P174" s="76"/>
    </row>
    <row r="175" ht="15.75" customHeight="1">
      <c r="P175" s="76"/>
    </row>
    <row r="176" ht="15.75" customHeight="1">
      <c r="P176" s="76"/>
    </row>
    <row r="177" ht="15.75" customHeight="1">
      <c r="P177" s="76"/>
    </row>
    <row r="178" ht="15.75" customHeight="1">
      <c r="P178" s="76"/>
    </row>
    <row r="179" ht="15.75" customHeight="1">
      <c r="P179" s="76"/>
    </row>
    <row r="180" ht="15.75" customHeight="1">
      <c r="P180" s="76"/>
    </row>
    <row r="181" ht="15.75" customHeight="1">
      <c r="P181" s="76"/>
    </row>
    <row r="182" ht="15.75" customHeight="1">
      <c r="P182" s="76"/>
    </row>
    <row r="183" ht="15.75" customHeight="1">
      <c r="P183" s="76"/>
    </row>
    <row r="184" ht="15.75" customHeight="1">
      <c r="P184" s="76"/>
    </row>
    <row r="185" ht="15.75" customHeight="1">
      <c r="P185" s="76"/>
    </row>
    <row r="186" ht="15.75" customHeight="1">
      <c r="P186" s="76"/>
    </row>
    <row r="187" ht="15.75" customHeight="1">
      <c r="P187" s="76"/>
    </row>
    <row r="188" ht="15.75" customHeight="1">
      <c r="P188" s="76"/>
    </row>
    <row r="189" ht="15.75" customHeight="1">
      <c r="P189" s="76"/>
    </row>
    <row r="190" ht="15.75" customHeight="1">
      <c r="P190" s="76"/>
    </row>
    <row r="191" ht="15.75" customHeight="1">
      <c r="P191" s="76"/>
    </row>
    <row r="192" ht="15.75" customHeight="1">
      <c r="P192" s="76"/>
    </row>
    <row r="193" ht="15.75" customHeight="1">
      <c r="P193" s="76"/>
    </row>
    <row r="194" ht="15.75" customHeight="1">
      <c r="P194" s="76"/>
    </row>
    <row r="195" ht="15.75" customHeight="1">
      <c r="P195" s="76"/>
    </row>
    <row r="196" ht="15.75" customHeight="1">
      <c r="P196" s="76"/>
    </row>
    <row r="197" ht="15.75" customHeight="1">
      <c r="P197" s="76"/>
    </row>
    <row r="198" ht="15.75" customHeight="1">
      <c r="P198" s="76"/>
    </row>
    <row r="199" ht="15.75" customHeight="1">
      <c r="P199" s="76"/>
    </row>
    <row r="200" ht="15.75" customHeight="1">
      <c r="P200" s="76"/>
    </row>
    <row r="201" ht="15.75" customHeight="1">
      <c r="P201" s="76"/>
    </row>
    <row r="202" ht="15.75" customHeight="1">
      <c r="P202" s="76"/>
    </row>
    <row r="203" ht="15.75" customHeight="1">
      <c r="P203" s="76"/>
    </row>
    <row r="204" ht="15.75" customHeight="1">
      <c r="P204" s="76"/>
    </row>
    <row r="205" ht="15.75" customHeight="1">
      <c r="P205" s="76"/>
    </row>
    <row r="206" ht="15.75" customHeight="1">
      <c r="P206" s="76"/>
    </row>
    <row r="207" ht="15.75" customHeight="1">
      <c r="P207" s="76"/>
    </row>
    <row r="208" ht="15.75" customHeight="1">
      <c r="P208" s="76"/>
    </row>
    <row r="209" ht="15.75" customHeight="1">
      <c r="P209" s="76"/>
    </row>
    <row r="210" ht="15.75" customHeight="1">
      <c r="P210" s="76"/>
    </row>
    <row r="211" ht="15.75" customHeight="1">
      <c r="P211" s="76"/>
    </row>
    <row r="212" ht="15.75" customHeight="1">
      <c r="P212" s="76"/>
    </row>
    <row r="213" ht="15.75" customHeight="1">
      <c r="P213" s="76"/>
    </row>
    <row r="214" ht="15.75" customHeight="1">
      <c r="P214" s="76"/>
    </row>
    <row r="215" ht="15.75" customHeight="1">
      <c r="P215" s="76"/>
    </row>
    <row r="216" ht="15.75" customHeight="1">
      <c r="P216" s="76"/>
    </row>
    <row r="217" ht="15.75" customHeight="1">
      <c r="P217" s="76"/>
    </row>
    <row r="218" ht="15.75" customHeight="1">
      <c r="P218" s="76"/>
    </row>
    <row r="219" ht="15.75" customHeight="1">
      <c r="P219" s="76"/>
    </row>
    <row r="220" ht="15.75" customHeight="1">
      <c r="P220" s="76"/>
    </row>
    <row r="221" ht="15.75" customHeight="1">
      <c r="P221" s="76"/>
    </row>
    <row r="222" ht="15.75" customHeight="1">
      <c r="P222" s="76"/>
    </row>
    <row r="223" ht="15.75" customHeight="1">
      <c r="P223" s="76"/>
    </row>
    <row r="224" ht="15.75" customHeight="1">
      <c r="P224" s="76"/>
    </row>
    <row r="225" ht="15.75" customHeight="1">
      <c r="P225" s="76"/>
    </row>
    <row r="226" ht="15.75" customHeight="1">
      <c r="P226" s="76"/>
    </row>
    <row r="227" ht="15.75" customHeight="1">
      <c r="P227" s="76"/>
    </row>
    <row r="228" ht="15.75" customHeight="1">
      <c r="P228" s="76"/>
    </row>
    <row r="229" ht="15.75" customHeight="1">
      <c r="P229" s="76"/>
    </row>
    <row r="230" ht="15.75" customHeight="1">
      <c r="P230" s="76"/>
    </row>
    <row r="231" ht="15.75" customHeight="1">
      <c r="P231" s="76"/>
    </row>
    <row r="232" ht="15.75" customHeight="1">
      <c r="P232" s="76"/>
    </row>
    <row r="233" ht="15.75" customHeight="1">
      <c r="P233" s="76"/>
    </row>
    <row r="234" ht="15.75" customHeight="1">
      <c r="P234" s="76"/>
    </row>
    <row r="235" ht="15.75" customHeight="1">
      <c r="P235" s="76"/>
    </row>
    <row r="236" ht="15.75" customHeight="1">
      <c r="P236" s="76"/>
    </row>
    <row r="237" ht="15.75" customHeight="1">
      <c r="P237" s="76"/>
    </row>
    <row r="238" ht="15.75" customHeight="1">
      <c r="P238" s="76"/>
    </row>
    <row r="239" ht="15.75" customHeight="1">
      <c r="P239" s="76"/>
    </row>
    <row r="240" ht="15.75" customHeight="1">
      <c r="P240" s="76"/>
    </row>
    <row r="241" ht="15.75" customHeight="1">
      <c r="P241" s="76"/>
    </row>
    <row r="242" ht="15.75" customHeight="1">
      <c r="P242" s="76"/>
    </row>
    <row r="243" ht="15.75" customHeight="1">
      <c r="P243" s="76"/>
    </row>
    <row r="244" ht="15.75" customHeight="1">
      <c r="P244" s="76"/>
    </row>
    <row r="245" ht="15.75" customHeight="1">
      <c r="P245" s="76"/>
    </row>
    <row r="246" ht="15.75" customHeight="1">
      <c r="P246" s="76"/>
    </row>
    <row r="247" ht="15.75" customHeight="1">
      <c r="P247" s="76"/>
    </row>
    <row r="248" ht="15.75" customHeight="1">
      <c r="P248" s="76"/>
    </row>
    <row r="249" ht="15.75" customHeight="1">
      <c r="P249" s="76"/>
    </row>
    <row r="250" ht="15.75" customHeight="1">
      <c r="P250" s="76"/>
    </row>
    <row r="251" ht="15.75" customHeight="1">
      <c r="P251" s="76"/>
    </row>
    <row r="252" ht="15.75" customHeight="1">
      <c r="P252" s="76"/>
    </row>
    <row r="253" ht="15.75" customHeight="1">
      <c r="P253" s="76"/>
    </row>
    <row r="254" ht="15.75" customHeight="1">
      <c r="P254" s="76"/>
    </row>
    <row r="255" ht="15.75" customHeight="1">
      <c r="P255" s="76"/>
    </row>
    <row r="256" ht="15.75" customHeight="1">
      <c r="P256" s="76"/>
    </row>
    <row r="257" ht="15.75" customHeight="1">
      <c r="P257" s="76"/>
    </row>
    <row r="258" ht="15.75" customHeight="1">
      <c r="P258" s="76"/>
    </row>
    <row r="259" ht="15.75" customHeight="1">
      <c r="P259" s="76"/>
    </row>
    <row r="260" ht="15.75" customHeight="1">
      <c r="P260" s="76"/>
    </row>
    <row r="261" ht="15.75" customHeight="1">
      <c r="P261" s="76"/>
    </row>
    <row r="262" ht="15.75" customHeight="1">
      <c r="P262" s="76"/>
    </row>
    <row r="263" ht="15.75" customHeight="1">
      <c r="P263" s="76"/>
    </row>
    <row r="264" ht="15.75" customHeight="1">
      <c r="P264" s="76"/>
    </row>
    <row r="265" ht="15.75" customHeight="1">
      <c r="P265" s="76"/>
    </row>
    <row r="266" ht="15.75" customHeight="1">
      <c r="P266" s="76"/>
    </row>
    <row r="267" ht="15.75" customHeight="1">
      <c r="P267" s="76"/>
    </row>
    <row r="268" ht="15.75" customHeight="1">
      <c r="P268" s="76"/>
    </row>
    <row r="269" ht="15.75" customHeight="1">
      <c r="P269" s="76"/>
    </row>
    <row r="270" ht="15.75" customHeight="1">
      <c r="P270" s="76"/>
    </row>
    <row r="271" ht="15.75" customHeight="1">
      <c r="P271" s="76"/>
    </row>
    <row r="272" ht="15.75" customHeight="1">
      <c r="P272" s="76"/>
    </row>
    <row r="273" ht="15.75" customHeight="1">
      <c r="P273" s="76"/>
    </row>
    <row r="274" ht="15.75" customHeight="1">
      <c r="P274" s="76"/>
    </row>
    <row r="275" ht="15.75" customHeight="1">
      <c r="P275" s="76"/>
    </row>
    <row r="276" ht="15.75" customHeight="1">
      <c r="P276" s="76"/>
    </row>
    <row r="277" ht="15.75" customHeight="1">
      <c r="P277" s="76"/>
    </row>
    <row r="278" ht="15.75" customHeight="1">
      <c r="P278" s="76"/>
    </row>
    <row r="279" ht="15.75" customHeight="1">
      <c r="P279" s="76"/>
    </row>
    <row r="280" ht="15.75" customHeight="1">
      <c r="P280" s="76"/>
    </row>
    <row r="281" ht="15.75" customHeight="1">
      <c r="P281" s="76"/>
    </row>
    <row r="282" ht="15.75" customHeight="1">
      <c r="P282" s="76"/>
    </row>
    <row r="283" ht="15.75" customHeight="1">
      <c r="P283" s="76"/>
    </row>
    <row r="284" ht="15.75" customHeight="1">
      <c r="P284" s="76"/>
    </row>
    <row r="285" ht="15.75" customHeight="1">
      <c r="P285" s="76"/>
    </row>
    <row r="286" ht="15.75" customHeight="1">
      <c r="P286" s="76"/>
    </row>
    <row r="287" ht="15.75" customHeight="1">
      <c r="P287" s="76"/>
    </row>
    <row r="288" ht="15.75" customHeight="1">
      <c r="P288" s="76"/>
    </row>
    <row r="289" ht="15.75" customHeight="1">
      <c r="P289" s="76"/>
    </row>
    <row r="290" ht="15.75" customHeight="1">
      <c r="P290" s="76"/>
    </row>
    <row r="291" ht="15.75" customHeight="1">
      <c r="P291" s="76"/>
    </row>
    <row r="292" ht="15.75" customHeight="1">
      <c r="P292" s="76"/>
    </row>
    <row r="293" ht="15.75" customHeight="1">
      <c r="P293" s="76"/>
    </row>
    <row r="294" ht="15.75" customHeight="1">
      <c r="P294" s="76"/>
    </row>
    <row r="295" ht="15.75" customHeight="1">
      <c r="P295" s="76"/>
    </row>
    <row r="296" ht="15.75" customHeight="1">
      <c r="P296" s="76"/>
    </row>
    <row r="297" ht="15.75" customHeight="1">
      <c r="P297" s="76"/>
    </row>
    <row r="298" ht="15.75" customHeight="1">
      <c r="P298" s="76"/>
    </row>
    <row r="299" ht="15.75" customHeight="1">
      <c r="P299" s="76"/>
    </row>
    <row r="300" ht="15.75" customHeight="1">
      <c r="P300" s="76"/>
    </row>
    <row r="301" ht="15.75" customHeight="1">
      <c r="P301" s="76"/>
    </row>
    <row r="302" ht="15.75" customHeight="1">
      <c r="P302" s="76"/>
    </row>
    <row r="303" ht="15.75" customHeight="1">
      <c r="P303" s="76"/>
    </row>
    <row r="304" ht="15.75" customHeight="1">
      <c r="P304" s="76"/>
    </row>
    <row r="305" ht="15.75" customHeight="1">
      <c r="P305" s="76"/>
    </row>
    <row r="306" ht="15.75" customHeight="1">
      <c r="P306" s="76"/>
    </row>
    <row r="307" ht="15.75" customHeight="1">
      <c r="P307" s="76"/>
    </row>
    <row r="308" ht="15.75" customHeight="1">
      <c r="P308" s="76"/>
    </row>
    <row r="309" ht="15.75" customHeight="1">
      <c r="P309" s="76"/>
    </row>
    <row r="310" ht="15.75" customHeight="1">
      <c r="P310" s="76"/>
    </row>
    <row r="311" ht="15.75" customHeight="1">
      <c r="P311" s="76"/>
    </row>
    <row r="312" ht="15.75" customHeight="1">
      <c r="P312" s="76"/>
    </row>
    <row r="313" ht="15.75" customHeight="1">
      <c r="P313" s="76"/>
    </row>
    <row r="314" ht="15.75" customHeight="1">
      <c r="P314" s="76"/>
    </row>
    <row r="315" ht="15.75" customHeight="1">
      <c r="P315" s="76"/>
    </row>
    <row r="316" ht="15.75" customHeight="1">
      <c r="P316" s="76"/>
    </row>
    <row r="317" ht="15.75" customHeight="1">
      <c r="P317" s="76"/>
    </row>
    <row r="318" ht="15.75" customHeight="1">
      <c r="P318" s="76"/>
    </row>
    <row r="319" ht="15.75" customHeight="1">
      <c r="P319" s="76"/>
    </row>
    <row r="320" ht="15.75" customHeight="1">
      <c r="P320" s="76"/>
    </row>
    <row r="321" ht="15.75" customHeight="1">
      <c r="P321" s="76"/>
    </row>
    <row r="322" ht="15.75" customHeight="1">
      <c r="P322" s="76"/>
    </row>
    <row r="323" ht="15.75" customHeight="1">
      <c r="P323" s="76"/>
    </row>
    <row r="324" ht="15.75" customHeight="1">
      <c r="P324" s="76"/>
    </row>
    <row r="325" ht="15.75" customHeight="1">
      <c r="P325" s="76"/>
    </row>
    <row r="326" ht="15.75" customHeight="1">
      <c r="P326" s="76"/>
    </row>
    <row r="327" ht="15.75" customHeight="1">
      <c r="P327" s="76"/>
    </row>
    <row r="328" ht="15.75" customHeight="1">
      <c r="P328" s="76"/>
    </row>
    <row r="329" ht="15.75" customHeight="1">
      <c r="P329" s="76"/>
    </row>
    <row r="330" ht="15.75" customHeight="1">
      <c r="P330" s="76"/>
    </row>
    <row r="331" ht="15.75" customHeight="1">
      <c r="P331" s="76"/>
    </row>
    <row r="332" ht="15.75" customHeight="1">
      <c r="P332" s="76"/>
    </row>
    <row r="333" ht="15.75" customHeight="1">
      <c r="P333" s="76"/>
    </row>
    <row r="334" ht="15.75" customHeight="1">
      <c r="P334" s="76"/>
    </row>
    <row r="335" ht="15.75" customHeight="1">
      <c r="P335" s="76"/>
    </row>
    <row r="336" ht="15.75" customHeight="1">
      <c r="P336" s="76"/>
    </row>
    <row r="337" ht="15.75" customHeight="1">
      <c r="P337" s="76"/>
    </row>
    <row r="338" ht="15.75" customHeight="1">
      <c r="P338" s="76"/>
    </row>
    <row r="339" ht="15.75" customHeight="1">
      <c r="P339" s="76"/>
    </row>
    <row r="340" ht="15.75" customHeight="1">
      <c r="P340" s="76"/>
    </row>
    <row r="341" ht="15.75" customHeight="1">
      <c r="P341" s="76"/>
    </row>
    <row r="342" ht="15.75" customHeight="1">
      <c r="P342" s="76"/>
    </row>
    <row r="343" ht="15.75" customHeight="1">
      <c r="P343" s="76"/>
    </row>
    <row r="344" ht="15.75" customHeight="1">
      <c r="P344" s="76"/>
    </row>
    <row r="345" ht="15.75" customHeight="1">
      <c r="P345" s="76"/>
    </row>
    <row r="346" ht="15.75" customHeight="1">
      <c r="P346" s="76"/>
    </row>
    <row r="347" ht="15.75" customHeight="1">
      <c r="P347" s="76"/>
    </row>
    <row r="348" ht="15.75" customHeight="1">
      <c r="P348" s="76"/>
    </row>
    <row r="349" ht="15.75" customHeight="1">
      <c r="P349" s="76"/>
    </row>
    <row r="350" ht="15.75" customHeight="1">
      <c r="P350" s="76"/>
    </row>
    <row r="351" ht="15.75" customHeight="1">
      <c r="P351" s="76"/>
    </row>
    <row r="352" ht="15.75" customHeight="1">
      <c r="P352" s="76"/>
    </row>
    <row r="353" ht="15.75" customHeight="1">
      <c r="P353" s="76"/>
    </row>
    <row r="354" ht="15.75" customHeight="1">
      <c r="P354" s="76"/>
    </row>
    <row r="355" ht="15.75" customHeight="1">
      <c r="P355" s="76"/>
    </row>
    <row r="356" ht="15.75" customHeight="1">
      <c r="P356" s="76"/>
    </row>
    <row r="357" ht="15.75" customHeight="1">
      <c r="P357" s="76"/>
    </row>
    <row r="358" ht="15.75" customHeight="1">
      <c r="P358" s="76"/>
    </row>
    <row r="359" ht="15.75" customHeight="1">
      <c r="P359" s="76"/>
    </row>
    <row r="360" ht="15.75" customHeight="1">
      <c r="P360" s="76"/>
    </row>
    <row r="361" ht="15.75" customHeight="1">
      <c r="P361" s="76"/>
    </row>
    <row r="362" ht="15.75" customHeight="1">
      <c r="P362" s="76"/>
    </row>
    <row r="363" ht="15.75" customHeight="1">
      <c r="P363" s="76"/>
    </row>
    <row r="364" ht="15.75" customHeight="1">
      <c r="P364" s="76"/>
    </row>
    <row r="365" ht="15.75" customHeight="1">
      <c r="P365" s="76"/>
    </row>
    <row r="366" ht="15.75" customHeight="1">
      <c r="P366" s="76"/>
    </row>
    <row r="367" ht="15.75" customHeight="1">
      <c r="P367" s="76"/>
    </row>
    <row r="368" ht="15.75" customHeight="1">
      <c r="P368" s="76"/>
    </row>
    <row r="369" ht="15.75" customHeight="1">
      <c r="P369" s="76"/>
    </row>
    <row r="370" ht="15.75" customHeight="1">
      <c r="P370" s="76"/>
    </row>
    <row r="371" ht="15.75" customHeight="1">
      <c r="P371" s="76"/>
    </row>
    <row r="372" ht="15.75" customHeight="1">
      <c r="P372" s="76"/>
    </row>
    <row r="373" ht="15.75" customHeight="1">
      <c r="P373" s="76"/>
    </row>
    <row r="374" ht="15.75" customHeight="1">
      <c r="P374" s="76"/>
    </row>
    <row r="375" ht="15.75" customHeight="1">
      <c r="P375" s="76"/>
    </row>
    <row r="376" ht="15.75" customHeight="1">
      <c r="P376" s="76"/>
    </row>
    <row r="377" ht="15.75" customHeight="1">
      <c r="P377" s="76"/>
    </row>
    <row r="378" ht="15.75" customHeight="1">
      <c r="P378" s="76"/>
    </row>
    <row r="379" ht="15.75" customHeight="1">
      <c r="P379" s="76"/>
    </row>
    <row r="380" ht="15.75" customHeight="1">
      <c r="P380" s="76"/>
    </row>
    <row r="381" ht="15.75" customHeight="1">
      <c r="P381" s="76"/>
    </row>
    <row r="382" ht="15.75" customHeight="1">
      <c r="P382" s="76"/>
    </row>
    <row r="383" ht="15.75" customHeight="1">
      <c r="P383" s="76"/>
    </row>
    <row r="384" ht="15.75" customHeight="1">
      <c r="P384" s="76"/>
    </row>
    <row r="385" ht="15.75" customHeight="1">
      <c r="P385" s="76"/>
    </row>
    <row r="386" ht="15.75" customHeight="1">
      <c r="P386" s="76"/>
    </row>
    <row r="387" ht="15.75" customHeight="1">
      <c r="P387" s="76"/>
    </row>
    <row r="388" ht="15.75" customHeight="1">
      <c r="P388" s="76"/>
    </row>
    <row r="389" ht="15.75" customHeight="1">
      <c r="P389" s="76"/>
    </row>
    <row r="390" ht="15.75" customHeight="1">
      <c r="P390" s="76"/>
    </row>
    <row r="391" ht="15.75" customHeight="1">
      <c r="P391" s="76"/>
    </row>
    <row r="392" ht="15.75" customHeight="1">
      <c r="P392" s="76"/>
    </row>
    <row r="393" ht="15.75" customHeight="1">
      <c r="P393" s="76"/>
    </row>
    <row r="394" ht="15.75" customHeight="1">
      <c r="P394" s="76"/>
    </row>
    <row r="395" ht="15.75" customHeight="1">
      <c r="P395" s="76"/>
    </row>
    <row r="396" ht="15.75" customHeight="1">
      <c r="P396" s="76"/>
    </row>
    <row r="397" ht="15.75" customHeight="1">
      <c r="P397" s="76"/>
    </row>
    <row r="398" ht="15.75" customHeight="1">
      <c r="P398" s="76"/>
    </row>
    <row r="399" ht="15.75" customHeight="1">
      <c r="P399" s="76"/>
    </row>
    <row r="400" ht="15.75" customHeight="1">
      <c r="P400" s="76"/>
    </row>
    <row r="401" ht="15.75" customHeight="1">
      <c r="P401" s="76"/>
    </row>
    <row r="402" ht="15.75" customHeight="1">
      <c r="P402" s="76"/>
    </row>
    <row r="403" ht="15.75" customHeight="1">
      <c r="P403" s="76"/>
    </row>
    <row r="404" ht="15.75" customHeight="1">
      <c r="P404" s="76"/>
    </row>
    <row r="405" ht="15.75" customHeight="1">
      <c r="P405" s="76"/>
    </row>
    <row r="406" ht="15.75" customHeight="1">
      <c r="P406" s="76"/>
    </row>
    <row r="407" ht="15.75" customHeight="1">
      <c r="P407" s="76"/>
    </row>
    <row r="408" ht="15.75" customHeight="1">
      <c r="P408" s="76"/>
    </row>
    <row r="409" ht="15.75" customHeight="1">
      <c r="P409" s="76"/>
    </row>
    <row r="410" ht="15.75" customHeight="1">
      <c r="P410" s="76"/>
    </row>
    <row r="411" ht="15.75" customHeight="1">
      <c r="P411" s="76"/>
    </row>
    <row r="412" ht="15.75" customHeight="1">
      <c r="P412" s="76"/>
    </row>
    <row r="413" ht="15.75" customHeight="1">
      <c r="P413" s="76"/>
    </row>
    <row r="414" ht="15.75" customHeight="1">
      <c r="P414" s="76"/>
    </row>
    <row r="415" ht="15.75" customHeight="1">
      <c r="P415" s="76"/>
    </row>
    <row r="416" ht="15.75" customHeight="1">
      <c r="P416" s="76"/>
    </row>
    <row r="417" ht="15.75" customHeight="1">
      <c r="P417" s="76"/>
    </row>
    <row r="418" ht="15.75" customHeight="1">
      <c r="P418" s="76"/>
    </row>
    <row r="419" ht="15.75" customHeight="1">
      <c r="P419" s="76"/>
    </row>
    <row r="420" ht="15.75" customHeight="1">
      <c r="P420" s="76"/>
    </row>
    <row r="421" ht="15.75" customHeight="1">
      <c r="P421" s="76"/>
    </row>
    <row r="422" ht="15.75" customHeight="1">
      <c r="P422" s="76"/>
    </row>
    <row r="423" ht="15.75" customHeight="1">
      <c r="P423" s="76"/>
    </row>
    <row r="424" ht="15.75" customHeight="1">
      <c r="P424" s="76"/>
    </row>
    <row r="425" ht="15.75" customHeight="1">
      <c r="P425" s="76"/>
    </row>
    <row r="426" ht="15.75" customHeight="1">
      <c r="P426" s="76"/>
    </row>
    <row r="427" ht="15.75" customHeight="1">
      <c r="P427" s="76"/>
    </row>
    <row r="428" ht="15.75" customHeight="1">
      <c r="P428" s="76"/>
    </row>
    <row r="429" ht="15.75" customHeight="1">
      <c r="P429" s="76"/>
    </row>
    <row r="430" ht="15.75" customHeight="1">
      <c r="P430" s="76"/>
    </row>
    <row r="431" ht="15.75" customHeight="1">
      <c r="P431" s="76"/>
    </row>
    <row r="432" ht="15.75" customHeight="1">
      <c r="P432" s="76"/>
    </row>
    <row r="433" ht="15.75" customHeight="1">
      <c r="P433" s="76"/>
    </row>
    <row r="434" ht="15.75" customHeight="1">
      <c r="P434" s="76"/>
    </row>
    <row r="435" ht="15.75" customHeight="1">
      <c r="P435" s="76"/>
    </row>
    <row r="436" ht="15.75" customHeight="1">
      <c r="P436" s="76"/>
    </row>
    <row r="437" ht="15.75" customHeight="1">
      <c r="P437" s="76"/>
    </row>
    <row r="438" ht="15.75" customHeight="1">
      <c r="P438" s="76"/>
    </row>
    <row r="439" ht="15.75" customHeight="1">
      <c r="P439" s="76"/>
    </row>
    <row r="440" ht="15.75" customHeight="1">
      <c r="P440" s="76"/>
    </row>
    <row r="441" ht="15.75" customHeight="1">
      <c r="P441" s="76"/>
    </row>
    <row r="442" ht="15.75" customHeight="1">
      <c r="P442" s="76"/>
    </row>
    <row r="443" ht="15.75" customHeight="1">
      <c r="P443" s="76"/>
    </row>
    <row r="444" ht="15.75" customHeight="1">
      <c r="P444" s="76"/>
    </row>
    <row r="445" ht="15.75" customHeight="1">
      <c r="P445" s="76"/>
    </row>
    <row r="446" ht="15.75" customHeight="1">
      <c r="P446" s="76"/>
    </row>
    <row r="447" ht="15.75" customHeight="1">
      <c r="P447" s="76"/>
    </row>
    <row r="448" ht="15.75" customHeight="1">
      <c r="P448" s="76"/>
    </row>
    <row r="449" ht="15.75" customHeight="1">
      <c r="P449" s="76"/>
    </row>
    <row r="450" ht="15.75" customHeight="1">
      <c r="P450" s="76"/>
    </row>
    <row r="451" ht="15.75" customHeight="1">
      <c r="P451" s="76"/>
    </row>
    <row r="452" ht="15.75" customHeight="1">
      <c r="P452" s="76"/>
    </row>
    <row r="453" ht="15.75" customHeight="1">
      <c r="P453" s="76"/>
    </row>
    <row r="454" ht="15.75" customHeight="1">
      <c r="P454" s="76"/>
    </row>
    <row r="455" ht="15.75" customHeight="1">
      <c r="P455" s="76"/>
    </row>
    <row r="456" ht="15.75" customHeight="1">
      <c r="P456" s="76"/>
    </row>
    <row r="457" ht="15.75" customHeight="1">
      <c r="P457" s="76"/>
    </row>
    <row r="458" ht="15.75" customHeight="1">
      <c r="P458" s="76"/>
    </row>
    <row r="459" ht="15.75" customHeight="1">
      <c r="P459" s="76"/>
    </row>
    <row r="460" ht="15.75" customHeight="1">
      <c r="P460" s="76"/>
    </row>
    <row r="461" ht="15.75" customHeight="1">
      <c r="P461" s="76"/>
    </row>
    <row r="462" ht="15.75" customHeight="1">
      <c r="P462" s="76"/>
    </row>
    <row r="463" ht="15.75" customHeight="1">
      <c r="P463" s="76"/>
    </row>
    <row r="464" ht="15.75" customHeight="1">
      <c r="P464" s="76"/>
    </row>
    <row r="465" ht="15.75" customHeight="1">
      <c r="P465" s="76"/>
    </row>
    <row r="466" ht="15.75" customHeight="1">
      <c r="P466" s="76"/>
    </row>
    <row r="467" ht="15.75" customHeight="1">
      <c r="P467" s="76"/>
    </row>
    <row r="468" ht="15.75" customHeight="1">
      <c r="P468" s="76"/>
    </row>
    <row r="469" ht="15.75" customHeight="1">
      <c r="P469" s="76"/>
    </row>
    <row r="470" ht="15.75" customHeight="1">
      <c r="P470" s="76"/>
    </row>
    <row r="471" ht="15.75" customHeight="1">
      <c r="P471" s="76"/>
    </row>
    <row r="472" ht="15.75" customHeight="1">
      <c r="P472" s="76"/>
    </row>
    <row r="473" ht="15.75" customHeight="1">
      <c r="P473" s="76"/>
    </row>
    <row r="474" ht="15.75" customHeight="1">
      <c r="P474" s="76"/>
    </row>
    <row r="475" ht="15.75" customHeight="1">
      <c r="P475" s="76"/>
    </row>
    <row r="476" ht="15.75" customHeight="1">
      <c r="P476" s="76"/>
    </row>
    <row r="477" ht="15.75" customHeight="1">
      <c r="P477" s="76"/>
    </row>
    <row r="478" ht="15.75" customHeight="1">
      <c r="P478" s="76"/>
    </row>
    <row r="479" ht="15.75" customHeight="1">
      <c r="P479" s="76"/>
    </row>
    <row r="480" ht="15.75" customHeight="1">
      <c r="P480" s="76"/>
    </row>
    <row r="481" ht="15.75" customHeight="1">
      <c r="P481" s="76"/>
    </row>
    <row r="482" ht="15.75" customHeight="1">
      <c r="P482" s="76"/>
    </row>
    <row r="483" ht="15.75" customHeight="1">
      <c r="P483" s="76"/>
    </row>
    <row r="484" ht="15.75" customHeight="1">
      <c r="P484" s="76"/>
    </row>
    <row r="485" ht="15.75" customHeight="1">
      <c r="P485" s="76"/>
    </row>
    <row r="486" ht="15.75" customHeight="1">
      <c r="P486" s="76"/>
    </row>
    <row r="487" ht="15.75" customHeight="1">
      <c r="P487" s="76"/>
    </row>
    <row r="488" ht="15.75" customHeight="1">
      <c r="P488" s="76"/>
    </row>
    <row r="489" ht="15.75" customHeight="1">
      <c r="P489" s="76"/>
    </row>
    <row r="490" ht="15.75" customHeight="1">
      <c r="P490" s="76"/>
    </row>
    <row r="491" ht="15.75" customHeight="1">
      <c r="P491" s="76"/>
    </row>
    <row r="492" ht="15.75" customHeight="1">
      <c r="P492" s="76"/>
    </row>
    <row r="493" ht="15.75" customHeight="1">
      <c r="P493" s="76"/>
    </row>
    <row r="494" ht="15.75" customHeight="1">
      <c r="P494" s="76"/>
    </row>
    <row r="495" ht="15.75" customHeight="1">
      <c r="P495" s="76"/>
    </row>
    <row r="496" ht="15.75" customHeight="1">
      <c r="P496" s="76"/>
    </row>
    <row r="497" ht="15.75" customHeight="1">
      <c r="P497" s="76"/>
    </row>
    <row r="498" ht="15.75" customHeight="1">
      <c r="P498" s="76"/>
    </row>
    <row r="499" ht="15.75" customHeight="1">
      <c r="P499" s="76"/>
    </row>
    <row r="500" ht="15.75" customHeight="1">
      <c r="P500" s="76"/>
    </row>
    <row r="501" ht="15.75" customHeight="1">
      <c r="P501" s="76"/>
    </row>
    <row r="502" ht="15.75" customHeight="1">
      <c r="P502" s="76"/>
    </row>
    <row r="503" ht="15.75" customHeight="1">
      <c r="P503" s="76"/>
    </row>
    <row r="504" ht="15.75" customHeight="1">
      <c r="P504" s="76"/>
    </row>
    <row r="505" ht="15.75" customHeight="1">
      <c r="P505" s="76"/>
    </row>
    <row r="506" ht="15.75" customHeight="1">
      <c r="P506" s="76"/>
    </row>
    <row r="507" ht="15.75" customHeight="1">
      <c r="P507" s="76"/>
    </row>
    <row r="508" ht="15.75" customHeight="1">
      <c r="P508" s="76"/>
    </row>
    <row r="509" ht="15.75" customHeight="1">
      <c r="P509" s="76"/>
    </row>
    <row r="510" ht="15.75" customHeight="1">
      <c r="P510" s="76"/>
    </row>
    <row r="511" ht="15.75" customHeight="1">
      <c r="P511" s="76"/>
    </row>
    <row r="512" ht="15.75" customHeight="1">
      <c r="P512" s="76"/>
    </row>
    <row r="513" ht="15.75" customHeight="1">
      <c r="P513" s="76"/>
    </row>
    <row r="514" ht="15.75" customHeight="1">
      <c r="P514" s="76"/>
    </row>
    <row r="515" ht="15.75" customHeight="1">
      <c r="P515" s="76"/>
    </row>
    <row r="516" ht="15.75" customHeight="1">
      <c r="P516" s="76"/>
    </row>
    <row r="517" ht="15.75" customHeight="1">
      <c r="P517" s="76"/>
    </row>
    <row r="518" ht="15.75" customHeight="1">
      <c r="P518" s="76"/>
    </row>
    <row r="519" ht="15.75" customHeight="1">
      <c r="P519" s="76"/>
    </row>
    <row r="520" ht="15.75" customHeight="1">
      <c r="P520" s="76"/>
    </row>
    <row r="521" ht="15.75" customHeight="1">
      <c r="P521" s="76"/>
    </row>
    <row r="522" ht="15.75" customHeight="1">
      <c r="P522" s="76"/>
    </row>
    <row r="523" ht="15.75" customHeight="1">
      <c r="P523" s="76"/>
    </row>
    <row r="524" ht="15.75" customHeight="1">
      <c r="P524" s="76"/>
    </row>
    <row r="525" ht="15.75" customHeight="1">
      <c r="P525" s="76"/>
    </row>
    <row r="526" ht="15.75" customHeight="1">
      <c r="P526" s="76"/>
    </row>
    <row r="527" ht="15.75" customHeight="1">
      <c r="P527" s="76"/>
    </row>
    <row r="528" ht="15.75" customHeight="1">
      <c r="P528" s="76"/>
    </row>
    <row r="529" ht="15.75" customHeight="1">
      <c r="P529" s="76"/>
    </row>
    <row r="530" ht="15.75" customHeight="1">
      <c r="P530" s="76"/>
    </row>
    <row r="531" ht="15.75" customHeight="1">
      <c r="P531" s="76"/>
    </row>
    <row r="532" ht="15.75" customHeight="1">
      <c r="P532" s="76"/>
    </row>
    <row r="533" ht="15.75" customHeight="1">
      <c r="P533" s="76"/>
    </row>
    <row r="534" ht="15.75" customHeight="1">
      <c r="P534" s="76"/>
    </row>
    <row r="535" ht="15.75" customHeight="1">
      <c r="P535" s="76"/>
    </row>
    <row r="536" ht="15.75" customHeight="1">
      <c r="P536" s="76"/>
    </row>
    <row r="537" ht="15.75" customHeight="1">
      <c r="P537" s="76"/>
    </row>
    <row r="538" ht="15.75" customHeight="1">
      <c r="P538" s="76"/>
    </row>
    <row r="539" ht="15.75" customHeight="1">
      <c r="P539" s="76"/>
    </row>
    <row r="540" ht="15.75" customHeight="1">
      <c r="P540" s="76"/>
    </row>
    <row r="541" ht="15.75" customHeight="1">
      <c r="P541" s="76"/>
    </row>
    <row r="542" ht="15.75" customHeight="1">
      <c r="P542" s="76"/>
    </row>
    <row r="543" ht="15.75" customHeight="1">
      <c r="P543" s="76"/>
    </row>
    <row r="544" ht="15.75" customHeight="1">
      <c r="P544" s="76"/>
    </row>
    <row r="545" ht="15.75" customHeight="1">
      <c r="P545" s="76"/>
    </row>
    <row r="546" ht="15.75" customHeight="1">
      <c r="P546" s="76"/>
    </row>
    <row r="547" ht="15.75" customHeight="1">
      <c r="P547" s="76"/>
    </row>
    <row r="548" ht="15.75" customHeight="1">
      <c r="P548" s="76"/>
    </row>
    <row r="549" ht="15.75" customHeight="1">
      <c r="P549" s="76"/>
    </row>
    <row r="550" ht="15.75" customHeight="1">
      <c r="P550" s="76"/>
    </row>
    <row r="551" ht="15.75" customHeight="1">
      <c r="P551" s="76"/>
    </row>
    <row r="552" ht="15.75" customHeight="1">
      <c r="P552" s="76"/>
    </row>
    <row r="553" ht="15.75" customHeight="1">
      <c r="P553" s="76"/>
    </row>
    <row r="554" ht="15.75" customHeight="1">
      <c r="P554" s="76"/>
    </row>
    <row r="555" ht="15.75" customHeight="1">
      <c r="P555" s="76"/>
    </row>
    <row r="556" ht="15.75" customHeight="1">
      <c r="P556" s="76"/>
    </row>
    <row r="557" ht="15.75" customHeight="1">
      <c r="P557" s="76"/>
    </row>
    <row r="558" ht="15.75" customHeight="1">
      <c r="P558" s="76"/>
    </row>
    <row r="559" ht="15.75" customHeight="1">
      <c r="P559" s="76"/>
    </row>
    <row r="560" ht="15.75" customHeight="1">
      <c r="P560" s="76"/>
    </row>
    <row r="561" ht="15.75" customHeight="1">
      <c r="P561" s="76"/>
    </row>
    <row r="562" ht="15.75" customHeight="1">
      <c r="P562" s="76"/>
    </row>
    <row r="563" ht="15.75" customHeight="1">
      <c r="P563" s="76"/>
    </row>
    <row r="564" ht="15.75" customHeight="1">
      <c r="P564" s="76"/>
    </row>
    <row r="565" ht="15.75" customHeight="1">
      <c r="P565" s="76"/>
    </row>
    <row r="566" ht="15.75" customHeight="1">
      <c r="P566" s="76"/>
    </row>
    <row r="567" ht="15.75" customHeight="1">
      <c r="P567" s="76"/>
    </row>
    <row r="568" ht="15.75" customHeight="1">
      <c r="P568" s="76"/>
    </row>
    <row r="569" ht="15.75" customHeight="1">
      <c r="P569" s="76"/>
    </row>
    <row r="570" ht="15.75" customHeight="1">
      <c r="P570" s="76"/>
    </row>
    <row r="571" ht="15.75" customHeight="1">
      <c r="P571" s="76"/>
    </row>
    <row r="572" ht="15.75" customHeight="1">
      <c r="P572" s="76"/>
    </row>
    <row r="573" ht="15.75" customHeight="1">
      <c r="P573" s="76"/>
    </row>
    <row r="574" ht="15.75" customHeight="1">
      <c r="P574" s="76"/>
    </row>
    <row r="575" ht="15.75" customHeight="1">
      <c r="P575" s="76"/>
    </row>
    <row r="576" ht="15.75" customHeight="1">
      <c r="P576" s="76"/>
    </row>
    <row r="577" ht="15.75" customHeight="1">
      <c r="P577" s="76"/>
    </row>
    <row r="578" ht="15.75" customHeight="1">
      <c r="P578" s="76"/>
    </row>
    <row r="579" ht="15.75" customHeight="1">
      <c r="P579" s="76"/>
    </row>
    <row r="580" ht="15.75" customHeight="1">
      <c r="P580" s="76"/>
    </row>
    <row r="581" ht="15.75" customHeight="1">
      <c r="P581" s="76"/>
    </row>
    <row r="582" ht="15.75" customHeight="1">
      <c r="P582" s="76"/>
    </row>
    <row r="583" ht="15.75" customHeight="1">
      <c r="P583" s="76"/>
    </row>
    <row r="584" ht="15.75" customHeight="1">
      <c r="P584" s="76"/>
    </row>
    <row r="585" ht="15.75" customHeight="1">
      <c r="P585" s="76"/>
    </row>
    <row r="586" ht="15.75" customHeight="1">
      <c r="P586" s="76"/>
    </row>
    <row r="587" ht="15.75" customHeight="1">
      <c r="P587" s="76"/>
    </row>
    <row r="588" ht="15.75" customHeight="1">
      <c r="P588" s="76"/>
    </row>
    <row r="589" ht="15.75" customHeight="1">
      <c r="P589" s="76"/>
    </row>
    <row r="590" ht="15.75" customHeight="1">
      <c r="P590" s="76"/>
    </row>
    <row r="591" ht="15.75" customHeight="1">
      <c r="P591" s="76"/>
    </row>
    <row r="592" ht="15.75" customHeight="1">
      <c r="P592" s="76"/>
    </row>
    <row r="593" ht="15.75" customHeight="1">
      <c r="P593" s="76"/>
    </row>
    <row r="594" ht="15.75" customHeight="1">
      <c r="P594" s="76"/>
    </row>
    <row r="595" ht="15.75" customHeight="1">
      <c r="P595" s="76"/>
    </row>
    <row r="596" ht="15.75" customHeight="1">
      <c r="P596" s="76"/>
    </row>
    <row r="597" ht="15.75" customHeight="1">
      <c r="P597" s="76"/>
    </row>
    <row r="598" ht="15.75" customHeight="1">
      <c r="P598" s="76"/>
    </row>
    <row r="599" ht="15.75" customHeight="1">
      <c r="P599" s="76"/>
    </row>
    <row r="600" ht="15.75" customHeight="1">
      <c r="P600" s="76"/>
    </row>
    <row r="601" ht="15.75" customHeight="1">
      <c r="P601" s="76"/>
    </row>
    <row r="602" ht="15.75" customHeight="1">
      <c r="P602" s="76"/>
    </row>
    <row r="603" ht="15.75" customHeight="1">
      <c r="P603" s="76"/>
    </row>
    <row r="604" ht="15.75" customHeight="1">
      <c r="P604" s="76"/>
    </row>
    <row r="605" ht="15.75" customHeight="1">
      <c r="P605" s="76"/>
    </row>
    <row r="606" ht="15.75" customHeight="1">
      <c r="P606" s="76"/>
    </row>
    <row r="607" ht="15.75" customHeight="1">
      <c r="P607" s="76"/>
    </row>
    <row r="608" ht="15.75" customHeight="1">
      <c r="P608" s="76"/>
    </row>
    <row r="609" ht="15.75" customHeight="1">
      <c r="P609" s="76"/>
    </row>
    <row r="610" ht="15.75" customHeight="1">
      <c r="P610" s="76"/>
    </row>
    <row r="611" ht="15.75" customHeight="1">
      <c r="P611" s="76"/>
    </row>
    <row r="612" ht="15.75" customHeight="1">
      <c r="P612" s="76"/>
    </row>
    <row r="613" ht="15.75" customHeight="1">
      <c r="P613" s="76"/>
    </row>
    <row r="614" ht="15.75" customHeight="1">
      <c r="P614" s="76"/>
    </row>
    <row r="615" ht="15.75" customHeight="1">
      <c r="P615" s="76"/>
    </row>
    <row r="616" ht="15.75" customHeight="1">
      <c r="P616" s="76"/>
    </row>
    <row r="617" ht="15.75" customHeight="1">
      <c r="P617" s="76"/>
    </row>
    <row r="618" ht="15.75" customHeight="1">
      <c r="P618" s="76"/>
    </row>
    <row r="619" ht="15.75" customHeight="1">
      <c r="P619" s="76"/>
    </row>
    <row r="620" ht="15.75" customHeight="1">
      <c r="P620" s="76"/>
    </row>
    <row r="621" ht="15.75" customHeight="1">
      <c r="P621" s="76"/>
    </row>
    <row r="622" ht="15.75" customHeight="1">
      <c r="P622" s="76"/>
    </row>
    <row r="623" ht="15.75" customHeight="1">
      <c r="P623" s="76"/>
    </row>
    <row r="624" ht="15.75" customHeight="1">
      <c r="P624" s="76"/>
    </row>
    <row r="625" ht="15.75" customHeight="1">
      <c r="P625" s="76"/>
    </row>
    <row r="626" ht="15.75" customHeight="1">
      <c r="P626" s="76"/>
    </row>
    <row r="627" ht="15.75" customHeight="1">
      <c r="P627" s="76"/>
    </row>
    <row r="628" ht="15.75" customHeight="1">
      <c r="P628" s="76"/>
    </row>
    <row r="629" ht="15.75" customHeight="1">
      <c r="P629" s="76"/>
    </row>
    <row r="630" ht="15.75" customHeight="1">
      <c r="P630" s="76"/>
    </row>
    <row r="631" ht="15.75" customHeight="1">
      <c r="P631" s="76"/>
    </row>
    <row r="632" ht="15.75" customHeight="1">
      <c r="P632" s="76"/>
    </row>
    <row r="633" ht="15.75" customHeight="1">
      <c r="P633" s="76"/>
    </row>
    <row r="634" ht="15.75" customHeight="1">
      <c r="P634" s="76"/>
    </row>
    <row r="635" ht="15.75" customHeight="1">
      <c r="P635" s="76"/>
    </row>
    <row r="636" ht="15.75" customHeight="1">
      <c r="P636" s="76"/>
    </row>
    <row r="637" ht="15.75" customHeight="1">
      <c r="P637" s="76"/>
    </row>
    <row r="638" ht="15.75" customHeight="1">
      <c r="P638" s="76"/>
    </row>
    <row r="639" ht="15.75" customHeight="1">
      <c r="P639" s="76"/>
    </row>
    <row r="640" ht="15.75" customHeight="1">
      <c r="P640" s="76"/>
    </row>
    <row r="641" ht="15.75" customHeight="1">
      <c r="P641" s="76"/>
    </row>
    <row r="642" ht="15.75" customHeight="1">
      <c r="P642" s="76"/>
    </row>
    <row r="643" ht="15.75" customHeight="1">
      <c r="P643" s="76"/>
    </row>
    <row r="644" ht="15.75" customHeight="1">
      <c r="P644" s="76"/>
    </row>
    <row r="645" ht="15.75" customHeight="1">
      <c r="P645" s="76"/>
    </row>
    <row r="646" ht="15.75" customHeight="1">
      <c r="P646" s="76"/>
    </row>
    <row r="647" ht="15.75" customHeight="1">
      <c r="P647" s="76"/>
    </row>
    <row r="648" ht="15.75" customHeight="1">
      <c r="P648" s="76"/>
    </row>
    <row r="649" ht="15.75" customHeight="1">
      <c r="P649" s="76"/>
    </row>
    <row r="650" ht="15.75" customHeight="1">
      <c r="P650" s="76"/>
    </row>
    <row r="651" ht="15.75" customHeight="1">
      <c r="P651" s="76"/>
    </row>
    <row r="652" ht="15.75" customHeight="1">
      <c r="P652" s="76"/>
    </row>
    <row r="653" ht="15.75" customHeight="1">
      <c r="P653" s="76"/>
    </row>
    <row r="654" ht="15.75" customHeight="1">
      <c r="P654" s="76"/>
    </row>
    <row r="655" ht="15.75" customHeight="1">
      <c r="P655" s="76"/>
    </row>
    <row r="656" ht="15.75" customHeight="1">
      <c r="P656" s="76"/>
    </row>
    <row r="657" ht="15.75" customHeight="1">
      <c r="P657" s="76"/>
    </row>
    <row r="658" ht="15.75" customHeight="1">
      <c r="P658" s="76"/>
    </row>
    <row r="659" ht="15.75" customHeight="1">
      <c r="P659" s="76"/>
    </row>
    <row r="660" ht="15.75" customHeight="1">
      <c r="P660" s="76"/>
    </row>
    <row r="661" ht="15.75" customHeight="1">
      <c r="P661" s="76"/>
    </row>
    <row r="662" ht="15.75" customHeight="1">
      <c r="P662" s="76"/>
    </row>
    <row r="663" ht="15.75" customHeight="1">
      <c r="P663" s="76"/>
    </row>
    <row r="664" ht="15.75" customHeight="1">
      <c r="P664" s="76"/>
    </row>
    <row r="665" ht="15.75" customHeight="1">
      <c r="P665" s="76"/>
    </row>
    <row r="666" ht="15.75" customHeight="1">
      <c r="P666" s="76"/>
    </row>
    <row r="667" ht="15.75" customHeight="1">
      <c r="P667" s="76"/>
    </row>
    <row r="668" ht="15.75" customHeight="1">
      <c r="P668" s="76"/>
    </row>
    <row r="669" ht="15.75" customHeight="1">
      <c r="P669" s="76"/>
    </row>
    <row r="670" ht="15.75" customHeight="1">
      <c r="P670" s="76"/>
    </row>
    <row r="671" ht="15.75" customHeight="1">
      <c r="P671" s="76"/>
    </row>
    <row r="672" ht="15.75" customHeight="1">
      <c r="P672" s="76"/>
    </row>
    <row r="673" ht="15.75" customHeight="1">
      <c r="P673" s="76"/>
    </row>
    <row r="674" ht="15.75" customHeight="1">
      <c r="P674" s="76"/>
    </row>
    <row r="675" ht="15.75" customHeight="1">
      <c r="P675" s="76"/>
    </row>
    <row r="676" ht="15.75" customHeight="1">
      <c r="P676" s="76"/>
    </row>
    <row r="677" ht="15.75" customHeight="1">
      <c r="P677" s="76"/>
    </row>
    <row r="678" ht="15.75" customHeight="1">
      <c r="P678" s="76"/>
    </row>
    <row r="679" ht="15.75" customHeight="1">
      <c r="P679" s="76"/>
    </row>
    <row r="680" ht="15.75" customHeight="1">
      <c r="P680" s="76"/>
    </row>
    <row r="681" ht="15.75" customHeight="1">
      <c r="P681" s="76"/>
    </row>
    <row r="682" ht="15.75" customHeight="1">
      <c r="P682" s="76"/>
    </row>
    <row r="683" ht="15.75" customHeight="1">
      <c r="P683" s="76"/>
    </row>
    <row r="684" ht="15.75" customHeight="1">
      <c r="P684" s="76"/>
    </row>
    <row r="685" ht="15.75" customHeight="1">
      <c r="P685" s="76"/>
    </row>
    <row r="686" ht="15.75" customHeight="1">
      <c r="P686" s="76"/>
    </row>
    <row r="687" ht="15.75" customHeight="1">
      <c r="P687" s="76"/>
    </row>
    <row r="688" ht="15.75" customHeight="1">
      <c r="P688" s="76"/>
    </row>
    <row r="689" ht="15.75" customHeight="1">
      <c r="P689" s="76"/>
    </row>
    <row r="690" ht="15.75" customHeight="1">
      <c r="P690" s="76"/>
    </row>
    <row r="691" ht="15.75" customHeight="1">
      <c r="P691" s="76"/>
    </row>
    <row r="692" ht="15.75" customHeight="1">
      <c r="P692" s="76"/>
    </row>
    <row r="693" ht="15.75" customHeight="1">
      <c r="P693" s="76"/>
    </row>
    <row r="694" ht="15.75" customHeight="1">
      <c r="P694" s="76"/>
    </row>
    <row r="695" ht="15.75" customHeight="1">
      <c r="P695" s="76"/>
    </row>
    <row r="696" ht="15.75" customHeight="1">
      <c r="P696" s="76"/>
    </row>
    <row r="697" ht="15.75" customHeight="1">
      <c r="P697" s="76"/>
    </row>
    <row r="698" ht="15.75" customHeight="1">
      <c r="P698" s="76"/>
    </row>
    <row r="699" ht="15.75" customHeight="1">
      <c r="P699" s="76"/>
    </row>
    <row r="700" ht="15.75" customHeight="1">
      <c r="P700" s="76"/>
    </row>
    <row r="701" ht="15.75" customHeight="1">
      <c r="P701" s="76"/>
    </row>
    <row r="702" ht="15.75" customHeight="1">
      <c r="P702" s="76"/>
    </row>
    <row r="703" ht="15.75" customHeight="1">
      <c r="P703" s="76"/>
    </row>
    <row r="704" ht="15.75" customHeight="1">
      <c r="P704" s="76"/>
    </row>
    <row r="705" ht="15.75" customHeight="1">
      <c r="P705" s="76"/>
    </row>
    <row r="706" ht="15.75" customHeight="1">
      <c r="P706" s="76"/>
    </row>
    <row r="707" ht="15.75" customHeight="1">
      <c r="P707" s="76"/>
    </row>
    <row r="708" ht="15.75" customHeight="1">
      <c r="P708" s="76"/>
    </row>
    <row r="709" ht="15.75" customHeight="1">
      <c r="P709" s="76"/>
    </row>
    <row r="710" ht="15.75" customHeight="1">
      <c r="P710" s="76"/>
    </row>
    <row r="711" ht="15.75" customHeight="1">
      <c r="P711" s="76"/>
    </row>
    <row r="712" ht="15.75" customHeight="1">
      <c r="P712" s="76"/>
    </row>
    <row r="713" ht="15.75" customHeight="1">
      <c r="P713" s="76"/>
    </row>
    <row r="714" ht="15.75" customHeight="1">
      <c r="P714" s="76"/>
    </row>
    <row r="715" ht="15.75" customHeight="1">
      <c r="P715" s="76"/>
    </row>
    <row r="716" ht="15.75" customHeight="1">
      <c r="P716" s="76"/>
    </row>
    <row r="717" ht="15.75" customHeight="1">
      <c r="P717" s="76"/>
    </row>
    <row r="718" ht="15.75" customHeight="1">
      <c r="P718" s="76"/>
    </row>
    <row r="719" ht="15.75" customHeight="1">
      <c r="P719" s="76"/>
    </row>
    <row r="720" ht="15.75" customHeight="1">
      <c r="P720" s="76"/>
    </row>
    <row r="721" ht="15.75" customHeight="1">
      <c r="P721" s="76"/>
    </row>
    <row r="722" ht="15.75" customHeight="1">
      <c r="P722" s="76"/>
    </row>
    <row r="723" ht="15.75" customHeight="1">
      <c r="P723" s="76"/>
    </row>
    <row r="724" ht="15.75" customHeight="1">
      <c r="P724" s="76"/>
    </row>
    <row r="725" ht="15.75" customHeight="1">
      <c r="P725" s="76"/>
    </row>
    <row r="726" ht="15.75" customHeight="1">
      <c r="P726" s="76"/>
    </row>
    <row r="727" ht="15.75" customHeight="1">
      <c r="P727" s="76"/>
    </row>
    <row r="728" ht="15.75" customHeight="1">
      <c r="P728" s="76"/>
    </row>
    <row r="729" ht="15.75" customHeight="1">
      <c r="P729" s="76"/>
    </row>
    <row r="730" ht="15.75" customHeight="1">
      <c r="P730" s="76"/>
    </row>
    <row r="731" ht="15.75" customHeight="1">
      <c r="P731" s="76"/>
    </row>
    <row r="732" ht="15.75" customHeight="1">
      <c r="P732" s="76"/>
    </row>
    <row r="733" ht="15.75" customHeight="1">
      <c r="P733" s="76"/>
    </row>
    <row r="734" ht="15.75" customHeight="1">
      <c r="P734" s="76"/>
    </row>
    <row r="735" ht="15.75" customHeight="1">
      <c r="P735" s="76"/>
    </row>
    <row r="736" ht="15.75" customHeight="1">
      <c r="P736" s="76"/>
    </row>
    <row r="737" ht="15.75" customHeight="1">
      <c r="P737" s="76"/>
    </row>
    <row r="738" ht="15.75" customHeight="1">
      <c r="P738" s="76"/>
    </row>
    <row r="739" ht="15.75" customHeight="1">
      <c r="P739" s="76"/>
    </row>
    <row r="740" ht="15.75" customHeight="1">
      <c r="P740" s="76"/>
    </row>
    <row r="741" ht="15.75" customHeight="1">
      <c r="P741" s="76"/>
    </row>
    <row r="742" ht="15.75" customHeight="1">
      <c r="P742" s="76"/>
    </row>
    <row r="743" ht="15.75" customHeight="1">
      <c r="P743" s="76"/>
    </row>
    <row r="744" ht="15.75" customHeight="1">
      <c r="P744" s="76"/>
    </row>
    <row r="745" ht="15.75" customHeight="1">
      <c r="P745" s="76"/>
    </row>
    <row r="746" ht="15.75" customHeight="1">
      <c r="P746" s="76"/>
    </row>
    <row r="747" ht="15.75" customHeight="1">
      <c r="P747" s="76"/>
    </row>
    <row r="748" ht="15.75" customHeight="1">
      <c r="P748" s="76"/>
    </row>
    <row r="749" ht="15.75" customHeight="1">
      <c r="P749" s="76"/>
    </row>
    <row r="750" ht="15.75" customHeight="1">
      <c r="P750" s="76"/>
    </row>
    <row r="751" ht="15.75" customHeight="1">
      <c r="P751" s="76"/>
    </row>
    <row r="752" ht="15.75" customHeight="1">
      <c r="P752" s="76"/>
    </row>
    <row r="753" ht="15.75" customHeight="1">
      <c r="P753" s="76"/>
    </row>
    <row r="754" ht="15.75" customHeight="1">
      <c r="P754" s="76"/>
    </row>
    <row r="755" ht="15.75" customHeight="1">
      <c r="P755" s="76"/>
    </row>
    <row r="756" ht="15.75" customHeight="1">
      <c r="P756" s="76"/>
    </row>
    <row r="757" ht="15.75" customHeight="1">
      <c r="P757" s="76"/>
    </row>
    <row r="758" ht="15.75" customHeight="1">
      <c r="P758" s="76"/>
    </row>
    <row r="759" ht="15.75" customHeight="1">
      <c r="P759" s="76"/>
    </row>
    <row r="760" ht="15.75" customHeight="1">
      <c r="P760" s="76"/>
    </row>
    <row r="761" ht="15.75" customHeight="1">
      <c r="P761" s="76"/>
    </row>
    <row r="762" ht="15.75" customHeight="1">
      <c r="P762" s="76"/>
    </row>
    <row r="763" ht="15.75" customHeight="1">
      <c r="P763" s="76"/>
    </row>
    <row r="764" ht="15.75" customHeight="1">
      <c r="P764" s="76"/>
    </row>
    <row r="765" ht="15.75" customHeight="1">
      <c r="P765" s="76"/>
    </row>
    <row r="766" ht="15.75" customHeight="1">
      <c r="P766" s="76"/>
    </row>
    <row r="767" ht="15.75" customHeight="1">
      <c r="P767" s="76"/>
    </row>
    <row r="768" ht="15.75" customHeight="1">
      <c r="P768" s="76"/>
    </row>
    <row r="769" ht="15.75" customHeight="1">
      <c r="P769" s="76"/>
    </row>
    <row r="770" ht="15.75" customHeight="1">
      <c r="P770" s="76"/>
    </row>
    <row r="771" ht="15.75" customHeight="1">
      <c r="P771" s="76"/>
    </row>
    <row r="772" ht="15.75" customHeight="1">
      <c r="P772" s="76"/>
    </row>
    <row r="773" ht="15.75" customHeight="1">
      <c r="P773" s="76"/>
    </row>
    <row r="774" ht="15.75" customHeight="1">
      <c r="P774" s="76"/>
    </row>
    <row r="775" ht="15.75" customHeight="1">
      <c r="P775" s="76"/>
    </row>
    <row r="776" ht="15.75" customHeight="1">
      <c r="P776" s="76"/>
    </row>
    <row r="777" ht="15.75" customHeight="1">
      <c r="P777" s="76"/>
    </row>
    <row r="778" ht="15.75" customHeight="1">
      <c r="P778" s="76"/>
    </row>
    <row r="779" ht="15.75" customHeight="1">
      <c r="P779" s="76"/>
    </row>
    <row r="780" ht="15.75" customHeight="1">
      <c r="P780" s="76"/>
    </row>
    <row r="781" ht="15.75" customHeight="1">
      <c r="P781" s="76"/>
    </row>
    <row r="782" ht="15.75" customHeight="1">
      <c r="P782" s="76"/>
    </row>
    <row r="783" ht="15.75" customHeight="1">
      <c r="P783" s="76"/>
    </row>
    <row r="784" ht="15.75" customHeight="1">
      <c r="P784" s="76"/>
    </row>
    <row r="785" ht="15.75" customHeight="1">
      <c r="P785" s="76"/>
    </row>
    <row r="786" ht="15.75" customHeight="1">
      <c r="P786" s="76"/>
    </row>
    <row r="787" ht="15.75" customHeight="1">
      <c r="P787" s="76"/>
    </row>
    <row r="788" ht="15.75" customHeight="1">
      <c r="P788" s="76"/>
    </row>
    <row r="789" ht="15.75" customHeight="1">
      <c r="P789" s="76"/>
    </row>
    <row r="790" ht="15.75" customHeight="1">
      <c r="P790" s="76"/>
    </row>
    <row r="791" ht="15.75" customHeight="1">
      <c r="P791" s="76"/>
    </row>
    <row r="792" ht="15.75" customHeight="1">
      <c r="P792" s="76"/>
    </row>
    <row r="793" ht="15.75" customHeight="1">
      <c r="P793" s="76"/>
    </row>
    <row r="794" ht="15.75" customHeight="1">
      <c r="P794" s="76"/>
    </row>
    <row r="795" ht="15.75" customHeight="1">
      <c r="P795" s="76"/>
    </row>
    <row r="796" ht="15.75" customHeight="1">
      <c r="P796" s="76"/>
    </row>
    <row r="797" ht="15.75" customHeight="1">
      <c r="P797" s="76"/>
    </row>
    <row r="798" ht="15.75" customHeight="1">
      <c r="P798" s="76"/>
    </row>
    <row r="799" ht="15.75" customHeight="1">
      <c r="P799" s="76"/>
    </row>
    <row r="800" ht="15.75" customHeight="1">
      <c r="P800" s="76"/>
    </row>
    <row r="801" ht="15.75" customHeight="1">
      <c r="P801" s="76"/>
    </row>
    <row r="802" ht="15.75" customHeight="1">
      <c r="P802" s="76"/>
    </row>
    <row r="803" ht="15.75" customHeight="1">
      <c r="P803" s="76"/>
    </row>
    <row r="804" ht="15.75" customHeight="1">
      <c r="P804" s="76"/>
    </row>
    <row r="805" ht="15.75" customHeight="1">
      <c r="P805" s="76"/>
    </row>
    <row r="806" ht="15.75" customHeight="1">
      <c r="P806" s="76"/>
    </row>
    <row r="807" ht="15.75" customHeight="1">
      <c r="P807" s="76"/>
    </row>
    <row r="808" ht="15.75" customHeight="1">
      <c r="P808" s="76"/>
    </row>
    <row r="809" ht="15.75" customHeight="1">
      <c r="P809" s="76"/>
    </row>
    <row r="810" ht="15.75" customHeight="1">
      <c r="P810" s="76"/>
    </row>
    <row r="811" ht="15.75" customHeight="1">
      <c r="P811" s="76"/>
    </row>
    <row r="812" ht="15.75" customHeight="1">
      <c r="P812" s="76"/>
    </row>
    <row r="813" ht="15.75" customHeight="1">
      <c r="P813" s="76"/>
    </row>
    <row r="814" ht="15.75" customHeight="1">
      <c r="P814" s="76"/>
    </row>
    <row r="815" ht="15.75" customHeight="1">
      <c r="P815" s="76"/>
    </row>
    <row r="816" ht="15.75" customHeight="1">
      <c r="P816" s="76"/>
    </row>
    <row r="817" ht="15.75" customHeight="1">
      <c r="P817" s="76"/>
    </row>
    <row r="818" ht="15.75" customHeight="1">
      <c r="P818" s="76"/>
    </row>
    <row r="819" ht="15.75" customHeight="1">
      <c r="P819" s="76"/>
    </row>
    <row r="820" ht="15.75" customHeight="1">
      <c r="P820" s="76"/>
    </row>
    <row r="821" ht="15.75" customHeight="1">
      <c r="P821" s="76"/>
    </row>
    <row r="822" ht="15.75" customHeight="1">
      <c r="P822" s="76"/>
    </row>
    <row r="823" ht="15.75" customHeight="1">
      <c r="P823" s="76"/>
    </row>
    <row r="824" ht="15.75" customHeight="1">
      <c r="P824" s="76"/>
    </row>
    <row r="825" ht="15.75" customHeight="1">
      <c r="P825" s="76"/>
    </row>
    <row r="826" ht="15.75" customHeight="1">
      <c r="P826" s="76"/>
    </row>
    <row r="827" ht="15.75" customHeight="1">
      <c r="P827" s="76"/>
    </row>
    <row r="828" ht="15.75" customHeight="1">
      <c r="P828" s="76"/>
    </row>
    <row r="829" ht="15.75" customHeight="1">
      <c r="P829" s="76"/>
    </row>
    <row r="830" ht="15.75" customHeight="1">
      <c r="P830" s="76"/>
    </row>
    <row r="831" ht="15.75" customHeight="1">
      <c r="P831" s="76"/>
    </row>
    <row r="832" ht="15.75" customHeight="1">
      <c r="P832" s="76"/>
    </row>
    <row r="833" ht="15.75" customHeight="1">
      <c r="P833" s="76"/>
    </row>
    <row r="834" ht="15.75" customHeight="1">
      <c r="P834" s="76"/>
    </row>
    <row r="835" ht="15.75" customHeight="1">
      <c r="P835" s="76"/>
    </row>
    <row r="836" ht="15.75" customHeight="1">
      <c r="P836" s="76"/>
    </row>
    <row r="837" ht="15.75" customHeight="1">
      <c r="P837" s="76"/>
    </row>
    <row r="838" ht="15.75" customHeight="1">
      <c r="P838" s="76"/>
    </row>
    <row r="839" ht="15.75" customHeight="1">
      <c r="P839" s="76"/>
    </row>
    <row r="840" ht="15.75" customHeight="1">
      <c r="P840" s="76"/>
    </row>
    <row r="841" ht="15.75" customHeight="1">
      <c r="P841" s="76"/>
    </row>
    <row r="842" ht="15.75" customHeight="1">
      <c r="P842" s="76"/>
    </row>
    <row r="843" ht="15.75" customHeight="1">
      <c r="P843" s="76"/>
    </row>
    <row r="844" ht="15.75" customHeight="1">
      <c r="P844" s="76"/>
    </row>
    <row r="845" ht="15.75" customHeight="1">
      <c r="P845" s="76"/>
    </row>
    <row r="846" ht="15.75" customHeight="1">
      <c r="P846" s="76"/>
    </row>
    <row r="847" ht="15.75" customHeight="1">
      <c r="P847" s="76"/>
    </row>
    <row r="848" ht="15.75" customHeight="1">
      <c r="P848" s="76"/>
    </row>
    <row r="849" ht="15.75" customHeight="1">
      <c r="P849" s="76"/>
    </row>
    <row r="850" ht="15.75" customHeight="1">
      <c r="P850" s="76"/>
    </row>
    <row r="851" ht="15.75" customHeight="1">
      <c r="P851" s="76"/>
    </row>
    <row r="852" ht="15.75" customHeight="1">
      <c r="P852" s="76"/>
    </row>
    <row r="853" ht="15.75" customHeight="1">
      <c r="P853" s="76"/>
    </row>
    <row r="854" ht="15.75" customHeight="1">
      <c r="P854" s="76"/>
    </row>
    <row r="855" ht="15.75" customHeight="1">
      <c r="P855" s="76"/>
    </row>
    <row r="856" ht="15.75" customHeight="1">
      <c r="P856" s="76"/>
    </row>
    <row r="857" ht="15.75" customHeight="1">
      <c r="P857" s="76"/>
    </row>
    <row r="858" ht="15.75" customHeight="1">
      <c r="P858" s="76"/>
    </row>
    <row r="859" ht="15.75" customHeight="1">
      <c r="P859" s="76"/>
    </row>
    <row r="860" ht="15.75" customHeight="1">
      <c r="P860" s="76"/>
    </row>
    <row r="861" ht="15.75" customHeight="1">
      <c r="P861" s="76"/>
    </row>
    <row r="862" ht="15.75" customHeight="1">
      <c r="P862" s="76"/>
    </row>
    <row r="863" ht="15.75" customHeight="1">
      <c r="P863" s="76"/>
    </row>
    <row r="864" ht="15.75" customHeight="1">
      <c r="P864" s="76"/>
    </row>
    <row r="865" ht="15.75" customHeight="1">
      <c r="P865" s="76"/>
    </row>
    <row r="866" ht="15.75" customHeight="1">
      <c r="P866" s="76"/>
    </row>
    <row r="867" ht="15.75" customHeight="1">
      <c r="P867" s="76"/>
    </row>
    <row r="868" ht="15.75" customHeight="1">
      <c r="P868" s="76"/>
    </row>
    <row r="869" ht="15.75" customHeight="1">
      <c r="P869" s="76"/>
    </row>
    <row r="870" ht="15.75" customHeight="1">
      <c r="P870" s="76"/>
    </row>
    <row r="871" ht="15.75" customHeight="1">
      <c r="P871" s="76"/>
    </row>
    <row r="872" ht="15.75" customHeight="1">
      <c r="P872" s="76"/>
    </row>
    <row r="873" ht="15.75" customHeight="1">
      <c r="P873" s="76"/>
    </row>
    <row r="874" ht="15.75" customHeight="1">
      <c r="P874" s="76"/>
    </row>
    <row r="875" ht="15.75" customHeight="1">
      <c r="P875" s="76"/>
    </row>
    <row r="876" ht="15.75" customHeight="1">
      <c r="P876" s="76"/>
    </row>
    <row r="877" ht="15.75" customHeight="1">
      <c r="P877" s="76"/>
    </row>
    <row r="878" ht="15.75" customHeight="1">
      <c r="P878" s="76"/>
    </row>
    <row r="879" ht="15.75" customHeight="1">
      <c r="P879" s="76"/>
    </row>
    <row r="880" ht="15.75" customHeight="1">
      <c r="P880" s="76"/>
    </row>
    <row r="881" ht="15.75" customHeight="1">
      <c r="P881" s="76"/>
    </row>
    <row r="882" ht="15.75" customHeight="1">
      <c r="P882" s="76"/>
    </row>
    <row r="883" ht="15.75" customHeight="1">
      <c r="P883" s="76"/>
    </row>
    <row r="884" ht="15.75" customHeight="1">
      <c r="P884" s="76"/>
    </row>
    <row r="885" ht="15.75" customHeight="1">
      <c r="P885" s="76"/>
    </row>
    <row r="886" ht="15.75" customHeight="1">
      <c r="P886" s="76"/>
    </row>
    <row r="887" ht="15.75" customHeight="1">
      <c r="P887" s="76"/>
    </row>
    <row r="888" ht="15.75" customHeight="1">
      <c r="P888" s="76"/>
    </row>
    <row r="889" ht="15.75" customHeight="1">
      <c r="P889" s="76"/>
    </row>
    <row r="890" ht="15.75" customHeight="1">
      <c r="P890" s="76"/>
    </row>
    <row r="891" ht="15.75" customHeight="1">
      <c r="P891" s="76"/>
    </row>
    <row r="892" ht="15.75" customHeight="1">
      <c r="P892" s="76"/>
    </row>
    <row r="893" ht="15.75" customHeight="1">
      <c r="P893" s="76"/>
    </row>
    <row r="894" ht="15.75" customHeight="1">
      <c r="P894" s="76"/>
    </row>
    <row r="895" ht="15.75" customHeight="1">
      <c r="P895" s="76"/>
    </row>
    <row r="896" ht="15.75" customHeight="1">
      <c r="P896" s="76"/>
    </row>
    <row r="897" ht="15.75" customHeight="1">
      <c r="P897" s="76"/>
    </row>
    <row r="898" ht="15.75" customHeight="1">
      <c r="P898" s="76"/>
    </row>
    <row r="899" ht="15.75" customHeight="1">
      <c r="P899" s="76"/>
    </row>
    <row r="900" ht="15.75" customHeight="1">
      <c r="P900" s="76"/>
    </row>
    <row r="901" ht="15.75" customHeight="1">
      <c r="P901" s="76"/>
    </row>
    <row r="902" ht="15.75" customHeight="1">
      <c r="P902" s="76"/>
    </row>
    <row r="903" ht="15.75" customHeight="1">
      <c r="P903" s="76"/>
    </row>
    <row r="904" ht="15.75" customHeight="1">
      <c r="P904" s="76"/>
    </row>
    <row r="905" ht="15.75" customHeight="1">
      <c r="P905" s="76"/>
    </row>
    <row r="906" ht="15.75" customHeight="1">
      <c r="P906" s="76"/>
    </row>
    <row r="907" ht="15.75" customHeight="1">
      <c r="P907" s="76"/>
    </row>
    <row r="908" ht="15.75" customHeight="1">
      <c r="P908" s="76"/>
    </row>
    <row r="909" ht="15.75" customHeight="1">
      <c r="P909" s="76"/>
    </row>
    <row r="910" ht="15.75" customHeight="1">
      <c r="P910" s="76"/>
    </row>
    <row r="911" ht="15.75" customHeight="1">
      <c r="P911" s="76"/>
    </row>
    <row r="912" ht="15.75" customHeight="1">
      <c r="P912" s="76"/>
    </row>
    <row r="913" ht="15.75" customHeight="1">
      <c r="P913" s="76"/>
    </row>
    <row r="914" ht="15.75" customHeight="1">
      <c r="P914" s="76"/>
    </row>
    <row r="915" ht="15.75" customHeight="1">
      <c r="P915" s="76"/>
    </row>
    <row r="916" ht="15.75" customHeight="1">
      <c r="P916" s="76"/>
    </row>
    <row r="917" ht="15.75" customHeight="1">
      <c r="P917" s="76"/>
    </row>
    <row r="918" ht="15.75" customHeight="1">
      <c r="P918" s="76"/>
    </row>
    <row r="919" ht="15.75" customHeight="1">
      <c r="P919" s="76"/>
    </row>
    <row r="920" ht="15.75" customHeight="1">
      <c r="P920" s="76"/>
    </row>
    <row r="921" ht="15.75" customHeight="1">
      <c r="P921" s="76"/>
    </row>
    <row r="922" ht="15.75" customHeight="1">
      <c r="P922" s="76"/>
    </row>
    <row r="923" ht="15.75" customHeight="1">
      <c r="P923" s="76"/>
    </row>
    <row r="924" ht="15.75" customHeight="1">
      <c r="P924" s="76"/>
    </row>
    <row r="925" ht="15.75" customHeight="1">
      <c r="P925" s="76"/>
    </row>
    <row r="926" ht="15.75" customHeight="1">
      <c r="P926" s="76"/>
    </row>
    <row r="927" ht="15.75" customHeight="1">
      <c r="P927" s="76"/>
    </row>
    <row r="928" ht="15.75" customHeight="1">
      <c r="P928" s="76"/>
    </row>
    <row r="929" ht="15.75" customHeight="1">
      <c r="P929" s="76"/>
    </row>
    <row r="930" ht="15.75" customHeight="1">
      <c r="P930" s="76"/>
    </row>
    <row r="931" ht="15.75" customHeight="1">
      <c r="P931" s="76"/>
    </row>
    <row r="932" ht="15.75" customHeight="1">
      <c r="P932" s="76"/>
    </row>
    <row r="933" ht="15.75" customHeight="1">
      <c r="P933" s="76"/>
    </row>
    <row r="934" ht="15.75" customHeight="1">
      <c r="P934" s="76"/>
    </row>
    <row r="935" ht="15.75" customHeight="1">
      <c r="P935" s="76"/>
    </row>
    <row r="936" ht="15.75" customHeight="1">
      <c r="P936" s="76"/>
    </row>
    <row r="937" ht="15.75" customHeight="1">
      <c r="P937" s="76"/>
    </row>
    <row r="938" ht="15.75" customHeight="1">
      <c r="P938" s="76"/>
    </row>
    <row r="939" ht="15.75" customHeight="1">
      <c r="P939" s="76"/>
    </row>
    <row r="940" ht="15.75" customHeight="1">
      <c r="P940" s="76"/>
    </row>
    <row r="941" ht="15.75" customHeight="1">
      <c r="P941" s="76"/>
    </row>
    <row r="942" ht="15.75" customHeight="1">
      <c r="P942" s="76"/>
    </row>
    <row r="943" ht="15.75" customHeight="1">
      <c r="P943" s="76"/>
    </row>
    <row r="944" ht="15.75" customHeight="1">
      <c r="P944" s="76"/>
    </row>
    <row r="945" ht="15.75" customHeight="1">
      <c r="P945" s="76"/>
    </row>
    <row r="946" ht="15.75" customHeight="1">
      <c r="P946" s="76"/>
    </row>
    <row r="947" ht="15.75" customHeight="1">
      <c r="P947" s="76"/>
    </row>
    <row r="948" ht="15.75" customHeight="1">
      <c r="P948" s="76"/>
    </row>
    <row r="949" ht="15.75" customHeight="1">
      <c r="P949" s="76"/>
    </row>
    <row r="950" ht="15.75" customHeight="1">
      <c r="P950" s="76"/>
    </row>
    <row r="951" ht="15.75" customHeight="1">
      <c r="P951" s="76"/>
    </row>
    <row r="952" ht="15.75" customHeight="1">
      <c r="P952" s="76"/>
    </row>
    <row r="953" ht="15.75" customHeight="1">
      <c r="P953" s="76"/>
    </row>
    <row r="954" ht="15.75" customHeight="1">
      <c r="P954" s="76"/>
    </row>
    <row r="955" ht="15.75" customHeight="1">
      <c r="P955" s="76"/>
    </row>
    <row r="956" ht="15.75" customHeight="1">
      <c r="P956" s="76"/>
    </row>
    <row r="957" ht="15.75" customHeight="1">
      <c r="P957" s="76"/>
    </row>
    <row r="958" ht="15.75" customHeight="1">
      <c r="P958" s="76"/>
    </row>
    <row r="959" ht="15.75" customHeight="1">
      <c r="P959" s="76"/>
    </row>
    <row r="960" ht="15.75" customHeight="1">
      <c r="P960" s="76"/>
    </row>
    <row r="961" ht="15.75" customHeight="1">
      <c r="P961" s="76"/>
    </row>
    <row r="962" ht="15.75" customHeight="1">
      <c r="P962" s="76"/>
    </row>
    <row r="963" ht="15.75" customHeight="1">
      <c r="P963" s="76"/>
    </row>
    <row r="964" ht="15.75" customHeight="1">
      <c r="P964" s="76"/>
    </row>
    <row r="965" ht="15.75" customHeight="1">
      <c r="P965" s="76"/>
    </row>
    <row r="966" ht="15.75" customHeight="1">
      <c r="P966" s="76"/>
    </row>
    <row r="967" ht="15.75" customHeight="1">
      <c r="P967" s="76"/>
    </row>
    <row r="968" ht="15.75" customHeight="1">
      <c r="P968" s="76"/>
    </row>
    <row r="969" ht="15.75" customHeight="1">
      <c r="P969" s="76"/>
    </row>
    <row r="970" ht="15.75" customHeight="1">
      <c r="P970" s="76"/>
    </row>
    <row r="971" ht="15.75" customHeight="1">
      <c r="P971" s="76"/>
    </row>
    <row r="972" ht="15.75" customHeight="1">
      <c r="P972" s="76"/>
    </row>
    <row r="973" ht="15.75" customHeight="1">
      <c r="P973" s="76"/>
    </row>
    <row r="974" ht="15.75" customHeight="1">
      <c r="P974" s="76"/>
    </row>
    <row r="975" ht="15.75" customHeight="1">
      <c r="P975" s="76"/>
    </row>
    <row r="976" ht="15.75" customHeight="1">
      <c r="P976" s="76"/>
    </row>
    <row r="977" ht="15.75" customHeight="1">
      <c r="P977" s="76"/>
    </row>
    <row r="978" ht="15.75" customHeight="1">
      <c r="P978" s="76"/>
    </row>
    <row r="979" ht="15.75" customHeight="1">
      <c r="P979" s="76"/>
    </row>
    <row r="980" ht="15.75" customHeight="1">
      <c r="P980" s="76"/>
    </row>
    <row r="981" ht="15.75" customHeight="1">
      <c r="P981" s="76"/>
    </row>
    <row r="982" ht="15.75" customHeight="1">
      <c r="P982" s="76"/>
    </row>
    <row r="983" ht="15.75" customHeight="1">
      <c r="P983" s="76"/>
    </row>
    <row r="984" ht="15.75" customHeight="1">
      <c r="P984" s="76"/>
    </row>
    <row r="985" ht="15.75" customHeight="1">
      <c r="P985" s="76"/>
    </row>
    <row r="986" ht="15.75" customHeight="1">
      <c r="P986" s="76"/>
    </row>
    <row r="987" ht="15.75" customHeight="1">
      <c r="P987" s="76"/>
    </row>
    <row r="988" ht="15.75" customHeight="1">
      <c r="P988" s="76"/>
    </row>
    <row r="989" ht="15.75" customHeight="1">
      <c r="P989" s="76"/>
    </row>
    <row r="990" ht="15.75" customHeight="1">
      <c r="P990" s="76"/>
    </row>
    <row r="991" ht="15.75" customHeight="1">
      <c r="P991" s="76"/>
    </row>
    <row r="992" ht="15.75" customHeight="1">
      <c r="P992" s="76"/>
    </row>
    <row r="993" ht="15.75" customHeight="1">
      <c r="P993" s="76"/>
    </row>
    <row r="994" ht="15.75" customHeight="1">
      <c r="P994" s="76"/>
    </row>
    <row r="995" ht="15.75" customHeight="1">
      <c r="P995" s="76"/>
    </row>
    <row r="996" ht="15.75" customHeight="1">
      <c r="P996" s="76"/>
    </row>
    <row r="997" ht="15.75" customHeight="1">
      <c r="P997" s="76"/>
    </row>
    <row r="998" ht="15.75" customHeight="1">
      <c r="P998" s="76"/>
    </row>
    <row r="999" ht="15.75" customHeight="1">
      <c r="P999" s="76"/>
    </row>
    <row r="1000" ht="15.75" customHeight="1">
      <c r="P1000" s="76"/>
    </row>
  </sheetData>
  <mergeCells count="4">
    <mergeCell ref="A1:C1"/>
    <mergeCell ref="E1:G1"/>
    <mergeCell ref="I1:K1"/>
    <mergeCell ref="M1:O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7" width="2.43"/>
    <col customWidth="1" min="18" max="18" width="8.71"/>
    <col customWidth="1" min="19" max="19" width="59.57"/>
    <col customWidth="1" min="20" max="20" width="11.57"/>
    <col customWidth="1" min="21" max="21" width="2.43"/>
    <col customWidth="1" min="22" max="22" width="8.71"/>
    <col customWidth="1" min="23" max="23" width="59.57"/>
    <col customWidth="1" min="24" max="24" width="11.57"/>
    <col customWidth="1" min="25" max="28" width="2.43"/>
  </cols>
  <sheetData>
    <row r="1">
      <c r="B1" s="1" t="s">
        <v>63</v>
      </c>
      <c r="C1" s="2"/>
      <c r="D1" s="3"/>
      <c r="F1" s="1" t="s">
        <v>59</v>
      </c>
      <c r="G1" s="2"/>
      <c r="H1" s="3"/>
      <c r="J1" s="54" t="s">
        <v>60</v>
      </c>
      <c r="K1" s="2"/>
      <c r="L1" s="3"/>
      <c r="N1" s="54" t="s">
        <v>61</v>
      </c>
      <c r="O1" s="2"/>
      <c r="P1" s="3"/>
      <c r="Q1" s="76"/>
      <c r="Y1" s="76"/>
      <c r="Z1" s="76"/>
      <c r="AA1" s="76"/>
      <c r="AB1" s="76"/>
    </row>
    <row r="2">
      <c r="B2" s="61" t="s">
        <v>6</v>
      </c>
      <c r="C2" s="62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  <c r="Q2" s="76"/>
      <c r="Y2" s="76"/>
      <c r="Z2" s="76"/>
      <c r="AA2" s="76"/>
      <c r="AB2" s="76"/>
    </row>
    <row r="3" ht="14.25" customHeight="1">
      <c r="B3" s="8">
        <v>51236.0</v>
      </c>
      <c r="C3" s="9" t="str">
        <f>VLOOKUP(B3,'FML March 2026'!E:F,2,false)</f>
        <v>ACID CITRIC  1 KG L. FRANCOIS CUISINE TECH</v>
      </c>
      <c r="D3" s="9" t="str">
        <f>VLOOKUP(B3,'Unit of Measure ship March 2026'!A:C,3,false)</f>
        <v>LBS</v>
      </c>
      <c r="F3" s="8">
        <v>110061.0</v>
      </c>
      <c r="G3" s="9" t="str">
        <f>VLOOKUP(F3,'FML March 2026'!E:F,2,false)</f>
        <v>APPLES GALA  125 CI</v>
      </c>
      <c r="H3" s="9" t="str">
        <f>VLOOKUP(F3,'Unit of Measure ship March 2026'!A:C,3,false)</f>
        <v>LBS</v>
      </c>
      <c r="J3" s="17">
        <v>34727.0</v>
      </c>
      <c r="K3" s="9" t="str">
        <f>VLOOKUP(J3,'FML March 2026'!E:F,2,false)</f>
        <v>BEEF EXPORT RIBS, CAB CHOICE 18/DOWN 4/PC, 30D AGE,BLST/FRZN (USA) NAMP-109E</v>
      </c>
      <c r="L3" s="9" t="str">
        <f>VLOOKUP(J3,'Unit of Measure ship March 2026'!A:C,3,false)</f>
        <v>LBS</v>
      </c>
      <c r="N3" s="17">
        <v>14752.0</v>
      </c>
      <c r="O3" s="9" t="str">
        <f>VLOOKUP(N3,'FML March 2026'!E:F,2,false)</f>
        <v>MAHI MAHI FILET SKIN ON UNTREATED  FROZEN (IP IS FTZ) (YEMEN)</v>
      </c>
      <c r="P3" s="35" t="s">
        <v>42</v>
      </c>
      <c r="Q3" s="76"/>
      <c r="R3" s="49"/>
      <c r="S3" s="9"/>
      <c r="T3" s="9"/>
      <c r="U3" s="76"/>
      <c r="V3" s="49"/>
      <c r="W3" s="9"/>
      <c r="X3" s="9"/>
      <c r="Y3" s="76"/>
      <c r="Z3" s="76"/>
      <c r="AA3" s="76"/>
      <c r="AB3" s="76"/>
    </row>
    <row r="4" ht="14.25" customHeight="1">
      <c r="B4" s="8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17">
        <v>23757.0</v>
      </c>
      <c r="G4" s="9" t="str">
        <f>VLOOKUP(F4,'FML March 2026'!E:F,2,false)</f>
        <v>APPLES GRANNY SMITH 88CT 40#/CS</v>
      </c>
      <c r="H4" s="9" t="str">
        <f>VLOOKUP(F4,'Unit of Measure ship March 2026'!A:C,3,false)</f>
        <v>LBS</v>
      </c>
      <c r="J4" s="17">
        <v>102748.0</v>
      </c>
      <c r="K4" s="9" t="str">
        <f>VLOOKUP(J4,'FML March 2026'!E:F,2,false)</f>
        <v>BEEF PATTIES 5.33 OZ CHUCK/BRISKET/SHORT RIB CS/10 LB  (USA) NAMP-1137</v>
      </c>
      <c r="L4" s="9" t="str">
        <f>VLOOKUP(J4,'Unit of Measure ship March 2026'!A:C,3,false)</f>
        <v>LBS</v>
      </c>
      <c r="N4" s="17">
        <v>14670.0</v>
      </c>
      <c r="O4" s="9" t="str">
        <f>VLOOKUP(N4,'FML March 2026'!E:F,2,false)</f>
        <v>RED SNAPPER FILLET SKIN-ON 1-3 LB FROZEN (IP IS FTZ) (VIETNAM)</v>
      </c>
      <c r="P4" s="9" t="str">
        <f>VLOOKUP(N4,'Unit of Measure ship March 2026'!A:C,3,false)</f>
        <v>LBS</v>
      </c>
      <c r="Q4" s="76"/>
      <c r="R4" s="49"/>
      <c r="S4" s="9"/>
      <c r="T4" s="9"/>
      <c r="U4" s="76"/>
      <c r="V4" s="49"/>
      <c r="W4" s="9"/>
      <c r="X4" s="9"/>
      <c r="Y4" s="76"/>
      <c r="Z4" s="76"/>
      <c r="AA4" s="76"/>
      <c r="AB4" s="76"/>
    </row>
    <row r="5" ht="14.25" customHeight="1">
      <c r="B5" s="17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8">
        <v>53697.0</v>
      </c>
      <c r="G5" s="9" t="str">
        <f>VLOOKUP(F5,'FML March 2026'!E:F,2,false)</f>
        <v>ARTICHOKE, JERUSALEM, FRESH</v>
      </c>
      <c r="H5" s="9" t="str">
        <f>VLOOKUP(F5,'Unit of Measure ship March 2026'!A:C,3,false)</f>
        <v>LBS</v>
      </c>
      <c r="J5" s="17">
        <v>110970.0</v>
      </c>
      <c r="K5" s="9" t="str">
        <f>VLOOKUP(J5,'FML March 2026'!E:F,2,false)</f>
        <v>BEEF SHORT RIBS BONELESS VV, NAMP-130A</v>
      </c>
      <c r="L5" s="9" t="str">
        <f>VLOOKUP(J5,'Unit of Measure ship March 2026'!A:C,3,false)</f>
        <v>LBS</v>
      </c>
      <c r="N5" s="17">
        <v>53625.0</v>
      </c>
      <c r="O5" s="9" t="str">
        <f>VLOOKUP(N5,'FML March 2026'!E:F,2,false)</f>
        <v>SALMON FILLET, ATLANTIC, PREMIUM, FROZEN, 3 - 4 LB D-TRIM INDV. CRYOVAC (CHILE)</v>
      </c>
      <c r="P5" s="9" t="str">
        <f>VLOOKUP(N5,'Unit of Measure ship March 2026'!A:C,3,false)</f>
        <v>LBS</v>
      </c>
      <c r="Q5" s="76"/>
      <c r="R5" s="49"/>
      <c r="S5" s="9"/>
      <c r="T5" s="9"/>
      <c r="U5" s="76"/>
      <c r="V5" s="49"/>
      <c r="W5" s="9"/>
      <c r="X5" s="9"/>
      <c r="Y5" s="76"/>
      <c r="Z5" s="76"/>
      <c r="AA5" s="76"/>
      <c r="AB5" s="76"/>
    </row>
    <row r="6" ht="14.25" customHeight="1">
      <c r="B6" s="15">
        <v>40445.0</v>
      </c>
      <c r="C6" s="9" t="str">
        <f>VLOOKUP(B6,'FML March 2026'!E:F,2,false)</f>
        <v>ALMOND BLANCHED FLOUR (USA )</v>
      </c>
      <c r="D6" s="9" t="str">
        <f>VLOOKUP(B6,'Unit of Measure ship March 2026'!A:C,3,false)</f>
        <v>LBS</v>
      </c>
      <c r="F6" s="17">
        <v>24182.0</v>
      </c>
      <c r="G6" s="9" t="str">
        <f>VLOOKUP(F6,'FML March 2026'!E:F,2,false)</f>
        <v>ARUGULA, BABY</v>
      </c>
      <c r="H6" s="9" t="str">
        <f>VLOOKUP(F6,'Unit of Measure ship March 2026'!A:C,3,false)</f>
        <v>LBS</v>
      </c>
      <c r="J6" s="17">
        <v>11695.0</v>
      </c>
      <c r="K6" s="9" t="str">
        <f>VLOOKUP(J6,'FML March 2026'!E:F,2,false)</f>
        <v>CHICKEN LEG/THIGH BONELESS &amp; SKINLESS FROZEN</v>
      </c>
      <c r="L6" s="9" t="str">
        <f>VLOOKUP(J6,'Unit of Measure ship March 2026'!A:C,3,false)</f>
        <v>LBS</v>
      </c>
      <c r="N6" s="17">
        <v>14714.0</v>
      </c>
      <c r="O6" s="9" t="str">
        <f>VLOOKUP(N6,'FML March 2026'!E:F,2,false)</f>
        <v>SMOKED SALMON SLAB LG. 2.0-2.5 LB VAC PK (USA)</v>
      </c>
      <c r="P6" s="9" t="str">
        <f>VLOOKUP(N6,'Unit of Measure ship March 2026'!A:C,3,false)</f>
        <v>LBS</v>
      </c>
      <c r="Q6" s="76"/>
      <c r="R6" s="49"/>
      <c r="S6" s="9"/>
      <c r="T6" s="9"/>
      <c r="U6" s="76"/>
      <c r="V6" s="49"/>
      <c r="W6" s="9"/>
      <c r="X6" s="9"/>
      <c r="Y6" s="76"/>
      <c r="Z6" s="76"/>
      <c r="AA6" s="76"/>
      <c r="AB6" s="76"/>
    </row>
    <row r="7" ht="14.25" customHeight="1">
      <c r="B7" s="8">
        <v>54020.0</v>
      </c>
      <c r="C7" s="9" t="str">
        <f>VLOOKUP(B7,'FML March 2026'!E:F,2,false)</f>
        <v>ALMOND MILK DIAMOND/ ALMOND BREEZE</v>
      </c>
      <c r="D7" s="9" t="str">
        <f>VLOOKUP(B7,'Unit of Measure ship March 2026'!A:C,3,false)</f>
        <v>LT</v>
      </c>
      <c r="F7" s="17">
        <v>15572.0</v>
      </c>
      <c r="G7" s="9" t="str">
        <f>VLOOKUP(F7,'FML March 2026'!E:F,2,false)</f>
        <v>ASPARAGUS, FRESH, LARGE, FULL 11# BOX, 17 PC/BOX</v>
      </c>
      <c r="H7" s="9" t="str">
        <f>VLOOKUP(F7,'Unit of Measure ship March 2026'!A:C,3,false)</f>
        <v>LBS</v>
      </c>
      <c r="J7" s="17">
        <v>62645.0</v>
      </c>
      <c r="K7" s="9" t="str">
        <f>VLOOKUP(J7,'FML March 2026'!E:F,2,false)</f>
        <v>CHICKEN WINGS WHOLE  RAW JUMBO CS4/10 LB</v>
      </c>
      <c r="L7" s="9" t="str">
        <f>VLOOKUP(J7,'Unit of Measure ship March 2026'!A:C,3,false)</f>
        <v>LBS</v>
      </c>
      <c r="N7" s="17">
        <v>14651.0</v>
      </c>
      <c r="O7" s="9" t="str">
        <f>VLOOKUP(N7,'FML March 2026'!E:F,2,false)</f>
        <v>TUNA LOIN SKINLESS FROZEN,  (IP IS FTZ) (YEMEN)</v>
      </c>
      <c r="P7" s="9" t="str">
        <f>VLOOKUP(N7,'Unit of Measure ship March 2026'!A:C,3,false)</f>
        <v>LBS</v>
      </c>
      <c r="Q7" s="76"/>
      <c r="R7" s="49"/>
      <c r="S7" s="9"/>
      <c r="T7" s="9"/>
      <c r="U7" s="76"/>
      <c r="V7" s="49"/>
      <c r="W7" s="9"/>
      <c r="X7" s="9"/>
      <c r="Y7" s="76"/>
      <c r="Z7" s="76"/>
      <c r="AA7" s="76"/>
      <c r="AB7" s="76"/>
    </row>
    <row r="8" ht="14.25" customHeight="1">
      <c r="B8" s="77">
        <v>110031.0</v>
      </c>
      <c r="C8" s="9" t="str">
        <f>VLOOKUP(B8,'FML March 2026'!E:F,2,false)</f>
        <v>ALMONDS MARCONA CS/11LBS SAVOR IMPORTS</v>
      </c>
      <c r="D8" s="9" t="str">
        <f>VLOOKUP(B8,'Unit of Measure ship March 2026'!A:C,3,false)</f>
        <v>LBS</v>
      </c>
      <c r="F8" s="8">
        <v>15378.0</v>
      </c>
      <c r="G8" s="9" t="str">
        <f>VLOOKUP(F8,'FML March 2026'!E:F,2,false)</f>
        <v>AVOCADOS HASS FRESH CA-48PC FL-12/14PC 20#</v>
      </c>
      <c r="H8" s="9" t="str">
        <f>VLOOKUP(F8,'Unit of Measure ship March 2026'!A:C,3,false)</f>
        <v>LBS</v>
      </c>
      <c r="J8" s="17">
        <v>14576.0</v>
      </c>
      <c r="K8" s="9" t="str">
        <f>VLOOKUP(J8,'FML March 2026'!E:F,2,false)</f>
        <v>CHICKEN, FRYER, WOG, IND WRAPPED, NON-INJECTED, 2.50-3.25 LB EA, FZN, 12/1 EA</v>
      </c>
      <c r="L8" s="9" t="str">
        <f>VLOOKUP(J8,'Unit of Measure ship March 2026'!A:C,3,false)</f>
        <v>LBS</v>
      </c>
      <c r="O8" s="9"/>
      <c r="P8" s="9"/>
      <c r="Q8" s="76"/>
      <c r="R8" s="49"/>
      <c r="S8" s="9"/>
      <c r="T8" s="9"/>
      <c r="U8" s="76"/>
      <c r="V8" s="49"/>
      <c r="W8" s="9"/>
      <c r="X8" s="9"/>
      <c r="Y8" s="76"/>
      <c r="Z8" s="76"/>
      <c r="AA8" s="76"/>
      <c r="AB8" s="76"/>
    </row>
    <row r="9" ht="14.25" customHeight="1">
      <c r="B9" s="8">
        <v>40136.0</v>
      </c>
      <c r="C9" s="9" t="str">
        <f>VLOOKUP(B9,'FML March 2026'!E:F,2,false)</f>
        <v>ALMONDS SLIVERED BLANCHED 5 LBS</v>
      </c>
      <c r="D9" s="9" t="str">
        <f>VLOOKUP(B9,'Unit of Measure ship March 2026'!A:C,3,false)</f>
        <v>LBS</v>
      </c>
      <c r="F9" s="8">
        <v>111708.0</v>
      </c>
      <c r="G9" s="9" t="str">
        <f>VLOOKUP(F9,'FML March 2026'!E:F,2,false)</f>
        <v>BABY TURNIP</v>
      </c>
      <c r="H9" s="9" t="str">
        <f>VLOOKUP(F9,'Unit of Measure ship March 2026'!A:C,3,false)</f>
        <v>LBS</v>
      </c>
      <c r="J9" s="8">
        <v>24773.0</v>
      </c>
      <c r="K9" s="9" t="str">
        <f>VLOOKUP(J9,'FML March 2026'!E:F,2,false)</f>
        <v>PORK BELLY RAW RIND-ON (USA)</v>
      </c>
      <c r="L9" s="9" t="str">
        <f>VLOOKUP(J9,'Unit of Measure ship March 2026'!A:C,3,false)</f>
        <v>LBS</v>
      </c>
      <c r="O9" s="9"/>
      <c r="P9" s="9"/>
      <c r="Q9" s="76"/>
      <c r="R9" s="49"/>
      <c r="S9" s="9"/>
      <c r="T9" s="9"/>
      <c r="U9" s="76"/>
      <c r="V9" s="49"/>
      <c r="W9" s="9"/>
      <c r="X9" s="9"/>
      <c r="Y9" s="76"/>
      <c r="Z9" s="76"/>
      <c r="AA9" s="76"/>
      <c r="AB9" s="76"/>
    </row>
    <row r="10" ht="14.25" customHeight="1">
      <c r="B10" s="17">
        <v>14498.0</v>
      </c>
      <c r="C10" s="9" t="str">
        <f>VLOOKUP(B10,'FML March 2026'!E:F,2,false)</f>
        <v>ANDOUILLE SAUSAGE LINK (10532)</v>
      </c>
      <c r="D10" s="9" t="str">
        <f>VLOOKUP(B10,'Unit of Measure ship March 2026'!A:C,3,false)</f>
        <v>LBS</v>
      </c>
      <c r="F10" s="17">
        <v>15429.0</v>
      </c>
      <c r="G10" s="9" t="str">
        <f>VLOOKUP(F10,'FML March 2026'!E:F,2,false)</f>
        <v>BASIL (12 BUNCH) HYDROPONIC OR REGULAR 1 LB/CS</v>
      </c>
      <c r="H10" s="9" t="str">
        <f>VLOOKUP(F10,'Unit of Measure ship March 2026'!A:C,3,false)</f>
        <v>LBS</v>
      </c>
      <c r="J10" s="17">
        <v>14443.0</v>
      </c>
      <c r="K10" s="9" t="str">
        <f>VLOOKUP(J10,'FML March 2026'!E:F,2,false)</f>
        <v>PORK LOIN BACK RIBS 1-1/2# DOWN DOMESTIC NAMP 422 (USA)</v>
      </c>
      <c r="L10" s="9" t="str">
        <f>VLOOKUP(J10,'Unit of Measure ship March 2026'!A:C,3,false)</f>
        <v>LBS</v>
      </c>
      <c r="O10" s="9"/>
      <c r="P10" s="9"/>
      <c r="Q10" s="76"/>
      <c r="R10" s="49"/>
      <c r="S10" s="9"/>
      <c r="T10" s="9"/>
      <c r="U10" s="76"/>
      <c r="V10" s="49"/>
      <c r="W10" s="9"/>
      <c r="X10" s="9"/>
      <c r="Y10" s="76"/>
      <c r="Z10" s="76"/>
      <c r="AA10" s="76"/>
      <c r="AB10" s="76"/>
    </row>
    <row r="11" ht="14.25" customHeight="1">
      <c r="B11" s="8">
        <v>16304.0</v>
      </c>
      <c r="C11" s="9" t="str">
        <f>VLOOKUP(B11,'FML March 2026'!E:F,2,false)</f>
        <v>ANISE STAR BADIA</v>
      </c>
      <c r="D11" s="9" t="str">
        <f>VLOOKUP(B11,'Unit of Measure ship March 2026'!A:C,3,false)</f>
        <v>UNIT/8OZ</v>
      </c>
      <c r="F11" s="17">
        <v>15605.0</v>
      </c>
      <c r="G11" s="9" t="str">
        <f>VLOOKUP(F11,'FML March 2026'!E:F,2,false)</f>
        <v>BEANS FRESH EXTRA FINE GREEN (FRENCH) 1/5 (HARICOT VERT)</v>
      </c>
      <c r="H11" s="9" t="str">
        <f>VLOOKUP(F11,'Unit of Measure ship March 2026'!A:C,3,false)</f>
        <v>LBS</v>
      </c>
      <c r="J11" s="17">
        <v>10533.0</v>
      </c>
      <c r="K11" s="9" t="str">
        <f>VLOOKUP(J11,'FML March 2026'!E:F,2,false)</f>
        <v>PORK SHOULDER BUTT BONELESS</v>
      </c>
      <c r="L11" s="9" t="str">
        <f>VLOOKUP(J11,'Unit of Measure ship March 2026'!A:C,3,false)</f>
        <v>LBS</v>
      </c>
      <c r="N11" s="49"/>
      <c r="O11" s="9"/>
      <c r="P11" s="9"/>
      <c r="Q11" s="76"/>
      <c r="R11" s="49"/>
      <c r="S11" s="9"/>
      <c r="T11" s="9"/>
      <c r="U11" s="76"/>
      <c r="V11" s="49"/>
      <c r="W11" s="9"/>
      <c r="X11" s="9"/>
      <c r="Y11" s="76"/>
      <c r="Z11" s="76"/>
      <c r="AA11" s="76"/>
      <c r="AB11" s="76"/>
    </row>
    <row r="12" ht="14.25" customHeight="1">
      <c r="B12" s="8">
        <v>109664.0</v>
      </c>
      <c r="C12" s="9" t="str">
        <f>VLOOKUP(B12,'FML March 2026'!E:F,2,false)</f>
        <v>APPLE CIDER VINEGAR SPARROW LANE V</v>
      </c>
      <c r="D12" s="9" t="str">
        <f>VLOOKUP(B12,'Unit of Measure ship March 2026'!A:C,3,false)</f>
        <v>GAL</v>
      </c>
      <c r="F12" s="17">
        <v>15449.0</v>
      </c>
      <c r="G12" s="9" t="str">
        <f>VLOOKUP(F12,'FML March 2026'!E:F,2,false)</f>
        <v>BEET ROOTS LARGE 1/25#</v>
      </c>
      <c r="H12" s="9" t="str">
        <f>VLOOKUP(F12,'Unit of Measure ship March 2026'!A:C,3,false)</f>
        <v>LBS</v>
      </c>
      <c r="N12" s="49"/>
      <c r="O12" s="9"/>
      <c r="P12" s="9"/>
      <c r="Q12" s="76"/>
      <c r="R12" s="49"/>
      <c r="S12" s="9"/>
      <c r="T12" s="9"/>
      <c r="U12" s="76"/>
      <c r="V12" s="49"/>
      <c r="W12" s="9"/>
      <c r="X12" s="9"/>
      <c r="Y12" s="76"/>
      <c r="Z12" s="76"/>
      <c r="AA12" s="76"/>
      <c r="AB12" s="76"/>
    </row>
    <row r="13" ht="14.25" customHeight="1">
      <c r="B13" s="8">
        <v>16501.0</v>
      </c>
      <c r="C13" s="9" t="str">
        <f>VLOOKUP(B13,'FML March 2026'!E:F,2,false)</f>
        <v>APPLE SAUCE 6/10 CAN ATALANTA/PREMIUM/MONACO (USA)</v>
      </c>
      <c r="D13" s="9" t="str">
        <f>VLOOKUP(B13,'Unit of Measure ship March 2026'!A:C,3,false)</f>
        <v>CN/6.5LB</v>
      </c>
      <c r="F13" s="8">
        <v>15333.0</v>
      </c>
      <c r="G13" s="9" t="str">
        <f>VLOOKUP(F13,'FML March 2026'!E:F,2,false)</f>
        <v>BLACKBERRIES FRESH 12 1/2 PT 4.5#</v>
      </c>
      <c r="H13" s="9" t="str">
        <f>VLOOKUP(F13,'Unit of Measure ship March 2026'!A:C,3,false)</f>
        <v>LBS</v>
      </c>
      <c r="N13" s="49"/>
      <c r="O13" s="9"/>
      <c r="P13" s="9"/>
      <c r="Q13" s="76"/>
      <c r="R13" s="49"/>
      <c r="S13" s="9"/>
      <c r="T13" s="9"/>
      <c r="U13" s="76"/>
      <c r="V13" s="49"/>
      <c r="W13" s="9"/>
      <c r="X13" s="9"/>
      <c r="Y13" s="76"/>
      <c r="Z13" s="76"/>
      <c r="AA13" s="76"/>
      <c r="AB13" s="76"/>
    </row>
    <row r="14" ht="14.25" customHeight="1">
      <c r="B14" s="8">
        <v>102498.0</v>
      </c>
      <c r="C14" s="9" t="str">
        <f>VLOOKUP(B14,'FML March 2026'!E:F,2,false)</f>
        <v>ASCORBIC ACID CUISINE TECH/ALBERT USTER  PKG 1/KG</v>
      </c>
      <c r="D14" s="9" t="str">
        <f>VLOOKUP(B14,'Unit of Measure ship March 2026'!A:C,3,false)</f>
        <v>LBS</v>
      </c>
      <c r="F14" s="8">
        <v>15335.0</v>
      </c>
      <c r="G14" s="9" t="str">
        <f>VLOOKUP(F14,'FML March 2026'!E:F,2,false)</f>
        <v>BLUEBERRIES FRESH 12 1/2 PT 4.5#</v>
      </c>
      <c r="H14" s="9" t="str">
        <f>VLOOKUP(F14,'Unit of Measure ship March 2026'!A:C,3,false)</f>
        <v>LBS</v>
      </c>
      <c r="K14" s="9"/>
      <c r="L14" s="9"/>
      <c r="N14" s="49"/>
      <c r="O14" s="9"/>
      <c r="P14" s="9"/>
      <c r="Q14" s="76"/>
      <c r="R14" s="49"/>
      <c r="S14" s="9"/>
      <c r="T14" s="9"/>
      <c r="U14" s="76"/>
      <c r="V14" s="49"/>
      <c r="W14" s="9"/>
      <c r="X14" s="9"/>
      <c r="Y14" s="76"/>
      <c r="Z14" s="76"/>
      <c r="AA14" s="76"/>
      <c r="AB14" s="76"/>
    </row>
    <row r="15" ht="14.25" customHeight="1">
      <c r="B15" s="8">
        <v>43803.0</v>
      </c>
      <c r="C15" s="9" t="str">
        <f>VLOOKUP(B15,'FML March 2026'!E:F,2,false)</f>
        <v>BABY CARROTS FROZEN STANDARD DUJARDIN (USA)</v>
      </c>
      <c r="D15" s="9" t="str">
        <f>VLOOKUP(B15,'Unit of Measure ship March 2026'!A:C,3,false)</f>
        <v>LBS</v>
      </c>
      <c r="F15" s="8">
        <v>38191.0</v>
      </c>
      <c r="G15" s="9" t="str">
        <f>VLOOKUP(F15,'FML March 2026'!E:F,2,false)</f>
        <v>BRUSSELS SPROUTS SMALL</v>
      </c>
      <c r="H15" s="9" t="str">
        <f>VLOOKUP(F15,'Unit of Measure ship March 2026'!A:C,3,false)</f>
        <v>LBS</v>
      </c>
      <c r="N15" s="49"/>
      <c r="O15" s="9"/>
      <c r="P15" s="9"/>
      <c r="Q15" s="76"/>
      <c r="R15" s="49"/>
      <c r="S15" s="9"/>
      <c r="T15" s="9"/>
      <c r="U15" s="76"/>
      <c r="V15" s="49"/>
      <c r="W15" s="9"/>
      <c r="X15" s="9"/>
      <c r="Y15" s="76"/>
      <c r="Z15" s="76"/>
      <c r="AA15" s="76"/>
      <c r="AB15" s="76"/>
    </row>
    <row r="16" ht="14.25" customHeight="1">
      <c r="B16" s="17">
        <v>109686.0</v>
      </c>
      <c r="C16" s="9" t="str">
        <f>VLOOKUP(B16,'FML March 2026'!E:F,2,false)</f>
        <v>BACON, NUESKE 24 HOUR  APPLEWOOD SMOKED BACON (NUESKI 2131)</v>
      </c>
      <c r="D16" s="9" t="str">
        <f>VLOOKUP(B16,'Unit of Measure ship March 2026'!A:C,3,false)</f>
        <v>LBS</v>
      </c>
      <c r="F16" s="17">
        <v>15454.0</v>
      </c>
      <c r="G16" s="9" t="str">
        <f>VLOOKUP(F16,'FML March 2026'!E:F,2,false)</f>
        <v>CABBAGE GREEN COMM MED/LG TRIMMED 50#</v>
      </c>
      <c r="H16" s="9" t="str">
        <f>VLOOKUP(F16,'Unit of Measure ship March 2026'!A:C,3,false)</f>
        <v>LBS</v>
      </c>
      <c r="K16" s="9"/>
      <c r="L16" s="9"/>
      <c r="N16" s="49"/>
      <c r="O16" s="9"/>
      <c r="P16" s="9"/>
      <c r="Q16" s="76"/>
      <c r="R16" s="49"/>
      <c r="S16" s="9"/>
      <c r="T16" s="9"/>
      <c r="U16" s="76"/>
      <c r="V16" s="49"/>
      <c r="W16" s="9"/>
      <c r="X16" s="9"/>
      <c r="Y16" s="76"/>
      <c r="Z16" s="76"/>
      <c r="AA16" s="76"/>
      <c r="AB16" s="76"/>
    </row>
    <row r="17" ht="14.25" customHeight="1">
      <c r="B17" s="17">
        <v>15651.0</v>
      </c>
      <c r="C17" s="9" t="str">
        <f>VLOOKUP(B17,'FML March 2026'!E:F,2,false)</f>
        <v>BAKING POWDER 50 LB</v>
      </c>
      <c r="D17" s="9" t="str">
        <f>VLOOKUP(B17,'Unit of Measure ship March 2026'!A:C,3,false)</f>
        <v>LBS</v>
      </c>
      <c r="F17" s="17">
        <v>15456.0</v>
      </c>
      <c r="G17" s="9" t="str">
        <f>VLOOKUP(F17,'FML March 2026'!E:F,2,false)</f>
        <v>CABBAGE NAPA 12CT 30#</v>
      </c>
      <c r="H17" s="9" t="str">
        <f>VLOOKUP(F17,'Unit of Measure ship March 2026'!A:C,3,false)</f>
        <v>LBS</v>
      </c>
      <c r="K17" s="9"/>
      <c r="L17" s="9"/>
      <c r="N17" s="49"/>
      <c r="O17" s="9"/>
      <c r="P17" s="9"/>
      <c r="Q17" s="76"/>
      <c r="R17" s="49"/>
      <c r="S17" s="9"/>
      <c r="T17" s="9"/>
      <c r="U17" s="76"/>
      <c r="V17" s="49"/>
      <c r="W17" s="9"/>
      <c r="X17" s="9"/>
      <c r="Y17" s="76"/>
      <c r="Z17" s="76"/>
      <c r="AA17" s="76"/>
      <c r="AB17" s="76"/>
    </row>
    <row r="18" ht="14.25" customHeight="1">
      <c r="B18" s="17">
        <v>15652.0</v>
      </c>
      <c r="C18" s="9" t="str">
        <f>VLOOKUP(B18,'FML March 2026'!E:F,2,false)</f>
        <v>BAKING SODA</v>
      </c>
      <c r="D18" s="9" t="str">
        <f>VLOOKUP(B18,'Unit of Measure ship March 2026'!A:C,3,false)</f>
        <v>LBS</v>
      </c>
      <c r="F18" s="17">
        <v>15458.0</v>
      </c>
      <c r="G18" s="9" t="str">
        <f>VLOOKUP(F18,'FML March 2026'!E:F,2,false)</f>
        <v>CARROTS CLIP TOP 50#</v>
      </c>
      <c r="H18" s="9" t="str">
        <f>VLOOKUP(F18,'Unit of Measure ship March 2026'!A:C,3,false)</f>
        <v>LBS</v>
      </c>
      <c r="K18" s="9"/>
      <c r="L18" s="9"/>
      <c r="N18" s="49"/>
      <c r="O18" s="9"/>
      <c r="P18" s="9"/>
      <c r="Q18" s="76"/>
      <c r="R18" s="49"/>
      <c r="S18" s="9"/>
      <c r="T18" s="9"/>
      <c r="U18" s="76"/>
      <c r="V18" s="49"/>
      <c r="W18" s="9"/>
      <c r="X18" s="9"/>
      <c r="Y18" s="76"/>
      <c r="Z18" s="76"/>
      <c r="AA18" s="76"/>
      <c r="AB18" s="76"/>
    </row>
    <row r="19" ht="14.25" customHeight="1">
      <c r="B19" s="8">
        <v>12284.0</v>
      </c>
      <c r="C19" s="9" t="str">
        <f>VLOOKUP(B19,'FML March 2026'!E:F,2,false)</f>
        <v>BARBEQUE SAUCE, HICKORY</v>
      </c>
      <c r="D19" s="9" t="str">
        <f>VLOOKUP(B19,'Unit of Measure ship March 2026'!A:C,3,false)</f>
        <v>GAL</v>
      </c>
      <c r="F19" s="17">
        <v>15459.0</v>
      </c>
      <c r="G19" s="9" t="str">
        <f>VLOOKUP(F19,'FML March 2026'!E:F,2,false)</f>
        <v>CAULIFLOWER #1 CAL. 12 CT 25#</v>
      </c>
      <c r="H19" s="9" t="str">
        <f>VLOOKUP(F19,'Unit of Measure ship March 2026'!A:C,3,false)</f>
        <v>LBS</v>
      </c>
      <c r="J19" s="49"/>
      <c r="K19" s="9"/>
      <c r="L19" s="9"/>
      <c r="N19" s="57"/>
      <c r="O19" s="9"/>
      <c r="P19" s="9"/>
      <c r="Q19" s="76"/>
      <c r="R19" s="57"/>
      <c r="S19" s="9"/>
      <c r="T19" s="9"/>
      <c r="U19" s="76"/>
      <c r="V19" s="57"/>
      <c r="W19" s="9"/>
      <c r="X19" s="9"/>
      <c r="Y19" s="76"/>
      <c r="Z19" s="76"/>
      <c r="AA19" s="76"/>
      <c r="AB19" s="76"/>
    </row>
    <row r="20" ht="14.25" customHeight="1">
      <c r="B20" s="17">
        <v>16182.0</v>
      </c>
      <c r="C20" s="9" t="str">
        <f>VLOOKUP(B20,'FML March 2026'!E:F,2,false)</f>
        <v>BARLEY PEARLED</v>
      </c>
      <c r="D20" s="9" t="str">
        <f>VLOOKUP(B20,'Unit of Measure ship March 2026'!A:C,3,false)</f>
        <v>LBS</v>
      </c>
      <c r="F20" s="8">
        <v>110917.0</v>
      </c>
      <c r="G20" s="9" t="str">
        <f>VLOOKUP(F20,'FML March 2026'!E:F,2,false)</f>
        <v>CAULIFLOWER ORANGE 12CT (28LB)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  <c r="Q20" s="76"/>
      <c r="R20" s="49"/>
      <c r="S20" s="9"/>
      <c r="T20" s="9"/>
      <c r="U20" s="76"/>
      <c r="V20" s="49"/>
      <c r="W20" s="9"/>
      <c r="X20" s="9"/>
      <c r="Y20" s="76"/>
      <c r="Z20" s="76"/>
      <c r="AA20" s="76"/>
      <c r="AB20" s="76"/>
    </row>
    <row r="21" ht="14.25" customHeight="1">
      <c r="B21" s="17">
        <v>16250.0</v>
      </c>
      <c r="C21" s="9" t="str">
        <f>VLOOKUP(B21,'FML March 2026'!E:F,2,false)</f>
        <v>BAY LEAVES WHOLE D`ALLESANDRO/ SPICECO</v>
      </c>
      <c r="D21" s="9" t="str">
        <f>VLOOKUP(B21,'Unit of Measure ship March 2026'!A:C,3,false)</f>
        <v>LBS</v>
      </c>
      <c r="F21" s="8">
        <v>110078.0</v>
      </c>
      <c r="G21" s="9" t="str">
        <f>VLOOKUP(F21,'FML March 2026'!E:F,2,false)</f>
        <v>CAULIFLOWER PURPLR FRESH</v>
      </c>
      <c r="H21" s="9" t="str">
        <f>VLOOKUP(F21,'Unit of Measure ship March 2026'!A:C,3,false)</f>
        <v>EA</v>
      </c>
      <c r="J21" s="49"/>
      <c r="K21" s="9"/>
      <c r="L21" s="9"/>
      <c r="N21" s="49"/>
      <c r="O21" s="9"/>
      <c r="P21" s="9"/>
      <c r="Q21" s="76"/>
      <c r="R21" s="49"/>
      <c r="S21" s="9"/>
      <c r="T21" s="9"/>
      <c r="U21" s="76"/>
      <c r="V21" s="49"/>
      <c r="W21" s="9"/>
      <c r="X21" s="9"/>
      <c r="Y21" s="76"/>
      <c r="Z21" s="76"/>
      <c r="AA21" s="76"/>
      <c r="AB21" s="76"/>
    </row>
    <row r="22" ht="14.25" customHeight="1">
      <c r="B22" s="8">
        <v>109688.0</v>
      </c>
      <c r="C22" s="9" t="str">
        <f>VLOOKUP(B22,'FML March 2026'!E:F,2,false)</f>
        <v>BEE POLLEN FRONTIER HERB</v>
      </c>
      <c r="D22" s="9" t="str">
        <f>VLOOKUP(B22,'Unit of Measure ship March 2026'!A:C,3,false)</f>
        <v>PEA1/OZ</v>
      </c>
      <c r="F22" s="17">
        <v>15562.0</v>
      </c>
      <c r="G22" s="9" t="str">
        <f>VLOOKUP(F22,'FML March 2026'!E:F,2,false)</f>
        <v>CELERIAC (CELERY ROOT) 20#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  <c r="Q22" s="76"/>
      <c r="R22" s="49"/>
      <c r="S22" s="9"/>
      <c r="T22" s="9"/>
      <c r="U22" s="76"/>
      <c r="V22" s="49"/>
      <c r="W22" s="9"/>
      <c r="X22" s="9"/>
      <c r="Y22" s="76"/>
      <c r="Z22" s="76"/>
      <c r="AA22" s="76"/>
      <c r="AB22" s="76"/>
    </row>
    <row r="23" ht="14.25" customHeight="1">
      <c r="B23" s="17">
        <v>15158.0</v>
      </c>
      <c r="C23" s="9" t="str">
        <f>VLOOKUP(B23,'FML March 2026'!E:F,2,false)</f>
        <v>BLUEBERRIES, WHOLE, IQF, FRZN</v>
      </c>
      <c r="D23" s="9" t="str">
        <f>VLOOKUP(B23,'Unit of Measure ship March 2026'!A:C,3,false)</f>
        <v>LBS</v>
      </c>
      <c r="F23" s="17">
        <v>15460.0</v>
      </c>
      <c r="G23" s="9" t="str">
        <f>VLOOKUP(F23,'FML March 2026'!E:F,2,false)</f>
        <v>CELERY #1 CAL. 36CT 60#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  <c r="Q23" s="76"/>
      <c r="R23" s="49"/>
      <c r="S23" s="9"/>
      <c r="T23" s="9"/>
      <c r="U23" s="76"/>
      <c r="V23" s="49"/>
      <c r="W23" s="9"/>
      <c r="X23" s="9"/>
      <c r="Y23" s="76"/>
      <c r="Z23" s="76"/>
      <c r="AA23" s="76"/>
      <c r="AB23" s="76"/>
    </row>
    <row r="24" ht="14.25" customHeight="1">
      <c r="B24" s="8">
        <v>102500.0</v>
      </c>
      <c r="C24" s="9" t="str">
        <f>VLOOKUP(B24,'FML March 2026'!E:F,2,false)</f>
        <v>BONITO FLAKES 6X1LB</v>
      </c>
      <c r="D24" s="9" t="str">
        <f>VLOOKUP(B24,'Unit of Measure ship March 2026'!A:C,3,false)</f>
        <v>PK/1LB</v>
      </c>
      <c r="F24" s="17">
        <v>15543.0</v>
      </c>
      <c r="G24" s="9" t="str">
        <f>VLOOKUP(F24,'FML March 2026'!E:F,2,false)</f>
        <v>CHERVIL, FRESH, 12BU 1 LB/CS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  <c r="Q24" s="76"/>
      <c r="R24" s="49"/>
      <c r="S24" s="9"/>
      <c r="T24" s="9"/>
      <c r="U24" s="76"/>
      <c r="V24" s="49"/>
      <c r="W24" s="9"/>
      <c r="X24" s="9"/>
      <c r="Y24" s="76"/>
      <c r="Z24" s="76"/>
      <c r="AA24" s="76"/>
      <c r="AB24" s="76"/>
    </row>
    <row r="25" ht="14.25" customHeight="1">
      <c r="B25" s="8">
        <v>109712.0</v>
      </c>
      <c r="C25" s="9" t="str">
        <f>VLOOKUP(B25,'FML March 2026'!E:F,2,false)</f>
        <v>BREAD SOURDOUGH COUNTRY WHEAT BRD40B19  1KG LOAF  ZAK THE BAKER</v>
      </c>
      <c r="D25" s="9" t="str">
        <f>VLOOKUP(B25,'Unit of Measure ship March 2026'!A:C,3,false)</f>
        <v>LV</v>
      </c>
      <c r="F25" s="8">
        <v>109753.0</v>
      </c>
      <c r="G25" s="9" t="str">
        <f>VLOOKUP(F25,'FML March 2026'!E:F,2,false)</f>
        <v>CHILI FRESNO FRESH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  <c r="Q25" s="76"/>
      <c r="R25" s="49"/>
      <c r="S25" s="9"/>
      <c r="T25" s="9"/>
      <c r="U25" s="76"/>
      <c r="V25" s="49"/>
      <c r="W25" s="9"/>
      <c r="X25" s="9"/>
      <c r="Y25" s="76"/>
      <c r="Z25" s="76"/>
      <c r="AA25" s="76"/>
      <c r="AB25" s="76"/>
    </row>
    <row r="26" ht="14.25" customHeight="1">
      <c r="B26" s="8">
        <v>109933.0</v>
      </c>
      <c r="C26" s="9" t="str">
        <f>VLOOKUP(B26,'FML March 2026'!E:F,2,false)</f>
        <v>BUTTER ALTERNATIVE VEGAN PLANT PERFECT (USA)</v>
      </c>
      <c r="D26" s="9" t="str">
        <f>VLOOKUP(B26,'Unit of Measure ship March 2026'!A:C,3,false)</f>
        <v>LBS</v>
      </c>
      <c r="F26" s="17">
        <v>15438.0</v>
      </c>
      <c r="G26" s="9" t="str">
        <f>VLOOKUP(F26,'FML March 2026'!E:F,2,false)</f>
        <v>CHIVES (12 BUNCH), 1 LB/CS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  <c r="Q26" s="76"/>
      <c r="R26" s="49"/>
      <c r="S26" s="9"/>
      <c r="T26" s="9"/>
      <c r="U26" s="76"/>
      <c r="V26" s="49"/>
      <c r="W26" s="9"/>
      <c r="X26" s="9"/>
      <c r="Y26" s="76"/>
      <c r="Z26" s="76"/>
      <c r="AA26" s="76"/>
      <c r="AB26" s="76"/>
    </row>
    <row r="27" ht="14.25" customHeight="1">
      <c r="B27" s="17">
        <v>15016.0</v>
      </c>
      <c r="C27" s="9" t="str">
        <f>VLOOKUP(B27,'FML March 2026'!E:F,2,false)</f>
        <v>BUTTER, UNSALTED, 82% FAT, FZN, 50/200 G</v>
      </c>
      <c r="D27" s="9" t="str">
        <f>VLOOKUP(B27,'Unit of Measure ship March 2026'!A:C,3,false)</f>
        <v>LBS</v>
      </c>
      <c r="F27" s="17">
        <v>15431.0</v>
      </c>
      <c r="G27" s="9" t="str">
        <f>VLOOKUP(F27,'FML March 2026'!E:F,2,false)</f>
        <v>CILANTRO (12 BUNCH) 1 LB/CS DOMESTIC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  <c r="Q27" s="76"/>
      <c r="R27" s="49"/>
      <c r="S27" s="9"/>
      <c r="T27" s="9"/>
      <c r="U27" s="76"/>
      <c r="V27" s="49"/>
      <c r="W27" s="9"/>
      <c r="X27" s="9"/>
      <c r="Y27" s="76"/>
      <c r="Z27" s="76"/>
      <c r="AA27" s="76"/>
      <c r="AB27" s="76"/>
    </row>
    <row r="28" ht="14.25" customHeight="1">
      <c r="B28" s="17">
        <v>14893.0</v>
      </c>
      <c r="C28" s="9" t="str">
        <f>VLOOKUP(B28,'FML March 2026'!E:F,2,false)</f>
        <v>BUTTERMILK LOCAL 10 DAYS CS9/HGAL</v>
      </c>
      <c r="D28" s="9" t="str">
        <f>VLOOKUP(B28,'Unit of Measure ship March 2026'!A:C,3,false)</f>
        <v>QRT</v>
      </c>
      <c r="F28" s="8">
        <v>111175.0</v>
      </c>
      <c r="G28" s="9" t="str">
        <f>VLOOKUP(F28,'FML March 2026'!E:F,2,false)</f>
        <v>CILANTRO MICRO FRESH HARPKE FAMILY FARM PK/5 OZ PACKED IN 60 OZ SIZE CLAM SHELL</v>
      </c>
      <c r="H28" s="9" t="str">
        <f>VLOOKUP(F28,'Unit of Measure ship March 2026'!A:C,3,false)</f>
        <v>EA</v>
      </c>
      <c r="J28" s="49"/>
      <c r="K28" s="9"/>
      <c r="L28" s="9"/>
      <c r="N28" s="49"/>
      <c r="O28" s="9"/>
      <c r="P28" s="9"/>
      <c r="Q28" s="76"/>
      <c r="R28" s="49"/>
      <c r="S28" s="9"/>
      <c r="T28" s="9"/>
      <c r="U28" s="76"/>
      <c r="V28" s="49"/>
      <c r="W28" s="9"/>
      <c r="X28" s="9"/>
      <c r="Y28" s="76"/>
      <c r="Z28" s="76"/>
      <c r="AA28" s="76"/>
      <c r="AB28" s="76"/>
    </row>
    <row r="29" ht="14.25" customHeight="1">
      <c r="B29" s="8">
        <v>16015.0</v>
      </c>
      <c r="C29" s="9" t="str">
        <f>VLOOKUP(B29,'FML March 2026'!E:F,2,false)</f>
        <v>CAPERS, NON-PAREIL, IN VINEGAR, DRY, 6X850GR</v>
      </c>
      <c r="D29" s="9" t="str">
        <f>VLOOKUP(B29,'Unit of Measure ship March 2026'!A:C,3,false)</f>
        <v>CAN/32OZ</v>
      </c>
      <c r="F29" s="8">
        <v>110076.0</v>
      </c>
      <c r="G29" s="9" t="str">
        <f>VLOOKUP(F29,'FML March 2026'!E:F,2,false)</f>
        <v>CUCUMBER MINI PERSIAN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  <c r="Q29" s="76"/>
      <c r="R29" s="49"/>
      <c r="S29" s="9"/>
      <c r="T29" s="9"/>
      <c r="U29" s="76"/>
      <c r="V29" s="49"/>
      <c r="W29" s="9"/>
      <c r="X29" s="9"/>
      <c r="Y29" s="76"/>
      <c r="Z29" s="76"/>
      <c r="AA29" s="76"/>
      <c r="AB29" s="76"/>
    </row>
    <row r="30" ht="14.25" customHeight="1">
      <c r="B30" s="8">
        <v>15816.0</v>
      </c>
      <c r="C30" s="9" t="str">
        <f>VLOOKUP(B30,'FML March 2026'!E:F,2,false)</f>
        <v>CARAWAY SEEDS WHOLE 16 OZ D BADIA</v>
      </c>
      <c r="D30" s="9" t="str">
        <f>VLOOKUP(B30,'Unit of Measure ship March 2026'!A:C,3,false)</f>
        <v>LBS</v>
      </c>
      <c r="F30" s="17">
        <v>15462.0</v>
      </c>
      <c r="G30" s="9" t="str">
        <f>VLOOKUP(F30,'FML March 2026'!E:F,2,false)</f>
        <v>CUCUMBERS SEEDLESS LARGE, PLASTIC WRAPPED 13#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  <c r="Q30" s="76"/>
      <c r="R30" s="49"/>
      <c r="S30" s="9"/>
      <c r="T30" s="9"/>
      <c r="U30" s="76"/>
      <c r="V30" s="49"/>
      <c r="W30" s="9"/>
      <c r="X30" s="9"/>
      <c r="Y30" s="76"/>
      <c r="Z30" s="76"/>
      <c r="AA30" s="76"/>
      <c r="AB30" s="76"/>
    </row>
    <row r="31" ht="14.25" customHeight="1">
      <c r="B31" s="77">
        <v>35186.0</v>
      </c>
      <c r="C31" s="9" t="str">
        <f>VLOOKUP(B31,'FML March 2026'!E:F,2,false)</f>
        <v>CELERY SALT 32 OZ D`ALLESANDRO/ SPICE CO</v>
      </c>
      <c r="D31" s="9" t="str">
        <f>VLOOKUP(B31,'Unit of Measure ship March 2026'!A:C,3,false)</f>
        <v>JAR/32OZ</v>
      </c>
      <c r="F31" s="17">
        <v>15433.0</v>
      </c>
      <c r="G31" s="9" t="str">
        <f>VLOOKUP(F31,'FML March 2026'!E:F,2,false)</f>
        <v>DILL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  <c r="Q31" s="76"/>
      <c r="R31" s="49"/>
      <c r="S31" s="9"/>
      <c r="T31" s="9"/>
      <c r="U31" s="76"/>
      <c r="V31" s="49"/>
      <c r="W31" s="9"/>
      <c r="X31" s="9"/>
      <c r="Y31" s="76"/>
      <c r="Z31" s="76"/>
      <c r="AA31" s="76"/>
      <c r="AB31" s="76"/>
    </row>
    <row r="32" ht="14.25" customHeight="1">
      <c r="B32" s="77">
        <v>11957.0</v>
      </c>
      <c r="C32" s="9" t="str">
        <f>VLOOKUP(B32,'FML March 2026'!E:F,2,false)</f>
        <v>CELERY SEEDS WHOLE 16 OZ D`ALLESANDRO/ SPICE CO</v>
      </c>
      <c r="D32" s="9" t="str">
        <f>VLOOKUP(B32,'Unit of Measure ship March 2026'!A:C,3,false)</f>
        <v>LBS</v>
      </c>
      <c r="F32" s="17">
        <v>15547.0</v>
      </c>
      <c r="G32" s="9" t="str">
        <f>VLOOKUP(F32,'FML March 2026'!E:F,2,false)</f>
        <v>FENNEL FRESH CAL. 40#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  <c r="Q32" s="76"/>
      <c r="R32" s="49"/>
      <c r="S32" s="9"/>
      <c r="T32" s="9"/>
      <c r="U32" s="76"/>
      <c r="V32" s="49"/>
      <c r="W32" s="9"/>
      <c r="X32" s="9"/>
      <c r="Y32" s="76"/>
      <c r="Z32" s="76"/>
      <c r="AA32" s="76"/>
      <c r="AB32" s="76"/>
    </row>
    <row r="33" ht="14.25" customHeight="1">
      <c r="B33" s="17">
        <v>12748.0</v>
      </c>
      <c r="C33" s="9" t="str">
        <f>VLOOKUP(B33,'FML March 2026'!E:F,2,false)</f>
        <v>CHEESE TALEGGIO VECCHIO</v>
      </c>
      <c r="D33" s="9" t="str">
        <f>VLOOKUP(B33,'Unit of Measure ship March 2026'!A:C,3,false)</f>
        <v>LBS</v>
      </c>
      <c r="F33" s="17">
        <v>15466.0</v>
      </c>
      <c r="G33" s="9" t="str">
        <f>VLOOKUP(F33,'FML March 2026'!E:F,2,false)</f>
        <v>GARLIC CRATE JUMBO 30# 8 CT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  <c r="Q33" s="76"/>
      <c r="R33" s="49"/>
      <c r="S33" s="9"/>
      <c r="T33" s="9"/>
      <c r="U33" s="76"/>
      <c r="V33" s="49"/>
      <c r="W33" s="9"/>
      <c r="X33" s="9"/>
      <c r="Y33" s="76"/>
      <c r="Z33" s="76"/>
      <c r="AA33" s="76"/>
      <c r="AB33" s="76"/>
    </row>
    <row r="34" ht="14.25" customHeight="1">
      <c r="B34" s="8">
        <v>109925.0</v>
      </c>
      <c r="C34" s="9" t="str">
        <f>VLOOKUP(B34,'FML March 2026'!E:F,2,false)</f>
        <v>CHEESE VEGAN CREAM CHEESE</v>
      </c>
      <c r="D34" s="9" t="str">
        <f>VLOOKUP(B34,'Unit of Measure ship March 2026'!A:C,3,false)</f>
        <v>LBS</v>
      </c>
      <c r="F34" s="8">
        <v>30639.0</v>
      </c>
      <c r="G34" s="9" t="str">
        <f>VLOOKUP(F34,'FML March 2026'!E:F,2,false)</f>
        <v>GARLIC PEELED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  <c r="Q34" s="76"/>
      <c r="R34" s="49"/>
      <c r="S34" s="9"/>
      <c r="T34" s="9"/>
      <c r="U34" s="76"/>
      <c r="V34" s="49"/>
      <c r="W34" s="9"/>
      <c r="X34" s="9"/>
      <c r="Y34" s="76"/>
      <c r="Z34" s="76"/>
      <c r="AA34" s="76"/>
      <c r="AB34" s="76"/>
    </row>
    <row r="35" ht="14.25" customHeight="1">
      <c r="B35" s="8">
        <v>27418.0</v>
      </c>
      <c r="C35" s="9" t="str">
        <f>VLOOKUP(B35,'FML March 2026'!E:F,2,false)</f>
        <v>CHEESE, PARMIGIANO REGGIANO, DOP, QUARTERS, 18-20 LB EA, CHL, 2/1 EA</v>
      </c>
      <c r="D35" s="9" t="str">
        <f>VLOOKUP(B35,'Unit of Measure ship March 2026'!A:C,3,false)</f>
        <v>LBS</v>
      </c>
      <c r="F35" s="8">
        <v>38392.0</v>
      </c>
      <c r="G35" s="9" t="str">
        <f>VLOOKUP(F35,'FML March 2026'!E:F,2,false)</f>
        <v>GINGER FRESH</v>
      </c>
      <c r="H35" s="9" t="str">
        <f>VLOOKUP(F35,'Unit of Measure ship March 2026'!A:C,3,false)</f>
        <v>LBS</v>
      </c>
      <c r="J35" s="49"/>
      <c r="K35" s="9"/>
      <c r="L35" s="9"/>
      <c r="N35" s="49"/>
      <c r="O35" s="9"/>
      <c r="P35" s="9"/>
      <c r="Q35" s="76"/>
      <c r="R35" s="49"/>
      <c r="S35" s="9"/>
      <c r="T35" s="9"/>
      <c r="U35" s="76"/>
      <c r="V35" s="49"/>
      <c r="W35" s="9"/>
      <c r="X35" s="9"/>
      <c r="Y35" s="76"/>
      <c r="Z35" s="76"/>
      <c r="AA35" s="76"/>
      <c r="AB35" s="76"/>
    </row>
    <row r="36" ht="14.25" customHeight="1">
      <c r="B36" s="8">
        <v>15701.0</v>
      </c>
      <c r="C36" s="9" t="str">
        <f>VLOOKUP(B36,'FML March 2026'!E:F,2,false)</f>
        <v>CHERRIES, RED DRIED SWEET (USA)</v>
      </c>
      <c r="D36" s="9" t="str">
        <f>VLOOKUP(B36,'Unit of Measure ship March 2026'!A:C,3,false)</f>
        <v>LBS</v>
      </c>
      <c r="F36" s="17">
        <v>15426.0</v>
      </c>
      <c r="G36" s="9" t="str">
        <f>VLOOKUP(F36,'FML March 2026'!E:F,2,false)</f>
        <v>HORSERADISH ROOTS FRESH #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  <c r="Q36" s="76"/>
      <c r="R36" s="49"/>
      <c r="S36" s="9"/>
      <c r="T36" s="9"/>
      <c r="U36" s="76"/>
      <c r="V36" s="49"/>
      <c r="W36" s="9"/>
      <c r="X36" s="9"/>
      <c r="Y36" s="76"/>
      <c r="Z36" s="76"/>
      <c r="AA36" s="76"/>
      <c r="AB36" s="76"/>
    </row>
    <row r="37" ht="14.25" customHeight="1">
      <c r="B37" s="77">
        <v>109681.0</v>
      </c>
      <c r="C37" s="9" t="str">
        <f>VLOOKUP(B37,'FML March 2026'!E:F,2,false)</f>
        <v>CHICKEN STOCK  CS4.5 LT SAVORY CHOICE  FLAVOR</v>
      </c>
      <c r="D37" s="9" t="str">
        <f>VLOOKUP(B37,'Unit of Measure ship March 2026'!A:C,3,false)</f>
        <v>LITER</v>
      </c>
      <c r="F37" s="17">
        <v>15463.0</v>
      </c>
      <c r="G37" s="9" t="str">
        <f>VLOOKUP(F37,'FML March 2026'!E:F,2,false)</f>
        <v>JICAMA FRESH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  <c r="Q37" s="76"/>
      <c r="R37" s="49"/>
      <c r="S37" s="9"/>
      <c r="T37" s="9"/>
      <c r="U37" s="76"/>
      <c r="V37" s="49"/>
      <c r="W37" s="9"/>
      <c r="X37" s="9"/>
      <c r="Y37" s="76"/>
      <c r="Z37" s="76"/>
      <c r="AA37" s="76"/>
      <c r="AB37" s="76"/>
    </row>
    <row r="38" ht="14.25" customHeight="1">
      <c r="B38" s="8">
        <v>22328.0</v>
      </c>
      <c r="C38" s="9" t="str">
        <f>VLOOKUP(B38,'FML March 2026'!E:F,2,false)</f>
        <v>CHILI ANCHO  DRY CS5/LBS</v>
      </c>
      <c r="D38" s="9" t="str">
        <f>VLOOKUP(B38,'Unit of Measure ship March 2026'!A:C,3,false)</f>
        <v>KG</v>
      </c>
      <c r="F38" s="8">
        <v>110907.0</v>
      </c>
      <c r="G38" s="9" t="str">
        <f>VLOOKUP(F38,'FML March 2026'!E:F,2,false)</f>
        <v>KALE GREEN  FRESH CS15/LBS</v>
      </c>
      <c r="H38" s="9" t="str">
        <f>VLOOKUP(F38,'Unit of Measure ship March 2026'!A:C,3,false)</f>
        <v>LBS</v>
      </c>
      <c r="J38" s="49"/>
      <c r="K38" s="9"/>
      <c r="L38" s="9"/>
      <c r="N38" s="49"/>
      <c r="O38" s="9"/>
      <c r="P38" s="9"/>
      <c r="Q38" s="76"/>
      <c r="R38" s="49"/>
      <c r="S38" s="9"/>
      <c r="T38" s="9"/>
      <c r="U38" s="76"/>
      <c r="V38" s="49"/>
      <c r="W38" s="9"/>
      <c r="X38" s="9"/>
      <c r="Y38" s="76"/>
      <c r="Z38" s="76"/>
      <c r="AA38" s="76"/>
      <c r="AB38" s="76"/>
    </row>
    <row r="39" ht="14.25" customHeight="1">
      <c r="B39" s="17">
        <v>16308.0</v>
      </c>
      <c r="C39" s="9" t="str">
        <f>VLOOKUP(B39,'FML March 2026'!E:F,2,false)</f>
        <v>CHILI PEPPER RED CRUSHED D`ALLESANDRO/ SPICECO</v>
      </c>
      <c r="D39" s="9" t="str">
        <f>VLOOKUP(B39,'Unit of Measure ship March 2026'!A:C,3,false)</f>
        <v>LBS</v>
      </c>
      <c r="F39" s="8">
        <v>11853.0</v>
      </c>
      <c r="G39" s="9" t="str">
        <f>VLOOKUP(F39,'FML March 2026'!E:F,2,false)</f>
        <v>KOHLRABI FRESH</v>
      </c>
      <c r="H39" s="9" t="str">
        <f>VLOOKUP(F39,'Unit of Measure ship March 2026'!A:C,3,false)</f>
        <v>LBS</v>
      </c>
      <c r="J39" s="49"/>
      <c r="K39" s="9"/>
      <c r="L39" s="9"/>
      <c r="N39" s="49"/>
      <c r="O39" s="9"/>
      <c r="P39" s="9"/>
      <c r="Q39" s="76"/>
      <c r="R39" s="49"/>
      <c r="S39" s="9"/>
      <c r="T39" s="9"/>
      <c r="U39" s="76"/>
      <c r="V39" s="49"/>
      <c r="W39" s="9"/>
      <c r="X39" s="9"/>
      <c r="Y39" s="76"/>
      <c r="Z39" s="76"/>
      <c r="AA39" s="76"/>
      <c r="AB39" s="76"/>
    </row>
    <row r="40" ht="14.25" customHeight="1">
      <c r="B40" s="17">
        <v>16252.0</v>
      </c>
      <c r="C40" s="9" t="str">
        <f>VLOOKUP(B40,'FML March 2026'!E:F,2,false)</f>
        <v>CHILI POWDER 16 OZ D`ALLESANDRO/ SPICECO</v>
      </c>
      <c r="D40" s="9" t="str">
        <f>VLOOKUP(B40,'Unit of Measure ship March 2026'!A:C,3,false)</f>
        <v>LBS</v>
      </c>
      <c r="F40" s="17">
        <v>15471.0</v>
      </c>
      <c r="G40" s="9" t="str">
        <f>VLOOKUP(F40,'FML March 2026'!E:F,2,false)</f>
        <v>LEEKS LARGE FRESH 12 BU 15#</v>
      </c>
      <c r="H40" s="9" t="str">
        <f>VLOOKUP(F40,'Unit of Measure ship March 2026'!A:C,3,false)</f>
        <v>LBS</v>
      </c>
      <c r="J40" s="49"/>
      <c r="K40" s="9"/>
      <c r="L40" s="9"/>
      <c r="N40" s="49"/>
      <c r="O40" s="9"/>
      <c r="P40" s="9"/>
      <c r="Q40" s="76"/>
      <c r="R40" s="49"/>
      <c r="S40" s="9"/>
      <c r="T40" s="9"/>
      <c r="U40" s="76"/>
      <c r="V40" s="49"/>
      <c r="W40" s="9"/>
      <c r="X40" s="9"/>
      <c r="Y40" s="76"/>
      <c r="Z40" s="76"/>
      <c r="AA40" s="76"/>
      <c r="AB40" s="76"/>
    </row>
    <row r="41" ht="14.25" customHeight="1">
      <c r="B41" s="8">
        <v>110032.0</v>
      </c>
      <c r="C41" s="9" t="str">
        <f>VLOOKUP(B41,'FML March 2026'!E:F,2,false)</f>
        <v>CHOCOLATE TAHINI PASTE MACEDONIAN</v>
      </c>
      <c r="D41" s="9" t="str">
        <f>VLOOKUP(B41,'Unit of Measure ship March 2026'!A:C,3,false)</f>
        <v>LBS</v>
      </c>
      <c r="F41" s="17">
        <v>15397.0</v>
      </c>
      <c r="G41" s="9" t="str">
        <f>VLOOKUP(F41,'FML March 2026'!E:F,2,false)</f>
        <v>LEMONS FRESH FIRM FANCY CALIF. SUNKIST #1 200CT 40#</v>
      </c>
      <c r="H41" s="9" t="str">
        <f>VLOOKUP(F41,'Unit of Measure ship March 2026'!A:C,3,false)</f>
        <v>LBS</v>
      </c>
      <c r="J41" s="49"/>
      <c r="K41" s="9"/>
      <c r="L41" s="9"/>
      <c r="N41" s="49"/>
      <c r="O41" s="9"/>
      <c r="P41" s="9"/>
      <c r="Q41" s="76"/>
      <c r="R41" s="49"/>
      <c r="S41" s="9"/>
      <c r="T41" s="9"/>
      <c r="U41" s="76"/>
      <c r="V41" s="49"/>
      <c r="W41" s="9"/>
      <c r="X41" s="9"/>
      <c r="Y41" s="76"/>
      <c r="Z41" s="76"/>
      <c r="AA41" s="76"/>
      <c r="AB41" s="76"/>
    </row>
    <row r="42" ht="14.25" customHeight="1">
      <c r="B42" s="17">
        <v>16253.0</v>
      </c>
      <c r="C42" s="9" t="str">
        <f>VLOOKUP(B42,'FML March 2026'!E:F,2,false)</f>
        <v>CINNAMON GROUND</v>
      </c>
      <c r="D42" s="9" t="str">
        <f>VLOOKUP(B42,'Unit of Measure ship March 2026'!A:C,3,false)</f>
        <v>LBS</v>
      </c>
      <c r="F42" s="17">
        <v>15475.0</v>
      </c>
      <c r="G42" s="9" t="str">
        <f>VLOOKUP(F42,'FML March 2026'!E:F,2,false)</f>
        <v>LETTUCE BOSTON 24HD</v>
      </c>
      <c r="H42" s="9" t="str">
        <f>VLOOKUP(F42,'Unit of Measure ship March 2026'!A:C,3,false)</f>
        <v>LBS</v>
      </c>
      <c r="J42" s="49"/>
      <c r="K42" s="9"/>
      <c r="L42" s="9"/>
      <c r="N42" s="49"/>
      <c r="O42" s="9"/>
      <c r="P42" s="9"/>
      <c r="Q42" s="76"/>
      <c r="R42" s="49"/>
      <c r="S42" s="9"/>
      <c r="T42" s="9"/>
      <c r="U42" s="76"/>
      <c r="V42" s="49"/>
      <c r="W42" s="9"/>
      <c r="X42" s="9"/>
      <c r="Y42" s="76"/>
      <c r="Z42" s="76"/>
      <c r="AA42" s="76"/>
      <c r="AB42" s="76"/>
    </row>
    <row r="43" ht="14.25" customHeight="1">
      <c r="B43" s="17">
        <v>16267.0</v>
      </c>
      <c r="C43" s="9" t="str">
        <f>VLOOKUP(B43,'FML March 2026'!E:F,2,false)</f>
        <v>CINNAMON STICKS BADIA (USA)</v>
      </c>
      <c r="D43" s="9" t="str">
        <f>VLOOKUP(B43,'Unit of Measure ship March 2026'!A:C,3,false)</f>
        <v>LBS</v>
      </c>
      <c r="F43" s="17">
        <v>15498.0</v>
      </c>
      <c r="G43" s="9" t="str">
        <f>VLOOKUP(F43,'FML March 2026'!E:F,2,false)</f>
        <v>LETTUCE GREEN LEAF CAL. 24HD 20#/CS</v>
      </c>
      <c r="H43" s="9" t="str">
        <f>VLOOKUP(F43,'Unit of Measure ship March 2026'!A:C,3,false)</f>
        <v>LBS</v>
      </c>
      <c r="J43" s="49"/>
      <c r="K43" s="9"/>
      <c r="L43" s="9"/>
      <c r="N43" s="49"/>
      <c r="O43" s="9"/>
      <c r="P43" s="9"/>
      <c r="Q43" s="76"/>
      <c r="R43" s="49"/>
      <c r="S43" s="9"/>
      <c r="T43" s="9"/>
      <c r="U43" s="76"/>
      <c r="V43" s="49"/>
      <c r="W43" s="9"/>
      <c r="X43" s="9"/>
      <c r="Y43" s="76"/>
      <c r="Z43" s="76"/>
      <c r="AA43" s="76"/>
      <c r="AB43" s="76"/>
    </row>
    <row r="44" ht="14.25" customHeight="1">
      <c r="B44" s="17">
        <v>16254.0</v>
      </c>
      <c r="C44" s="9" t="str">
        <f>VLOOKUP(B44,'FML March 2026'!E:F,2,false)</f>
        <v>CLOVES WHOLE D`ALLESANDRO/ SPICECO</v>
      </c>
      <c r="D44" s="9" t="str">
        <f>VLOOKUP(B44,'Unit of Measure ship March 2026'!A:C,3,false)</f>
        <v>LBS</v>
      </c>
      <c r="F44" s="8">
        <v>15473.0</v>
      </c>
      <c r="G44" s="9" t="str">
        <f>VLOOKUP(F44,'FML March 2026'!E:F,2,false)</f>
        <v>LETTUCE ICEBERG, CALIF. AVGE 50# CASE 24HD</v>
      </c>
      <c r="H44" s="9" t="str">
        <f>VLOOKUP(F44,'Unit of Measure ship March 2026'!A:C,3,false)</f>
        <v>LBS</v>
      </c>
      <c r="J44" s="49"/>
      <c r="K44" s="9"/>
      <c r="L44" s="9"/>
      <c r="N44" s="49"/>
      <c r="O44" s="9"/>
      <c r="P44" s="9"/>
      <c r="Q44" s="76"/>
      <c r="R44" s="49"/>
      <c r="S44" s="9"/>
      <c r="T44" s="9"/>
      <c r="U44" s="76"/>
      <c r="V44" s="49"/>
      <c r="W44" s="9"/>
      <c r="X44" s="9"/>
      <c r="Y44" s="76"/>
      <c r="Z44" s="76"/>
      <c r="AA44" s="76"/>
      <c r="AB44" s="76"/>
    </row>
    <row r="45" ht="14.25" customHeight="1">
      <c r="B45" s="8">
        <v>109671.0</v>
      </c>
      <c r="C45" s="9" t="str">
        <f>VLOOKUP(B45,'FML March 2026'!E:F,2,false)</f>
        <v>COARSE CORNMEAL BOBS RED MILL</v>
      </c>
      <c r="D45" s="9" t="str">
        <f>VLOOKUP(B45,'Unit of Measure ship March 2026'!A:C,3,false)</f>
        <v>LBS</v>
      </c>
      <c r="F45" s="17">
        <v>15609.0</v>
      </c>
      <c r="G45" s="9" t="str">
        <f>VLOOKUP(F45,'FML March 2026'!E:F,2,false)</f>
        <v>LETTUCE RED OAK, 2#/CS</v>
      </c>
      <c r="H45" s="9" t="str">
        <f>VLOOKUP(F45,'Unit of Measure ship March 2026'!A:C,3,false)</f>
        <v>LBS</v>
      </c>
      <c r="J45" s="49"/>
      <c r="K45" s="9"/>
      <c r="L45" s="9"/>
      <c r="N45" s="49"/>
      <c r="O45" s="9"/>
      <c r="P45" s="9"/>
      <c r="Q45" s="76"/>
      <c r="R45" s="49"/>
      <c r="S45" s="9"/>
      <c r="T45" s="9"/>
      <c r="U45" s="76"/>
      <c r="V45" s="49"/>
      <c r="W45" s="9"/>
      <c r="X45" s="9"/>
      <c r="Y45" s="76"/>
      <c r="Z45" s="76"/>
      <c r="AA45" s="76"/>
      <c r="AB45" s="76"/>
    </row>
    <row r="46" ht="14.25" customHeight="1">
      <c r="B46" s="77">
        <v>15697.0</v>
      </c>
      <c r="C46" s="9" t="str">
        <f>VLOOKUP(B46,'FML March 2026'!E:F,2,false)</f>
        <v>COCOA EXTRA BRUT 6/1 KG. RED COCOA POWDER CALLEBAUT/ COCOA BARRY</v>
      </c>
      <c r="D46" s="9" t="str">
        <f>VLOOKUP(B46,'Unit of Measure ship March 2026'!A:C,3,false)</f>
        <v>LBS</v>
      </c>
      <c r="F46" s="17">
        <v>15489.0</v>
      </c>
      <c r="G46" s="9" t="str">
        <f>VLOOKUP(F46,'FML March 2026'!E:F,2,false)</f>
        <v>LETTUCE ROMAINE, CAL., CRISP 24HD 38#</v>
      </c>
      <c r="H46" s="9" t="str">
        <f>VLOOKUP(F46,'Unit of Measure ship March 2026'!A:C,3,false)</f>
        <v>LBS</v>
      </c>
      <c r="J46" s="49"/>
      <c r="K46" s="9"/>
      <c r="L46" s="9"/>
      <c r="N46" s="49"/>
      <c r="O46" s="9"/>
      <c r="P46" s="9"/>
      <c r="Q46" s="76"/>
      <c r="R46" s="49"/>
      <c r="S46" s="9"/>
      <c r="T46" s="9"/>
      <c r="U46" s="76"/>
      <c r="V46" s="49"/>
      <c r="W46" s="9"/>
      <c r="X46" s="9"/>
      <c r="Y46" s="76"/>
      <c r="Z46" s="76"/>
      <c r="AA46" s="76"/>
      <c r="AB46" s="76"/>
    </row>
    <row r="47" ht="14.25" customHeight="1">
      <c r="B47" s="8">
        <v>109675.0</v>
      </c>
      <c r="C47" s="9" t="str">
        <f>VLOOKUP(B47,'FML March 2026'!E:F,2,false)</f>
        <v>COCONUT OIL LA TOURANGELLE</v>
      </c>
      <c r="D47" s="9" t="str">
        <f>VLOOKUP(B47,'Unit of Measure ship March 2026'!A:C,3,false)</f>
        <v>GAL</v>
      </c>
      <c r="F47" s="8">
        <v>108947.0</v>
      </c>
      <c r="G47" s="9" t="str">
        <f>VLOOKUP(F47,'FML March 2026'!E:F,2,false)</f>
        <v>LIMES, FRESH, CAVIAR (FINGER LIMES)</v>
      </c>
      <c r="H47" s="9" t="str">
        <f>VLOOKUP(F47,'Unit of Measure ship March 2026'!A:C,3,false)</f>
        <v>LBS</v>
      </c>
      <c r="J47" s="49"/>
      <c r="K47" s="9"/>
      <c r="L47" s="9"/>
      <c r="N47" s="49"/>
      <c r="O47" s="9"/>
      <c r="P47" s="9"/>
      <c r="Q47" s="76"/>
      <c r="R47" s="49"/>
      <c r="S47" s="9"/>
      <c r="T47" s="9"/>
      <c r="U47" s="76"/>
      <c r="V47" s="49"/>
      <c r="W47" s="9"/>
      <c r="X47" s="9"/>
      <c r="Y47" s="76"/>
      <c r="Z47" s="76"/>
      <c r="AA47" s="76"/>
      <c r="AB47" s="76"/>
    </row>
    <row r="48" ht="14.25" customHeight="1">
      <c r="B48" s="17">
        <v>16289.0</v>
      </c>
      <c r="C48" s="9" t="str">
        <f>VLOOKUP(B48,'FML March 2026'!E:F,2,false)</f>
        <v>CORIANDER GROUND BADIA (USA )</v>
      </c>
      <c r="D48" s="9" t="str">
        <f>VLOOKUP(B48,'Unit of Measure ship March 2026'!A:C,3,false)</f>
        <v>LBS</v>
      </c>
      <c r="F48" s="17">
        <v>15399.0</v>
      </c>
      <c r="G48" s="9" t="str">
        <f>VLOOKUP(F48,'FML March 2026'!E:F,2,false)</f>
        <v>LIMES, FRESH, FIRM #1 200CT 40#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  <c r="Q48" s="76"/>
      <c r="R48" s="49"/>
      <c r="S48" s="9"/>
      <c r="T48" s="9"/>
      <c r="U48" s="76"/>
      <c r="V48" s="49"/>
      <c r="W48" s="9"/>
      <c r="X48" s="9"/>
      <c r="Y48" s="76"/>
      <c r="Z48" s="76"/>
      <c r="AA48" s="76"/>
      <c r="AB48" s="76"/>
    </row>
    <row r="49" ht="14.25" customHeight="1">
      <c r="B49" s="77">
        <v>16288.0</v>
      </c>
      <c r="C49" s="9" t="str">
        <f>VLOOKUP(B49,'FML March 2026'!E:F,2,false)</f>
        <v>CORIANDER WHOLE BADIA (USA )</v>
      </c>
      <c r="D49" s="9" t="str">
        <f>VLOOKUP(B49,'Unit of Measure ship March 2026'!A:C,3,false)</f>
        <v>LBS</v>
      </c>
      <c r="F49" s="8">
        <v>110068.0</v>
      </c>
      <c r="G49" s="9" t="str">
        <f>VLOOKUP(F49,'FML March 2026'!E:F,2,false)</f>
        <v>MAITAKE MUSHROOM FRESH</v>
      </c>
      <c r="H49" s="9" t="str">
        <f>VLOOKUP(F49,'Unit of Measure ship March 2026'!A:C,3,false)</f>
        <v>LBS</v>
      </c>
      <c r="J49" s="49"/>
      <c r="K49" s="9"/>
      <c r="L49" s="9"/>
      <c r="N49" s="49"/>
      <c r="O49" s="9"/>
      <c r="P49" s="9"/>
      <c r="Q49" s="76"/>
      <c r="R49" s="49"/>
      <c r="S49" s="9"/>
      <c r="T49" s="9"/>
      <c r="U49" s="76"/>
      <c r="V49" s="49"/>
      <c r="W49" s="9"/>
      <c r="X49" s="9"/>
      <c r="Y49" s="76"/>
      <c r="Z49" s="76"/>
      <c r="AA49" s="76"/>
      <c r="AB49" s="76"/>
    </row>
    <row r="50" ht="14.25" customHeight="1">
      <c r="B50" s="77">
        <v>109633.0</v>
      </c>
      <c r="C50" s="9" t="str">
        <f>VLOOKUP(B50,'FML March 2026'!E:F,2,false)</f>
        <v>CORN FLOUR 50  LB</v>
      </c>
      <c r="D50" s="9" t="str">
        <f>VLOOKUP(B50,'Unit of Measure ship March 2026'!A:C,3,false)</f>
        <v>KG</v>
      </c>
      <c r="F50" s="8">
        <v>110908.0</v>
      </c>
      <c r="G50" s="9" t="str">
        <f>VLOOKUP(F50,'FML March 2026'!E:F,2,false)</f>
        <v>MARIGOLD FLOWERS FRESH 50 CT (4 OZ)</v>
      </c>
      <c r="H50" s="9" t="str">
        <f>VLOOKUP(F50,'Unit of Measure ship March 2026'!A:C,3,false)</f>
        <v>EA</v>
      </c>
      <c r="J50" s="49"/>
      <c r="K50" s="9"/>
      <c r="L50" s="9"/>
      <c r="N50" s="49"/>
      <c r="O50" s="9"/>
      <c r="P50" s="9"/>
      <c r="Q50" s="76"/>
      <c r="R50" s="49"/>
      <c r="S50" s="9"/>
      <c r="T50" s="9"/>
      <c r="U50" s="76"/>
      <c r="V50" s="49"/>
      <c r="W50" s="9"/>
      <c r="X50" s="9"/>
      <c r="Y50" s="76"/>
      <c r="Z50" s="76"/>
      <c r="AA50" s="76"/>
      <c r="AB50" s="76"/>
    </row>
    <row r="51" ht="14.25" customHeight="1">
      <c r="B51" s="17">
        <v>16184.0</v>
      </c>
      <c r="C51" s="9" t="str">
        <f>VLOOKUP(B51,'FML March 2026'!E:F,2,false)</f>
        <v>CORNSTARCH BULK</v>
      </c>
      <c r="D51" s="9" t="str">
        <f>VLOOKUP(B51,'Unit of Measure ship March 2026'!A:C,3,false)</f>
        <v>LBS</v>
      </c>
      <c r="F51" s="8">
        <v>15402.0</v>
      </c>
      <c r="G51" s="9" t="str">
        <f>VLOOKUP(F51,'FML March 2026'!E:F,2,false)</f>
        <v>MELON CANTALOUPE 12 CT, 40#/CS</v>
      </c>
      <c r="H51" s="9" t="str">
        <f>VLOOKUP(F51,'Unit of Measure ship March 2026'!A:C,3,false)</f>
        <v>LBS</v>
      </c>
      <c r="J51" s="49"/>
      <c r="K51" s="9"/>
      <c r="L51" s="9"/>
      <c r="N51" s="49"/>
      <c r="O51" s="9"/>
      <c r="P51" s="9"/>
      <c r="Q51" s="76"/>
      <c r="R51" s="49"/>
      <c r="S51" s="9"/>
      <c r="T51" s="9"/>
      <c r="U51" s="76"/>
      <c r="V51" s="49"/>
      <c r="W51" s="9"/>
      <c r="X51" s="9"/>
      <c r="Y51" s="76"/>
      <c r="Z51" s="76"/>
      <c r="AA51" s="76"/>
      <c r="AB51" s="76"/>
    </row>
    <row r="52" ht="14.25" customHeight="1">
      <c r="B52" s="17">
        <v>11882.0</v>
      </c>
      <c r="C52" s="9" t="str">
        <f>VLOOKUP(B52,'FML March 2026'!E:F,2,false)</f>
        <v>CREME FRAICHE</v>
      </c>
      <c r="D52" s="9" t="str">
        <f>VLOOKUP(B52,'Unit of Measure ship March 2026'!A:C,3,false)</f>
        <v>QRT</v>
      </c>
      <c r="F52" s="8">
        <v>15404.0</v>
      </c>
      <c r="G52" s="9" t="str">
        <f>VLOOKUP(F52,'FML March 2026'!E:F,2,false)</f>
        <v>MELON HONEYDEW #1 6/8CT. 25#</v>
      </c>
      <c r="H52" s="9" t="str">
        <f>VLOOKUP(F52,'Unit of Measure ship March 2026'!A:C,3,false)</f>
        <v>LBS</v>
      </c>
      <c r="J52" s="49"/>
      <c r="K52" s="9"/>
      <c r="L52" s="9"/>
      <c r="N52" s="49"/>
      <c r="O52" s="9"/>
      <c r="P52" s="9"/>
      <c r="Q52" s="76"/>
      <c r="R52" s="49"/>
      <c r="S52" s="9"/>
      <c r="T52" s="9"/>
      <c r="U52" s="76"/>
      <c r="V52" s="49"/>
      <c r="W52" s="9"/>
      <c r="X52" s="9"/>
      <c r="Y52" s="76"/>
      <c r="Z52" s="76"/>
      <c r="AA52" s="76"/>
      <c r="AB52" s="76"/>
    </row>
    <row r="53" ht="14.25" customHeight="1">
      <c r="B53" s="17">
        <v>16256.0</v>
      </c>
      <c r="C53" s="9" t="str">
        <f>VLOOKUP(B53,'FML March 2026'!E:F,2,false)</f>
        <v>CUMIN GROUND D`ALLESANDRO/ SPICECO (USA )</v>
      </c>
      <c r="D53" s="9" t="str">
        <f>VLOOKUP(B53,'Unit of Measure ship March 2026'!A:C,3,false)</f>
        <v>LBS</v>
      </c>
      <c r="F53" s="17">
        <v>15436.0</v>
      </c>
      <c r="G53" s="9" t="str">
        <f>VLOOKUP(F53,'FML March 2026'!E:F,2,false)</f>
        <v>MINT (12 BUNCH), 1 LB/CS</v>
      </c>
      <c r="H53" s="9" t="str">
        <f>VLOOKUP(F53,'Unit of Measure ship March 2026'!A:C,3,false)</f>
        <v>LBS</v>
      </c>
      <c r="J53" s="49"/>
      <c r="K53" s="9"/>
      <c r="L53" s="9"/>
      <c r="N53" s="49"/>
      <c r="O53" s="9"/>
      <c r="P53" s="9"/>
      <c r="Q53" s="76"/>
      <c r="R53" s="49"/>
      <c r="S53" s="9"/>
      <c r="T53" s="9"/>
      <c r="U53" s="76"/>
      <c r="V53" s="49"/>
      <c r="W53" s="9"/>
      <c r="X53" s="9"/>
      <c r="Y53" s="76"/>
      <c r="Z53" s="76"/>
      <c r="AA53" s="76"/>
      <c r="AB53" s="76"/>
    </row>
    <row r="54" ht="14.25" customHeight="1">
      <c r="B54" s="8">
        <v>109630.0</v>
      </c>
      <c r="C54" s="9" t="str">
        <f>VLOOKUP(B54,'FML March 2026'!E:F,2,false)</f>
        <v>CURRANTS DRIED HIALEAH</v>
      </c>
      <c r="D54" s="9" t="str">
        <f>VLOOKUP(B54,'Unit of Measure ship March 2026'!A:C,3,false)</f>
        <v>KG</v>
      </c>
      <c r="F54" s="8">
        <v>111046.0</v>
      </c>
      <c r="G54" s="9" t="str">
        <f>VLOOKUP(F54,'FML March 2026'!E:F,2,false)</f>
        <v>MUSHROOM HON SHIMEJII BROIWNFRESH CS3/LB</v>
      </c>
      <c r="H54" s="9" t="str">
        <f>VLOOKUP(F54,'Unit of Measure ship March 2026'!A:C,3,false)</f>
        <v>LBS</v>
      </c>
      <c r="J54" s="49"/>
      <c r="K54" s="9"/>
      <c r="L54" s="9"/>
      <c r="N54" s="49"/>
      <c r="O54" s="9"/>
      <c r="P54" s="9"/>
      <c r="Q54" s="76"/>
      <c r="R54" s="49"/>
      <c r="S54" s="9"/>
      <c r="T54" s="9"/>
      <c r="U54" s="76"/>
      <c r="V54" s="49"/>
      <c r="W54" s="9"/>
      <c r="X54" s="9"/>
      <c r="Y54" s="76"/>
      <c r="Z54" s="76"/>
      <c r="AA54" s="76"/>
      <c r="AB54" s="76"/>
    </row>
    <row r="55" ht="14.25" customHeight="1">
      <c r="B55" s="8">
        <v>109640.0</v>
      </c>
      <c r="C55" s="9" t="str">
        <f>VLOOKUP(B55,'FML March 2026'!E:F,2,false)</f>
        <v>DARK RYE FLOUR (KING ARTHUR)</v>
      </c>
      <c r="D55" s="9" t="str">
        <f>VLOOKUP(B55,'Unit of Measure ship March 2026'!A:C,3,false)</f>
        <v>KG</v>
      </c>
      <c r="F55" s="8">
        <v>110069.0</v>
      </c>
      <c r="G55" s="9" t="str">
        <f>VLOOKUP(F55,'FML March 2026'!E:F,2,false)</f>
        <v>MUSHROOM KING TRUMPET</v>
      </c>
      <c r="H55" s="9" t="str">
        <f>VLOOKUP(F55,'Unit of Measure ship March 2026'!A:C,3,false)</f>
        <v>LBS</v>
      </c>
      <c r="J55" s="49"/>
      <c r="K55" s="9"/>
      <c r="L55" s="9"/>
      <c r="N55" s="49"/>
      <c r="O55" s="9"/>
      <c r="P55" s="9"/>
      <c r="Q55" s="76"/>
      <c r="R55" s="49"/>
      <c r="S55" s="9"/>
      <c r="T55" s="9"/>
      <c r="U55" s="76"/>
      <c r="V55" s="49"/>
      <c r="W55" s="9"/>
      <c r="X55" s="9"/>
      <c r="Y55" s="76"/>
      <c r="Z55" s="76"/>
      <c r="AA55" s="76"/>
      <c r="AB55" s="76"/>
    </row>
    <row r="56" ht="14.25" customHeight="1">
      <c r="B56" s="17">
        <v>15030.0</v>
      </c>
      <c r="C56" s="9" t="str">
        <f>VLOOKUP(B56,'FML March 2026'!E:F,2,false)</f>
        <v>DOUGH FILO SHEETS ATHENS/ KONTOS 80012 (USA )</v>
      </c>
      <c r="D56" s="9" t="str">
        <f>VLOOKUP(B56,'Unit of Measure ship March 2026'!A:C,3,false)</f>
        <v>LBS</v>
      </c>
      <c r="F56" s="8">
        <v>11741.0</v>
      </c>
      <c r="G56" s="9" t="str">
        <f>VLOOKUP(F56,'FML March 2026'!E:F,2,false)</f>
        <v>MUSHROOMS CHANTERELLES FRESH</v>
      </c>
      <c r="H56" s="9" t="str">
        <f>VLOOKUP(F56,'Unit of Measure ship March 2026'!A:C,3,false)</f>
        <v>LBS</v>
      </c>
      <c r="J56" s="49"/>
      <c r="K56" s="9"/>
      <c r="L56" s="9"/>
      <c r="N56" s="49"/>
      <c r="O56" s="9"/>
      <c r="P56" s="9"/>
      <c r="Q56" s="76"/>
      <c r="R56" s="49"/>
      <c r="S56" s="9"/>
      <c r="T56" s="9"/>
      <c r="U56" s="76"/>
      <c r="V56" s="49"/>
      <c r="W56" s="9"/>
      <c r="X56" s="9"/>
      <c r="Y56" s="76"/>
      <c r="Z56" s="76"/>
      <c r="AA56" s="76"/>
      <c r="AB56" s="76"/>
    </row>
    <row r="57" ht="14.25" customHeight="1">
      <c r="B57" s="17">
        <v>15027.0</v>
      </c>
      <c r="C57" s="9" t="str">
        <f>VLOOKUP(B57,'FML March 2026'!E:F,2,false)</f>
        <v>EGG YOLKS FROZEN NO SUGAR OR SALT ADDED 6/5 LB SUNNY FRESH/ DEBEL (USA)</v>
      </c>
      <c r="D57" s="9" t="str">
        <f>VLOOKUP(B57,'Unit of Measure ship March 2026'!A:C,3,false)</f>
        <v>LBS</v>
      </c>
      <c r="F57" s="8">
        <v>15585.0</v>
      </c>
      <c r="G57" s="9" t="str">
        <f>VLOOKUP(F57,'FML March 2026'!E:F,2,false)</f>
        <v>MUSHROOMS OYSTER 1/5#</v>
      </c>
      <c r="H57" s="9" t="str">
        <f>VLOOKUP(F57,'Unit of Measure ship March 2026'!A:C,3,false)</f>
        <v>LBS</v>
      </c>
      <c r="J57" s="49"/>
      <c r="K57" s="9"/>
      <c r="L57" s="9"/>
      <c r="N57" s="49"/>
      <c r="O57" s="9"/>
      <c r="P57" s="9"/>
      <c r="Q57" s="76"/>
      <c r="R57" s="49"/>
      <c r="S57" s="9"/>
      <c r="T57" s="9"/>
      <c r="U57" s="76"/>
      <c r="V57" s="49"/>
      <c r="W57" s="9"/>
      <c r="X57" s="9"/>
      <c r="Y57" s="76"/>
      <c r="Z57" s="76"/>
      <c r="AA57" s="76"/>
      <c r="AB57" s="76"/>
    </row>
    <row r="58" ht="14.25" customHeight="1">
      <c r="B58" s="17">
        <v>15022.0</v>
      </c>
      <c r="C58" s="9" t="str">
        <f>VLOOKUP(B58,'FML March 2026'!E:F,2,false)</f>
        <v>EGGS-DATED, MEDIUM, REGULAR</v>
      </c>
      <c r="D58" s="9" t="str">
        <f>VLOOKUP(B58,'Unit of Measure ship March 2026'!A:C,3,false)</f>
        <v>PC</v>
      </c>
      <c r="F58" s="8">
        <v>15551.0</v>
      </c>
      <c r="G58" s="9" t="str">
        <f>VLOOKUP(F58,'FML March 2026'!E:F,2,false)</f>
        <v>MUSHROOMS PORTOBELLO FRESH</v>
      </c>
      <c r="H58" s="9" t="str">
        <f>VLOOKUP(F58,'Unit of Measure ship March 2026'!A:C,3,false)</f>
        <v>LBS</v>
      </c>
      <c r="J58" s="49"/>
      <c r="K58" s="9"/>
      <c r="L58" s="9"/>
      <c r="N58" s="49"/>
      <c r="O58" s="9"/>
      <c r="P58" s="9"/>
      <c r="Q58" s="76"/>
      <c r="R58" s="49"/>
      <c r="S58" s="9"/>
      <c r="T58" s="9"/>
      <c r="U58" s="76"/>
      <c r="V58" s="49"/>
      <c r="W58" s="9"/>
      <c r="X58" s="9"/>
      <c r="Y58" s="76"/>
      <c r="Z58" s="76"/>
      <c r="AA58" s="76"/>
      <c r="AB58" s="76"/>
    </row>
    <row r="59" ht="14.25" customHeight="1">
      <c r="B59" s="17">
        <v>15026.0</v>
      </c>
      <c r="C59" s="9" t="str">
        <f>VLOOKUP(B59,'FML March 2026'!E:F,2,false)</f>
        <v>EGGS, WHOLE, LIQUID, W/ CITRIC ACID, NO SUGAR, 1-5 LB/1-5 LT, FZN, 6/5 LB</v>
      </c>
      <c r="D59" s="9" t="str">
        <f>VLOOKUP(B59,'Unit of Measure ship March 2026'!A:C,3,false)</f>
        <v>LBS</v>
      </c>
      <c r="F59" s="8">
        <v>15556.0</v>
      </c>
      <c r="G59" s="9" t="str">
        <f>VLOOKUP(F59,'FML March 2026'!E:F,2,false)</f>
        <v>MUSHROOMS SHIITAKE  FRESH NO 1</v>
      </c>
      <c r="H59" s="9" t="str">
        <f>VLOOKUP(F59,'Unit of Measure ship March 2026'!A:C,3,false)</f>
        <v>LBS</v>
      </c>
      <c r="J59" s="49"/>
      <c r="K59" s="9"/>
      <c r="L59" s="9"/>
      <c r="N59" s="49"/>
      <c r="O59" s="9"/>
      <c r="P59" s="9"/>
      <c r="Q59" s="76"/>
      <c r="R59" s="49"/>
      <c r="S59" s="9"/>
      <c r="T59" s="9"/>
      <c r="U59" s="76"/>
      <c r="V59" s="49"/>
      <c r="W59" s="9"/>
      <c r="X59" s="9"/>
      <c r="Y59" s="76"/>
      <c r="Z59" s="76"/>
      <c r="AA59" s="76"/>
      <c r="AB59" s="76"/>
    </row>
    <row r="60" ht="14.25" customHeight="1">
      <c r="B60" s="17">
        <v>16259.0</v>
      </c>
      <c r="C60" s="9" t="str">
        <f>VLOOKUP(B60,'FML March 2026'!E:F,2,false)</f>
        <v>FENNEL SEED WHOLE BADIA (USA )</v>
      </c>
      <c r="D60" s="9" t="str">
        <f>VLOOKUP(B60,'Unit of Measure ship March 2026'!A:C,3,false)</f>
        <v>LBS</v>
      </c>
      <c r="F60" s="8">
        <v>31638.0</v>
      </c>
      <c r="G60" s="9" t="str">
        <f>VLOOKUP(F60,'FML March 2026'!E:F,2,false)</f>
        <v>MUSHROOMS, FRESH WHITE, 8 OZ CELLO PACK</v>
      </c>
      <c r="H60" s="9" t="str">
        <f>VLOOKUP(F60,'Unit of Measure ship March 2026'!A:C,3,false)</f>
        <v>LBS</v>
      </c>
      <c r="J60" s="49"/>
      <c r="K60" s="9"/>
      <c r="L60" s="9"/>
      <c r="N60" s="49"/>
      <c r="O60" s="9"/>
      <c r="P60" s="9"/>
      <c r="Q60" s="76"/>
      <c r="R60" s="49"/>
      <c r="S60" s="9"/>
      <c r="T60" s="9"/>
      <c r="U60" s="76"/>
      <c r="V60" s="49"/>
      <c r="W60" s="9"/>
      <c r="X60" s="9"/>
      <c r="Y60" s="76"/>
      <c r="Z60" s="76"/>
      <c r="AA60" s="76"/>
      <c r="AB60" s="76"/>
    </row>
    <row r="61" ht="14.25" customHeight="1">
      <c r="B61" s="17">
        <v>14990.0</v>
      </c>
      <c r="C61" s="9" t="str">
        <f>VLOOKUP(B61,'FML March 2026'!E:F,2,false)</f>
        <v>FETA, IN BRINE, TUB</v>
      </c>
      <c r="D61" s="9" t="str">
        <f>VLOOKUP(B61,'Unit of Measure ship March 2026'!A:C,3,false)</f>
        <v>LBS</v>
      </c>
      <c r="F61" s="17">
        <v>15624.0</v>
      </c>
      <c r="G61" s="9" t="str">
        <f>VLOOKUP(F61,'FML March 2026'!E:F,2,false)</f>
        <v>OKRA FRESH 10#</v>
      </c>
      <c r="H61" s="35" t="s">
        <v>42</v>
      </c>
      <c r="J61" s="49"/>
      <c r="K61" s="9"/>
      <c r="L61" s="9"/>
      <c r="N61" s="49"/>
      <c r="O61" s="9"/>
      <c r="P61" s="9"/>
      <c r="Q61" s="76"/>
      <c r="R61" s="49"/>
      <c r="S61" s="9"/>
      <c r="T61" s="9"/>
      <c r="U61" s="76"/>
      <c r="V61" s="49"/>
      <c r="W61" s="9"/>
      <c r="X61" s="9"/>
      <c r="Y61" s="76"/>
      <c r="Z61" s="76"/>
      <c r="AA61" s="76"/>
      <c r="AB61" s="76"/>
    </row>
    <row r="62" ht="14.25" customHeight="1">
      <c r="B62" s="8">
        <v>15716.0</v>
      </c>
      <c r="C62" s="9" t="str">
        <f>VLOOKUP(B62,'FML March 2026'!E:F,2,false)</f>
        <v>FLAVOR VANILLA BOURBON ROYALE FOR ICE CREAM 1 GALLON PASTRY STAR (USA)</v>
      </c>
      <c r="D62" s="9" t="str">
        <f>VLOOKUP(B62,'Unit of Measure ship March 2026'!A:C,3,false)</f>
        <v>GAL</v>
      </c>
      <c r="F62" s="8">
        <v>46179.0</v>
      </c>
      <c r="G62" s="9" t="str">
        <f>VLOOKUP(F62,'FML March 2026'!E:F,2,false)</f>
        <v>ONION WHITE BIG FRESH</v>
      </c>
      <c r="H62" s="9" t="str">
        <f>VLOOKUP(F62,'Unit of Measure ship March 2026'!A:C,3,false)</f>
        <v>LBS</v>
      </c>
      <c r="J62" s="49"/>
      <c r="K62" s="9"/>
      <c r="L62" s="9"/>
      <c r="N62" s="49"/>
      <c r="O62" s="9"/>
      <c r="P62" s="9"/>
      <c r="Q62" s="76"/>
      <c r="R62" s="49"/>
      <c r="S62" s="9"/>
      <c r="T62" s="9"/>
      <c r="U62" s="76"/>
      <c r="V62" s="49"/>
      <c r="W62" s="9"/>
      <c r="X62" s="9"/>
      <c r="Y62" s="76"/>
      <c r="Z62" s="76"/>
      <c r="AA62" s="76"/>
      <c r="AB62" s="76"/>
    </row>
    <row r="63" ht="14.25" customHeight="1">
      <c r="B63" s="8">
        <v>109647.0</v>
      </c>
      <c r="C63" s="9" t="str">
        <f>VLOOKUP(B63,'FML March 2026'!E:F,2,false)</f>
        <v>FLAX MEAL BOBS RED MILL</v>
      </c>
      <c r="D63" s="9" t="str">
        <f>VLOOKUP(B63,'Unit of Measure ship March 2026'!A:C,3,false)</f>
        <v>KG</v>
      </c>
      <c r="F63" s="17">
        <v>15496.0</v>
      </c>
      <c r="G63" s="9" t="str">
        <f>VLOOKUP(F63,'FML March 2026'!E:F,2,false)</f>
        <v>ONIONS RED, MEDIUM 25#</v>
      </c>
      <c r="H63" s="9" t="str">
        <f>VLOOKUP(F63,'Unit of Measure ship March 2026'!A:C,3,false)</f>
        <v>LBS</v>
      </c>
      <c r="J63" s="49"/>
      <c r="K63" s="9"/>
      <c r="L63" s="9"/>
      <c r="N63" s="49"/>
      <c r="O63" s="9"/>
      <c r="P63" s="9"/>
      <c r="Q63" s="76"/>
      <c r="R63" s="49"/>
      <c r="S63" s="9"/>
      <c r="T63" s="9"/>
      <c r="U63" s="76"/>
      <c r="V63" s="49"/>
      <c r="W63" s="9"/>
      <c r="X63" s="9"/>
      <c r="Y63" s="76"/>
      <c r="Z63" s="76"/>
      <c r="AA63" s="76"/>
      <c r="AB63" s="76"/>
    </row>
    <row r="64" ht="14.25" customHeight="1">
      <c r="B64" s="8">
        <v>111865.0</v>
      </c>
      <c r="C64" s="9" t="str">
        <f>VLOOKUP(B64,'FML March 2026'!E:F,2,false)</f>
        <v>FLOUR ALL PURPOSE SIR GALAHAD BAG50/LBS KING ARTHUR</v>
      </c>
      <c r="D64" s="9" t="str">
        <f>VLOOKUP(B64,'Unit of Measure ship March 2026'!A:C,3,false)</f>
        <v>LBS</v>
      </c>
      <c r="F64" s="8">
        <v>111864.0</v>
      </c>
      <c r="G64" s="9" t="str">
        <f>VLOOKUP(F64,'FML March 2026'!E:F,2,false)</f>
        <v>ONIONS, PEARL ONIONS RED FRESH 1/12PT 4#/CS</v>
      </c>
      <c r="H64" s="9" t="str">
        <f>VLOOKUP(F64,'Unit of Measure ship March 2026'!A:C,3,false)</f>
        <v>LBS</v>
      </c>
      <c r="J64" s="49"/>
      <c r="K64" s="9"/>
      <c r="L64" s="9"/>
      <c r="N64" s="49"/>
      <c r="O64" s="9"/>
      <c r="P64" s="9"/>
      <c r="Q64" s="76"/>
      <c r="R64" s="49"/>
      <c r="S64" s="9"/>
      <c r="T64" s="9"/>
      <c r="U64" s="76"/>
      <c r="V64" s="49"/>
      <c r="W64" s="9"/>
      <c r="X64" s="9"/>
      <c r="Y64" s="76"/>
      <c r="Z64" s="76"/>
      <c r="AA64" s="76"/>
      <c r="AB64" s="76"/>
    </row>
    <row r="65" ht="14.25" customHeight="1">
      <c r="B65" s="8">
        <v>109641.0</v>
      </c>
      <c r="C65" s="9" t="str">
        <f>VLOOKUP(B65,'FML March 2026'!E:F,2,false)</f>
        <v>FLOUR CAKE KING ARTHUR</v>
      </c>
      <c r="D65" s="9" t="str">
        <f>VLOOKUP(B65,'Unit of Measure ship March 2026'!A:C,3,false)</f>
        <v>KG</v>
      </c>
      <c r="F65" s="17">
        <v>15497.0</v>
      </c>
      <c r="G65" s="9" t="str">
        <f>VLOOKUP(F65,'FML March 2026'!E:F,2,false)</f>
        <v>ONIONS, YELLOW, MEDIUM, SPANISH #1, 50#</v>
      </c>
      <c r="H65" s="9" t="str">
        <f>VLOOKUP(F65,'Unit of Measure ship March 2026'!A:C,3,false)</f>
        <v>LBS</v>
      </c>
      <c r="J65" s="49"/>
      <c r="K65" s="9"/>
      <c r="L65" s="9"/>
      <c r="N65" s="49"/>
      <c r="O65" s="9"/>
      <c r="P65" s="9"/>
      <c r="Q65" s="76"/>
      <c r="R65" s="49"/>
      <c r="S65" s="9"/>
      <c r="T65" s="9"/>
      <c r="U65" s="76"/>
      <c r="V65" s="49"/>
      <c r="W65" s="9"/>
      <c r="X65" s="9"/>
      <c r="Y65" s="76"/>
      <c r="Z65" s="76"/>
      <c r="AA65" s="76"/>
      <c r="AB65" s="76"/>
    </row>
    <row r="66" ht="14.25" customHeight="1">
      <c r="B66" s="17">
        <v>15741.0</v>
      </c>
      <c r="C66" s="9" t="str">
        <f>VLOOKUP(B66,'FML March 2026'!E:F,2,false)</f>
        <v>FLOUR SEMOLINA BAG 50/LBS DURAKOTA/BAY STATE (USA)</v>
      </c>
      <c r="D66" s="9" t="str">
        <f>VLOOKUP(B66,'Unit of Measure ship March 2026'!A:C,3,false)</f>
        <v>LBS</v>
      </c>
      <c r="F66" s="17">
        <v>15408.0</v>
      </c>
      <c r="G66" s="9" t="str">
        <f>VLOOKUP(F66,'FML March 2026'!E:F,2,false)</f>
        <v>ORANGES CAL. SUNKIST FANCY, VALENCIA NAVEL,88CT 40#</v>
      </c>
      <c r="H66" s="9" t="str">
        <f>VLOOKUP(F66,'Unit of Measure ship March 2026'!A:C,3,false)</f>
        <v>LBS</v>
      </c>
      <c r="J66" s="49"/>
      <c r="K66" s="9"/>
      <c r="L66" s="9"/>
      <c r="N66" s="49"/>
      <c r="O66" s="9"/>
      <c r="P66" s="9"/>
      <c r="Q66" s="76"/>
      <c r="R66" s="49"/>
      <c r="S66" s="9"/>
      <c r="T66" s="9"/>
      <c r="U66" s="76"/>
      <c r="V66" s="49"/>
      <c r="W66" s="9"/>
      <c r="X66" s="9"/>
      <c r="Y66" s="76"/>
      <c r="Z66" s="76"/>
      <c r="AA66" s="76"/>
      <c r="AB66" s="76"/>
    </row>
    <row r="67" ht="14.25" customHeight="1">
      <c r="B67" s="8">
        <v>109639.0</v>
      </c>
      <c r="C67" s="9" t="str">
        <f>VLOOKUP(B67,'FML March 2026'!E:F,2,false)</f>
        <v>FLOUR SIR LANCELOT HIGH GLUTEN  50 LB KING ARTHUR</v>
      </c>
      <c r="D67" s="9" t="str">
        <f>VLOOKUP(B67,'Unit of Measure ship March 2026'!A:C,3,false)</f>
        <v>KG</v>
      </c>
      <c r="F67" s="17">
        <v>15500.0</v>
      </c>
      <c r="G67" s="9" t="str">
        <f>VLOOKUP(F67,'FML March 2026'!E:F,2,false)</f>
        <v>PARSLEY ITALIAN,  20#/CS</v>
      </c>
      <c r="H67" s="9" t="str">
        <f>VLOOKUP(F67,'Unit of Measure ship March 2026'!A:C,3,false)</f>
        <v>LBS</v>
      </c>
      <c r="J67" s="49"/>
      <c r="K67" s="9"/>
      <c r="L67" s="9"/>
      <c r="N67" s="49"/>
      <c r="O67" s="9"/>
      <c r="P67" s="9"/>
      <c r="Q67" s="76"/>
      <c r="R67" s="49"/>
      <c r="S67" s="9"/>
      <c r="T67" s="9"/>
      <c r="U67" s="76"/>
      <c r="V67" s="49"/>
      <c r="W67" s="9"/>
      <c r="X67" s="9"/>
      <c r="Y67" s="76"/>
      <c r="Z67" s="76"/>
      <c r="AA67" s="76"/>
      <c r="AB67" s="76"/>
    </row>
    <row r="68" ht="14.25" customHeight="1">
      <c r="B68" s="77">
        <v>30050.0</v>
      </c>
      <c r="C68" s="9" t="str">
        <f>VLOOKUP(B68,'FML March 2026'!E:F,2,false)</f>
        <v>FLOUR, FARINA TIPO "00" ITALIAN FOR PASTA  BARILLA/CAPUTO RF20</v>
      </c>
      <c r="D68" s="9" t="str">
        <f>VLOOKUP(B68,'Unit of Measure ship March 2026'!A:C,3,false)</f>
        <v>LBS</v>
      </c>
      <c r="F68" s="8">
        <v>23714.0</v>
      </c>
      <c r="G68" s="9" t="str">
        <f>VLOOKUP(F68,'FML March 2026'!E:F,2,false)</f>
        <v>PARSNIP 20#/CS</v>
      </c>
      <c r="H68" s="9" t="str">
        <f>VLOOKUP(F68,'Unit of Measure ship March 2026'!A:C,3,false)</f>
        <v>LBS</v>
      </c>
      <c r="J68" s="49"/>
      <c r="K68" s="9"/>
      <c r="L68" s="9"/>
      <c r="N68" s="49"/>
      <c r="O68" s="9"/>
      <c r="P68" s="9"/>
      <c r="Q68" s="76"/>
      <c r="R68" s="49"/>
      <c r="S68" s="9"/>
      <c r="T68" s="9"/>
      <c r="U68" s="76"/>
      <c r="V68" s="49"/>
      <c r="W68" s="9"/>
      <c r="X68" s="9"/>
      <c r="Y68" s="76"/>
      <c r="Z68" s="76"/>
      <c r="AA68" s="76"/>
      <c r="AB68" s="76"/>
    </row>
    <row r="69" ht="14.25" customHeight="1">
      <c r="B69" s="77">
        <v>109714.0</v>
      </c>
      <c r="C69" s="9" t="str">
        <f>VLOOKUP(B69,'FML March 2026'!E:F,2,false)</f>
        <v>FOOD COLOR BLACK  CHEF RUBBER</v>
      </c>
      <c r="D69" s="9" t="str">
        <f>VLOOKUP(B69,'Unit of Measure ship March 2026'!A:C,3,false)</f>
        <v>CUP/125G</v>
      </c>
      <c r="F69" s="17">
        <v>15504.0</v>
      </c>
      <c r="G69" s="9" t="str">
        <f>VLOOKUP(F69,'FML March 2026'!E:F,2,false)</f>
        <v>PEPPERS HOT, JALAPENOS 10#</v>
      </c>
      <c r="H69" s="9" t="str">
        <f>VLOOKUP(F69,'Unit of Measure ship March 2026'!A:C,3,false)</f>
        <v>LBS</v>
      </c>
      <c r="J69" s="49"/>
      <c r="K69" s="9"/>
      <c r="L69" s="9"/>
      <c r="N69" s="49"/>
      <c r="O69" s="9"/>
      <c r="P69" s="9"/>
      <c r="Q69" s="76"/>
      <c r="R69" s="49"/>
      <c r="S69" s="9"/>
      <c r="T69" s="9"/>
      <c r="U69" s="76"/>
      <c r="V69" s="49"/>
      <c r="W69" s="9"/>
      <c r="X69" s="9"/>
      <c r="Y69" s="76"/>
      <c r="Z69" s="76"/>
      <c r="AA69" s="76"/>
      <c r="AB69" s="76"/>
    </row>
    <row r="70" ht="14.25" customHeight="1">
      <c r="B70" s="8">
        <v>111794.0</v>
      </c>
      <c r="C70" s="9" t="str">
        <f>VLOOKUP(B70,'FML March 2026'!E:F,2,false)</f>
        <v>FRENCH FRIES SEASHORE STYLE SEASONED SKIN-ON CS 6/5 LB LAMB WESTON SS101</v>
      </c>
      <c r="D70" s="9" t="str">
        <f>VLOOKUP(B70,'Unit of Measure ship March 2026'!A:C,3,false)</f>
        <v>LBS</v>
      </c>
      <c r="F70" s="17">
        <v>15502.0</v>
      </c>
      <c r="G70" s="9" t="str">
        <f>VLOOKUP(F70,'FML March 2026'!E:F,2,false)</f>
        <v>PEPPERS RED, MEDIUM, 88-100 MM</v>
      </c>
      <c r="H70" s="9" t="str">
        <f>VLOOKUP(F70,'Unit of Measure ship March 2026'!A:C,3,false)</f>
        <v>LBS</v>
      </c>
      <c r="J70" s="49"/>
      <c r="K70" s="9"/>
      <c r="L70" s="9"/>
      <c r="N70" s="49"/>
      <c r="O70" s="9"/>
      <c r="P70" s="9"/>
      <c r="Q70" s="76"/>
      <c r="R70" s="49"/>
      <c r="S70" s="9"/>
      <c r="T70" s="9"/>
      <c r="U70" s="76"/>
      <c r="V70" s="49"/>
      <c r="W70" s="9"/>
      <c r="X70" s="9"/>
      <c r="Y70" s="76"/>
      <c r="Z70" s="76"/>
      <c r="AA70" s="76"/>
      <c r="AB70" s="76"/>
    </row>
    <row r="71" ht="14.25" customHeight="1">
      <c r="B71" s="8">
        <v>111698.0</v>
      </c>
      <c r="C71" s="9" t="str">
        <f>VLOOKUP(B71,'FML March 2026'!E:F,2,false)</f>
        <v>FRIED SHALLOTS LA RUSTICHELLA</v>
      </c>
      <c r="D71" s="9" t="str">
        <f>VLOOKUP(B71,'Unit of Measure ship March 2026'!A:C,3,false)</f>
        <v>LBS</v>
      </c>
      <c r="F71" s="17">
        <v>15577.0</v>
      </c>
      <c r="G71" s="9" t="str">
        <f>VLOOKUP(F71,'FML March 2026'!E:F,2,false)</f>
        <v>PEPPERS YELLOW, MEDIUM, 88-100 MM</v>
      </c>
      <c r="H71" s="9" t="str">
        <f>VLOOKUP(F71,'Unit of Measure ship March 2026'!A:C,3,false)</f>
        <v>LBS</v>
      </c>
      <c r="J71" s="49"/>
      <c r="K71" s="9"/>
      <c r="L71" s="9"/>
      <c r="N71" s="49"/>
      <c r="O71" s="9"/>
      <c r="P71" s="9"/>
      <c r="Q71" s="76"/>
      <c r="R71" s="49"/>
      <c r="S71" s="9"/>
      <c r="T71" s="9"/>
      <c r="U71" s="76"/>
      <c r="V71" s="49"/>
      <c r="W71" s="9"/>
      <c r="X71" s="9"/>
      <c r="Y71" s="76"/>
      <c r="Z71" s="76"/>
      <c r="AA71" s="76"/>
      <c r="AB71" s="76"/>
    </row>
    <row r="72" ht="14.25" customHeight="1">
      <c r="B72" s="18">
        <v>111135.0</v>
      </c>
      <c r="C72" s="9" t="str">
        <f>VLOOKUP(B72,'FML March 2026'!E:F,2,false)</f>
        <v>GARLIC MINCED BADIA</v>
      </c>
      <c r="D72" s="9" t="str">
        <f>VLOOKUP(B72,'Unit of Measure ship March 2026'!A:C,3,false)</f>
        <v>LBS</v>
      </c>
      <c r="F72" s="8">
        <v>33604.0</v>
      </c>
      <c r="G72" s="9" t="str">
        <f>VLOOKUP(F72,'FML March 2026'!E:F,2,false)</f>
        <v>PEPPERS, POBLANO CHILI #</v>
      </c>
      <c r="H72" s="9" t="str">
        <f>VLOOKUP(F72,'Unit of Measure ship March 2026'!A:C,3,false)</f>
        <v>LBS</v>
      </c>
      <c r="J72" s="49"/>
      <c r="K72" s="9"/>
      <c r="L72" s="9"/>
      <c r="N72" s="49"/>
      <c r="O72" s="9"/>
      <c r="P72" s="9"/>
      <c r="Q72" s="76"/>
      <c r="R72" s="49"/>
      <c r="S72" s="9"/>
      <c r="T72" s="9"/>
      <c r="U72" s="76"/>
      <c r="V72" s="49"/>
      <c r="W72" s="9"/>
      <c r="X72" s="9"/>
      <c r="Y72" s="76"/>
      <c r="Z72" s="76"/>
      <c r="AA72" s="76"/>
      <c r="AB72" s="76"/>
    </row>
    <row r="73" ht="14.25" customHeight="1">
      <c r="B73" s="17">
        <v>16260.0</v>
      </c>
      <c r="C73" s="9" t="str">
        <f>VLOOKUP(B73,'FML March 2026'!E:F,2,false)</f>
        <v>GARLIC, POWDER, DRY, 12/16 OZ</v>
      </c>
      <c r="D73" s="9" t="str">
        <f>VLOOKUP(B73,'Unit of Measure ship March 2026'!A:C,3,false)</f>
        <v>LBS</v>
      </c>
      <c r="F73" s="8">
        <v>15316.0</v>
      </c>
      <c r="G73" s="9" t="str">
        <f>VLOOKUP(F73,'FML March 2026'!E:F,2,false)</f>
        <v>POMEGRANATE 20-35 CT. 22#</v>
      </c>
      <c r="H73" s="9" t="str">
        <f>VLOOKUP(F73,'Unit of Measure ship March 2026'!A:C,3,false)</f>
        <v>LBS</v>
      </c>
      <c r="J73" s="49"/>
      <c r="K73" s="9"/>
      <c r="L73" s="9"/>
      <c r="N73" s="49"/>
      <c r="O73" s="9"/>
      <c r="P73" s="9"/>
      <c r="Q73" s="76"/>
      <c r="R73" s="49"/>
      <c r="S73" s="9"/>
      <c r="T73" s="9"/>
      <c r="U73" s="76"/>
      <c r="V73" s="49"/>
      <c r="W73" s="9"/>
      <c r="X73" s="9"/>
      <c r="Y73" s="76"/>
      <c r="Z73" s="76"/>
      <c r="AA73" s="76"/>
      <c r="AB73" s="76"/>
    </row>
    <row r="74" ht="14.25" customHeight="1">
      <c r="B74" s="17">
        <v>16261.0</v>
      </c>
      <c r="C74" s="9" t="str">
        <f>VLOOKUP(B74,'FML March 2026'!E:F,2,false)</f>
        <v>GINGER GROUND D`ALLESANDRO/ SPICECO</v>
      </c>
      <c r="D74" s="9" t="str">
        <f>VLOOKUP(B74,'Unit of Measure ship March 2026'!A:C,3,false)</f>
        <v>LBS</v>
      </c>
      <c r="F74" s="8">
        <v>110075.0</v>
      </c>
      <c r="G74" s="9" t="str">
        <f>VLOOKUP(F74,'FML March 2026'!E:F,2,false)</f>
        <v>POTATO PEE WEE MULTI COLORED MARBLE</v>
      </c>
      <c r="H74" s="9" t="str">
        <f>VLOOKUP(F74,'Unit of Measure ship March 2026'!A:C,3,false)</f>
        <v>LBS</v>
      </c>
      <c r="J74" s="49"/>
      <c r="K74" s="9"/>
      <c r="L74" s="9"/>
      <c r="N74" s="49"/>
      <c r="O74" s="9"/>
      <c r="P74" s="9"/>
      <c r="Q74" s="76"/>
      <c r="R74" s="49"/>
      <c r="S74" s="9"/>
      <c r="T74" s="9"/>
      <c r="U74" s="76"/>
      <c r="V74" s="49"/>
      <c r="W74" s="9"/>
      <c r="X74" s="9"/>
      <c r="Y74" s="76"/>
      <c r="Z74" s="76"/>
      <c r="AA74" s="76"/>
      <c r="AB74" s="76"/>
    </row>
    <row r="75" ht="14.25" customHeight="1">
      <c r="B75" s="8">
        <v>143571.0</v>
      </c>
      <c r="C75" s="9" t="str">
        <f>VLOOKUP(B75,'FML March 2026'!E:F,2,false)</f>
        <v>GINGER, CRYSTALLIZED (USA)</v>
      </c>
      <c r="D75" s="9" t="str">
        <f>VLOOKUP(B75,'Unit of Measure ship March 2026'!A:C,3,false)</f>
        <v>LBS</v>
      </c>
      <c r="F75" s="17">
        <v>15510.0</v>
      </c>
      <c r="G75" s="9" t="str">
        <f>VLOOKUP(F75,'FML March 2026'!E:F,2,false)</f>
        <v>POTATOES RED BLISS B-1 50#</v>
      </c>
      <c r="H75" s="9" t="str">
        <f>VLOOKUP(F75,'Unit of Measure ship March 2026'!A:C,3,false)</f>
        <v>LBS</v>
      </c>
      <c r="J75" s="49"/>
      <c r="K75" s="9"/>
      <c r="L75" s="9"/>
      <c r="N75" s="49"/>
      <c r="O75" s="9"/>
      <c r="P75" s="9"/>
      <c r="Q75" s="76"/>
      <c r="R75" s="49"/>
      <c r="S75" s="9"/>
      <c r="T75" s="9"/>
      <c r="U75" s="76"/>
      <c r="V75" s="49"/>
      <c r="W75" s="9"/>
      <c r="X75" s="9"/>
      <c r="Y75" s="76"/>
      <c r="Z75" s="76"/>
      <c r="AA75" s="76"/>
      <c r="AB75" s="76"/>
    </row>
    <row r="76" ht="14.25" customHeight="1">
      <c r="B76" s="17">
        <v>12666.0</v>
      </c>
      <c r="C76" s="9" t="str">
        <f>VLOOKUP(B76,'FML March 2026'!E:F,2,false)</f>
        <v>GLUTEN FREE WHITE RICE FLOUR</v>
      </c>
      <c r="D76" s="9" t="str">
        <f>VLOOKUP(B76,'Unit of Measure ship March 2026'!A:C,3,false)</f>
        <v>LBS</v>
      </c>
      <c r="F76" s="8">
        <v>11856.0</v>
      </c>
      <c r="G76" s="9" t="str">
        <f>VLOOKUP(F76,'FML March 2026'!E:F,2,false)</f>
        <v>POTATOES YUKON GOLD, LARGE, FRESH</v>
      </c>
      <c r="H76" s="9" t="str">
        <f>VLOOKUP(F76,'Unit of Measure ship March 2026'!A:C,3,false)</f>
        <v>LBS</v>
      </c>
      <c r="J76" s="49"/>
      <c r="K76" s="9"/>
      <c r="L76" s="9"/>
      <c r="N76" s="49"/>
      <c r="O76" s="9"/>
      <c r="P76" s="9"/>
      <c r="Q76" s="76"/>
      <c r="R76" s="49"/>
      <c r="S76" s="9"/>
      <c r="T76" s="9"/>
      <c r="U76" s="76"/>
      <c r="V76" s="49"/>
      <c r="W76" s="9"/>
      <c r="X76" s="9"/>
      <c r="Y76" s="76"/>
      <c r="Z76" s="76"/>
      <c r="AA76" s="76"/>
      <c r="AB76" s="76"/>
    </row>
    <row r="77" ht="14.25" customHeight="1">
      <c r="B77" s="78">
        <v>12666.0</v>
      </c>
      <c r="C77" s="9" t="str">
        <f>VLOOKUP(B77,'FML March 2026'!E:F,2,false)</f>
        <v>GLUTEN FREE WHITE RICE FLOUR</v>
      </c>
      <c r="D77" s="9" t="str">
        <f>VLOOKUP(B77,'Unit of Measure ship March 2026'!A:C,3,false)</f>
        <v>LBS</v>
      </c>
      <c r="F77" s="17">
        <v>15516.0</v>
      </c>
      <c r="G77" s="9" t="str">
        <f>VLOOKUP(F77,'FML March 2026'!E:F,2,false)</f>
        <v>POTATOES, SWEET, JUMBO, 40# BAG</v>
      </c>
      <c r="H77" s="9" t="str">
        <f>VLOOKUP(F77,'Unit of Measure ship March 2026'!A:C,3,false)</f>
        <v>LBS</v>
      </c>
      <c r="J77" s="49"/>
      <c r="K77" s="9"/>
      <c r="L77" s="9"/>
      <c r="N77" s="49"/>
      <c r="O77" s="9"/>
      <c r="P77" s="9"/>
      <c r="Q77" s="76"/>
      <c r="R77" s="49"/>
      <c r="S77" s="9"/>
      <c r="T77" s="9"/>
      <c r="U77" s="76"/>
      <c r="V77" s="49"/>
      <c r="W77" s="9"/>
      <c r="X77" s="9"/>
      <c r="Y77" s="76"/>
      <c r="Z77" s="76"/>
      <c r="AA77" s="76"/>
      <c r="AB77" s="76"/>
    </row>
    <row r="78" ht="14.25" customHeight="1">
      <c r="B78" s="77">
        <v>112068.0</v>
      </c>
      <c r="C78" s="9" t="str">
        <f>VLOOKUP(B78,'FML March 2026'!E:F,2,false)</f>
        <v>GOAT CHEESE  CHEFS CHEVRE CS 2/4 LB LAUR CHENEL</v>
      </c>
      <c r="D78" s="9" t="str">
        <f>VLOOKUP(B78,'Unit of Measure ship March 2026'!A:C,3,false)</f>
        <v>LBS</v>
      </c>
      <c r="F78" s="8">
        <v>110065.0</v>
      </c>
      <c r="G78" s="9" t="str">
        <f>VLOOKUP(F78,'FML March 2026'!E:F,2,false)</f>
        <v>RADISH WATERMELON</v>
      </c>
      <c r="H78" s="9" t="str">
        <f>VLOOKUP(F78,'Unit of Measure ship March 2026'!A:C,3,false)</f>
        <v>LBS</v>
      </c>
      <c r="J78" s="49"/>
      <c r="K78" s="9"/>
      <c r="L78" s="9"/>
      <c r="N78" s="49"/>
      <c r="O78" s="9"/>
      <c r="P78" s="9"/>
      <c r="Q78" s="76"/>
      <c r="R78" s="49"/>
      <c r="S78" s="9"/>
      <c r="T78" s="9"/>
      <c r="U78" s="76"/>
      <c r="V78" s="49"/>
      <c r="W78" s="9"/>
      <c r="X78" s="9"/>
      <c r="Y78" s="76"/>
      <c r="Z78" s="76"/>
      <c r="AA78" s="76"/>
      <c r="AB78" s="76"/>
    </row>
    <row r="79" ht="14.25" customHeight="1">
      <c r="B79" s="8">
        <v>110091.0</v>
      </c>
      <c r="C79" s="9" t="str">
        <f>VLOOKUP(B79,'FML March 2026'!E:F,2,false)</f>
        <v>GOCHUGARU KOREAN CHILI RED PEPPER FLAKES ASSI</v>
      </c>
      <c r="D79" s="9" t="str">
        <f>VLOOKUP(B79,'Unit of Measure ship March 2026'!A:C,3,false)</f>
        <v>CS8/5LB</v>
      </c>
      <c r="F79" s="17">
        <v>15518.0</v>
      </c>
      <c r="G79" s="9" t="str">
        <f>VLOOKUP(F79,'FML March 2026'!E:F,2,false)</f>
        <v>RADISHES, FRESH, BULK 40#</v>
      </c>
      <c r="H79" s="9" t="str">
        <f>VLOOKUP(F79,'Unit of Measure ship March 2026'!A:C,3,false)</f>
        <v>LBS</v>
      </c>
      <c r="J79" s="49"/>
      <c r="K79" s="9"/>
      <c r="L79" s="9"/>
      <c r="N79" s="49"/>
      <c r="O79" s="9"/>
      <c r="P79" s="9"/>
      <c r="Q79" s="76"/>
      <c r="R79" s="49"/>
      <c r="S79" s="9"/>
      <c r="T79" s="9"/>
      <c r="U79" s="76"/>
      <c r="V79" s="49"/>
      <c r="W79" s="9"/>
      <c r="X79" s="9"/>
      <c r="Y79" s="76"/>
      <c r="Z79" s="76"/>
      <c r="AA79" s="76"/>
      <c r="AB79" s="76"/>
    </row>
    <row r="80" ht="14.25" customHeight="1">
      <c r="B80" s="8">
        <v>15058.0</v>
      </c>
      <c r="C80" s="9" t="str">
        <f>VLOOKUP(B80,'FML March 2026'!E:F,2,false)</f>
        <v>GRUYERE IGP SAVOIE CHABERT 40KG / DEXPA # 8681</v>
      </c>
      <c r="D80" s="9" t="str">
        <f>VLOOKUP(B80,'Unit of Measure ship March 2026'!A:C,3,false)</f>
        <v>LBS</v>
      </c>
      <c r="F80" s="8">
        <v>15334.0</v>
      </c>
      <c r="G80" s="9" t="str">
        <f>VLOOKUP(F80,'FML March 2026'!E:F,2,false)</f>
        <v>RASPBERRIES FRESH 12 1/2 PT PINK 4.5#</v>
      </c>
      <c r="H80" s="9" t="str">
        <f>VLOOKUP(F80,'Unit of Measure ship March 2026'!A:C,3,false)</f>
        <v>LBS</v>
      </c>
      <c r="J80" s="49"/>
      <c r="K80" s="9"/>
      <c r="L80" s="9"/>
      <c r="N80" s="49"/>
      <c r="O80" s="9"/>
      <c r="P80" s="9"/>
      <c r="Q80" s="76"/>
      <c r="R80" s="49"/>
      <c r="S80" s="9"/>
      <c r="T80" s="9"/>
      <c r="U80" s="76"/>
      <c r="V80" s="49"/>
      <c r="W80" s="9"/>
      <c r="X80" s="9"/>
      <c r="Y80" s="76"/>
      <c r="Z80" s="76"/>
      <c r="AA80" s="76"/>
      <c r="AB80" s="76"/>
    </row>
    <row r="81" ht="14.25" customHeight="1">
      <c r="B81" s="8">
        <v>102496.0</v>
      </c>
      <c r="C81" s="9" t="str">
        <f>VLOOKUP(B81,'FML March 2026'!E:F,2,false)</f>
        <v>GUAR GUM CS 8/8 OZ BOBS RED MILL</v>
      </c>
      <c r="D81" s="9" t="str">
        <f>VLOOKUP(B81,'Unit of Measure ship March 2026'!A:C,3,false)</f>
        <v>LBS</v>
      </c>
      <c r="F81" s="8">
        <v>110054.0</v>
      </c>
      <c r="G81" s="9" t="str">
        <f>VLOOKUP(F81,'FML March 2026'!E:F,2,false)</f>
        <v>RED RIBBON SORREL FRESH</v>
      </c>
      <c r="H81" s="9" t="str">
        <f>VLOOKUP(F81,'Unit of Measure ship March 2026'!A:C,3,false)</f>
        <v>LBS</v>
      </c>
      <c r="J81" s="49"/>
      <c r="K81" s="9"/>
      <c r="L81" s="9"/>
      <c r="N81" s="49"/>
      <c r="O81" s="9"/>
      <c r="P81" s="9"/>
      <c r="Q81" s="76"/>
      <c r="R81" s="49"/>
      <c r="S81" s="9"/>
      <c r="T81" s="9"/>
      <c r="U81" s="76"/>
      <c r="V81" s="49"/>
      <c r="W81" s="9"/>
      <c r="X81" s="9"/>
      <c r="Y81" s="76"/>
      <c r="Z81" s="76"/>
      <c r="AA81" s="76"/>
      <c r="AB81" s="76"/>
    </row>
    <row r="82" ht="14.25" customHeight="1">
      <c r="B82" s="8">
        <v>10217.0</v>
      </c>
      <c r="C82" s="9" t="str">
        <f>VLOOKUP(B82,'FML March 2026'!E:F,2,false)</f>
        <v>HARISSA RED CHILI SPREAD</v>
      </c>
      <c r="D82" s="9" t="str">
        <f>VLOOKUP(B82,'Unit of Measure ship March 2026'!A:C,3,false)</f>
        <v>PC/25OZ</v>
      </c>
      <c r="F82" s="8">
        <v>15427.0</v>
      </c>
      <c r="G82" s="9" t="str">
        <f>VLOOKUP(F82,'FML March 2026'!E:F,2,false)</f>
        <v>ROSEMARY (12 BUNCH) 1 LB/CS</v>
      </c>
      <c r="H82" s="9" t="str">
        <f>VLOOKUP(F82,'Unit of Measure ship March 2026'!A:C,3,false)</f>
        <v>LBS</v>
      </c>
      <c r="J82" s="49"/>
      <c r="K82" s="9"/>
      <c r="L82" s="9"/>
      <c r="N82" s="49"/>
      <c r="O82" s="9"/>
      <c r="P82" s="9"/>
      <c r="Q82" s="76"/>
      <c r="R82" s="49"/>
      <c r="S82" s="9"/>
      <c r="T82" s="9"/>
      <c r="U82" s="76"/>
      <c r="V82" s="49"/>
      <c r="W82" s="9"/>
      <c r="X82" s="9"/>
      <c r="Y82" s="76"/>
      <c r="Z82" s="76"/>
      <c r="AA82" s="76"/>
      <c r="AB82" s="76"/>
    </row>
    <row r="83" ht="14.25" customHeight="1">
      <c r="B83" s="78">
        <v>101778.0</v>
      </c>
      <c r="C83" s="9" t="str">
        <f>VLOOKUP(B83,'FML March 2026'!E:F,2,false)</f>
        <v>HAZELNUT WHOLE BLANCHED</v>
      </c>
      <c r="D83" s="9" t="str">
        <f>VLOOKUP(B83,'Unit of Measure ship March 2026'!A:C,3,false)</f>
        <v>LBS</v>
      </c>
      <c r="F83" s="8">
        <v>15444.0</v>
      </c>
      <c r="G83" s="9" t="str">
        <f>VLOOKUP(F83,'FML March 2026'!E:F,2,false)</f>
        <v>SAGE FRESH</v>
      </c>
      <c r="H83" s="9" t="str">
        <f>VLOOKUP(F83,'Unit of Measure ship March 2026'!A:C,3,false)</f>
        <v>LBS</v>
      </c>
      <c r="J83" s="49"/>
      <c r="K83" s="9"/>
      <c r="L83" s="9"/>
      <c r="N83" s="49"/>
      <c r="O83" s="9"/>
      <c r="P83" s="9"/>
      <c r="Q83" s="76"/>
      <c r="R83" s="49"/>
      <c r="S83" s="9"/>
      <c r="T83" s="9"/>
      <c r="U83" s="76"/>
      <c r="V83" s="49"/>
      <c r="W83" s="9"/>
      <c r="X83" s="9"/>
      <c r="Y83" s="76"/>
      <c r="Z83" s="76"/>
      <c r="AA83" s="76"/>
      <c r="AB83" s="76"/>
    </row>
    <row r="84" ht="14.25" customHeight="1">
      <c r="B84" s="17">
        <v>14907.0</v>
      </c>
      <c r="C84" s="9" t="str">
        <f>VLOOKUP(B84,'FML March 2026'!E:F,2,false)</f>
        <v>HEAVY CREAM UHT LONG LIFE 38%-40% 12/1LT</v>
      </c>
      <c r="D84" s="9" t="str">
        <f>VLOOKUP(B84,'Unit of Measure ship March 2026'!A:C,3,false)</f>
        <v>LT</v>
      </c>
      <c r="F84" s="8">
        <v>24185.0</v>
      </c>
      <c r="G84" s="9" t="str">
        <f>VLOOKUP(F84,'FML March 2026'!E:F,2,false)</f>
        <v>SCALLIONS FRESH - ICELESS</v>
      </c>
      <c r="H84" s="9" t="str">
        <f>VLOOKUP(F84,'Unit of Measure ship March 2026'!A:C,3,false)</f>
        <v>LBS</v>
      </c>
      <c r="J84" s="49"/>
      <c r="K84" s="9"/>
      <c r="L84" s="9"/>
      <c r="N84" s="49"/>
      <c r="O84" s="9"/>
      <c r="P84" s="9"/>
      <c r="Q84" s="76"/>
      <c r="R84" s="49"/>
      <c r="S84" s="9"/>
      <c r="T84" s="9"/>
      <c r="U84" s="76"/>
      <c r="V84" s="49"/>
      <c r="W84" s="9"/>
      <c r="X84" s="9"/>
      <c r="Y84" s="76"/>
      <c r="Z84" s="76"/>
      <c r="AA84" s="76"/>
      <c r="AB84" s="76"/>
    </row>
    <row r="85" ht="14.25" customHeight="1">
      <c r="B85" s="17">
        <v>15658.0</v>
      </c>
      <c r="C85" s="9" t="str">
        <f>VLOOKUP(B85,'FML March 2026'!E:F,2,false)</f>
        <v>HONEY 6/5 LB GROEB/MELONIA/SWEET HARVEST</v>
      </c>
      <c r="D85" s="9" t="str">
        <f>VLOOKUP(B85,'Unit of Measure ship March 2026'!A:C,3,false)</f>
        <v>KG</v>
      </c>
      <c r="F85" s="17">
        <v>15522.0</v>
      </c>
      <c r="G85" s="9" t="str">
        <f>VLOOKUP(F85,'FML March 2026'!E:F,2,false)</f>
        <v>SHALLOTS CLOVES #1 FRESH 5#</v>
      </c>
      <c r="H85" s="9" t="str">
        <f>VLOOKUP(F85,'Unit of Measure ship March 2026'!A:C,3,false)</f>
        <v>LBS</v>
      </c>
      <c r="J85" s="49"/>
      <c r="K85" s="9"/>
      <c r="L85" s="9"/>
      <c r="N85" s="49"/>
      <c r="O85" s="9"/>
      <c r="P85" s="9"/>
      <c r="Q85" s="76"/>
      <c r="R85" s="49"/>
      <c r="S85" s="9"/>
      <c r="T85" s="9"/>
      <c r="U85" s="76"/>
      <c r="V85" s="49"/>
      <c r="W85" s="9"/>
      <c r="X85" s="9"/>
      <c r="Y85" s="76"/>
      <c r="Z85" s="76"/>
      <c r="AA85" s="76"/>
      <c r="AB85" s="76"/>
    </row>
    <row r="86" ht="14.25" customHeight="1">
      <c r="B86" s="8">
        <v>109680.0</v>
      </c>
      <c r="C86" s="9" t="str">
        <f>VLOOKUP(B86,'FML March 2026'!E:F,2,false)</f>
        <v>HOT SAUCE CHOLULAS</v>
      </c>
      <c r="D86" s="9" t="str">
        <f>VLOOKUP(B86,'Unit of Measure ship March 2026'!A:C,3,false)</f>
        <v>BTL/6OZ</v>
      </c>
      <c r="F86" s="8">
        <v>110066.0</v>
      </c>
      <c r="G86" s="9" t="str">
        <f>VLOOKUP(F86,'FML March 2026'!E:F,2,false)</f>
        <v>SHISHITO PEPPER FRESH</v>
      </c>
      <c r="H86" s="9" t="str">
        <f>VLOOKUP(F86,'Unit of Measure ship March 2026'!A:C,3,false)</f>
        <v>LBS</v>
      </c>
      <c r="J86" s="49"/>
      <c r="K86" s="9"/>
      <c r="L86" s="9"/>
      <c r="N86" s="49"/>
      <c r="O86" s="9"/>
      <c r="P86" s="9"/>
      <c r="Q86" s="76"/>
      <c r="R86" s="49"/>
      <c r="S86" s="9"/>
      <c r="T86" s="9"/>
      <c r="U86" s="76"/>
      <c r="V86" s="49"/>
      <c r="W86" s="9"/>
      <c r="X86" s="9"/>
      <c r="Y86" s="76"/>
      <c r="Z86" s="76"/>
      <c r="AA86" s="76"/>
      <c r="AB86" s="76"/>
    </row>
    <row r="87" ht="14.25" customHeight="1">
      <c r="B87" s="8">
        <v>39757.0</v>
      </c>
      <c r="C87" s="9" t="str">
        <f>VLOOKUP(B87,'FML March 2026'!E:F,2,false)</f>
        <v>JUICE, 100% APPLE, FROM CONC, DRY, 12/1 LT</v>
      </c>
      <c r="D87" s="9" t="str">
        <f>VLOOKUP(B87,'Unit of Measure ship March 2026'!A:C,3,false)</f>
        <v>LT</v>
      </c>
      <c r="F87" s="17">
        <v>15525.0</v>
      </c>
      <c r="G87" s="9" t="str">
        <f>VLOOKUP(F87,'FML March 2026'!E:F,2,false)</f>
        <v>SPINACH FLAT LEAF, FRESH, CRISP 4/2.5# 10#</v>
      </c>
      <c r="H87" s="9" t="str">
        <f>VLOOKUP(F87,'Unit of Measure ship March 2026'!A:C,3,false)</f>
        <v>LBS</v>
      </c>
      <c r="J87" s="49"/>
      <c r="K87" s="9"/>
      <c r="L87" s="9"/>
      <c r="N87" s="49"/>
      <c r="O87" s="9"/>
      <c r="P87" s="9"/>
      <c r="Q87" s="76"/>
      <c r="R87" s="49"/>
      <c r="S87" s="9"/>
      <c r="T87" s="9"/>
      <c r="U87" s="76"/>
      <c r="V87" s="49"/>
      <c r="W87" s="9"/>
      <c r="X87" s="9"/>
      <c r="Y87" s="76"/>
      <c r="Z87" s="76"/>
      <c r="AA87" s="76"/>
      <c r="AB87" s="76"/>
    </row>
    <row r="88" ht="14.25" customHeight="1">
      <c r="B88" s="17">
        <v>16306.0</v>
      </c>
      <c r="C88" s="9" t="str">
        <f>VLOOKUP(B88,'FML March 2026'!E:F,2,false)</f>
        <v>JUNIPER BERRIES 11 OZ D`ALLESANDRO/ SPICECO</v>
      </c>
      <c r="D88" s="9" t="str">
        <f>VLOOKUP(B88,'Unit of Measure ship March 2026'!A:C,3,false)</f>
        <v>LBS</v>
      </c>
      <c r="F88" s="8">
        <v>15420.0</v>
      </c>
      <c r="G88" s="9" t="str">
        <f>VLOOKUP(F88,'FML March 2026'!E:F,2,false)</f>
        <v>STRAWBERRIES DRISCOL CAL. LIGHT RED, PINTS</v>
      </c>
      <c r="H88" s="9" t="str">
        <f>VLOOKUP(F88,'Unit of Measure ship March 2026'!A:C,3,false)</f>
        <v>LBS</v>
      </c>
      <c r="J88" s="49"/>
      <c r="K88" s="9"/>
      <c r="L88" s="9"/>
      <c r="N88" s="49"/>
      <c r="O88" s="9"/>
      <c r="P88" s="9"/>
      <c r="Q88" s="76"/>
      <c r="R88" s="49"/>
      <c r="S88" s="9"/>
      <c r="T88" s="9"/>
      <c r="U88" s="76"/>
      <c r="V88" s="49"/>
      <c r="W88" s="9"/>
      <c r="X88" s="9"/>
      <c r="Y88" s="76"/>
      <c r="Z88" s="76"/>
      <c r="AA88" s="76"/>
      <c r="AB88" s="76"/>
    </row>
    <row r="89" ht="14.25" customHeight="1">
      <c r="B89" s="8">
        <v>16349.0</v>
      </c>
      <c r="C89" s="9" t="str">
        <f>VLOOKUP(B89,'FML March 2026'!E:F,2,false)</f>
        <v>KETCHUP, HEINZ, 51290, DRY, 6/#10</v>
      </c>
      <c r="D89" s="9" t="str">
        <f>VLOOKUP(B89,'Unit of Measure ship March 2026'!A:C,3,false)</f>
        <v>CN/6.5LB</v>
      </c>
      <c r="F89" s="17">
        <v>15575.0</v>
      </c>
      <c r="G89" s="9" t="str">
        <f>VLOOKUP(F89,'FML March 2026'!E:F,2,false)</f>
        <v>SWISS CHARD 24 BU 20#</v>
      </c>
      <c r="H89" s="9" t="str">
        <f>VLOOKUP(F89,'Unit of Measure ship March 2026'!A:C,3,false)</f>
        <v>LBS</v>
      </c>
      <c r="J89" s="49"/>
      <c r="K89" s="9"/>
      <c r="L89" s="9"/>
      <c r="N89" s="49"/>
      <c r="O89" s="9"/>
      <c r="P89" s="9"/>
      <c r="Q89" s="76"/>
      <c r="R89" s="49"/>
      <c r="S89" s="9"/>
      <c r="T89" s="9"/>
      <c r="U89" s="76"/>
      <c r="V89" s="49"/>
      <c r="W89" s="9"/>
      <c r="X89" s="9"/>
      <c r="Y89" s="76"/>
      <c r="Z89" s="76"/>
      <c r="AA89" s="76"/>
      <c r="AB89" s="76"/>
    </row>
    <row r="90" ht="14.25" customHeight="1">
      <c r="B90" s="8">
        <v>16949.0</v>
      </c>
      <c r="C90" s="9" t="str">
        <f>VLOOKUP(B90,'FML March 2026'!E:F,2,false)</f>
        <v>KOMBU SQUARE DASHI KST</v>
      </c>
      <c r="D90" s="9" t="str">
        <f>VLOOKUP(B90,'Unit of Measure ship March 2026'!A:C,3,false)</f>
        <v>PK/5LBS</v>
      </c>
      <c r="F90" s="17">
        <v>15442.0</v>
      </c>
      <c r="G90" s="9" t="str">
        <f>VLOOKUP(F90,'FML March 2026'!E:F,2,false)</f>
        <v>TARRAGON (12 BUNCH), 1 LB/CS</v>
      </c>
      <c r="H90" s="9" t="str">
        <f>VLOOKUP(F90,'Unit of Measure ship March 2026'!A:C,3,false)</f>
        <v>LBS</v>
      </c>
      <c r="J90" s="49"/>
      <c r="K90" s="9"/>
      <c r="L90" s="9"/>
      <c r="N90" s="49"/>
      <c r="O90" s="9"/>
      <c r="P90" s="9"/>
      <c r="Q90" s="76"/>
      <c r="R90" s="49"/>
      <c r="S90" s="9"/>
      <c r="T90" s="9"/>
      <c r="U90" s="76"/>
      <c r="V90" s="49"/>
      <c r="W90" s="9"/>
      <c r="X90" s="9"/>
      <c r="Y90" s="76"/>
      <c r="Z90" s="76"/>
      <c r="AA90" s="76"/>
      <c r="AB90" s="76"/>
    </row>
    <row r="91" ht="14.25" customHeight="1">
      <c r="B91" s="8">
        <v>37989.0</v>
      </c>
      <c r="C91" s="9" t="str">
        <f>VLOOKUP(B91,'FML March 2026'!E:F,2,false)</f>
        <v>LEAVENER YEAST INSTANT DRY (NETHERLANDS)</v>
      </c>
      <c r="D91" s="9" t="str">
        <f>VLOOKUP(B91,'Unit of Measure ship March 2026'!A:C,3,false)</f>
        <v>LBS</v>
      </c>
      <c r="F91" s="17">
        <v>15446.0</v>
      </c>
      <c r="G91" s="9" t="str">
        <f>VLOOKUP(F91,'FML March 2026'!E:F,2,false)</f>
        <v>THYME FRESH</v>
      </c>
      <c r="H91" s="9" t="str">
        <f>VLOOKUP(F91,'Unit of Measure ship March 2026'!A:C,3,false)</f>
        <v>LBS</v>
      </c>
      <c r="J91" s="49"/>
      <c r="K91" s="9"/>
      <c r="L91" s="9"/>
      <c r="N91" s="49"/>
      <c r="O91" s="9"/>
      <c r="P91" s="9"/>
      <c r="Q91" s="76"/>
      <c r="R91" s="49"/>
      <c r="S91" s="9"/>
      <c r="T91" s="9"/>
      <c r="U91" s="76"/>
      <c r="V91" s="49"/>
      <c r="W91" s="9"/>
      <c r="X91" s="9"/>
      <c r="Y91" s="76"/>
      <c r="Z91" s="76"/>
      <c r="AA91" s="76"/>
      <c r="AB91" s="76"/>
    </row>
    <row r="92" ht="14.25" customHeight="1">
      <c r="B92" s="77">
        <v>111972.0</v>
      </c>
      <c r="C92" s="9" t="str">
        <f>VLOOKUP(B92,'FML March 2026'!E:F,2,false)</f>
        <v>LIME POWDER DEHYDRATED 5 LB INES</v>
      </c>
      <c r="D92" s="9" t="str">
        <f>VLOOKUP(B92,'Unit of Measure ship March 2026'!A:C,3,false)</f>
        <v>LBS</v>
      </c>
      <c r="F92" s="8">
        <v>15537.0</v>
      </c>
      <c r="G92" s="9" t="str">
        <f>VLOOKUP(F92,'FML March 2026'!E:F,2,false)</f>
        <v>TOMATOES 6X6 #1 18# RED RIPE, FIRM (LAYERED), 55-65 MM</v>
      </c>
      <c r="H92" s="9" t="str">
        <f>VLOOKUP(F92,'Unit of Measure ship March 2026'!A:C,3,false)</f>
        <v>LBS</v>
      </c>
      <c r="J92" s="49"/>
      <c r="K92" s="9"/>
      <c r="L92" s="9"/>
      <c r="N92" s="49"/>
      <c r="O92" s="9"/>
      <c r="P92" s="9"/>
      <c r="Q92" s="76"/>
      <c r="R92" s="49"/>
      <c r="S92" s="9"/>
      <c r="T92" s="9"/>
      <c r="U92" s="76"/>
      <c r="V92" s="49"/>
      <c r="W92" s="9"/>
      <c r="X92" s="9"/>
      <c r="Y92" s="76"/>
      <c r="Z92" s="76"/>
      <c r="AA92" s="76"/>
      <c r="AB92" s="76"/>
    </row>
    <row r="93" ht="14.25" customHeight="1">
      <c r="B93" s="17">
        <v>16316.0</v>
      </c>
      <c r="C93" s="9" t="str">
        <f>VLOOKUP(B93,'FML March 2026'!E:F,2,false)</f>
        <v>LIQUID SMOKE WRIGHTS</v>
      </c>
      <c r="D93" s="9" t="str">
        <f>VLOOKUP(B93,'Unit of Measure ship March 2026'!A:C,3,false)</f>
        <v>GAL</v>
      </c>
      <c r="F93" s="17">
        <v>15534.0</v>
      </c>
      <c r="G93" s="9" t="str">
        <f>VLOOKUP(F93,'FML March 2026'!E:F,2,false)</f>
        <v>TOMATOES CHERRY #1 (GRAPE) 10 PINK, RED, FIRM SMALL</v>
      </c>
      <c r="H93" s="9" t="str">
        <f>VLOOKUP(F93,'Unit of Measure ship March 2026'!A:C,3,false)</f>
        <v>LBS</v>
      </c>
      <c r="J93" s="49"/>
      <c r="K93" s="9"/>
      <c r="L93" s="9"/>
      <c r="N93" s="49"/>
      <c r="O93" s="9"/>
      <c r="P93" s="9"/>
      <c r="Q93" s="76"/>
      <c r="R93" s="49"/>
      <c r="S93" s="9"/>
      <c r="T93" s="9"/>
      <c r="U93" s="76"/>
      <c r="V93" s="49"/>
      <c r="W93" s="9"/>
      <c r="X93" s="9"/>
      <c r="Y93" s="76"/>
      <c r="Z93" s="76"/>
      <c r="AA93" s="76"/>
      <c r="AB93" s="76"/>
    </row>
    <row r="94" ht="14.25" customHeight="1">
      <c r="B94" s="8">
        <v>109668.0</v>
      </c>
      <c r="C94" s="9" t="str">
        <f>VLOOKUP(B94,'FML March 2026'!E:F,2,false)</f>
        <v>MAYONNAISE VEGAN FOLLOW YOUR HEART</v>
      </c>
      <c r="D94" s="9" t="str">
        <f>VLOOKUP(B94,'Unit of Measure ship March 2026'!A:C,3,false)</f>
        <v>GAL</v>
      </c>
      <c r="F94" s="8">
        <v>109765.0</v>
      </c>
      <c r="G94" s="9" t="str">
        <f>VLOOKUP(F94,'FML March 2026'!E:F,2,false)</f>
        <v>TOMATOES CHERRY MIXED HEIRLOOM</v>
      </c>
      <c r="H94" s="9" t="str">
        <f>VLOOKUP(F94,'Unit of Measure ship March 2026'!A:C,3,false)</f>
        <v>LBS</v>
      </c>
      <c r="J94" s="49"/>
      <c r="K94" s="9"/>
      <c r="L94" s="9"/>
      <c r="N94" s="49"/>
      <c r="O94" s="9"/>
      <c r="P94" s="9"/>
      <c r="Q94" s="76"/>
      <c r="R94" s="49"/>
      <c r="S94" s="9"/>
      <c r="T94" s="9"/>
      <c r="U94" s="76"/>
      <c r="V94" s="49"/>
      <c r="W94" s="9"/>
      <c r="X94" s="9"/>
      <c r="Y94" s="76"/>
      <c r="Z94" s="76"/>
      <c r="AA94" s="76"/>
      <c r="AB94" s="76"/>
    </row>
    <row r="95" ht="14.25" customHeight="1">
      <c r="B95" s="8">
        <v>109667.0</v>
      </c>
      <c r="C95" s="9" t="str">
        <f>VLOOKUP(B95,'FML March 2026'!E:F,2,false)</f>
        <v>MAYONNAISE, UNILEVER - HELLMANN'S, 4800126530, DRY, 4/1 GAL</v>
      </c>
      <c r="D95" s="9" t="str">
        <f>VLOOKUP(B95,'Unit of Measure ship March 2026'!A:C,3,false)</f>
        <v>GAL</v>
      </c>
      <c r="F95" s="8">
        <v>110073.0</v>
      </c>
      <c r="G95" s="9" t="str">
        <f>VLOOKUP(F95,'FML March 2026'!E:F,2,false)</f>
        <v>TOMATOES GREEN</v>
      </c>
      <c r="H95" s="9" t="str">
        <f>VLOOKUP(F95,'Unit of Measure ship March 2026'!A:C,3,false)</f>
        <v>LBS</v>
      </c>
      <c r="J95" s="49"/>
      <c r="K95" s="9"/>
      <c r="L95" s="9"/>
      <c r="N95" s="49"/>
      <c r="O95" s="9"/>
      <c r="P95" s="9"/>
      <c r="Q95" s="76"/>
      <c r="R95" s="49"/>
      <c r="S95" s="9"/>
      <c r="T95" s="9"/>
      <c r="U95" s="76"/>
      <c r="V95" s="49"/>
      <c r="W95" s="9"/>
      <c r="X95" s="9"/>
      <c r="Y95" s="76"/>
      <c r="Z95" s="76"/>
      <c r="AA95" s="76"/>
      <c r="AB95" s="76"/>
    </row>
    <row r="96" ht="14.25" customHeight="1">
      <c r="B96" s="17">
        <v>11745.0</v>
      </c>
      <c r="C96" s="9" t="str">
        <f>VLOOKUP(B96,'FML March 2026'!E:F,2,false)</f>
        <v>MAYTAG BLUE CHEESE</v>
      </c>
      <c r="D96" s="9" t="str">
        <f>VLOOKUP(B96,'Unit of Measure ship March 2026'!A:C,3,false)</f>
        <v>LBS</v>
      </c>
      <c r="F96" s="8">
        <v>110101.0</v>
      </c>
      <c r="G96" s="9" t="str">
        <f>VLOOKUP(F96,'FML March 2026'!E:F,2,false)</f>
        <v>VIOLAS, FRESH FLOWER</v>
      </c>
      <c r="H96" s="9" t="str">
        <f>VLOOKUP(F96,'Unit of Measure ship March 2026'!A:C,3,false)</f>
        <v>EA</v>
      </c>
      <c r="J96" s="49"/>
      <c r="K96" s="9"/>
      <c r="L96" s="9"/>
      <c r="N96" s="49"/>
      <c r="O96" s="9"/>
      <c r="P96" s="9"/>
      <c r="Q96" s="76"/>
      <c r="R96" s="49"/>
      <c r="S96" s="9"/>
      <c r="T96" s="9"/>
      <c r="U96" s="76"/>
      <c r="V96" s="49"/>
      <c r="W96" s="9"/>
      <c r="X96" s="9"/>
      <c r="Y96" s="76"/>
      <c r="Z96" s="76"/>
      <c r="AA96" s="76"/>
      <c r="AB96" s="76"/>
    </row>
    <row r="97" ht="14.25" customHeight="1">
      <c r="B97" s="8">
        <v>110947.0</v>
      </c>
      <c r="C97" s="9" t="str">
        <f>VLOOKUP(B97,'FML March 2026'!E:F,2,false)</f>
        <v>MILK OAT MILK CS12/32 IZ OATLEY/PACIFIC (USA)</v>
      </c>
      <c r="D97" s="9" t="str">
        <f>VLOOKUP(B97,'Unit of Measure ship March 2026'!A:C,3,false)</f>
        <v>QT</v>
      </c>
      <c r="F97" s="17">
        <v>15540.0</v>
      </c>
      <c r="G97" s="9" t="str">
        <f>VLOOKUP(F97,'FML March 2026'!E:F,2,false)</f>
        <v>WATERCRESS (FULL BX) 10# 24BH "B &amp; W, FRESH, ICE PACKED" 1BX</v>
      </c>
      <c r="H97" s="9" t="str">
        <f>VLOOKUP(F97,'Unit of Measure ship March 2026'!A:C,3,false)</f>
        <v>LBS</v>
      </c>
      <c r="J97" s="49"/>
      <c r="K97" s="9"/>
      <c r="L97" s="9"/>
      <c r="N97" s="49"/>
      <c r="O97" s="9"/>
      <c r="P97" s="9"/>
      <c r="Q97" s="76"/>
      <c r="R97" s="49"/>
      <c r="S97" s="9"/>
      <c r="T97" s="9"/>
      <c r="U97" s="76"/>
      <c r="V97" s="49"/>
      <c r="W97" s="9"/>
      <c r="X97" s="9"/>
      <c r="Y97" s="76"/>
      <c r="Z97" s="76"/>
      <c r="AA97" s="76"/>
      <c r="AB97" s="76"/>
    </row>
    <row r="98" ht="14.25" customHeight="1">
      <c r="B98" s="8">
        <v>110932.0</v>
      </c>
      <c r="C98" s="9" t="str">
        <f>VLOOKUP(B98,'FML March 2026'!E:F,2,false)</f>
        <v>MILK POWDER  NON-FAT INSTANT</v>
      </c>
      <c r="D98" s="9" t="str">
        <f>VLOOKUP(B98,'Unit of Measure ship March 2026'!A:C,3,false)</f>
        <v>LBS</v>
      </c>
      <c r="F98" s="8">
        <v>15425.0</v>
      </c>
      <c r="G98" s="9" t="str">
        <f>VLOOKUP(F98,'FML March 2026'!E:F,2,false)</f>
        <v>WATERMELONS SEEDLESS 4CT/6C 32#</v>
      </c>
      <c r="H98" s="9" t="str">
        <f>VLOOKUP(F98,'Unit of Measure ship March 2026'!A:C,3,false)</f>
        <v>LBS</v>
      </c>
      <c r="J98" s="49"/>
      <c r="K98" s="9"/>
      <c r="L98" s="9"/>
      <c r="N98" s="49"/>
      <c r="O98" s="9"/>
      <c r="P98" s="9"/>
      <c r="Q98" s="76"/>
      <c r="R98" s="49"/>
      <c r="S98" s="9"/>
      <c r="T98" s="9"/>
      <c r="U98" s="76"/>
      <c r="V98" s="49"/>
      <c r="W98" s="9"/>
      <c r="X98" s="9"/>
      <c r="Y98" s="76"/>
      <c r="Z98" s="76"/>
      <c r="AA98" s="76"/>
      <c r="AB98" s="76"/>
    </row>
    <row r="99" ht="14.25" customHeight="1">
      <c r="B99" s="17">
        <v>14869.0</v>
      </c>
      <c r="C99" s="9" t="str">
        <f>VLOOKUP(B99,'FML March 2026'!E:F,2,false)</f>
        <v>MILK, UHT, WHOLE, 3.5% FAT, DRY, 12/1 LT</v>
      </c>
      <c r="D99" s="9" t="str">
        <f>VLOOKUP(B99,'Unit of Measure ship March 2026'!A:C,3,false)</f>
        <v>LT</v>
      </c>
      <c r="F99" s="8">
        <v>15542.0</v>
      </c>
      <c r="G99" s="9" t="str">
        <f>VLOOKUP(F99,'FML March 2026'!E:F,2,false)</f>
        <v>ZUCCHINI MEDIUM #1 FANCY 20#/CS, 180-210 MM</v>
      </c>
      <c r="H99" s="9" t="str">
        <f>VLOOKUP(F99,'Unit of Measure ship March 2026'!A:C,3,false)</f>
        <v>LBS</v>
      </c>
      <c r="J99" s="49"/>
      <c r="K99" s="9"/>
      <c r="L99" s="9"/>
      <c r="N99" s="49"/>
      <c r="O99" s="9"/>
      <c r="P99" s="9"/>
      <c r="Q99" s="76"/>
      <c r="R99" s="49"/>
      <c r="S99" s="9"/>
      <c r="T99" s="9"/>
      <c r="U99" s="76"/>
      <c r="V99" s="49"/>
      <c r="W99" s="9"/>
      <c r="X99" s="9"/>
      <c r="Y99" s="76"/>
      <c r="Z99" s="76"/>
      <c r="AA99" s="76"/>
      <c r="AB99" s="76"/>
    </row>
    <row r="100" ht="14.25" customHeight="1">
      <c r="B100" s="8">
        <v>110018.0</v>
      </c>
      <c r="C100" s="9" t="str">
        <f>VLOOKUP(B100,'FML March 2026'!E:F,2,false)</f>
        <v>MISO PASTE CHIC PEA CS6/16OZ MISO MASTER</v>
      </c>
      <c r="D100" s="9" t="str">
        <f>VLOOKUP(B100,'Unit of Measure ship March 2026'!A:C,3,false)</f>
        <v>CS6/16OZ</v>
      </c>
      <c r="G100" s="9"/>
      <c r="H100" s="9"/>
      <c r="K100" s="9"/>
      <c r="L100" s="9"/>
      <c r="N100" s="49"/>
      <c r="O100" s="9"/>
      <c r="P100" s="9"/>
      <c r="Q100" s="76"/>
      <c r="R100" s="49"/>
      <c r="S100" s="9"/>
      <c r="T100" s="9"/>
      <c r="U100" s="76"/>
      <c r="V100" s="49"/>
      <c r="W100" s="9"/>
      <c r="X100" s="9"/>
      <c r="Y100" s="76"/>
      <c r="Z100" s="76"/>
      <c r="AA100" s="76"/>
      <c r="AB100" s="76"/>
    </row>
    <row r="101" ht="14.25" customHeight="1">
      <c r="B101" s="8">
        <v>16418.0</v>
      </c>
      <c r="C101" s="9" t="str">
        <f>VLOOKUP(B101,'FML March 2026'!E:F,2,false)</f>
        <v>MUSHROOM PORCINI/ BOLETUS DRY 1 LB MARKYS/URBANI/ROLAND (USA)</v>
      </c>
      <c r="D101" s="9" t="str">
        <f>VLOOKUP(B101,'Unit of Measure ship March 2026'!A:C,3,false)</f>
        <v>LBS</v>
      </c>
      <c r="G101" s="9"/>
      <c r="H101" s="9"/>
      <c r="K101" s="9"/>
      <c r="L101" s="9"/>
      <c r="N101" s="49"/>
      <c r="O101" s="9"/>
      <c r="P101" s="9"/>
      <c r="Q101" s="76"/>
      <c r="R101" s="49"/>
      <c r="S101" s="9"/>
      <c r="T101" s="9"/>
      <c r="U101" s="76"/>
      <c r="V101" s="49"/>
      <c r="W101" s="9"/>
      <c r="X101" s="9"/>
      <c r="Y101" s="76"/>
      <c r="Z101" s="76"/>
      <c r="AA101" s="76"/>
      <c r="AB101" s="76"/>
    </row>
    <row r="102" ht="14.25" customHeight="1">
      <c r="B102" s="8">
        <v>16426.0</v>
      </c>
      <c r="C102" s="9" t="str">
        <f>VLOOKUP(B102,'FML March 2026'!E:F,2,false)</f>
        <v>MUSTARD  TUB GREY POUPON - DIJON MUSTARD PLAIN (FRANCE)</v>
      </c>
      <c r="D102" s="9" t="str">
        <f>VLOOKUP(B102,'Unit of Measure ship March 2026'!A:C,3,false)</f>
        <v>JAR/48OZ</v>
      </c>
      <c r="G102" s="9"/>
      <c r="H102" s="9"/>
      <c r="K102" s="9"/>
      <c r="L102" s="9"/>
      <c r="N102" s="49"/>
      <c r="O102" s="9"/>
      <c r="P102" s="9"/>
      <c r="Q102" s="76"/>
      <c r="R102" s="49"/>
      <c r="S102" s="9"/>
      <c r="T102" s="9"/>
      <c r="U102" s="76"/>
      <c r="V102" s="49"/>
      <c r="W102" s="9"/>
      <c r="X102" s="9"/>
      <c r="Y102" s="76"/>
      <c r="Z102" s="76"/>
      <c r="AA102" s="76"/>
      <c r="AB102" s="76"/>
    </row>
    <row r="103" ht="14.25" customHeight="1">
      <c r="B103" s="17">
        <v>16258.0</v>
      </c>
      <c r="C103" s="9" t="str">
        <f>VLOOKUP(B103,'FML March 2026'!E:F,2,false)</f>
        <v>MUSTARD POWDER ENGLISH 12/16 OZ COLEMAN</v>
      </c>
      <c r="D103" s="9" t="str">
        <f>VLOOKUP(B103,'Unit of Measure ship March 2026'!A:C,3,false)</f>
        <v>LBS</v>
      </c>
      <c r="G103" s="9"/>
      <c r="H103" s="9"/>
      <c r="J103" s="51"/>
      <c r="K103" s="9"/>
      <c r="L103" s="9"/>
      <c r="N103" s="49"/>
      <c r="O103" s="9"/>
      <c r="P103" s="9"/>
      <c r="Q103" s="76"/>
      <c r="R103" s="49"/>
      <c r="S103" s="9"/>
      <c r="T103" s="9"/>
      <c r="U103" s="76"/>
      <c r="V103" s="49"/>
      <c r="W103" s="9"/>
      <c r="X103" s="9"/>
      <c r="Y103" s="76"/>
      <c r="Z103" s="76"/>
      <c r="AA103" s="76"/>
      <c r="AB103" s="76"/>
    </row>
    <row r="104" ht="14.25" customHeight="1">
      <c r="B104" s="8">
        <v>16320.0</v>
      </c>
      <c r="C104" s="9" t="str">
        <f>VLOOKUP(B104,'FML March 2026'!E:F,2,false)</f>
        <v>MUSTARD SEED 24 OZ D`ALLESANDRO/ SPICECO</v>
      </c>
      <c r="D104" s="9" t="str">
        <f>VLOOKUP(B104,'Unit of Measure ship March 2026'!A:C,3,false)</f>
        <v>LBS</v>
      </c>
      <c r="G104" s="9"/>
      <c r="H104" s="9"/>
      <c r="J104" s="51"/>
      <c r="K104" s="9"/>
      <c r="L104" s="9"/>
      <c r="N104" s="49"/>
      <c r="O104" s="9"/>
      <c r="P104" s="9"/>
      <c r="Q104" s="76"/>
      <c r="R104" s="49"/>
      <c r="S104" s="9"/>
      <c r="T104" s="9"/>
      <c r="U104" s="76"/>
      <c r="V104" s="49"/>
      <c r="W104" s="9"/>
      <c r="X104" s="9"/>
      <c r="Y104" s="76"/>
      <c r="Z104" s="76"/>
      <c r="AA104" s="76"/>
      <c r="AB104" s="76"/>
    </row>
    <row r="105" ht="14.25" customHeight="1">
      <c r="B105" s="8">
        <v>16350.0</v>
      </c>
      <c r="C105" s="9" t="str">
        <f>VLOOKUP(B105,'FML March 2026'!E:F,2,false)</f>
        <v>MUSTARD YELLOW, PREPARED, GAL FRENCH`S</v>
      </c>
      <c r="D105" s="9" t="str">
        <f>VLOOKUP(B105,'Unit of Measure ship March 2026'!A:C,3,false)</f>
        <v>GAL</v>
      </c>
      <c r="G105" s="9"/>
      <c r="H105" s="9"/>
      <c r="J105" s="51"/>
      <c r="K105" s="9"/>
      <c r="L105" s="9"/>
      <c r="N105" s="49"/>
      <c r="O105" s="9"/>
      <c r="P105" s="9"/>
      <c r="Q105" s="76"/>
      <c r="R105" s="49"/>
      <c r="S105" s="9"/>
      <c r="T105" s="9"/>
      <c r="U105" s="76"/>
      <c r="V105" s="49"/>
      <c r="W105" s="9"/>
      <c r="X105" s="9"/>
      <c r="Y105" s="76"/>
      <c r="Z105" s="76"/>
      <c r="AA105" s="76"/>
      <c r="AB105" s="76"/>
    </row>
    <row r="106" ht="14.25" customHeight="1">
      <c r="B106" s="8">
        <v>16534.0</v>
      </c>
      <c r="C106" s="9" t="str">
        <f>VLOOKUP(B106,'FML March 2026'!E:F,2,false)</f>
        <v>MUSTARD, GRAINED, JAR</v>
      </c>
      <c r="D106" s="9" t="str">
        <f>VLOOKUP(B106,'Unit of Measure ship March 2026'!A:C,3,false)</f>
        <v>JAR7/OZ</v>
      </c>
      <c r="G106" s="9"/>
      <c r="H106" s="9"/>
      <c r="J106" s="51"/>
      <c r="K106" s="9"/>
      <c r="L106" s="9"/>
      <c r="N106" s="49"/>
      <c r="O106" s="9"/>
      <c r="P106" s="9"/>
      <c r="Q106" s="76"/>
      <c r="R106" s="49"/>
      <c r="S106" s="9"/>
      <c r="T106" s="9"/>
      <c r="U106" s="76"/>
      <c r="V106" s="49"/>
      <c r="W106" s="9"/>
      <c r="X106" s="9"/>
      <c r="Y106" s="76"/>
      <c r="Z106" s="76"/>
      <c r="AA106" s="76"/>
      <c r="AB106" s="76"/>
    </row>
    <row r="107" ht="14.25" customHeight="1">
      <c r="B107" s="17">
        <v>16266.0</v>
      </c>
      <c r="C107" s="9" t="str">
        <f>VLOOKUP(B107,'FML March 2026'!E:F,2,false)</f>
        <v>NUTMEG GROUND D`ALLESANDRO/ SPICECO (USA)</v>
      </c>
      <c r="D107" s="9" t="str">
        <f>VLOOKUP(B107,'Unit of Measure ship March 2026'!A:C,3,false)</f>
        <v>UNIT/1LB</v>
      </c>
      <c r="G107" s="9"/>
      <c r="H107" s="9"/>
      <c r="J107" s="51"/>
      <c r="K107" s="9"/>
      <c r="L107" s="9"/>
      <c r="N107" s="49"/>
      <c r="O107" s="9"/>
      <c r="P107" s="9"/>
      <c r="Q107" s="76"/>
      <c r="R107" s="49"/>
      <c r="S107" s="9"/>
      <c r="T107" s="9"/>
      <c r="U107" s="76"/>
      <c r="V107" s="49"/>
      <c r="W107" s="9"/>
      <c r="X107" s="9"/>
      <c r="Y107" s="76"/>
      <c r="Z107" s="76"/>
      <c r="AA107" s="76"/>
      <c r="AB107" s="76"/>
    </row>
    <row r="108" ht="14.25" customHeight="1">
      <c r="B108" s="8">
        <v>109227.0</v>
      </c>
      <c r="C108" s="9" t="str">
        <f>VLOOKUP(B108,'FML March 2026'!E:F,2,false)</f>
        <v>NUTRITIONAL YEAST FLAKES VEGAN C6/5OZ BOBS RED ,MILL (USA)</v>
      </c>
      <c r="D108" s="9" t="str">
        <f>VLOOKUP(B108,'Unit of Measure ship March 2026'!A:C,3,false)</f>
        <v>CS6/5OZ</v>
      </c>
      <c r="G108" s="9"/>
      <c r="H108" s="9"/>
      <c r="J108" s="51"/>
      <c r="K108" s="9"/>
      <c r="L108" s="9"/>
      <c r="N108" s="49"/>
      <c r="O108" s="9"/>
      <c r="P108" s="9"/>
      <c r="Q108" s="76"/>
      <c r="R108" s="49"/>
      <c r="S108" s="9"/>
      <c r="T108" s="9"/>
      <c r="U108" s="76"/>
      <c r="V108" s="49"/>
      <c r="W108" s="9"/>
      <c r="X108" s="9"/>
      <c r="Y108" s="76"/>
      <c r="Z108" s="76"/>
      <c r="AA108" s="76"/>
      <c r="AB108" s="76"/>
    </row>
    <row r="109" ht="14.25" customHeight="1">
      <c r="B109" s="8">
        <v>110639.0</v>
      </c>
      <c r="C109" s="9" t="str">
        <f>VLOOKUP(B109,'FML March 2026'!E:F,2,false)</f>
        <v>OATS, ROLLED, WHOLE GRAIN, OLD FASHIONED, DRY, 1/50 LB</v>
      </c>
      <c r="D109" s="9" t="str">
        <f>VLOOKUP(B109,'Unit of Measure ship March 2026'!A:C,3,false)</f>
        <v>LBS</v>
      </c>
      <c r="G109" s="9"/>
      <c r="H109" s="9"/>
      <c r="J109" s="51"/>
      <c r="K109" s="9"/>
      <c r="L109" s="9"/>
      <c r="N109" s="49"/>
      <c r="O109" s="9"/>
      <c r="P109" s="9"/>
      <c r="Q109" s="76"/>
      <c r="R109" s="49"/>
      <c r="S109" s="9"/>
      <c r="T109" s="9"/>
      <c r="U109" s="76"/>
      <c r="V109" s="49"/>
      <c r="W109" s="9"/>
      <c r="X109" s="9"/>
      <c r="Y109" s="76"/>
      <c r="Z109" s="76"/>
      <c r="AA109" s="76"/>
      <c r="AB109" s="76"/>
    </row>
    <row r="110" ht="14.25" customHeight="1">
      <c r="B110" s="77">
        <v>111948.0</v>
      </c>
      <c r="C110" s="9" t="str">
        <f>VLOOKUP(B110,'FML March 2026'!E:F,2,false)</f>
        <v>OIL CHILI SESAME RAYU/ LA YU</v>
      </c>
      <c r="D110" s="9" t="str">
        <f>VLOOKUP(B110,'Unit of Measure ship March 2026'!A:C,3,false)</f>
        <v>B32.2/OZ</v>
      </c>
      <c r="G110" s="9"/>
      <c r="H110" s="9"/>
      <c r="J110" s="51"/>
      <c r="K110" s="9"/>
      <c r="L110" s="9"/>
      <c r="N110" s="49"/>
      <c r="O110" s="9"/>
      <c r="P110" s="9"/>
      <c r="Q110" s="76"/>
      <c r="R110" s="49"/>
      <c r="S110" s="9"/>
      <c r="T110" s="9"/>
      <c r="U110" s="76"/>
      <c r="V110" s="49"/>
      <c r="W110" s="9"/>
      <c r="X110" s="9"/>
      <c r="Y110" s="76"/>
      <c r="Z110" s="76"/>
      <c r="AA110" s="76"/>
      <c r="AB110" s="76"/>
    </row>
    <row r="111" ht="14.25" customHeight="1">
      <c r="B111" s="15">
        <v>142741.0</v>
      </c>
      <c r="C111" s="9" t="str">
        <f>VLOOKUP(B111,'FML March 2026'!E:F,2,false)</f>
        <v>OIL OLIVE EXTRA VIRGIN ESPLENDIDO DOURO  500 ML - PORTUGAL</v>
      </c>
      <c r="D111" s="9" t="str">
        <f>VLOOKUP(B111,'Unit of Measure ship March 2026'!A:C,3,false)</f>
        <v>BT/500ML</v>
      </c>
      <c r="G111" s="9"/>
      <c r="H111" s="9"/>
      <c r="J111" s="51"/>
      <c r="K111" s="9"/>
      <c r="L111" s="9"/>
      <c r="N111" s="49"/>
      <c r="O111" s="9"/>
      <c r="P111" s="9"/>
      <c r="Q111" s="76"/>
      <c r="R111" s="49"/>
      <c r="S111" s="9"/>
      <c r="T111" s="9"/>
      <c r="U111" s="76"/>
      <c r="V111" s="49"/>
      <c r="W111" s="9"/>
      <c r="X111" s="9"/>
      <c r="Y111" s="76"/>
      <c r="Z111" s="76"/>
      <c r="AA111" s="76"/>
      <c r="AB111" s="76"/>
    </row>
    <row r="112" ht="14.25" customHeight="1">
      <c r="B112" s="8">
        <v>16377.0</v>
      </c>
      <c r="C112" s="9" t="str">
        <f>VLOOKUP(B112,'FML March 2026'!E:F,2,false)</f>
        <v>OIL, 100% VEGETABLE SOYBEAN, DRY, 4/5 LT</v>
      </c>
      <c r="D112" s="9" t="str">
        <f>VLOOKUP(B112,'Unit of Measure ship March 2026'!A:C,3,false)</f>
        <v>C4/5LT</v>
      </c>
      <c r="G112" s="9"/>
      <c r="H112" s="9"/>
      <c r="J112" s="51"/>
      <c r="K112" s="9"/>
      <c r="L112" s="9"/>
      <c r="N112" s="49"/>
      <c r="O112" s="9"/>
      <c r="P112" s="9"/>
      <c r="Q112" s="76"/>
      <c r="R112" s="49"/>
      <c r="S112" s="9"/>
      <c r="T112" s="9"/>
      <c r="U112" s="76"/>
      <c r="V112" s="49"/>
      <c r="W112" s="9"/>
      <c r="X112" s="9"/>
      <c r="Y112" s="76"/>
      <c r="Z112" s="76"/>
      <c r="AA112" s="76"/>
      <c r="AB112" s="76"/>
    </row>
    <row r="113" ht="14.25" customHeight="1">
      <c r="B113" s="17">
        <v>10265.0</v>
      </c>
      <c r="C113" s="9" t="str">
        <f>VLOOKUP(B113,'FML March 2026'!E:F,2,false)</f>
        <v>OIL, FRYING, 100% SOYBEAN, TRANS FAT FREE, FLASHPOINT &gt;600F, DRY, 4/5 LT</v>
      </c>
      <c r="D113" s="9" t="str">
        <f>VLOOKUP(B113,'Unit of Measure ship March 2026'!A:C,3,false)</f>
        <v>CS4/5LT</v>
      </c>
      <c r="G113" s="9"/>
      <c r="H113" s="9"/>
      <c r="J113" s="51"/>
      <c r="K113" s="9"/>
      <c r="L113" s="9"/>
      <c r="N113" s="49"/>
      <c r="O113" s="9"/>
      <c r="P113" s="9"/>
      <c r="Q113" s="76"/>
      <c r="R113" s="49"/>
      <c r="S113" s="9"/>
      <c r="T113" s="9"/>
      <c r="U113" s="76"/>
      <c r="V113" s="49"/>
      <c r="W113" s="9"/>
      <c r="X113" s="9"/>
      <c r="Y113" s="76"/>
      <c r="Z113" s="76"/>
      <c r="AA113" s="76"/>
      <c r="AB113" s="76"/>
    </row>
    <row r="114" ht="14.25" customHeight="1">
      <c r="B114" s="8">
        <v>18644.0</v>
      </c>
      <c r="C114" s="9" t="str">
        <f>VLOOKUP(B114,'FML March 2026'!E:F,2,false)</f>
        <v>OLD BAY SEASONING 16 OZ MC CORMICK</v>
      </c>
      <c r="D114" s="9" t="str">
        <f>VLOOKUP(B114,'Unit of Measure ship March 2026'!A:C,3,false)</f>
        <v>TIN16/OZ</v>
      </c>
      <c r="G114" s="9"/>
      <c r="H114" s="9"/>
      <c r="J114" s="51"/>
      <c r="K114" s="9"/>
      <c r="L114" s="9"/>
      <c r="N114" s="49"/>
      <c r="O114" s="9"/>
      <c r="P114" s="9"/>
      <c r="Q114" s="76"/>
      <c r="R114" s="49"/>
      <c r="S114" s="9"/>
      <c r="T114" s="9"/>
      <c r="U114" s="76"/>
      <c r="V114" s="49"/>
      <c r="W114" s="9"/>
      <c r="X114" s="9"/>
      <c r="Y114" s="76"/>
      <c r="Z114" s="76"/>
      <c r="AA114" s="76"/>
      <c r="AB114" s="76"/>
    </row>
    <row r="115" ht="14.25" customHeight="1">
      <c r="B115" s="8">
        <v>52603.0</v>
      </c>
      <c r="C115" s="9" t="str">
        <f>VLOOKUP(B115,'FML March 2026'!E:F,2,false)</f>
        <v>OLIVE/CANOLA BLEND OIL</v>
      </c>
      <c r="D115" s="9" t="str">
        <f>VLOOKUP(B115,'Unit of Measure ship March 2026'!A:C,3,false)</f>
        <v>LT</v>
      </c>
      <c r="G115" s="9"/>
      <c r="H115" s="9"/>
      <c r="J115" s="51"/>
      <c r="K115" s="9"/>
      <c r="L115" s="9"/>
      <c r="N115" s="49"/>
      <c r="O115" s="9"/>
      <c r="P115" s="9"/>
      <c r="Q115" s="76"/>
      <c r="R115" s="49"/>
      <c r="S115" s="9"/>
      <c r="T115" s="9"/>
      <c r="U115" s="76"/>
      <c r="V115" s="49"/>
      <c r="W115" s="9"/>
      <c r="X115" s="9"/>
      <c r="Y115" s="76"/>
      <c r="Z115" s="76"/>
      <c r="AA115" s="76"/>
      <c r="AB115" s="76"/>
    </row>
    <row r="116" ht="14.25" customHeight="1">
      <c r="B116" s="8">
        <v>16431.0</v>
      </c>
      <c r="C116" s="9" t="str">
        <f>VLOOKUP(B116,'FML March 2026'!E:F,2,false)</f>
        <v>OLIVES KALAMATA PITTED AMBROSIA 16122 (8X5) (TURKEY)</v>
      </c>
      <c r="D116" s="9" t="str">
        <f>VLOOKUP(B116,'Unit of Measure ship March 2026'!A:C,3,false)</f>
        <v>CAN/2KG</v>
      </c>
      <c r="G116" s="9"/>
      <c r="H116" s="9"/>
      <c r="J116" s="51"/>
      <c r="K116" s="9"/>
      <c r="L116" s="9"/>
      <c r="N116" s="49"/>
      <c r="O116" s="9"/>
      <c r="P116" s="9"/>
      <c r="Q116" s="76"/>
      <c r="R116" s="49"/>
      <c r="S116" s="9"/>
      <c r="T116" s="9"/>
      <c r="U116" s="76"/>
      <c r="V116" s="49"/>
      <c r="W116" s="9"/>
      <c r="X116" s="9"/>
      <c r="Y116" s="76"/>
      <c r="Z116" s="76"/>
      <c r="AA116" s="76"/>
      <c r="AB116" s="76"/>
    </row>
    <row r="117" ht="14.25" customHeight="1">
      <c r="B117" s="18">
        <v>142069.0</v>
      </c>
      <c r="C117" s="9" t="str">
        <f>VLOOKUP(B117,'FML March 2026'!E:F,2,false)</f>
        <v>ONION MINCED BADIA</v>
      </c>
      <c r="D117" s="9" t="str">
        <f>VLOOKUP(B117,'Unit of Measure ship March 2026'!A:C,3,false)</f>
        <v>LBS</v>
      </c>
      <c r="G117" s="9"/>
      <c r="H117" s="9"/>
      <c r="J117" s="51"/>
      <c r="K117" s="9"/>
      <c r="L117" s="9"/>
      <c r="N117" s="49"/>
      <c r="O117" s="9"/>
      <c r="P117" s="9"/>
      <c r="Q117" s="76"/>
      <c r="R117" s="49"/>
      <c r="S117" s="9"/>
      <c r="T117" s="9"/>
      <c r="U117" s="76"/>
      <c r="V117" s="49"/>
      <c r="W117" s="9"/>
      <c r="X117" s="9"/>
      <c r="Y117" s="76"/>
      <c r="Z117" s="76"/>
      <c r="AA117" s="76"/>
      <c r="AB117" s="76"/>
    </row>
    <row r="118" ht="14.25" customHeight="1">
      <c r="B118" s="8">
        <v>62951.0</v>
      </c>
      <c r="C118" s="9" t="str">
        <f>VLOOKUP(B118,'FML March 2026'!E:F,2,false)</f>
        <v>ONION POWDER</v>
      </c>
      <c r="D118" s="9" t="str">
        <f>VLOOKUP(B118,'Unit of Measure ship March 2026'!A:C,3,false)</f>
        <v>LBS</v>
      </c>
      <c r="G118" s="9"/>
      <c r="H118" s="9"/>
      <c r="J118" s="51"/>
      <c r="K118" s="9"/>
      <c r="L118" s="9"/>
      <c r="N118" s="49"/>
      <c r="O118" s="9"/>
      <c r="Q118" s="76"/>
      <c r="R118" s="49"/>
      <c r="S118" s="9"/>
      <c r="U118" s="76"/>
      <c r="V118" s="49"/>
      <c r="W118" s="9"/>
      <c r="Y118" s="76"/>
      <c r="Z118" s="76"/>
      <c r="AA118" s="76"/>
      <c r="AB118" s="76"/>
    </row>
    <row r="119" ht="14.25" customHeight="1">
      <c r="B119" s="17">
        <v>15213.0</v>
      </c>
      <c r="C119" s="9" t="str">
        <f>VLOOKUP(B119,'FML March 2026'!E:F,2,false)</f>
        <v>ONIONS, PEARL, GRADE A, IQF, FZN, 1/10 KG</v>
      </c>
      <c r="D119" s="9" t="str">
        <f>VLOOKUP(B119,'Unit of Measure ship March 2026'!A:C,3,false)</f>
        <v>LBS</v>
      </c>
      <c r="G119" s="9"/>
      <c r="H119" s="9"/>
      <c r="J119" s="51"/>
      <c r="K119" s="9"/>
      <c r="L119" s="9"/>
      <c r="N119" s="49"/>
      <c r="O119" s="9"/>
      <c r="Q119" s="76"/>
      <c r="R119" s="49"/>
      <c r="S119" s="9"/>
      <c r="U119" s="76"/>
      <c r="V119" s="49"/>
      <c r="W119" s="9"/>
      <c r="Y119" s="76"/>
      <c r="Z119" s="76"/>
      <c r="AA119" s="76"/>
      <c r="AB119" s="76"/>
    </row>
    <row r="120" ht="14.25" customHeight="1">
      <c r="B120" s="17">
        <v>16268.0</v>
      </c>
      <c r="C120" s="9" t="str">
        <f>VLOOKUP(B120,'FML March 2026'!E:F,2,false)</f>
        <v>OREGANO LEAVES WHOLE D`ALLESANDRO/ SPICECO</v>
      </c>
      <c r="D120" s="9" t="str">
        <f>VLOOKUP(B120,'Unit of Measure ship March 2026'!A:C,3,false)</f>
        <v>PC/5OZ</v>
      </c>
      <c r="G120" s="9"/>
      <c r="H120" s="9"/>
      <c r="J120" s="51"/>
      <c r="K120" s="9"/>
      <c r="L120" s="9"/>
      <c r="N120" s="49"/>
      <c r="O120" s="9"/>
      <c r="Q120" s="76"/>
      <c r="R120" s="49"/>
      <c r="S120" s="9"/>
      <c r="U120" s="76"/>
      <c r="V120" s="49"/>
      <c r="W120" s="9"/>
      <c r="Y120" s="76"/>
      <c r="Z120" s="76"/>
      <c r="AA120" s="76"/>
      <c r="AB120" s="76"/>
    </row>
    <row r="121" ht="14.25" customHeight="1">
      <c r="B121" s="8">
        <v>106302.0</v>
      </c>
      <c r="C121" s="9" t="str">
        <f>VLOOKUP(B121,'FML March 2026'!E:F,2,false)</f>
        <v>OREGANO MEXICAN DRY CS1/LBS TERRA SPICE</v>
      </c>
      <c r="D121" s="9" t="str">
        <f>VLOOKUP(B121,'Unit of Measure ship March 2026'!A:C,3,false)</f>
        <v>OZ</v>
      </c>
      <c r="G121" s="9"/>
      <c r="H121" s="9"/>
      <c r="J121" s="51"/>
      <c r="K121" s="9"/>
      <c r="L121" s="9"/>
      <c r="N121" s="49"/>
      <c r="O121" s="9"/>
      <c r="Q121" s="76"/>
      <c r="R121" s="49"/>
      <c r="S121" s="9"/>
      <c r="U121" s="76"/>
      <c r="V121" s="49"/>
      <c r="W121" s="9"/>
      <c r="Y121" s="76"/>
      <c r="Z121" s="76"/>
      <c r="AA121" s="76"/>
      <c r="AB121" s="76"/>
    </row>
    <row r="122" ht="14.25" customHeight="1">
      <c r="B122" s="8">
        <v>109697.0</v>
      </c>
      <c r="C122" s="9" t="str">
        <f>VLOOKUP(B122,'FML March 2026'!E:F,2,false)</f>
        <v>PAPRIKA SMOKED PKG 26.46  OZ LA CHINATA</v>
      </c>
      <c r="D122" s="9" t="str">
        <f>VLOOKUP(B122,'Unit of Measure ship March 2026'!A:C,3,false)</f>
        <v>KG</v>
      </c>
      <c r="G122" s="9"/>
      <c r="H122" s="9"/>
      <c r="J122" s="51"/>
      <c r="K122" s="9"/>
      <c r="L122" s="9"/>
      <c r="N122" s="49"/>
      <c r="O122" s="9"/>
      <c r="Q122" s="76"/>
      <c r="R122" s="49"/>
      <c r="S122" s="9"/>
      <c r="U122" s="76"/>
      <c r="V122" s="49"/>
      <c r="W122" s="9"/>
      <c r="Y122" s="76"/>
      <c r="Z122" s="76"/>
      <c r="AA122" s="76"/>
      <c r="AB122" s="76"/>
    </row>
    <row r="123" ht="14.25" customHeight="1">
      <c r="B123" s="17">
        <v>16269.0</v>
      </c>
      <c r="C123" s="9" t="str">
        <f>VLOOKUP(B123,'FML March 2026'!E:F,2,false)</f>
        <v>PAPRIKA SPANISH MUNOZ Y PUJANTE/ D`ALLESANDRO/ SPICECO</v>
      </c>
      <c r="D123" s="9" t="str">
        <f>VLOOKUP(B123,'Unit of Measure ship March 2026'!A:C,3,false)</f>
        <v>LBS</v>
      </c>
      <c r="G123" s="9"/>
      <c r="H123" s="9"/>
      <c r="J123" s="51"/>
      <c r="K123" s="9"/>
      <c r="L123" s="9"/>
      <c r="N123" s="49"/>
      <c r="O123" s="9"/>
      <c r="Q123" s="76"/>
      <c r="R123" s="49"/>
      <c r="S123" s="9"/>
      <c r="U123" s="76"/>
      <c r="V123" s="49"/>
      <c r="W123" s="9"/>
      <c r="Y123" s="76"/>
      <c r="Z123" s="76"/>
      <c r="AA123" s="76"/>
      <c r="AB123" s="76"/>
    </row>
    <row r="124" ht="14.25" customHeight="1">
      <c r="B124" s="8">
        <v>18536.0</v>
      </c>
      <c r="C124" s="9" t="str">
        <f>VLOOKUP(B124,'FML March 2026'!E:F,2,false)</f>
        <v>PARMIGIANO, GRANA PADANO, QUARTERS</v>
      </c>
      <c r="D124" s="9" t="str">
        <f>VLOOKUP(B124,'Unit of Measure ship March 2026'!A:C,3,false)</f>
        <v>LBS</v>
      </c>
      <c r="G124" s="9"/>
      <c r="H124" s="9"/>
      <c r="J124" s="51"/>
      <c r="K124" s="9"/>
      <c r="L124" s="9"/>
      <c r="N124" s="49"/>
      <c r="O124" s="9"/>
      <c r="Q124" s="76"/>
      <c r="R124" s="49"/>
      <c r="S124" s="9"/>
      <c r="U124" s="76"/>
      <c r="V124" s="49"/>
      <c r="W124" s="9"/>
      <c r="Y124" s="76"/>
      <c r="Z124" s="76"/>
      <c r="AA124" s="76"/>
      <c r="AB124" s="76"/>
    </row>
    <row r="125" ht="14.25" customHeight="1">
      <c r="B125" s="8">
        <v>111802.0</v>
      </c>
      <c r="C125" s="9" t="str">
        <f>VLOOKUP(B125,'FML March 2026'!E:F,2,false)</f>
        <v>PASTA FREGOLA SARDA CS 12/500 GR CASA DEL GRANO</v>
      </c>
      <c r="D125" s="9" t="str">
        <f>VLOOKUP(B125,'Unit of Measure ship March 2026'!A:C,3,false)</f>
        <v>LBS</v>
      </c>
      <c r="G125" s="9"/>
      <c r="H125" s="9"/>
      <c r="J125" s="51"/>
      <c r="K125" s="9"/>
      <c r="L125" s="9"/>
      <c r="N125" s="49"/>
      <c r="O125" s="9"/>
      <c r="Q125" s="76"/>
      <c r="R125" s="49"/>
      <c r="S125" s="9"/>
      <c r="U125" s="76"/>
      <c r="V125" s="49"/>
      <c r="W125" s="9"/>
      <c r="Y125" s="76"/>
      <c r="Z125" s="76"/>
      <c r="AA125" s="76"/>
      <c r="AB125" s="76"/>
    </row>
    <row r="126" ht="14.25" customHeight="1">
      <c r="B126" s="8">
        <v>51211.0</v>
      </c>
      <c r="C126" s="9" t="str">
        <f>VLOOKUP(B126,'FML March 2026'!E:F,2,false)</f>
        <v>PASTE VANILLA FLAVOR 35 OZ PASTRY STAR #00057</v>
      </c>
      <c r="D126" s="9" t="str">
        <f>VLOOKUP(B126,'Unit of Measure ship March 2026'!A:C,3,false)</f>
        <v>BTL/35OZ</v>
      </c>
      <c r="G126" s="9"/>
      <c r="H126" s="9"/>
      <c r="J126" s="51"/>
      <c r="K126" s="9"/>
      <c r="L126" s="9"/>
      <c r="N126" s="49"/>
      <c r="O126" s="9"/>
      <c r="Q126" s="76"/>
      <c r="R126" s="49"/>
      <c r="S126" s="9"/>
      <c r="U126" s="76"/>
      <c r="V126" s="49"/>
      <c r="W126" s="9"/>
      <c r="Y126" s="76"/>
      <c r="Z126" s="76"/>
      <c r="AA126" s="76"/>
      <c r="AB126" s="76"/>
    </row>
    <row r="127" ht="14.25" customHeight="1">
      <c r="B127" s="8">
        <v>43805.0</v>
      </c>
      <c r="C127" s="9" t="str">
        <f>VLOOKUP(B127,'FML March 2026'!E:F,2,false)</f>
        <v>PEAS, GREEN, GRADE A, IQF, FZN, 1/10 KG</v>
      </c>
      <c r="D127" s="9" t="str">
        <f>VLOOKUP(B127,'Unit of Measure ship March 2026'!A:C,3,false)</f>
        <v>LBS</v>
      </c>
      <c r="G127" s="9"/>
      <c r="H127" s="9"/>
      <c r="J127" s="51"/>
      <c r="K127" s="9"/>
      <c r="L127" s="9"/>
      <c r="N127" s="49"/>
      <c r="O127" s="9"/>
      <c r="Q127" s="76"/>
      <c r="R127" s="49"/>
      <c r="S127" s="9"/>
      <c r="U127" s="76"/>
      <c r="V127" s="49"/>
      <c r="W127" s="9"/>
      <c r="Y127" s="76"/>
      <c r="Z127" s="76"/>
      <c r="AA127" s="76"/>
      <c r="AB127" s="76"/>
    </row>
    <row r="128" ht="14.25" customHeight="1">
      <c r="B128" s="8">
        <v>110941.0</v>
      </c>
      <c r="C128" s="9" t="str">
        <f>VLOOKUP(B128,'FML March 2026'!E:F,2,false)</f>
        <v>PECTIN APPLE CS6/1 LB CUISINE TECH</v>
      </c>
      <c r="D128" s="9" t="str">
        <f>VLOOKUP(B128,'Unit of Measure ship March 2026'!A:C,3,false)</f>
        <v>LBS</v>
      </c>
      <c r="G128" s="9"/>
      <c r="H128" s="9"/>
      <c r="J128" s="51"/>
      <c r="K128" s="9"/>
      <c r="L128" s="9"/>
      <c r="N128" s="49"/>
      <c r="O128" s="9"/>
      <c r="Q128" s="76"/>
      <c r="R128" s="49"/>
      <c r="S128" s="9"/>
      <c r="U128" s="76"/>
      <c r="V128" s="49"/>
      <c r="W128" s="9"/>
      <c r="Y128" s="76"/>
      <c r="Z128" s="76"/>
      <c r="AA128" s="76"/>
      <c r="AB128" s="76"/>
    </row>
    <row r="129" ht="14.25" customHeight="1">
      <c r="B129" s="8">
        <v>101193.0</v>
      </c>
      <c r="C129" s="9" t="str">
        <f>VLOOKUP(B129,'FML March 2026'!E:F,2,false)</f>
        <v>PECTINE 325 NH 95  1KG FRANCOIS L.,</v>
      </c>
      <c r="D129" s="9" t="str">
        <f>VLOOKUP(B129,'Unit of Measure ship March 2026'!A:C,3,false)</f>
        <v>KG</v>
      </c>
      <c r="G129" s="9"/>
      <c r="H129" s="9"/>
      <c r="N129" s="49"/>
      <c r="O129" s="9"/>
      <c r="Q129" s="76"/>
      <c r="R129" s="49"/>
      <c r="S129" s="9"/>
      <c r="U129" s="76"/>
      <c r="V129" s="49"/>
      <c r="W129" s="9"/>
      <c r="Y129" s="76"/>
      <c r="Z129" s="76"/>
      <c r="AA129" s="76"/>
      <c r="AB129" s="76"/>
    </row>
    <row r="130" ht="14.25" customHeight="1">
      <c r="B130" s="77">
        <v>108553.0</v>
      </c>
      <c r="C130" s="9" t="str">
        <f>VLOOKUP(B130,'FML March 2026'!E:F,2,false)</f>
        <v>PEPPER ARBOL  D'ALLESANDRO CS/5LB</v>
      </c>
      <c r="D130" s="9" t="str">
        <f>VLOOKUP(B130,'Unit of Measure ship March 2026'!A:C,3,false)</f>
        <v>KG</v>
      </c>
      <c r="G130" s="9"/>
      <c r="H130" s="9"/>
      <c r="N130" s="49"/>
      <c r="O130" s="9"/>
      <c r="Q130" s="76"/>
      <c r="R130" s="49"/>
      <c r="S130" s="9"/>
      <c r="U130" s="76"/>
      <c r="V130" s="49"/>
      <c r="W130" s="9"/>
      <c r="Y130" s="76"/>
      <c r="Z130" s="76"/>
      <c r="AA130" s="76"/>
      <c r="AB130" s="76"/>
    </row>
    <row r="131" ht="14.25" customHeight="1">
      <c r="B131" s="18">
        <v>33681.0</v>
      </c>
      <c r="C131" s="9" t="str">
        <f>VLOOKUP(B131,'FML March 2026'!E:F,2,false)</f>
        <v>PEPPER BLACK GROUND BADIA (USA )</v>
      </c>
      <c r="D131" s="9" t="str">
        <f>VLOOKUP(B131,'Unit of Measure ship March 2026'!A:C,3,false)</f>
        <v>LBS</v>
      </c>
      <c r="G131" s="9"/>
      <c r="H131" s="9"/>
      <c r="N131" s="49"/>
      <c r="O131" s="9"/>
      <c r="Q131" s="76"/>
      <c r="R131" s="49"/>
      <c r="S131" s="9"/>
      <c r="U131" s="76"/>
      <c r="V131" s="49"/>
      <c r="W131" s="9"/>
      <c r="Y131" s="76"/>
      <c r="Z131" s="76"/>
      <c r="AA131" s="76"/>
      <c r="AB131" s="76"/>
    </row>
    <row r="132" ht="14.25" customHeight="1">
      <c r="B132" s="8">
        <v>33681.0</v>
      </c>
      <c r="C132" s="9" t="str">
        <f>VLOOKUP(B132,'FML March 2026'!E:F,2,false)</f>
        <v>PEPPER BLACK GROUND BADIA (USA )</v>
      </c>
      <c r="D132" s="9" t="str">
        <f>VLOOKUP(B132,'Unit of Measure ship March 2026'!A:C,3,false)</f>
        <v>LBS</v>
      </c>
      <c r="G132" s="9"/>
      <c r="H132" s="9"/>
      <c r="N132" s="49"/>
      <c r="O132" s="9"/>
      <c r="Q132" s="76"/>
      <c r="R132" s="49"/>
      <c r="S132" s="9"/>
      <c r="U132" s="76"/>
      <c r="V132" s="49"/>
      <c r="W132" s="9"/>
      <c r="Y132" s="76"/>
      <c r="Z132" s="76"/>
      <c r="AA132" s="76"/>
      <c r="AB132" s="76"/>
    </row>
    <row r="133" ht="14.25" customHeight="1">
      <c r="B133" s="17">
        <v>16302.0</v>
      </c>
      <c r="C133" s="9" t="str">
        <f>VLOOKUP(B133,'FML March 2026'!E:F,2,false)</f>
        <v>PEPPER CAYENNE GROUND BADIA (USA )</v>
      </c>
      <c r="D133" s="9" t="str">
        <f>VLOOKUP(B133,'Unit of Measure ship March 2026'!A:C,3,false)</f>
        <v>LBS</v>
      </c>
      <c r="G133" s="9"/>
      <c r="H133" s="9"/>
      <c r="N133" s="49"/>
      <c r="O133" s="9"/>
      <c r="Q133" s="76"/>
      <c r="R133" s="49"/>
      <c r="S133" s="9"/>
      <c r="U133" s="76"/>
      <c r="V133" s="49"/>
      <c r="W133" s="9"/>
      <c r="Y133" s="76"/>
      <c r="Z133" s="76"/>
      <c r="AA133" s="76"/>
      <c r="AB133" s="76"/>
    </row>
    <row r="134" ht="15.75" customHeight="1">
      <c r="B134" s="8">
        <v>111696.0</v>
      </c>
      <c r="C134" s="9" t="str">
        <f>VLOOKUP(B134,'FML March 2026'!E:F,2,false)</f>
        <v>PEPPER CHILI DRIED MORITA  PKG1/LB WOODLAND FARMS</v>
      </c>
      <c r="D134" s="9" t="str">
        <f>VLOOKUP(B134,'Unit of Measure ship March 2026'!A:C,3,false)</f>
        <v>LBS</v>
      </c>
      <c r="N134" s="49"/>
      <c r="O134" s="9"/>
      <c r="Q134" s="76"/>
      <c r="R134" s="49"/>
      <c r="S134" s="9"/>
      <c r="U134" s="76"/>
      <c r="V134" s="49"/>
      <c r="W134" s="9"/>
      <c r="Y134" s="76"/>
      <c r="Z134" s="76"/>
      <c r="AA134" s="76"/>
      <c r="AB134" s="76"/>
    </row>
    <row r="135" ht="15.75" customHeight="1">
      <c r="B135" s="8">
        <v>111701.0</v>
      </c>
      <c r="C135" s="9" t="str">
        <f>VLOOKUP(B135,'FML March 2026'!E:F,2,false)</f>
        <v>PEPPER GUAJILLO  DRIED CS5/LB MI BARRIO</v>
      </c>
      <c r="D135" s="9" t="str">
        <f>VLOOKUP(B135,'Unit of Measure ship March 2026'!A:C,3,false)</f>
        <v>LBS</v>
      </c>
      <c r="N135" s="49"/>
      <c r="O135" s="9"/>
      <c r="Q135" s="76"/>
      <c r="R135" s="49"/>
      <c r="S135" s="9"/>
      <c r="U135" s="76"/>
      <c r="V135" s="49"/>
      <c r="W135" s="9"/>
      <c r="Y135" s="76"/>
      <c r="Z135" s="76"/>
      <c r="AA135" s="76"/>
      <c r="AB135" s="76"/>
    </row>
    <row r="136" ht="15.75" customHeight="1">
      <c r="B136" s="8">
        <v>77928.0</v>
      </c>
      <c r="C136" s="9" t="str">
        <f>VLOOKUP(B136,'FML March 2026'!E:F,2,false)</f>
        <v>PEPPER PEPPADEW RED CHERRY PEPPER WHOLE SWEET PIQUANTE 2/6.5 LB</v>
      </c>
      <c r="D136" s="9" t="str">
        <f>VLOOKUP(B136,'Unit of Measure ship March 2026'!A:C,3,false)</f>
        <v>CN/6.5LB</v>
      </c>
      <c r="N136" s="49"/>
      <c r="O136" s="9"/>
      <c r="Q136" s="76"/>
      <c r="R136" s="49"/>
      <c r="S136" s="9"/>
      <c r="U136" s="76"/>
      <c r="V136" s="49"/>
      <c r="W136" s="9"/>
      <c r="Y136" s="76"/>
      <c r="Z136" s="76"/>
      <c r="AA136" s="76"/>
      <c r="AB136" s="76"/>
    </row>
    <row r="137" ht="15.75" customHeight="1">
      <c r="B137" s="17">
        <v>16272.0</v>
      </c>
      <c r="C137" s="9" t="str">
        <f>VLOOKUP(B137,'FML March 2026'!E:F,2,false)</f>
        <v>PEPPER WHITE GROUND D`ALLESANDRO/ SPICECO</v>
      </c>
      <c r="D137" s="9" t="str">
        <f>VLOOKUP(B137,'Unit of Measure ship March 2026'!A:C,3,false)</f>
        <v>LBS</v>
      </c>
      <c r="N137" s="49"/>
      <c r="O137" s="9"/>
      <c r="Q137" s="76"/>
      <c r="R137" s="49"/>
      <c r="S137" s="9"/>
      <c r="U137" s="76"/>
      <c r="V137" s="49"/>
      <c r="W137" s="9"/>
      <c r="Y137" s="76"/>
      <c r="Z137" s="76"/>
      <c r="AA137" s="76"/>
      <c r="AB137" s="76"/>
    </row>
    <row r="138" ht="15.75" customHeight="1">
      <c r="B138" s="17">
        <v>16314.0</v>
      </c>
      <c r="C138" s="9" t="str">
        <f>VLOOKUP(B138,'FML March 2026'!E:F,2,false)</f>
        <v>PEPPERCORN PINK WHOLE</v>
      </c>
      <c r="D138" s="9" t="str">
        <f>VLOOKUP(B138,'Unit of Measure ship March 2026'!A:C,3,false)</f>
        <v>LBS</v>
      </c>
      <c r="N138" s="49"/>
      <c r="O138" s="9"/>
      <c r="Q138" s="76"/>
      <c r="R138" s="49"/>
      <c r="S138" s="9"/>
      <c r="U138" s="76"/>
      <c r="V138" s="49"/>
      <c r="W138" s="9"/>
      <c r="Y138" s="76"/>
      <c r="Z138" s="76"/>
      <c r="AA138" s="76"/>
      <c r="AB138" s="76"/>
    </row>
    <row r="139" ht="15.75" customHeight="1">
      <c r="B139" s="17">
        <v>16305.0</v>
      </c>
      <c r="C139" s="9" t="str">
        <f>VLOOKUP(B139,'FML March 2026'!E:F,2,false)</f>
        <v>PEPPERCORN WHITE WHOLE D`ALLESANDRO/ SPICECO</v>
      </c>
      <c r="D139" s="9" t="str">
        <f>VLOOKUP(B139,'Unit of Measure ship March 2026'!A:C,3,false)</f>
        <v>LBS</v>
      </c>
      <c r="N139" s="49"/>
      <c r="O139" s="9"/>
      <c r="Q139" s="76"/>
      <c r="R139" s="49"/>
      <c r="S139" s="9"/>
      <c r="U139" s="76"/>
      <c r="V139" s="49"/>
      <c r="W139" s="9"/>
      <c r="Y139" s="76"/>
      <c r="Z139" s="76"/>
      <c r="AA139" s="76"/>
      <c r="AB139" s="76"/>
    </row>
    <row r="140" ht="15.75" customHeight="1">
      <c r="B140" s="77">
        <v>16300.0</v>
      </c>
      <c r="C140" s="9" t="str">
        <f>VLOOKUP(B140,'FML March 2026'!E:F,2,false)</f>
        <v>PEPPERCORN WHOLE GREEN IN WATER, TINNED, ROLAND/ PACKER</v>
      </c>
      <c r="D140" s="9" t="str">
        <f>VLOOKUP(B140,'Unit of Measure ship March 2026'!A:C,3,false)</f>
        <v>CN/3.5OZ</v>
      </c>
      <c r="N140" s="49"/>
      <c r="O140" s="9"/>
      <c r="Q140" s="76"/>
      <c r="R140" s="49"/>
      <c r="S140" s="9"/>
      <c r="U140" s="76"/>
      <c r="V140" s="49"/>
      <c r="W140" s="9"/>
      <c r="Y140" s="76"/>
      <c r="Z140" s="76"/>
      <c r="AA140" s="76"/>
      <c r="AB140" s="76"/>
    </row>
    <row r="141" ht="15.75" customHeight="1">
      <c r="B141" s="17">
        <v>16285.0</v>
      </c>
      <c r="C141" s="9" t="str">
        <f>VLOOKUP(B141,'FML March 2026'!E:F,2,false)</f>
        <v>PEPPERCORN, BLACK, WHOLE, DRY, 6/420 G</v>
      </c>
      <c r="D141" s="9" t="str">
        <f>VLOOKUP(B141,'Unit of Measure ship March 2026'!A:C,3,false)</f>
        <v>LBS</v>
      </c>
      <c r="N141" s="49"/>
      <c r="O141" s="9"/>
      <c r="Q141" s="76"/>
      <c r="R141" s="49"/>
      <c r="S141" s="9"/>
      <c r="U141" s="76"/>
      <c r="V141" s="49"/>
      <c r="W141" s="9"/>
      <c r="Y141" s="76"/>
      <c r="Z141" s="76"/>
      <c r="AA141" s="76"/>
      <c r="AB141" s="76"/>
    </row>
    <row r="142" ht="15.75" customHeight="1">
      <c r="B142" s="8">
        <v>16384.0</v>
      </c>
      <c r="C142" s="9" t="str">
        <f>VLOOKUP(B142,'FML March 2026'!E:F,2,false)</f>
        <v>PEPPERS JALAPENO WHOLE 6/10 CASA DIVA/ GLOBAL (PERU)</v>
      </c>
      <c r="D142" s="9" t="str">
        <f>VLOOKUP(B142,'Unit of Measure ship March 2026'!A:C,3,false)</f>
        <v>CN/6.5LB</v>
      </c>
      <c r="N142" s="49"/>
      <c r="O142" s="9"/>
      <c r="Q142" s="76"/>
      <c r="R142" s="49"/>
      <c r="S142" s="9"/>
      <c r="U142" s="76"/>
      <c r="V142" s="49"/>
      <c r="W142" s="9"/>
      <c r="Y142" s="76"/>
      <c r="Z142" s="76"/>
      <c r="AA142" s="76"/>
      <c r="AB142" s="76"/>
    </row>
    <row r="143" ht="15.75" customHeight="1">
      <c r="B143" s="8">
        <v>16392.0</v>
      </c>
      <c r="C143" s="9" t="str">
        <f>VLOOKUP(B143,'FML March 2026'!E:F,2,false)</f>
        <v>PEPPERS RED ROASTED 6X#10</v>
      </c>
      <c r="D143" s="9" t="str">
        <f>VLOOKUP(B143,'Unit of Measure ship March 2026'!A:C,3,false)</f>
        <v>TIN/3KG</v>
      </c>
      <c r="N143" s="49"/>
      <c r="O143" s="9"/>
      <c r="Q143" s="76"/>
      <c r="R143" s="49"/>
      <c r="S143" s="9"/>
      <c r="U143" s="76"/>
      <c r="V143" s="49"/>
      <c r="W143" s="9"/>
      <c r="Y143" s="76"/>
      <c r="Z143" s="76"/>
      <c r="AA143" s="76"/>
      <c r="AB143" s="76"/>
    </row>
    <row r="144" ht="15.75" customHeight="1">
      <c r="B144" s="8">
        <v>16408.0</v>
      </c>
      <c r="C144" s="9" t="str">
        <f>VLOOKUP(B144,'FML March 2026'!E:F,2,false)</f>
        <v>PICKLE, CORNICHON/GHERKIN</v>
      </c>
      <c r="D144" s="9" t="str">
        <f>VLOOKUP(B144,'Unit of Measure ship March 2026'!A:C,3,false)</f>
        <v>KG</v>
      </c>
      <c r="N144" s="49"/>
      <c r="O144" s="9"/>
      <c r="Q144" s="76"/>
      <c r="R144" s="49"/>
      <c r="S144" s="9"/>
      <c r="U144" s="76"/>
      <c r="V144" s="49"/>
      <c r="W144" s="9"/>
      <c r="Y144" s="76"/>
      <c r="Z144" s="76"/>
      <c r="AA144" s="76"/>
      <c r="AB144" s="76"/>
    </row>
    <row r="145" ht="15.75" customHeight="1">
      <c r="B145" s="8">
        <v>47893.0</v>
      </c>
      <c r="C145" s="9" t="str">
        <f>VLOOKUP(B145,'FML March 2026'!E:F,2,false)</f>
        <v>PICKLES KOSHER DRY B&amp;G (USA)</v>
      </c>
      <c r="D145" s="9" t="str">
        <f>VLOOKUP(B145,'Unit of Measure ship March 2026'!A:C,3,false)</f>
        <v>GAL</v>
      </c>
      <c r="N145" s="49"/>
      <c r="O145" s="9"/>
      <c r="Q145" s="76"/>
      <c r="R145" s="49"/>
      <c r="S145" s="9"/>
      <c r="U145" s="76"/>
      <c r="V145" s="49"/>
      <c r="W145" s="9"/>
      <c r="Y145" s="76"/>
      <c r="Z145" s="76"/>
      <c r="AA145" s="76"/>
      <c r="AB145" s="76"/>
    </row>
    <row r="146" ht="15.75" customHeight="1">
      <c r="B146" s="8">
        <v>109709.0</v>
      </c>
      <c r="C146" s="9" t="str">
        <f>VLOOKUP(B146,'FML March 2026'!E:F,2,false)</f>
        <v>PIERRE POIVRE PEPPER (LA BOITE A EPICE BRAND)</v>
      </c>
      <c r="D146" s="9" t="str">
        <f>VLOOKUP(B146,'Unit of Measure ship March 2026'!A:C,3,false)</f>
        <v>UNT/16OZ</v>
      </c>
      <c r="N146" s="49"/>
      <c r="O146" s="9"/>
      <c r="Q146" s="76"/>
      <c r="R146" s="49"/>
      <c r="S146" s="9"/>
      <c r="U146" s="76"/>
      <c r="V146" s="49"/>
      <c r="W146" s="9"/>
      <c r="Y146" s="76"/>
      <c r="Z146" s="76"/>
      <c r="AA146" s="76"/>
      <c r="AB146" s="76"/>
    </row>
    <row r="147" ht="15.75" customHeight="1">
      <c r="B147" s="8">
        <v>16422.0</v>
      </c>
      <c r="C147" s="9" t="str">
        <f>VLOOKUP(B147,'FML March 2026'!E:F,2,false)</f>
        <v>PINE NUTS WHOLE</v>
      </c>
      <c r="D147" s="9" t="str">
        <f>VLOOKUP(B147,'Unit of Measure ship March 2026'!A:C,3,false)</f>
        <v>LBS</v>
      </c>
      <c r="N147" s="49"/>
      <c r="O147" s="9"/>
      <c r="Q147" s="76"/>
      <c r="R147" s="49"/>
      <c r="S147" s="9"/>
      <c r="U147" s="76"/>
      <c r="V147" s="49"/>
      <c r="W147" s="9"/>
      <c r="Y147" s="76"/>
      <c r="Z147" s="76"/>
      <c r="AA147" s="76"/>
      <c r="AB147" s="76"/>
    </row>
    <row r="148" ht="15.75" customHeight="1">
      <c r="B148" s="8">
        <v>53666.0</v>
      </c>
      <c r="C148" s="9" t="str">
        <f>VLOOKUP(B148,'FML March 2026'!E:F,2,false)</f>
        <v>PIQUILLO PIMIENTOS WHOLE ROASTED &amp; PEELED 6/#10</v>
      </c>
      <c r="D148" s="9" t="str">
        <f>VLOOKUP(B148,'Unit of Measure ship March 2026'!A:C,3,false)</f>
        <v>CAN/3KG</v>
      </c>
      <c r="N148" s="49"/>
      <c r="O148" s="9"/>
      <c r="Q148" s="76"/>
      <c r="R148" s="49"/>
      <c r="S148" s="9"/>
      <c r="U148" s="76"/>
      <c r="V148" s="49"/>
      <c r="W148" s="9"/>
      <c r="Y148" s="76"/>
      <c r="Z148" s="76"/>
      <c r="AA148" s="76"/>
      <c r="AB148" s="76"/>
    </row>
    <row r="149" ht="15.75" customHeight="1">
      <c r="B149" s="17">
        <v>14967.0</v>
      </c>
      <c r="C149" s="9" t="str">
        <f>VLOOKUP(B149,'FML March 2026'!E:F,2,false)</f>
        <v>PLAIN PLANT BASED YOGURT (BULK PACK)</v>
      </c>
      <c r="D149" s="9" t="str">
        <f>VLOOKUP(B149,'Unit of Measure ship March 2026'!A:C,3,false)</f>
        <v>PC24/OZ</v>
      </c>
      <c r="N149" s="49"/>
      <c r="O149" s="9"/>
      <c r="Q149" s="76"/>
      <c r="R149" s="49"/>
      <c r="S149" s="9"/>
      <c r="U149" s="76"/>
      <c r="V149" s="49"/>
      <c r="W149" s="9"/>
      <c r="Y149" s="76"/>
      <c r="Z149" s="76"/>
      <c r="AA149" s="76"/>
      <c r="AB149" s="76"/>
    </row>
    <row r="150" ht="15.75" customHeight="1">
      <c r="B150" s="17">
        <v>16245.0</v>
      </c>
      <c r="C150" s="9" t="str">
        <f>VLOOKUP(B150,'FML March 2026'!E:F,2,false)</f>
        <v>POLENTA MEDIUM</v>
      </c>
      <c r="D150" s="9" t="str">
        <f>VLOOKUP(B150,'Unit of Measure ship March 2026'!A:C,3,false)</f>
        <v>LBS</v>
      </c>
      <c r="N150" s="49"/>
      <c r="O150" s="9"/>
      <c r="Q150" s="76"/>
      <c r="R150" s="49"/>
      <c r="S150" s="9"/>
      <c r="U150" s="76"/>
      <c r="V150" s="49"/>
      <c r="W150" s="9"/>
      <c r="Y150" s="76"/>
      <c r="Z150" s="76"/>
      <c r="AA150" s="76"/>
      <c r="AB150" s="76"/>
    </row>
    <row r="151" ht="15.75" customHeight="1">
      <c r="B151" s="77">
        <v>110935.0</v>
      </c>
      <c r="C151" s="9" t="str">
        <f>VLOOKUP(B151,'FML March 2026'!E:F,2,false)</f>
        <v>PORCINI POWDER</v>
      </c>
      <c r="D151" s="9" t="str">
        <f>VLOOKUP(B151,'Unit of Measure ship March 2026'!A:C,3,false)</f>
        <v>LBS</v>
      </c>
      <c r="N151" s="49"/>
      <c r="O151" s="9"/>
      <c r="Q151" s="76"/>
      <c r="R151" s="49"/>
      <c r="S151" s="9"/>
      <c r="U151" s="76"/>
      <c r="V151" s="49"/>
      <c r="W151" s="9"/>
      <c r="Y151" s="76"/>
      <c r="Z151" s="76"/>
      <c r="AA151" s="76"/>
      <c r="AB151" s="76"/>
    </row>
    <row r="152" ht="15.75" customHeight="1">
      <c r="B152" s="8">
        <v>15897.0</v>
      </c>
      <c r="C152" s="9" t="str">
        <f>VLOOKUP(B152,'FML March 2026'!E:F,2,false)</f>
        <v>PUMPKIN SEEDS WHOLE SHELLED RAW 10 LB HIALEAH/ D`ALLESANDRO</v>
      </c>
      <c r="D152" s="9" t="str">
        <f>VLOOKUP(B152,'Unit of Measure ship March 2026'!A:C,3,false)</f>
        <v>LBS</v>
      </c>
      <c r="N152" s="49"/>
      <c r="O152" s="9"/>
      <c r="Q152" s="76"/>
      <c r="R152" s="49"/>
      <c r="S152" s="9"/>
      <c r="U152" s="76"/>
      <c r="V152" s="49"/>
      <c r="W152" s="9"/>
      <c r="Y152" s="76"/>
      <c r="Z152" s="76"/>
      <c r="AA152" s="76"/>
      <c r="AB152" s="76"/>
    </row>
    <row r="153" ht="15.75" customHeight="1">
      <c r="B153" s="8">
        <v>15805.0</v>
      </c>
      <c r="C153" s="9" t="str">
        <f>VLOOKUP(B153,'FML March 2026'!E:F,2,false)</f>
        <v>RAISINS GOLDEN SEEDLESS</v>
      </c>
      <c r="D153" s="9" t="str">
        <f>VLOOKUP(B153,'Unit of Measure ship March 2026'!A:C,3,false)</f>
        <v>LBS</v>
      </c>
      <c r="N153" s="49"/>
      <c r="O153" s="9"/>
      <c r="Q153" s="76"/>
      <c r="R153" s="49"/>
      <c r="S153" s="9"/>
      <c r="U153" s="76"/>
      <c r="V153" s="49"/>
      <c r="W153" s="9"/>
      <c r="Y153" s="76"/>
      <c r="Z153" s="76"/>
      <c r="AA153" s="76"/>
      <c r="AB153" s="76"/>
    </row>
    <row r="154" ht="15.75" customHeight="1">
      <c r="B154" s="8">
        <v>16234.0</v>
      </c>
      <c r="C154" s="9" t="str">
        <f>VLOOKUP(B154,'FML March 2026'!E:F,2,false)</f>
        <v>RICE BROWN 25 LB PRODUCERS/ PAR EXCELLENCE</v>
      </c>
      <c r="D154" s="9" t="str">
        <f>VLOOKUP(B154,'Unit of Measure ship March 2026'!A:C,3,false)</f>
        <v>LBS</v>
      </c>
      <c r="N154" s="49"/>
      <c r="O154" s="9"/>
      <c r="Q154" s="76"/>
      <c r="R154" s="49"/>
      <c r="S154" s="9"/>
      <c r="U154" s="76"/>
      <c r="V154" s="49"/>
      <c r="W154" s="9"/>
      <c r="Y154" s="76"/>
      <c r="Z154" s="76"/>
      <c r="AA154" s="76"/>
      <c r="AB154" s="76"/>
    </row>
    <row r="155" ht="15.75" customHeight="1">
      <c r="B155" s="77">
        <v>142891.0</v>
      </c>
      <c r="C155" s="9" t="str">
        <f>VLOOKUP(B155,'FML March 2026'!E:F,2,false)</f>
        <v>SALT CURING PRAGUE #1 2.5 LB HOOSIER HILL</v>
      </c>
      <c r="D155" s="9" t="str">
        <f>VLOOKUP(B155,'Unit of Measure ship March 2026'!A:C,3,false)</f>
        <v>LBS</v>
      </c>
      <c r="N155" s="49"/>
      <c r="O155" s="9"/>
      <c r="Q155" s="76"/>
      <c r="R155" s="49"/>
      <c r="S155" s="9"/>
      <c r="U155" s="76"/>
      <c r="V155" s="49"/>
      <c r="W155" s="9"/>
      <c r="Y155" s="76"/>
      <c r="Z155" s="76"/>
      <c r="AA155" s="76"/>
      <c r="AB155" s="76"/>
    </row>
    <row r="156" ht="15.75" customHeight="1">
      <c r="B156" s="17">
        <v>16307.0</v>
      </c>
      <c r="C156" s="9" t="str">
        <f>VLOOKUP(B156,'FML March 2026'!E:F,2,false)</f>
        <v>SALT KOSHER GRANULATED</v>
      </c>
      <c r="D156" s="9" t="str">
        <f>VLOOKUP(B156,'Unit of Measure ship March 2026'!A:C,3,false)</f>
        <v>LBS</v>
      </c>
      <c r="N156" s="49"/>
      <c r="O156" s="9"/>
      <c r="Q156" s="76"/>
      <c r="R156" s="49"/>
      <c r="S156" s="9"/>
      <c r="U156" s="76"/>
      <c r="V156" s="49"/>
      <c r="W156" s="9"/>
      <c r="Y156" s="76"/>
      <c r="Z156" s="76"/>
      <c r="AA156" s="76"/>
      <c r="AB156" s="76"/>
    </row>
    <row r="157" ht="15.75" customHeight="1">
      <c r="B157" s="8">
        <v>20880.0</v>
      </c>
      <c r="C157" s="9" t="str">
        <f>VLOOKUP(B157,'FML March 2026'!E:F,2,false)</f>
        <v>SALT SEA MALDON</v>
      </c>
      <c r="D157" s="9" t="str">
        <f>VLOOKUP(B157,'Unit of Measure ship March 2026'!A:C,3,false)</f>
        <v>LBS</v>
      </c>
      <c r="N157" s="49"/>
      <c r="O157" s="9"/>
      <c r="Q157" s="76"/>
      <c r="R157" s="49"/>
      <c r="S157" s="9"/>
      <c r="U157" s="76"/>
      <c r="V157" s="49"/>
      <c r="W157" s="9"/>
      <c r="Y157" s="76"/>
      <c r="Z157" s="76"/>
      <c r="AA157" s="76"/>
      <c r="AB157" s="76"/>
    </row>
    <row r="158" ht="15.75" customHeight="1">
      <c r="B158" s="77">
        <v>16357.0</v>
      </c>
      <c r="C158" s="9" t="str">
        <f>VLOOKUP(B158,'FML March 2026'!E:F,2,false)</f>
        <v>SAUCE TABASCO RED  2 OZ</v>
      </c>
      <c r="D158" s="9" t="str">
        <f>VLOOKUP(B158,'Unit of Measure ship March 2026'!A:C,3,false)</f>
        <v>BTL/2OZ</v>
      </c>
      <c r="N158" s="49"/>
      <c r="O158" s="9"/>
      <c r="Q158" s="76"/>
      <c r="R158" s="49"/>
      <c r="S158" s="9"/>
      <c r="U158" s="76"/>
      <c r="V158" s="49"/>
      <c r="W158" s="9"/>
      <c r="Y158" s="76"/>
      <c r="Z158" s="76"/>
      <c r="AA158" s="76"/>
      <c r="AB158" s="76"/>
    </row>
    <row r="159" ht="15.75" customHeight="1">
      <c r="B159" s="17">
        <v>11260.0</v>
      </c>
      <c r="C159" s="9" t="str">
        <f>VLOOKUP(B159,'FML March 2026'!E:F,2,false)</f>
        <v>SESAME SEED BLACK</v>
      </c>
      <c r="D159" s="9" t="str">
        <f>VLOOKUP(B159,'Unit of Measure ship March 2026'!A:C,3,false)</f>
        <v>LBS</v>
      </c>
      <c r="N159" s="49"/>
      <c r="O159" s="9"/>
      <c r="Q159" s="76"/>
      <c r="R159" s="49"/>
      <c r="S159" s="9"/>
      <c r="U159" s="76"/>
      <c r="V159" s="49"/>
      <c r="W159" s="9"/>
      <c r="Y159" s="76"/>
      <c r="Z159" s="76"/>
      <c r="AA159" s="76"/>
      <c r="AB159" s="76"/>
    </row>
    <row r="160" ht="15.75" customHeight="1">
      <c r="A160" s="76"/>
      <c r="B160" s="17">
        <v>15818.0</v>
      </c>
      <c r="C160" s="9" t="str">
        <f>VLOOKUP(B160,'FML March 2026'!E:F,2,false)</f>
        <v>SESAME SEEDS WHITE BADIA (USA )</v>
      </c>
      <c r="D160" s="9" t="str">
        <f>VLOOKUP(B160,'Unit of Measure ship March 2026'!A:C,3,false)</f>
        <v>LBS</v>
      </c>
      <c r="N160" s="49"/>
      <c r="O160" s="9"/>
      <c r="Q160" s="76"/>
      <c r="R160" s="49"/>
      <c r="S160" s="9"/>
      <c r="U160" s="76"/>
      <c r="V160" s="49"/>
      <c r="W160" s="9"/>
      <c r="Y160" s="76"/>
      <c r="Z160" s="76"/>
      <c r="AA160" s="76"/>
      <c r="AB160" s="76"/>
    </row>
    <row r="161" ht="15.75" customHeight="1">
      <c r="B161" s="8">
        <v>109695.0</v>
      </c>
      <c r="C161" s="9" t="str">
        <f>VLOOKUP(B161,'FML March 2026'!E:F,2,false)</f>
        <v>SMOKED SALT MALDON</v>
      </c>
      <c r="D161" s="9" t="str">
        <f>VLOOKUP(B161,'Unit of Measure ship March 2026'!A:C,3,false)</f>
        <v>LBS</v>
      </c>
      <c r="N161" s="49"/>
      <c r="O161" s="9"/>
      <c r="Q161" s="76"/>
      <c r="R161" s="49"/>
      <c r="S161" s="9"/>
      <c r="U161" s="76"/>
      <c r="V161" s="49"/>
      <c r="W161" s="9"/>
      <c r="Y161" s="76"/>
      <c r="Z161" s="76"/>
      <c r="AA161" s="76"/>
      <c r="AB161" s="76"/>
    </row>
    <row r="162" ht="15.75" customHeight="1">
      <c r="B162" s="8">
        <v>109936.0</v>
      </c>
      <c r="C162" s="9" t="str">
        <f>VLOOKUP(B162,'FML March 2026'!E:F,2,false)</f>
        <v>SOUR CREAM ALTERNATIVE VEGAN PLANT PERFECT</v>
      </c>
      <c r="D162" s="9" t="str">
        <f>VLOOKUP(B162,'Unit of Measure ship March 2026'!A:C,3,false)</f>
        <v>LBS</v>
      </c>
      <c r="O162" s="9"/>
      <c r="Q162" s="76"/>
      <c r="S162" s="9"/>
      <c r="U162" s="76"/>
      <c r="W162" s="9"/>
      <c r="Y162" s="76"/>
      <c r="Z162" s="76"/>
      <c r="AA162" s="76"/>
      <c r="AB162" s="76"/>
    </row>
    <row r="163" ht="15.75" customHeight="1">
      <c r="B163" s="8">
        <v>111016.0</v>
      </c>
      <c r="C163" s="9" t="str">
        <f>VLOOKUP(B163,'FML March 2026'!E:F,2,false)</f>
        <v>SOY LECITHIN PKG 1 LB CUISINE TECH</v>
      </c>
      <c r="D163" s="9" t="str">
        <f>VLOOKUP(B163,'Unit of Measure ship March 2026'!A:C,3,false)</f>
        <v>PK500GR</v>
      </c>
      <c r="O163" s="9"/>
      <c r="Q163" s="76"/>
      <c r="S163" s="9"/>
      <c r="U163" s="76"/>
      <c r="W163" s="9"/>
      <c r="Y163" s="76"/>
      <c r="Z163" s="76"/>
      <c r="AA163" s="76"/>
      <c r="AB163" s="76"/>
    </row>
    <row r="164" ht="15.75" customHeight="1">
      <c r="B164" s="8">
        <v>109689.0</v>
      </c>
      <c r="C164" s="9" t="str">
        <f>VLOOKUP(B164,'FML March 2026'!E:F,2,false)</f>
        <v>SPICE BLEND REIMS LA BOITE</v>
      </c>
      <c r="D164" s="9" t="str">
        <f>VLOOKUP(B164,'Unit of Measure ship March 2026'!A:C,3,false)</f>
        <v>PKG/1LB</v>
      </c>
      <c r="O164" s="9"/>
      <c r="Q164" s="76"/>
      <c r="S164" s="9"/>
      <c r="U164" s="76"/>
      <c r="W164" s="9"/>
      <c r="Y164" s="76"/>
      <c r="Z164" s="76"/>
      <c r="AA164" s="76"/>
      <c r="AB164" s="76"/>
    </row>
    <row r="165" ht="15.75" customHeight="1">
      <c r="B165" s="8">
        <v>20879.0</v>
      </c>
      <c r="C165" s="9" t="str">
        <f>VLOOKUP(B165,'FML March 2026'!E:F,2,false)</f>
        <v>SRIRACHA, HOT CHILI SAUCE, HUY FONG, 28OZ</v>
      </c>
      <c r="D165" s="9" t="str">
        <f>VLOOKUP(B165,'Unit of Measure ship March 2026'!A:C,3,false)</f>
        <v>BT/17OZ</v>
      </c>
      <c r="O165" s="9"/>
      <c r="Q165" s="76"/>
      <c r="S165" s="9"/>
      <c r="U165" s="76"/>
      <c r="W165" s="9"/>
      <c r="Y165" s="76"/>
      <c r="Z165" s="76"/>
      <c r="AA165" s="76"/>
      <c r="AB165" s="76"/>
    </row>
    <row r="166" ht="15.75" customHeight="1">
      <c r="B166" s="17">
        <v>15646.0</v>
      </c>
      <c r="C166" s="9" t="str">
        <f>VLOOKUP(B166,'FML March 2026'!E:F,2,false)</f>
        <v>SUGAR BROWN DARK  24/1LB  DOMINO (404310) (USA)</v>
      </c>
      <c r="D166" s="9" t="str">
        <f>VLOOKUP(B166,'Unit of Measure ship March 2026'!A:C,3,false)</f>
        <v>LBS</v>
      </c>
      <c r="O166" s="9"/>
      <c r="Q166" s="76"/>
      <c r="S166" s="9"/>
      <c r="U166" s="76"/>
      <c r="W166" s="9"/>
      <c r="Y166" s="76"/>
      <c r="Z166" s="76"/>
      <c r="AA166" s="76"/>
      <c r="AB166" s="76"/>
    </row>
    <row r="167" ht="15.75" customHeight="1">
      <c r="B167" s="8">
        <v>100872.0</v>
      </c>
      <c r="C167" s="9" t="str">
        <f>VLOOKUP(B167,'FML March 2026'!E:F,2,false)</f>
        <v>SUGAR BROWN LIGHT 24LB  DOMINO (404309)</v>
      </c>
      <c r="D167" s="9" t="str">
        <f>VLOOKUP(B167,'Unit of Measure ship March 2026'!A:C,3,false)</f>
        <v>LBS</v>
      </c>
      <c r="O167" s="9"/>
      <c r="Q167" s="76"/>
      <c r="S167" s="9"/>
      <c r="U167" s="76"/>
      <c r="W167" s="9"/>
      <c r="Y167" s="76"/>
      <c r="Z167" s="76"/>
      <c r="AA167" s="76"/>
      <c r="AB167" s="76"/>
    </row>
    <row r="168" ht="15.75" customHeight="1">
      <c r="B168" s="8">
        <v>109843.0</v>
      </c>
      <c r="C168" s="9" t="str">
        <f>VLOOKUP(B168,'FML March 2026'!E:F,2,false)</f>
        <v>SUGAR IN THE RAW  CS12/2 LB</v>
      </c>
      <c r="D168" s="9" t="str">
        <f>VLOOKUP(B168,'Unit of Measure ship March 2026'!A:C,3,false)</f>
        <v>KG</v>
      </c>
      <c r="N168" s="49"/>
      <c r="O168" s="9"/>
      <c r="Q168" s="76"/>
      <c r="R168" s="49"/>
      <c r="S168" s="9"/>
      <c r="U168" s="76"/>
      <c r="V168" s="49"/>
      <c r="W168" s="9"/>
      <c r="Y168" s="76"/>
      <c r="Z168" s="76"/>
      <c r="AA168" s="76"/>
      <c r="AB168" s="76"/>
    </row>
    <row r="169" ht="15.75" customHeight="1">
      <c r="B169" s="17">
        <v>15642.0</v>
      </c>
      <c r="C169" s="9" t="str">
        <f>VLOOKUP(B169,'FML March 2026'!E:F,2,false)</f>
        <v>SUGAR, GRANULATED, ICUMSA 150, SUGARCANE, DRY, 1/50 LB</v>
      </c>
      <c r="D169" s="9" t="str">
        <f>VLOOKUP(B169,'Unit of Measure ship March 2026'!A:C,3,false)</f>
        <v>LBS</v>
      </c>
      <c r="N169" s="57"/>
      <c r="O169" s="9"/>
      <c r="Q169" s="76"/>
      <c r="R169" s="57"/>
      <c r="S169" s="9"/>
      <c r="U169" s="76"/>
      <c r="V169" s="57"/>
      <c r="W169" s="9"/>
      <c r="Y169" s="76"/>
      <c r="Z169" s="76"/>
      <c r="AA169" s="76"/>
      <c r="AB169" s="76"/>
    </row>
    <row r="170" ht="15.75" customHeight="1">
      <c r="B170" s="17">
        <v>15644.0</v>
      </c>
      <c r="C170" s="9" t="str">
        <f>VLOOKUP(B170,'FML March 2026'!E:F,2,false)</f>
        <v>SUGAR, POWDERED, W/ CORNSTARCH, DRY, 24/1 LB</v>
      </c>
      <c r="D170" s="9" t="str">
        <f>VLOOKUP(B170,'Unit of Measure ship March 2026'!A:C,3,false)</f>
        <v>LBS</v>
      </c>
      <c r="Q170" s="76"/>
      <c r="U170" s="76"/>
      <c r="Y170" s="76"/>
      <c r="Z170" s="76"/>
      <c r="AA170" s="76"/>
      <c r="AB170" s="76"/>
    </row>
    <row r="171" ht="15.75" customHeight="1">
      <c r="B171" s="8">
        <v>19407.0</v>
      </c>
      <c r="C171" s="9" t="str">
        <f>VLOOKUP(B171,'FML March 2026'!E:F,2,false)</f>
        <v>SUMAC POWDER CHEFS WAREHOUSE</v>
      </c>
      <c r="D171" s="9" t="str">
        <f>VLOOKUP(B171,'Unit of Measure ship March 2026'!A:C,3,false)</f>
        <v>LBS</v>
      </c>
      <c r="Q171" s="76"/>
      <c r="U171" s="76"/>
      <c r="Y171" s="76"/>
      <c r="Z171" s="76"/>
      <c r="AA171" s="76"/>
      <c r="AB171" s="76"/>
    </row>
    <row r="172" ht="15.75" customHeight="1">
      <c r="B172" s="8">
        <v>15892.0</v>
      </c>
      <c r="C172" s="9" t="str">
        <f>VLOOKUP(B172,'FML March 2026'!E:F,2,false)</f>
        <v>SUNFLOWER SEEDS WHOLE SHELL-OFF RAW  HIALEAH (USA )</v>
      </c>
      <c r="D172" s="9" t="str">
        <f>VLOOKUP(B172,'Unit of Measure ship March 2026'!A:C,3,false)</f>
        <v>LBS</v>
      </c>
      <c r="Q172" s="76"/>
      <c r="U172" s="76"/>
      <c r="Y172" s="76"/>
      <c r="Z172" s="76"/>
      <c r="AA172" s="76"/>
      <c r="AB172" s="76"/>
    </row>
    <row r="173" ht="15.75" customHeight="1">
      <c r="B173" s="77">
        <v>110037.0</v>
      </c>
      <c r="C173" s="9" t="str">
        <f>VLOOKUP(B173,'FML March 2026'!E:F,2,false)</f>
        <v>SYRUP BARLEY MALT CS 12/20 OZ EDEN</v>
      </c>
      <c r="D173" s="9" t="str">
        <f>VLOOKUP(B173,'Unit of Measure ship March 2026'!A:C,3,false)</f>
        <v>BT/566GR</v>
      </c>
      <c r="Q173" s="76"/>
      <c r="U173" s="76"/>
      <c r="Y173" s="76"/>
      <c r="Z173" s="76"/>
      <c r="AA173" s="76"/>
      <c r="AB173" s="76"/>
    </row>
    <row r="174" ht="15.75" customHeight="1">
      <c r="B174" s="8">
        <v>29904.0</v>
      </c>
      <c r="C174" s="9" t="str">
        <f>VLOOKUP(B174,'FML March 2026'!E:F,2,false)</f>
        <v>SYRUP, MAPLE, 100% PURE, GRADE A, AMBER, DRY, 4/4 LT</v>
      </c>
      <c r="D174" s="9" t="str">
        <f>VLOOKUP(B174,'Unit of Measure ship March 2026'!A:C,3,false)</f>
        <v>BOX/4LTR</v>
      </c>
      <c r="Q174" s="76"/>
      <c r="U174" s="76"/>
      <c r="Y174" s="76"/>
      <c r="Z174" s="76"/>
      <c r="AA174" s="76"/>
      <c r="AB174" s="76"/>
    </row>
    <row r="175" ht="15.75" customHeight="1">
      <c r="B175" s="8">
        <v>110928.0</v>
      </c>
      <c r="C175" s="9" t="str">
        <f>VLOOKUP(B175,'FML March 2026'!E:F,2,false)</f>
        <v>TAHINI PASTE  CS12/1LB SOOM</v>
      </c>
      <c r="D175" s="9" t="str">
        <f>VLOOKUP(B175,'Unit of Measure ship March 2026'!A:C,3,false)</f>
        <v>LBS</v>
      </c>
      <c r="Q175" s="76"/>
      <c r="U175" s="76"/>
      <c r="Y175" s="76"/>
      <c r="Z175" s="76"/>
      <c r="AA175" s="76"/>
      <c r="AB175" s="76"/>
    </row>
    <row r="176" ht="15.75" customHeight="1">
      <c r="B176" s="77">
        <v>109632.0</v>
      </c>
      <c r="C176" s="9" t="str">
        <f>VLOOKUP(B176,'FML March 2026'!E:F,2,false)</f>
        <v>TAPIOCA FLOUR BOBS RED MILL</v>
      </c>
      <c r="D176" s="9" t="str">
        <f>VLOOKUP(B176,'Unit of Measure ship March 2026'!A:C,3,false)</f>
        <v>KG</v>
      </c>
      <c r="Q176" s="76"/>
      <c r="U176" s="76"/>
      <c r="Y176" s="76"/>
      <c r="Z176" s="76"/>
      <c r="AA176" s="76"/>
      <c r="AB176" s="76"/>
    </row>
    <row r="177" ht="15.75" customHeight="1">
      <c r="B177" s="77">
        <v>15060.0</v>
      </c>
      <c r="C177" s="9" t="str">
        <f>VLOOKUP(B177,'FML March 2026'!E:F,2,false)</f>
        <v>TOFU FIRM, TUB</v>
      </c>
      <c r="D177" s="9" t="str">
        <f>VLOOKUP(B177,'Unit of Measure ship March 2026'!A:C,3,false)</f>
        <v>PC/12OZ</v>
      </c>
      <c r="Q177" s="76"/>
      <c r="U177" s="76"/>
      <c r="Y177" s="76"/>
      <c r="Z177" s="76"/>
      <c r="AA177" s="76"/>
      <c r="AB177" s="76"/>
    </row>
    <row r="178" ht="15.75" customHeight="1">
      <c r="B178" s="78">
        <v>143140.0</v>
      </c>
      <c r="C178" s="9" t="str">
        <f>VLOOKUP(B178,'FML March 2026'!E:F,2,false)</f>
        <v>TOMATO, WHOLE, PEELED, IN JUICE, DRY, 6/#10</v>
      </c>
      <c r="D178" s="9" t="str">
        <f>VLOOKUP(B178,'Unit of Measure ship March 2026'!A:C,3,false)</f>
        <v>C6/6.5LB</v>
      </c>
      <c r="Q178" s="76"/>
      <c r="U178" s="76"/>
      <c r="Y178" s="76"/>
      <c r="Z178" s="76"/>
      <c r="AA178" s="76"/>
      <c r="AB178" s="76"/>
    </row>
    <row r="179" ht="15.75" customHeight="1">
      <c r="B179" s="8">
        <v>101990.0</v>
      </c>
      <c r="C179" s="9" t="str">
        <f>VLOOKUP(B179,'FML March 2026'!E:F,2,false)</f>
        <v>TRUFFLE AESTIVUM-SUMMER PEELINGS HENRAS (FRANCE)</v>
      </c>
      <c r="D179" s="9" t="str">
        <f>VLOOKUP(B179,'Unit of Measure ship March 2026'!A:C,3,false)</f>
        <v>CAN/7OZ</v>
      </c>
      <c r="Q179" s="76"/>
      <c r="U179" s="76"/>
      <c r="Y179" s="76"/>
      <c r="Z179" s="76"/>
      <c r="AA179" s="76"/>
      <c r="AB179" s="76"/>
    </row>
    <row r="180" ht="15.75" customHeight="1">
      <c r="B180" s="17">
        <v>16310.0</v>
      </c>
      <c r="C180" s="9" t="str">
        <f>VLOOKUP(B180,'FML March 2026'!E:F,2,false)</f>
        <v>TURMERIC GROUND</v>
      </c>
      <c r="D180" s="9" t="str">
        <f>VLOOKUP(B180,'Unit of Measure ship March 2026'!A:C,3,false)</f>
        <v>LBS</v>
      </c>
      <c r="Q180" s="76"/>
      <c r="U180" s="76"/>
      <c r="Y180" s="76"/>
      <c r="Z180" s="76"/>
      <c r="AA180" s="76"/>
      <c r="AB180" s="76"/>
    </row>
    <row r="181" ht="15.75" customHeight="1">
      <c r="B181" s="17">
        <v>20844.0</v>
      </c>
      <c r="C181" s="9" t="str">
        <f>VLOOKUP(B181,'FML March 2026'!E:F,2,false)</f>
        <v>VEAL DEMI GLACE CUISINE SOLUTIONS 1003743 (NO INSPECTION NEEDED) (NETHERLANDS)</v>
      </c>
      <c r="D181" s="9" t="str">
        <f>VLOOKUP(B181,'Unit of Measure ship March 2026'!A:C,3,false)</f>
        <v>LBS</v>
      </c>
      <c r="Q181" s="76"/>
      <c r="U181" s="76"/>
      <c r="Y181" s="76"/>
      <c r="Z181" s="76"/>
      <c r="AA181" s="76"/>
      <c r="AB181" s="76"/>
    </row>
    <row r="182" ht="15.75" customHeight="1">
      <c r="B182" s="77">
        <v>109927.0</v>
      </c>
      <c r="C182" s="9" t="str">
        <f>VLOOKUP(B182,'FML March 2026'!E:F,2,false)</f>
        <v>VEGAN GROUND BEEF ALTERNATIVE IMPOSSIBLE BULK</v>
      </c>
      <c r="D182" s="9" t="str">
        <f>VLOOKUP(B182,'Unit of Measure ship March 2026'!A:C,3,false)</f>
        <v>LBS</v>
      </c>
      <c r="Q182" s="76"/>
      <c r="U182" s="76"/>
      <c r="Y182" s="76"/>
      <c r="Z182" s="76"/>
      <c r="AA182" s="76"/>
      <c r="AB182" s="76"/>
    </row>
    <row r="183" ht="15.75" customHeight="1">
      <c r="B183" s="8">
        <v>79609.0</v>
      </c>
      <c r="C183" s="9" t="str">
        <f>VLOOKUP(B183,'FML March 2026'!E:F,2,false)</f>
        <v>VEGAN SUGAR ORGANIC (BONE CHAR FREE ) WHOLESOME</v>
      </c>
      <c r="D183" s="9" t="str">
        <f>VLOOKUP(B183,'Unit of Measure ship March 2026'!A:C,3,false)</f>
        <v>LBS</v>
      </c>
      <c r="Q183" s="76"/>
      <c r="U183" s="76"/>
      <c r="Y183" s="76"/>
      <c r="Z183" s="76"/>
      <c r="AA183" s="76"/>
      <c r="AB183" s="76"/>
    </row>
    <row r="184" ht="15.75" customHeight="1">
      <c r="B184" s="8">
        <v>110035.0</v>
      </c>
      <c r="C184" s="9" t="str">
        <f>VLOOKUP(B184,'FML March 2026'!E:F,2,false)</f>
        <v>VEGAN WORCESTERSHIRE SAUCE CS12/8 OZ ANNIES</v>
      </c>
      <c r="D184" s="9" t="str">
        <f>VLOOKUP(B184,'Unit of Measure ship March 2026'!A:C,3,false)</f>
        <v>CS12/8OZ</v>
      </c>
      <c r="Q184" s="76"/>
      <c r="U184" s="76"/>
      <c r="Y184" s="76"/>
      <c r="Z184" s="76"/>
      <c r="AA184" s="76"/>
      <c r="AB184" s="76"/>
    </row>
    <row r="185" ht="15.75" customHeight="1">
      <c r="B185" s="77">
        <v>111933.0</v>
      </c>
      <c r="C185" s="9" t="str">
        <f>VLOOKUP(B185,'FML March 2026'!E:F,2,false)</f>
        <v>VEGETABLE STOCK LIQUID  CS 4.5/ LITER SAVORY CHOICE</v>
      </c>
      <c r="D185" s="9" t="str">
        <f>VLOOKUP(B185,'Unit of Measure ship March 2026'!A:C,3,false)</f>
        <v>LT</v>
      </c>
      <c r="Q185" s="76"/>
      <c r="U185" s="76"/>
      <c r="Y185" s="76"/>
      <c r="Z185" s="76"/>
      <c r="AA185" s="76"/>
      <c r="AB185" s="76"/>
    </row>
    <row r="186" ht="15.75" customHeight="1">
      <c r="B186" s="77">
        <v>109665.0</v>
      </c>
      <c r="C186" s="9" t="str">
        <f>VLOOKUP(B186,'FML March 2026'!E:F,2,false)</f>
        <v>VINEGAR CABERNET SPARROW LANE</v>
      </c>
      <c r="D186" s="9" t="str">
        <f>VLOOKUP(B186,'Unit of Measure ship March 2026'!A:C,3,false)</f>
        <v>GAL</v>
      </c>
      <c r="Q186" s="76"/>
      <c r="U186" s="76"/>
      <c r="Y186" s="76"/>
      <c r="Z186" s="76"/>
      <c r="AA186" s="76"/>
      <c r="AB186" s="76"/>
    </row>
    <row r="187" ht="15.75" customHeight="1">
      <c r="B187" s="8">
        <v>109666.0</v>
      </c>
      <c r="C187" s="9" t="str">
        <f>VLOOKUP(B187,'FML March 2026'!E:F,2,false)</f>
        <v>VINEGAR CHAMPAGNE WINE SPARROW LANE/ PACKER</v>
      </c>
      <c r="D187" s="9" t="str">
        <f>VLOOKUP(B187,'Unit of Measure ship March 2026'!A:C,3,false)</f>
        <v>GAL</v>
      </c>
      <c r="Q187" s="76"/>
      <c r="U187" s="76"/>
      <c r="Y187" s="76"/>
      <c r="Z187" s="76"/>
      <c r="AA187" s="76"/>
      <c r="AB187" s="76"/>
    </row>
    <row r="188" ht="15.75" customHeight="1">
      <c r="B188" s="77">
        <v>16399.0</v>
      </c>
      <c r="C188" s="9" t="str">
        <f>VLOOKUP(B188,'FML March 2026'!E:F,2,false)</f>
        <v>VINEGAR RASPBERRY 12/33.8 OZ ROLAND</v>
      </c>
      <c r="D188" s="9" t="str">
        <f>VLOOKUP(B188,'Unit of Measure ship March 2026'!A:C,3,false)</f>
        <v>BTL/34OZ</v>
      </c>
      <c r="Q188" s="76"/>
      <c r="U188" s="76"/>
      <c r="Y188" s="76"/>
      <c r="Z188" s="76"/>
      <c r="AA188" s="76"/>
      <c r="AB188" s="76"/>
    </row>
    <row r="189" ht="15.75" customHeight="1">
      <c r="B189" s="8">
        <v>16402.0</v>
      </c>
      <c r="C189" s="9" t="str">
        <f>VLOOKUP(B189,'FML March 2026'!E:F,2,false)</f>
        <v>VINEGAR SHERRY/ XERES CS4/5 LT ROLAND</v>
      </c>
      <c r="D189" s="9" t="str">
        <f>VLOOKUP(B189,'Unit of Measure ship March 2026'!A:C,3,false)</f>
        <v>BT/750ML</v>
      </c>
      <c r="Q189" s="76"/>
      <c r="U189" s="76"/>
      <c r="Y189" s="76"/>
      <c r="Z189" s="76"/>
      <c r="AA189" s="76"/>
      <c r="AB189" s="76"/>
    </row>
    <row r="190" ht="15.75" customHeight="1">
      <c r="B190" s="17">
        <v>10033.0</v>
      </c>
      <c r="C190" s="9" t="str">
        <f>VLOOKUP(B190,'FML March 2026'!E:F,2,false)</f>
        <v>VINEGAR, RED WINE VINEGAR</v>
      </c>
      <c r="D190" s="9" t="str">
        <f>VLOOKUP(B190,'Unit of Measure ship March 2026'!A:C,3,false)</f>
        <v>BTL/5LT</v>
      </c>
      <c r="Q190" s="76"/>
      <c r="U190" s="76"/>
      <c r="Y190" s="76"/>
      <c r="Z190" s="76"/>
      <c r="AA190" s="76"/>
      <c r="AB190" s="76"/>
    </row>
    <row r="191" ht="15.75" customHeight="1">
      <c r="B191" s="8">
        <v>16374.0</v>
      </c>
      <c r="C191" s="9" t="str">
        <f>VLOOKUP(B191,'FML March 2026'!E:F,2,false)</f>
        <v>VINEGAR, WHITE DISTILLED</v>
      </c>
      <c r="D191" s="9" t="str">
        <f>VLOOKUP(B191,'Unit of Measure ship March 2026'!A:C,3,false)</f>
        <v>BTL/5LT</v>
      </c>
      <c r="Q191" s="76"/>
      <c r="U191" s="76"/>
      <c r="Y191" s="76"/>
      <c r="Z191" s="76"/>
      <c r="AA191" s="76"/>
      <c r="AB191" s="76"/>
    </row>
    <row r="192" ht="15.75" customHeight="1">
      <c r="B192" s="8">
        <v>49450.0</v>
      </c>
      <c r="C192" s="9" t="str">
        <f>VLOOKUP(B192,'FML March 2026'!E:F,2,false)</f>
        <v>WHIPPING CREAM (35% TO 36%) UHT</v>
      </c>
      <c r="D192" s="9" t="str">
        <f>VLOOKUP(B192,'Unit of Measure ship March 2026'!A:C,3,false)</f>
        <v>QRT</v>
      </c>
      <c r="Q192" s="76"/>
      <c r="U192" s="76"/>
      <c r="Y192" s="76"/>
      <c r="Z192" s="76"/>
      <c r="AA192" s="76"/>
      <c r="AB192" s="76"/>
    </row>
    <row r="193" ht="15.75" customHeight="1">
      <c r="B193" s="8">
        <v>16387.0</v>
      </c>
      <c r="C193" s="9" t="str">
        <f>VLOOKUP(B193,'FML March 2026'!E:F,2,false)</f>
        <v>WHITE TRUFFLE OIL</v>
      </c>
      <c r="D193" s="9" t="str">
        <f>VLOOKUP(B193,'Unit of Measure ship March 2026'!A:C,3,false)</f>
        <v>BT/250ML</v>
      </c>
      <c r="Q193" s="76"/>
      <c r="U193" s="76"/>
      <c r="Y193" s="76"/>
      <c r="Z193" s="76"/>
      <c r="AA193" s="76"/>
      <c r="AB193" s="76"/>
    </row>
    <row r="194" ht="15.75" customHeight="1">
      <c r="B194" s="8">
        <v>16358.0</v>
      </c>
      <c r="C194" s="9" t="str">
        <f>VLOOKUP(B194,'FML March 2026'!E:F,2,false)</f>
        <v>WORCESTERSHIRE SAUCE 5 OZ LEA &amp; PERRINS</v>
      </c>
      <c r="D194" s="9" t="str">
        <f>VLOOKUP(B194,'Unit of Measure ship March 2026'!A:C,3,false)</f>
        <v>BTL/5OZ</v>
      </c>
      <c r="Q194" s="76"/>
      <c r="U194" s="76"/>
      <c r="Y194" s="76"/>
      <c r="Z194" s="76"/>
      <c r="AA194" s="76"/>
      <c r="AB194" s="76"/>
    </row>
    <row r="195" ht="15.75" customHeight="1">
      <c r="B195" s="8">
        <v>102288.0</v>
      </c>
      <c r="C195" s="9" t="str">
        <f>VLOOKUP(B195,'FML March 2026'!E:F,2,false)</f>
        <v>XANTHAN GUM (AUSTRIA)</v>
      </c>
      <c r="D195" s="9" t="str">
        <f>VLOOKUP(B195,'Unit of Measure ship March 2026'!A:C,3,false)</f>
        <v>LBS</v>
      </c>
      <c r="Q195" s="76"/>
      <c r="U195" s="76"/>
      <c r="Y195" s="76"/>
      <c r="Z195" s="76"/>
      <c r="AA195" s="76"/>
      <c r="AB195" s="76"/>
    </row>
    <row r="196" ht="15.75" customHeight="1">
      <c r="B196" s="8">
        <v>109846.0</v>
      </c>
      <c r="C196" s="9" t="str">
        <f>VLOOKUP(B196,'FML March 2026'!E:F,2,false)</f>
        <v>YOGURT GREEK BULK</v>
      </c>
      <c r="D196" s="9" t="str">
        <f>VLOOKUP(B196,'Unit of Measure ship March 2026'!A:C,3,false)</f>
        <v>LBS</v>
      </c>
      <c r="Q196" s="76"/>
      <c r="U196" s="76"/>
      <c r="Y196" s="76"/>
      <c r="Z196" s="76"/>
      <c r="AA196" s="76"/>
      <c r="AB196" s="76"/>
    </row>
    <row r="197" ht="15.75" customHeight="1">
      <c r="Q197" s="76"/>
      <c r="U197" s="76"/>
      <c r="Y197" s="76"/>
      <c r="Z197" s="76"/>
      <c r="AA197" s="76"/>
      <c r="AB197" s="76"/>
    </row>
    <row r="198" ht="15.75" customHeight="1">
      <c r="Q198" s="76"/>
      <c r="U198" s="76"/>
      <c r="Y198" s="76"/>
      <c r="Z198" s="76"/>
      <c r="AA198" s="76"/>
      <c r="AB198" s="76"/>
    </row>
    <row r="199" ht="15.75" customHeight="1">
      <c r="Q199" s="76"/>
      <c r="U199" s="76"/>
      <c r="Y199" s="76"/>
      <c r="Z199" s="76"/>
      <c r="AA199" s="76"/>
      <c r="AB199" s="76"/>
    </row>
    <row r="200" ht="15.75" customHeight="1">
      <c r="Q200" s="76"/>
      <c r="U200" s="76"/>
      <c r="Y200" s="76"/>
      <c r="Z200" s="76"/>
      <c r="AA200" s="76"/>
      <c r="AB200" s="76"/>
    </row>
    <row r="201" ht="15.75" customHeight="1">
      <c r="Q201" s="76"/>
      <c r="U201" s="76"/>
      <c r="Y201" s="76"/>
      <c r="Z201" s="76"/>
      <c r="AA201" s="76"/>
      <c r="AB201" s="76"/>
    </row>
    <row r="202" ht="15.75" customHeight="1">
      <c r="Q202" s="76"/>
      <c r="U202" s="76"/>
      <c r="Y202" s="76"/>
      <c r="Z202" s="76"/>
      <c r="AA202" s="76"/>
      <c r="AB202" s="76"/>
    </row>
    <row r="203" ht="15.75" customHeight="1">
      <c r="Q203" s="76"/>
      <c r="U203" s="76"/>
      <c r="Y203" s="76"/>
      <c r="Z203" s="76"/>
      <c r="AA203" s="76"/>
      <c r="AB203" s="76"/>
    </row>
    <row r="204" ht="15.75" customHeight="1">
      <c r="Q204" s="76"/>
      <c r="U204" s="76"/>
      <c r="Y204" s="76"/>
      <c r="Z204" s="76"/>
      <c r="AA204" s="76"/>
      <c r="AB204" s="76"/>
    </row>
    <row r="205" ht="15.75" customHeight="1">
      <c r="Q205" s="76"/>
      <c r="U205" s="76"/>
      <c r="Y205" s="76"/>
      <c r="Z205" s="76"/>
      <c r="AA205" s="76"/>
      <c r="AB205" s="76"/>
    </row>
    <row r="206" ht="15.75" customHeight="1">
      <c r="Q206" s="76"/>
      <c r="U206" s="76"/>
      <c r="Y206" s="76"/>
      <c r="Z206" s="76"/>
      <c r="AA206" s="76"/>
      <c r="AB206" s="76"/>
    </row>
    <row r="207" ht="15.75" customHeight="1">
      <c r="Q207" s="76"/>
      <c r="U207" s="76"/>
      <c r="Y207" s="76"/>
      <c r="Z207" s="76"/>
      <c r="AA207" s="76"/>
      <c r="AB207" s="76"/>
    </row>
    <row r="208" ht="15.75" customHeight="1">
      <c r="Q208" s="76"/>
      <c r="U208" s="76"/>
      <c r="Y208" s="76"/>
      <c r="Z208" s="76"/>
      <c r="AA208" s="76"/>
      <c r="AB208" s="76"/>
    </row>
    <row r="209" ht="15.75" customHeight="1">
      <c r="Q209" s="76"/>
      <c r="U209" s="76"/>
      <c r="Y209" s="76"/>
      <c r="Z209" s="76"/>
      <c r="AA209" s="76"/>
      <c r="AB209" s="76"/>
    </row>
    <row r="210" ht="15.75" customHeight="1">
      <c r="Q210" s="76"/>
      <c r="U210" s="76"/>
      <c r="Y210" s="76"/>
      <c r="Z210" s="76"/>
      <c r="AA210" s="76"/>
      <c r="AB210" s="76"/>
    </row>
    <row r="211" ht="15.75" customHeight="1">
      <c r="Q211" s="76"/>
      <c r="U211" s="76"/>
      <c r="Y211" s="76"/>
      <c r="Z211" s="76"/>
      <c r="AA211" s="76"/>
      <c r="AB211" s="76"/>
    </row>
    <row r="212" ht="15.75" customHeight="1">
      <c r="Q212" s="76"/>
      <c r="U212" s="76"/>
      <c r="Y212" s="76"/>
      <c r="Z212" s="76"/>
      <c r="AA212" s="76"/>
      <c r="AB212" s="76"/>
    </row>
    <row r="213" ht="15.75" customHeight="1">
      <c r="Q213" s="76"/>
      <c r="U213" s="76"/>
      <c r="Y213" s="76"/>
      <c r="Z213" s="76"/>
      <c r="AA213" s="76"/>
      <c r="AB213" s="76"/>
    </row>
    <row r="214" ht="15.75" customHeight="1">
      <c r="Q214" s="76"/>
      <c r="U214" s="76"/>
      <c r="Y214" s="76"/>
      <c r="Z214" s="76"/>
      <c r="AA214" s="76"/>
      <c r="AB214" s="76"/>
    </row>
    <row r="215" ht="15.75" customHeight="1">
      <c r="Q215" s="76"/>
      <c r="U215" s="76"/>
      <c r="Y215" s="76"/>
      <c r="Z215" s="76"/>
      <c r="AA215" s="76"/>
      <c r="AB215" s="76"/>
    </row>
    <row r="216" ht="15.75" customHeight="1">
      <c r="Q216" s="76"/>
      <c r="U216" s="76"/>
      <c r="Y216" s="76"/>
      <c r="Z216" s="76"/>
      <c r="AA216" s="76"/>
      <c r="AB216" s="76"/>
    </row>
    <row r="217" ht="15.75" customHeight="1">
      <c r="Q217" s="76"/>
      <c r="U217" s="76"/>
      <c r="Y217" s="76"/>
      <c r="Z217" s="76"/>
      <c r="AA217" s="76"/>
      <c r="AB217" s="76"/>
    </row>
    <row r="218" ht="15.75" customHeight="1">
      <c r="Q218" s="76"/>
      <c r="U218" s="76"/>
      <c r="Y218" s="76"/>
      <c r="Z218" s="76"/>
      <c r="AA218" s="76"/>
      <c r="AB218" s="76"/>
    </row>
    <row r="219" ht="15.75" customHeight="1">
      <c r="Q219" s="76"/>
      <c r="U219" s="76"/>
      <c r="Y219" s="76"/>
      <c r="Z219" s="76"/>
      <c r="AA219" s="76"/>
      <c r="AB219" s="76"/>
    </row>
    <row r="220" ht="15.75" customHeight="1">
      <c r="Q220" s="76"/>
      <c r="U220" s="76"/>
      <c r="Y220" s="76"/>
      <c r="Z220" s="76"/>
      <c r="AA220" s="76"/>
      <c r="AB220" s="76"/>
    </row>
    <row r="221" ht="15.75" customHeight="1">
      <c r="Q221" s="76"/>
      <c r="U221" s="76"/>
      <c r="Y221" s="76"/>
      <c r="Z221" s="76"/>
      <c r="AA221" s="76"/>
      <c r="AB221" s="76"/>
    </row>
    <row r="222" ht="15.75" customHeight="1">
      <c r="Q222" s="76"/>
      <c r="U222" s="76"/>
      <c r="Y222" s="76"/>
      <c r="Z222" s="76"/>
      <c r="AA222" s="76"/>
      <c r="AB222" s="76"/>
    </row>
    <row r="223" ht="15.75" customHeight="1">
      <c r="Q223" s="76"/>
      <c r="U223" s="76"/>
      <c r="Y223" s="76"/>
      <c r="Z223" s="76"/>
      <c r="AA223" s="76"/>
      <c r="AB223" s="76"/>
    </row>
    <row r="224" ht="15.75" customHeight="1">
      <c r="Q224" s="76"/>
      <c r="U224" s="76"/>
      <c r="Y224" s="76"/>
      <c r="Z224" s="76"/>
      <c r="AA224" s="76"/>
      <c r="AB224" s="76"/>
    </row>
    <row r="225" ht="15.75" customHeight="1">
      <c r="Q225" s="76"/>
      <c r="U225" s="76"/>
      <c r="Y225" s="76"/>
      <c r="Z225" s="76"/>
      <c r="AA225" s="76"/>
      <c r="AB225" s="76"/>
    </row>
    <row r="226" ht="15.75" customHeight="1">
      <c r="Q226" s="76"/>
      <c r="U226" s="76"/>
      <c r="Y226" s="76"/>
      <c r="Z226" s="76"/>
      <c r="AA226" s="76"/>
      <c r="AB226" s="76"/>
    </row>
    <row r="227" ht="15.75" customHeight="1">
      <c r="Q227" s="76"/>
      <c r="U227" s="76"/>
      <c r="Y227" s="76"/>
      <c r="Z227" s="76"/>
      <c r="AA227" s="76"/>
      <c r="AB227" s="76"/>
    </row>
    <row r="228" ht="15.75" customHeight="1">
      <c r="Q228" s="76"/>
      <c r="U228" s="76"/>
      <c r="Y228" s="76"/>
      <c r="Z228" s="76"/>
      <c r="AA228" s="76"/>
      <c r="AB228" s="76"/>
    </row>
    <row r="229" ht="15.75" customHeight="1">
      <c r="Q229" s="76"/>
      <c r="U229" s="76"/>
      <c r="Y229" s="76"/>
      <c r="Z229" s="76"/>
      <c r="AA229" s="76"/>
      <c r="AB229" s="76"/>
    </row>
    <row r="230" ht="15.75" customHeight="1">
      <c r="Q230" s="76"/>
      <c r="U230" s="76"/>
      <c r="Y230" s="76"/>
      <c r="Z230" s="76"/>
      <c r="AA230" s="76"/>
      <c r="AB230" s="76"/>
    </row>
    <row r="231" ht="15.75" customHeight="1">
      <c r="Q231" s="76"/>
      <c r="U231" s="76"/>
      <c r="Y231" s="76"/>
      <c r="Z231" s="76"/>
      <c r="AA231" s="76"/>
      <c r="AB231" s="76"/>
    </row>
    <row r="232" ht="15.75" customHeight="1">
      <c r="Q232" s="76"/>
      <c r="U232" s="76"/>
      <c r="Y232" s="76"/>
      <c r="Z232" s="76"/>
      <c r="AA232" s="76"/>
      <c r="AB232" s="76"/>
    </row>
    <row r="233" ht="15.75" customHeight="1">
      <c r="Q233" s="76"/>
      <c r="U233" s="76"/>
      <c r="Y233" s="76"/>
      <c r="Z233" s="76"/>
      <c r="AA233" s="76"/>
      <c r="AB233" s="76"/>
    </row>
    <row r="234" ht="15.75" customHeight="1">
      <c r="Q234" s="76"/>
      <c r="U234" s="76"/>
      <c r="Y234" s="76"/>
      <c r="Z234" s="76"/>
      <c r="AA234" s="76"/>
      <c r="AB234" s="76"/>
    </row>
    <row r="235" ht="15.75" customHeight="1">
      <c r="Q235" s="76"/>
      <c r="U235" s="76"/>
      <c r="Y235" s="76"/>
      <c r="Z235" s="76"/>
      <c r="AA235" s="76"/>
      <c r="AB235" s="76"/>
    </row>
    <row r="236" ht="15.75" customHeight="1">
      <c r="Q236" s="76"/>
      <c r="U236" s="76"/>
      <c r="Y236" s="76"/>
      <c r="Z236" s="76"/>
      <c r="AA236" s="76"/>
      <c r="AB236" s="76"/>
    </row>
    <row r="237" ht="15.75" customHeight="1">
      <c r="Q237" s="76"/>
      <c r="U237" s="76"/>
      <c r="Y237" s="76"/>
      <c r="Z237" s="76"/>
      <c r="AA237" s="76"/>
      <c r="AB237" s="76"/>
    </row>
    <row r="238" ht="15.75" customHeight="1">
      <c r="Q238" s="76"/>
      <c r="U238" s="76"/>
      <c r="Y238" s="76"/>
      <c r="Z238" s="76"/>
      <c r="AA238" s="76"/>
      <c r="AB238" s="76"/>
    </row>
    <row r="239" ht="15.75" customHeight="1">
      <c r="Q239" s="76"/>
      <c r="U239" s="76"/>
      <c r="Y239" s="76"/>
      <c r="Z239" s="76"/>
      <c r="AA239" s="76"/>
      <c r="AB239" s="76"/>
    </row>
    <row r="240" ht="15.75" customHeight="1">
      <c r="Q240" s="76"/>
      <c r="U240" s="76"/>
      <c r="Y240" s="76"/>
      <c r="Z240" s="76"/>
      <c r="AA240" s="76"/>
      <c r="AB240" s="76"/>
    </row>
    <row r="241" ht="15.75" customHeight="1">
      <c r="Q241" s="76"/>
      <c r="U241" s="76"/>
      <c r="Y241" s="76"/>
      <c r="Z241" s="76"/>
      <c r="AA241" s="76"/>
      <c r="AB241" s="76"/>
    </row>
    <row r="242" ht="15.75" customHeight="1">
      <c r="Q242" s="76"/>
      <c r="U242" s="76"/>
      <c r="Y242" s="76"/>
      <c r="Z242" s="76"/>
      <c r="AA242" s="76"/>
      <c r="AB242" s="76"/>
    </row>
    <row r="243" ht="15.75" customHeight="1">
      <c r="Q243" s="76"/>
      <c r="U243" s="76"/>
      <c r="Y243" s="76"/>
      <c r="Z243" s="76"/>
      <c r="AA243" s="76"/>
      <c r="AB243" s="76"/>
    </row>
    <row r="244" ht="15.75" customHeight="1">
      <c r="Q244" s="76"/>
      <c r="U244" s="76"/>
      <c r="Y244" s="76"/>
      <c r="Z244" s="76"/>
      <c r="AA244" s="76"/>
      <c r="AB244" s="76"/>
    </row>
    <row r="245" ht="15.75" customHeight="1">
      <c r="Q245" s="76"/>
      <c r="U245" s="76"/>
      <c r="Y245" s="76"/>
      <c r="Z245" s="76"/>
      <c r="AA245" s="76"/>
      <c r="AB245" s="76"/>
    </row>
    <row r="246" ht="15.75" customHeight="1">
      <c r="Q246" s="76"/>
      <c r="U246" s="76"/>
      <c r="Y246" s="76"/>
      <c r="Z246" s="76"/>
      <c r="AA246" s="76"/>
      <c r="AB246" s="76"/>
    </row>
    <row r="247" ht="15.75" customHeight="1">
      <c r="Q247" s="76"/>
      <c r="U247" s="76"/>
      <c r="Y247" s="76"/>
      <c r="Z247" s="76"/>
      <c r="AA247" s="76"/>
      <c r="AB247" s="76"/>
    </row>
    <row r="248" ht="15.75" customHeight="1">
      <c r="Q248" s="76"/>
      <c r="U248" s="76"/>
      <c r="Y248" s="76"/>
      <c r="Z248" s="76"/>
      <c r="AA248" s="76"/>
      <c r="AB248" s="76"/>
    </row>
    <row r="249" ht="15.75" customHeight="1">
      <c r="Q249" s="76"/>
      <c r="U249" s="76"/>
      <c r="Y249" s="76"/>
      <c r="Z249" s="76"/>
      <c r="AA249" s="76"/>
      <c r="AB249" s="76"/>
    </row>
    <row r="250" ht="15.75" customHeight="1">
      <c r="Q250" s="76"/>
      <c r="U250" s="76"/>
      <c r="Y250" s="76"/>
      <c r="Z250" s="76"/>
      <c r="AA250" s="76"/>
      <c r="AB250" s="76"/>
    </row>
    <row r="251" ht="15.75" customHeight="1">
      <c r="Q251" s="76"/>
      <c r="U251" s="76"/>
      <c r="Y251" s="76"/>
      <c r="Z251" s="76"/>
      <c r="AA251" s="76"/>
      <c r="AB251" s="76"/>
    </row>
    <row r="252" ht="15.75" customHeight="1">
      <c r="Q252" s="76"/>
      <c r="U252" s="76"/>
      <c r="Y252" s="76"/>
      <c r="Z252" s="76"/>
      <c r="AA252" s="76"/>
      <c r="AB252" s="76"/>
    </row>
    <row r="253" ht="15.75" customHeight="1">
      <c r="Q253" s="76"/>
      <c r="U253" s="76"/>
      <c r="Y253" s="76"/>
      <c r="Z253" s="76"/>
      <c r="AA253" s="76"/>
      <c r="AB253" s="76"/>
    </row>
    <row r="254" ht="15.75" customHeight="1">
      <c r="Q254" s="76"/>
      <c r="U254" s="76"/>
      <c r="Y254" s="76"/>
      <c r="Z254" s="76"/>
      <c r="AA254" s="76"/>
      <c r="AB254" s="76"/>
    </row>
    <row r="255" ht="15.75" customHeight="1">
      <c r="Q255" s="76"/>
      <c r="U255" s="76"/>
      <c r="Y255" s="76"/>
      <c r="Z255" s="76"/>
      <c r="AA255" s="76"/>
      <c r="AB255" s="76"/>
    </row>
    <row r="256" ht="15.75" customHeight="1">
      <c r="Q256" s="76"/>
      <c r="U256" s="76"/>
      <c r="Y256" s="76"/>
      <c r="Z256" s="76"/>
      <c r="AA256" s="76"/>
      <c r="AB256" s="76"/>
    </row>
    <row r="257" ht="15.75" customHeight="1">
      <c r="Q257" s="76"/>
      <c r="U257" s="76"/>
      <c r="Y257" s="76"/>
      <c r="Z257" s="76"/>
      <c r="AA257" s="76"/>
      <c r="AB257" s="76"/>
    </row>
    <row r="258" ht="15.75" customHeight="1">
      <c r="Q258" s="76"/>
      <c r="U258" s="76"/>
      <c r="Y258" s="76"/>
      <c r="Z258" s="76"/>
      <c r="AA258" s="76"/>
      <c r="AB258" s="76"/>
    </row>
    <row r="259" ht="15.75" customHeight="1">
      <c r="Q259" s="76"/>
      <c r="U259" s="76"/>
      <c r="Y259" s="76"/>
      <c r="Z259" s="76"/>
      <c r="AA259" s="76"/>
      <c r="AB259" s="76"/>
    </row>
    <row r="260" ht="15.75" customHeight="1">
      <c r="Q260" s="76"/>
      <c r="U260" s="76"/>
      <c r="Y260" s="76"/>
      <c r="Z260" s="76"/>
      <c r="AA260" s="76"/>
      <c r="AB260" s="76"/>
    </row>
    <row r="261" ht="15.75" customHeight="1">
      <c r="Q261" s="76"/>
      <c r="U261" s="76"/>
      <c r="Y261" s="76"/>
      <c r="Z261" s="76"/>
      <c r="AA261" s="76"/>
      <c r="AB261" s="76"/>
    </row>
    <row r="262" ht="15.75" customHeight="1">
      <c r="Q262" s="76"/>
      <c r="U262" s="76"/>
      <c r="Y262" s="76"/>
      <c r="Z262" s="76"/>
      <c r="AA262" s="76"/>
      <c r="AB262" s="76"/>
    </row>
    <row r="263" ht="15.75" customHeight="1">
      <c r="Q263" s="76"/>
      <c r="U263" s="76"/>
      <c r="Y263" s="76"/>
      <c r="Z263" s="76"/>
      <c r="AA263" s="76"/>
      <c r="AB263" s="76"/>
    </row>
    <row r="264" ht="15.75" customHeight="1">
      <c r="Q264" s="76"/>
      <c r="U264" s="76"/>
      <c r="Y264" s="76"/>
      <c r="Z264" s="76"/>
      <c r="AA264" s="76"/>
      <c r="AB264" s="76"/>
    </row>
    <row r="265" ht="15.75" customHeight="1">
      <c r="Q265" s="76"/>
      <c r="U265" s="76"/>
      <c r="Y265" s="76"/>
      <c r="Z265" s="76"/>
      <c r="AA265" s="76"/>
      <c r="AB265" s="76"/>
    </row>
    <row r="266" ht="15.75" customHeight="1">
      <c r="Q266" s="76"/>
      <c r="U266" s="76"/>
      <c r="Y266" s="76"/>
      <c r="Z266" s="76"/>
      <c r="AA266" s="76"/>
      <c r="AB266" s="76"/>
    </row>
    <row r="267" ht="15.75" customHeight="1">
      <c r="Q267" s="76"/>
      <c r="U267" s="76"/>
      <c r="Y267" s="76"/>
      <c r="Z267" s="76"/>
      <c r="AA267" s="76"/>
      <c r="AB267" s="76"/>
    </row>
    <row r="268" ht="15.75" customHeight="1">
      <c r="Q268" s="76"/>
      <c r="U268" s="76"/>
      <c r="Y268" s="76"/>
      <c r="Z268" s="76"/>
      <c r="AA268" s="76"/>
      <c r="AB268" s="76"/>
    </row>
    <row r="269" ht="15.75" customHeight="1">
      <c r="Q269" s="76"/>
      <c r="U269" s="76"/>
      <c r="Y269" s="76"/>
      <c r="Z269" s="76"/>
      <c r="AA269" s="76"/>
      <c r="AB269" s="76"/>
    </row>
    <row r="270" ht="15.75" customHeight="1">
      <c r="Q270" s="76"/>
      <c r="U270" s="76"/>
      <c r="Y270" s="76"/>
      <c r="Z270" s="76"/>
      <c r="AA270" s="76"/>
      <c r="AB270" s="76"/>
    </row>
    <row r="271" ht="15.75" customHeight="1">
      <c r="Q271" s="76"/>
      <c r="U271" s="76"/>
      <c r="Y271" s="76"/>
      <c r="Z271" s="76"/>
      <c r="AA271" s="76"/>
      <c r="AB271" s="76"/>
    </row>
    <row r="272" ht="15.75" customHeight="1">
      <c r="Q272" s="76"/>
      <c r="U272" s="76"/>
      <c r="Y272" s="76"/>
      <c r="Z272" s="76"/>
      <c r="AA272" s="76"/>
      <c r="AB272" s="76"/>
    </row>
    <row r="273" ht="15.75" customHeight="1">
      <c r="Q273" s="76"/>
      <c r="U273" s="76"/>
      <c r="Y273" s="76"/>
      <c r="Z273" s="76"/>
      <c r="AA273" s="76"/>
      <c r="AB273" s="76"/>
    </row>
    <row r="274" ht="15.75" customHeight="1">
      <c r="Q274" s="76"/>
      <c r="U274" s="76"/>
      <c r="Y274" s="76"/>
      <c r="Z274" s="76"/>
      <c r="AA274" s="76"/>
      <c r="AB274" s="76"/>
    </row>
    <row r="275" ht="15.75" customHeight="1">
      <c r="Q275" s="76"/>
      <c r="U275" s="76"/>
      <c r="Y275" s="76"/>
      <c r="Z275" s="76"/>
      <c r="AA275" s="76"/>
      <c r="AB275" s="76"/>
    </row>
    <row r="276" ht="15.75" customHeight="1">
      <c r="Q276" s="76"/>
      <c r="U276" s="76"/>
      <c r="Y276" s="76"/>
      <c r="Z276" s="76"/>
      <c r="AA276" s="76"/>
      <c r="AB276" s="76"/>
    </row>
    <row r="277" ht="15.75" customHeight="1">
      <c r="Q277" s="76"/>
      <c r="U277" s="76"/>
      <c r="Y277" s="76"/>
      <c r="Z277" s="76"/>
      <c r="AA277" s="76"/>
      <c r="AB277" s="76"/>
    </row>
    <row r="278" ht="15.75" customHeight="1">
      <c r="Q278" s="76"/>
      <c r="U278" s="76"/>
      <c r="Y278" s="76"/>
      <c r="Z278" s="76"/>
      <c r="AA278" s="76"/>
      <c r="AB278" s="76"/>
    </row>
    <row r="279" ht="15.75" customHeight="1">
      <c r="Q279" s="76"/>
      <c r="U279" s="76"/>
      <c r="Y279" s="76"/>
      <c r="Z279" s="76"/>
      <c r="AA279" s="76"/>
      <c r="AB279" s="76"/>
    </row>
    <row r="280" ht="15.75" customHeight="1">
      <c r="Q280" s="76"/>
      <c r="U280" s="76"/>
      <c r="Y280" s="76"/>
      <c r="Z280" s="76"/>
      <c r="AA280" s="76"/>
      <c r="AB280" s="76"/>
    </row>
    <row r="281" ht="15.75" customHeight="1">
      <c r="Q281" s="76"/>
      <c r="U281" s="76"/>
      <c r="Y281" s="76"/>
      <c r="Z281" s="76"/>
      <c r="AA281" s="76"/>
      <c r="AB281" s="76"/>
    </row>
    <row r="282" ht="15.75" customHeight="1">
      <c r="Q282" s="76"/>
      <c r="U282" s="76"/>
      <c r="Y282" s="76"/>
      <c r="Z282" s="76"/>
      <c r="AA282" s="76"/>
      <c r="AB282" s="76"/>
    </row>
    <row r="283" ht="15.75" customHeight="1">
      <c r="Q283" s="76"/>
      <c r="U283" s="76"/>
      <c r="Y283" s="76"/>
      <c r="Z283" s="76"/>
      <c r="AA283" s="76"/>
      <c r="AB283" s="76"/>
    </row>
    <row r="284" ht="15.75" customHeight="1">
      <c r="Q284" s="76"/>
      <c r="U284" s="76"/>
      <c r="Y284" s="76"/>
      <c r="Z284" s="76"/>
      <c r="AA284" s="76"/>
      <c r="AB284" s="76"/>
    </row>
    <row r="285" ht="15.75" customHeight="1">
      <c r="Q285" s="76"/>
      <c r="U285" s="76"/>
      <c r="Y285" s="76"/>
      <c r="Z285" s="76"/>
      <c r="AA285" s="76"/>
      <c r="AB285" s="76"/>
    </row>
    <row r="286" ht="15.75" customHeight="1">
      <c r="Q286" s="76"/>
      <c r="U286" s="76"/>
      <c r="Y286" s="76"/>
      <c r="Z286" s="76"/>
      <c r="AA286" s="76"/>
      <c r="AB286" s="76"/>
    </row>
    <row r="287" ht="15.75" customHeight="1">
      <c r="Q287" s="76"/>
      <c r="U287" s="76"/>
      <c r="Y287" s="76"/>
      <c r="Z287" s="76"/>
      <c r="AA287" s="76"/>
      <c r="AB287" s="76"/>
    </row>
    <row r="288" ht="15.75" customHeight="1">
      <c r="Q288" s="76"/>
      <c r="U288" s="76"/>
      <c r="Y288" s="76"/>
      <c r="Z288" s="76"/>
      <c r="AA288" s="76"/>
      <c r="AB288" s="76"/>
    </row>
    <row r="289" ht="15.75" customHeight="1">
      <c r="Q289" s="76"/>
      <c r="U289" s="76"/>
      <c r="Y289" s="76"/>
      <c r="Z289" s="76"/>
      <c r="AA289" s="76"/>
      <c r="AB289" s="76"/>
    </row>
    <row r="290" ht="15.75" customHeight="1">
      <c r="Q290" s="76"/>
      <c r="U290" s="76"/>
      <c r="Y290" s="76"/>
      <c r="Z290" s="76"/>
      <c r="AA290" s="76"/>
      <c r="AB290" s="76"/>
    </row>
    <row r="291" ht="15.75" customHeight="1">
      <c r="Q291" s="76"/>
      <c r="U291" s="76"/>
      <c r="Y291" s="76"/>
      <c r="Z291" s="76"/>
      <c r="AA291" s="76"/>
      <c r="AB291" s="76"/>
    </row>
    <row r="292" ht="15.75" customHeight="1">
      <c r="Q292" s="76"/>
      <c r="U292" s="76"/>
      <c r="Y292" s="76"/>
      <c r="Z292" s="76"/>
      <c r="AA292" s="76"/>
      <c r="AB292" s="76"/>
    </row>
    <row r="293" ht="15.75" customHeight="1">
      <c r="Q293" s="76"/>
      <c r="U293" s="76"/>
      <c r="Y293" s="76"/>
      <c r="Z293" s="76"/>
      <c r="AA293" s="76"/>
      <c r="AB293" s="76"/>
    </row>
    <row r="294" ht="15.75" customHeight="1">
      <c r="Q294" s="76"/>
      <c r="U294" s="76"/>
      <c r="Y294" s="76"/>
      <c r="Z294" s="76"/>
      <c r="AA294" s="76"/>
      <c r="AB294" s="76"/>
    </row>
    <row r="295" ht="15.75" customHeight="1">
      <c r="Q295" s="76"/>
      <c r="U295" s="76"/>
      <c r="Y295" s="76"/>
      <c r="Z295" s="76"/>
      <c r="AA295" s="76"/>
      <c r="AB295" s="76"/>
    </row>
    <row r="296" ht="15.75" customHeight="1">
      <c r="Q296" s="76"/>
      <c r="U296" s="76"/>
      <c r="Y296" s="76"/>
      <c r="Z296" s="76"/>
      <c r="AA296" s="76"/>
      <c r="AB296" s="76"/>
    </row>
    <row r="297" ht="15.75" customHeight="1">
      <c r="Q297" s="76"/>
      <c r="U297" s="76"/>
      <c r="Y297" s="76"/>
      <c r="Z297" s="76"/>
      <c r="AA297" s="76"/>
      <c r="AB297" s="76"/>
    </row>
    <row r="298" ht="15.75" customHeight="1">
      <c r="Q298" s="76"/>
      <c r="U298" s="76"/>
      <c r="Y298" s="76"/>
      <c r="Z298" s="76"/>
      <c r="AA298" s="76"/>
      <c r="AB298" s="76"/>
    </row>
    <row r="299" ht="15.75" customHeight="1">
      <c r="Q299" s="76"/>
      <c r="U299" s="76"/>
      <c r="Y299" s="76"/>
      <c r="Z299" s="76"/>
      <c r="AA299" s="76"/>
      <c r="AB299" s="76"/>
    </row>
    <row r="300" ht="15.75" customHeight="1">
      <c r="Q300" s="76"/>
      <c r="U300" s="76"/>
      <c r="Y300" s="76"/>
      <c r="Z300" s="76"/>
      <c r="AA300" s="76"/>
      <c r="AB300" s="76"/>
    </row>
    <row r="301" ht="15.75" customHeight="1">
      <c r="Q301" s="76"/>
      <c r="U301" s="76"/>
      <c r="Y301" s="76"/>
      <c r="Z301" s="76"/>
      <c r="AA301" s="76"/>
      <c r="AB301" s="76"/>
    </row>
    <row r="302" ht="15.75" customHeight="1">
      <c r="Q302" s="76"/>
      <c r="U302" s="76"/>
      <c r="Y302" s="76"/>
      <c r="Z302" s="76"/>
      <c r="AA302" s="76"/>
      <c r="AB302" s="76"/>
    </row>
    <row r="303" ht="15.75" customHeight="1">
      <c r="Q303" s="76"/>
      <c r="U303" s="76"/>
      <c r="Y303" s="76"/>
      <c r="Z303" s="76"/>
      <c r="AA303" s="76"/>
      <c r="AB303" s="76"/>
    </row>
    <row r="304" ht="15.75" customHeight="1">
      <c r="Q304" s="76"/>
      <c r="U304" s="76"/>
      <c r="Y304" s="76"/>
      <c r="Z304" s="76"/>
      <c r="AA304" s="76"/>
      <c r="AB304" s="76"/>
    </row>
    <row r="305" ht="15.75" customHeight="1">
      <c r="Q305" s="76"/>
      <c r="U305" s="76"/>
      <c r="Y305" s="76"/>
      <c r="Z305" s="76"/>
      <c r="AA305" s="76"/>
      <c r="AB305" s="76"/>
    </row>
    <row r="306" ht="15.75" customHeight="1">
      <c r="Q306" s="76"/>
      <c r="U306" s="76"/>
      <c r="Y306" s="76"/>
      <c r="Z306" s="76"/>
      <c r="AA306" s="76"/>
      <c r="AB306" s="76"/>
    </row>
    <row r="307" ht="15.75" customHeight="1">
      <c r="Q307" s="76"/>
      <c r="U307" s="76"/>
      <c r="Y307" s="76"/>
      <c r="Z307" s="76"/>
      <c r="AA307" s="76"/>
      <c r="AB307" s="76"/>
    </row>
    <row r="308" ht="15.75" customHeight="1">
      <c r="Q308" s="76"/>
      <c r="U308" s="76"/>
      <c r="Y308" s="76"/>
      <c r="Z308" s="76"/>
      <c r="AA308" s="76"/>
      <c r="AB308" s="76"/>
    </row>
    <row r="309" ht="15.75" customHeight="1">
      <c r="Q309" s="76"/>
      <c r="U309" s="76"/>
      <c r="Y309" s="76"/>
      <c r="Z309" s="76"/>
      <c r="AA309" s="76"/>
      <c r="AB309" s="76"/>
    </row>
    <row r="310" ht="15.75" customHeight="1">
      <c r="Q310" s="76"/>
      <c r="U310" s="76"/>
      <c r="Y310" s="76"/>
      <c r="Z310" s="76"/>
      <c r="AA310" s="76"/>
      <c r="AB310" s="76"/>
    </row>
    <row r="311" ht="15.75" customHeight="1">
      <c r="Q311" s="76"/>
      <c r="U311" s="76"/>
      <c r="Y311" s="76"/>
      <c r="Z311" s="76"/>
      <c r="AA311" s="76"/>
      <c r="AB311" s="76"/>
    </row>
    <row r="312" ht="15.75" customHeight="1">
      <c r="Q312" s="76"/>
      <c r="U312" s="76"/>
      <c r="Y312" s="76"/>
      <c r="Z312" s="76"/>
      <c r="AA312" s="76"/>
      <c r="AB312" s="76"/>
    </row>
    <row r="313" ht="15.75" customHeight="1">
      <c r="Q313" s="76"/>
      <c r="U313" s="76"/>
      <c r="Y313" s="76"/>
      <c r="Z313" s="76"/>
      <c r="AA313" s="76"/>
      <c r="AB313" s="76"/>
    </row>
    <row r="314" ht="15.75" customHeight="1">
      <c r="Q314" s="76"/>
      <c r="U314" s="76"/>
      <c r="Y314" s="76"/>
      <c r="Z314" s="76"/>
      <c r="AA314" s="76"/>
      <c r="AB314" s="76"/>
    </row>
    <row r="315" ht="15.75" customHeight="1">
      <c r="Q315" s="76"/>
      <c r="U315" s="76"/>
      <c r="Y315" s="76"/>
      <c r="Z315" s="76"/>
      <c r="AA315" s="76"/>
      <c r="AB315" s="76"/>
    </row>
    <row r="316" ht="15.75" customHeight="1">
      <c r="Q316" s="76"/>
      <c r="U316" s="76"/>
      <c r="Y316" s="76"/>
      <c r="Z316" s="76"/>
      <c r="AA316" s="76"/>
      <c r="AB316" s="76"/>
    </row>
    <row r="317" ht="15.75" customHeight="1">
      <c r="Q317" s="76"/>
      <c r="U317" s="76"/>
      <c r="Y317" s="76"/>
      <c r="Z317" s="76"/>
      <c r="AA317" s="76"/>
      <c r="AB317" s="76"/>
    </row>
    <row r="318" ht="15.75" customHeight="1">
      <c r="Q318" s="76"/>
      <c r="U318" s="76"/>
      <c r="Y318" s="76"/>
      <c r="Z318" s="76"/>
      <c r="AA318" s="76"/>
      <c r="AB318" s="76"/>
    </row>
    <row r="319" ht="15.75" customHeight="1">
      <c r="Q319" s="76"/>
      <c r="U319" s="76"/>
      <c r="Y319" s="76"/>
      <c r="Z319" s="76"/>
      <c r="AA319" s="76"/>
      <c r="AB319" s="76"/>
    </row>
    <row r="320" ht="15.75" customHeight="1">
      <c r="Q320" s="76"/>
      <c r="U320" s="76"/>
      <c r="Y320" s="76"/>
      <c r="Z320" s="76"/>
      <c r="AA320" s="76"/>
      <c r="AB320" s="76"/>
    </row>
    <row r="321" ht="15.75" customHeight="1">
      <c r="Q321" s="76"/>
      <c r="U321" s="76"/>
      <c r="Y321" s="76"/>
      <c r="Z321" s="76"/>
      <c r="AA321" s="76"/>
      <c r="AB321" s="76"/>
    </row>
    <row r="322" ht="15.75" customHeight="1">
      <c r="Q322" s="76"/>
      <c r="U322" s="76"/>
      <c r="Y322" s="76"/>
      <c r="Z322" s="76"/>
      <c r="AA322" s="76"/>
      <c r="AB322" s="76"/>
    </row>
    <row r="323" ht="15.75" customHeight="1">
      <c r="Q323" s="76"/>
      <c r="U323" s="76"/>
      <c r="Y323" s="76"/>
      <c r="Z323" s="76"/>
      <c r="AA323" s="76"/>
      <c r="AB323" s="76"/>
    </row>
    <row r="324" ht="15.75" customHeight="1">
      <c r="Q324" s="76"/>
      <c r="U324" s="76"/>
      <c r="Y324" s="76"/>
      <c r="Z324" s="76"/>
      <c r="AA324" s="76"/>
      <c r="AB324" s="76"/>
    </row>
    <row r="325" ht="15.75" customHeight="1">
      <c r="Q325" s="76"/>
      <c r="U325" s="76"/>
      <c r="Y325" s="76"/>
      <c r="Z325" s="76"/>
      <c r="AA325" s="76"/>
      <c r="AB325" s="76"/>
    </row>
    <row r="326" ht="15.75" customHeight="1">
      <c r="Q326" s="76"/>
      <c r="U326" s="76"/>
      <c r="Y326" s="76"/>
      <c r="Z326" s="76"/>
      <c r="AA326" s="76"/>
      <c r="AB326" s="76"/>
    </row>
    <row r="327" ht="15.75" customHeight="1">
      <c r="Q327" s="76"/>
      <c r="U327" s="76"/>
      <c r="Y327" s="76"/>
      <c r="Z327" s="76"/>
      <c r="AA327" s="76"/>
      <c r="AB327" s="76"/>
    </row>
    <row r="328" ht="15.75" customHeight="1">
      <c r="Q328" s="76"/>
      <c r="U328" s="76"/>
      <c r="Y328" s="76"/>
      <c r="Z328" s="76"/>
      <c r="AA328" s="76"/>
      <c r="AB328" s="76"/>
    </row>
    <row r="329" ht="15.75" customHeight="1">
      <c r="Q329" s="76"/>
      <c r="U329" s="76"/>
      <c r="Y329" s="76"/>
      <c r="Z329" s="76"/>
      <c r="AA329" s="76"/>
      <c r="AB329" s="76"/>
    </row>
    <row r="330" ht="15.75" customHeight="1">
      <c r="Q330" s="76"/>
      <c r="U330" s="76"/>
      <c r="Y330" s="76"/>
      <c r="Z330" s="76"/>
      <c r="AA330" s="76"/>
      <c r="AB330" s="76"/>
    </row>
    <row r="331" ht="15.75" customHeight="1">
      <c r="Q331" s="76"/>
      <c r="U331" s="76"/>
      <c r="Y331" s="76"/>
      <c r="Z331" s="76"/>
      <c r="AA331" s="76"/>
      <c r="AB331" s="76"/>
    </row>
    <row r="332" ht="15.75" customHeight="1">
      <c r="Q332" s="76"/>
      <c r="U332" s="76"/>
      <c r="Y332" s="76"/>
      <c r="Z332" s="76"/>
      <c r="AA332" s="76"/>
      <c r="AB332" s="76"/>
    </row>
    <row r="333" ht="15.75" customHeight="1">
      <c r="Q333" s="76"/>
      <c r="U333" s="76"/>
      <c r="Y333" s="76"/>
      <c r="Z333" s="76"/>
      <c r="AA333" s="76"/>
      <c r="AB333" s="76"/>
    </row>
    <row r="334" ht="15.75" customHeight="1">
      <c r="Q334" s="76"/>
      <c r="U334" s="76"/>
      <c r="Y334" s="76"/>
      <c r="Z334" s="76"/>
      <c r="AA334" s="76"/>
      <c r="AB334" s="76"/>
    </row>
    <row r="335" ht="15.75" customHeight="1">
      <c r="Q335" s="76"/>
      <c r="U335" s="76"/>
      <c r="Y335" s="76"/>
      <c r="Z335" s="76"/>
      <c r="AA335" s="76"/>
      <c r="AB335" s="76"/>
    </row>
    <row r="336" ht="15.75" customHeight="1">
      <c r="Q336" s="76"/>
      <c r="U336" s="76"/>
      <c r="Y336" s="76"/>
      <c r="Z336" s="76"/>
      <c r="AA336" s="76"/>
      <c r="AB336" s="76"/>
    </row>
    <row r="337" ht="15.75" customHeight="1">
      <c r="Q337" s="76"/>
      <c r="U337" s="76"/>
      <c r="Y337" s="76"/>
      <c r="Z337" s="76"/>
      <c r="AA337" s="76"/>
      <c r="AB337" s="76"/>
    </row>
    <row r="338" ht="15.75" customHeight="1">
      <c r="Q338" s="76"/>
      <c r="U338" s="76"/>
      <c r="Y338" s="76"/>
      <c r="Z338" s="76"/>
      <c r="AA338" s="76"/>
      <c r="AB338" s="76"/>
    </row>
    <row r="339" ht="15.75" customHeight="1">
      <c r="Q339" s="76"/>
      <c r="U339" s="76"/>
      <c r="Y339" s="76"/>
      <c r="Z339" s="76"/>
      <c r="AA339" s="76"/>
      <c r="AB339" s="76"/>
    </row>
    <row r="340" ht="15.75" customHeight="1">
      <c r="Q340" s="76"/>
      <c r="U340" s="76"/>
      <c r="Y340" s="76"/>
      <c r="Z340" s="76"/>
      <c r="AA340" s="76"/>
      <c r="AB340" s="76"/>
    </row>
    <row r="341" ht="15.75" customHeight="1">
      <c r="Q341" s="76"/>
      <c r="U341" s="76"/>
      <c r="Y341" s="76"/>
      <c r="Z341" s="76"/>
      <c r="AA341" s="76"/>
      <c r="AB341" s="76"/>
    </row>
    <row r="342" ht="15.75" customHeight="1">
      <c r="Q342" s="76"/>
      <c r="U342" s="76"/>
      <c r="Y342" s="76"/>
      <c r="Z342" s="76"/>
      <c r="AA342" s="76"/>
      <c r="AB342" s="76"/>
    </row>
    <row r="343" ht="15.75" customHeight="1">
      <c r="Q343" s="76"/>
      <c r="U343" s="76"/>
      <c r="Y343" s="76"/>
      <c r="Z343" s="76"/>
      <c r="AA343" s="76"/>
      <c r="AB343" s="76"/>
    </row>
    <row r="344" ht="15.75" customHeight="1">
      <c r="Q344" s="76"/>
      <c r="U344" s="76"/>
      <c r="Y344" s="76"/>
      <c r="Z344" s="76"/>
      <c r="AA344" s="76"/>
      <c r="AB344" s="76"/>
    </row>
    <row r="345" ht="15.75" customHeight="1">
      <c r="Q345" s="76"/>
      <c r="U345" s="76"/>
      <c r="Y345" s="76"/>
      <c r="Z345" s="76"/>
      <c r="AA345" s="76"/>
      <c r="AB345" s="76"/>
    </row>
    <row r="346" ht="15.75" customHeight="1">
      <c r="Q346" s="76"/>
      <c r="U346" s="76"/>
      <c r="Y346" s="76"/>
      <c r="Z346" s="76"/>
      <c r="AA346" s="76"/>
      <c r="AB346" s="76"/>
    </row>
    <row r="347" ht="15.75" customHeight="1">
      <c r="Q347" s="76"/>
      <c r="U347" s="76"/>
      <c r="Y347" s="76"/>
      <c r="Z347" s="76"/>
      <c r="AA347" s="76"/>
      <c r="AB347" s="76"/>
    </row>
    <row r="348" ht="15.75" customHeight="1">
      <c r="Q348" s="76"/>
      <c r="U348" s="76"/>
      <c r="Y348" s="76"/>
      <c r="Z348" s="76"/>
      <c r="AA348" s="76"/>
      <c r="AB348" s="76"/>
    </row>
    <row r="349" ht="15.75" customHeight="1">
      <c r="Q349" s="76"/>
      <c r="U349" s="76"/>
      <c r="Y349" s="76"/>
      <c r="Z349" s="76"/>
      <c r="AA349" s="76"/>
      <c r="AB349" s="76"/>
    </row>
    <row r="350" ht="15.75" customHeight="1">
      <c r="Q350" s="76"/>
      <c r="U350" s="76"/>
      <c r="Y350" s="76"/>
      <c r="Z350" s="76"/>
      <c r="AA350" s="76"/>
      <c r="AB350" s="76"/>
    </row>
    <row r="351" ht="15.75" customHeight="1">
      <c r="Q351" s="76"/>
      <c r="U351" s="76"/>
      <c r="Y351" s="76"/>
      <c r="Z351" s="76"/>
      <c r="AA351" s="76"/>
      <c r="AB351" s="76"/>
    </row>
    <row r="352" ht="15.75" customHeight="1">
      <c r="Q352" s="76"/>
      <c r="U352" s="76"/>
      <c r="Y352" s="76"/>
      <c r="Z352" s="76"/>
      <c r="AA352" s="76"/>
      <c r="AB352" s="76"/>
    </row>
    <row r="353" ht="15.75" customHeight="1">
      <c r="Q353" s="76"/>
      <c r="U353" s="76"/>
      <c r="Y353" s="76"/>
      <c r="Z353" s="76"/>
      <c r="AA353" s="76"/>
      <c r="AB353" s="76"/>
    </row>
    <row r="354" ht="15.75" customHeight="1">
      <c r="Q354" s="76"/>
      <c r="U354" s="76"/>
      <c r="Y354" s="76"/>
      <c r="Z354" s="76"/>
      <c r="AA354" s="76"/>
      <c r="AB354" s="76"/>
    </row>
    <row r="355" ht="15.75" customHeight="1">
      <c r="Q355" s="76"/>
      <c r="U355" s="76"/>
      <c r="Y355" s="76"/>
      <c r="Z355" s="76"/>
      <c r="AA355" s="76"/>
      <c r="AB355" s="76"/>
    </row>
    <row r="356" ht="15.75" customHeight="1">
      <c r="Q356" s="76"/>
      <c r="U356" s="76"/>
      <c r="Y356" s="76"/>
      <c r="Z356" s="76"/>
      <c r="AA356" s="76"/>
      <c r="AB356" s="76"/>
    </row>
    <row r="357" ht="15.75" customHeight="1">
      <c r="Q357" s="76"/>
      <c r="U357" s="76"/>
      <c r="Y357" s="76"/>
      <c r="Z357" s="76"/>
      <c r="AA357" s="76"/>
      <c r="AB357" s="76"/>
    </row>
    <row r="358" ht="15.75" customHeight="1">
      <c r="Q358" s="76"/>
      <c r="U358" s="76"/>
      <c r="Y358" s="76"/>
      <c r="Z358" s="76"/>
      <c r="AA358" s="76"/>
      <c r="AB358" s="76"/>
    </row>
    <row r="359" ht="15.75" customHeight="1">
      <c r="Q359" s="76"/>
      <c r="U359" s="76"/>
      <c r="Y359" s="76"/>
      <c r="Z359" s="76"/>
      <c r="AA359" s="76"/>
      <c r="AB359" s="76"/>
    </row>
    <row r="360" ht="15.75" customHeight="1">
      <c r="Q360" s="76"/>
      <c r="U360" s="76"/>
      <c r="Y360" s="76"/>
      <c r="Z360" s="76"/>
      <c r="AA360" s="76"/>
      <c r="AB360" s="76"/>
    </row>
    <row r="361" ht="15.75" customHeight="1">
      <c r="Q361" s="76"/>
      <c r="U361" s="76"/>
      <c r="Y361" s="76"/>
      <c r="Z361" s="76"/>
      <c r="AA361" s="76"/>
      <c r="AB361" s="76"/>
    </row>
    <row r="362" ht="15.75" customHeight="1">
      <c r="Q362" s="76"/>
      <c r="U362" s="76"/>
      <c r="Y362" s="76"/>
      <c r="Z362" s="76"/>
      <c r="AA362" s="76"/>
      <c r="AB362" s="76"/>
    </row>
    <row r="363" ht="15.75" customHeight="1">
      <c r="Q363" s="76"/>
      <c r="U363" s="76"/>
      <c r="Y363" s="76"/>
      <c r="Z363" s="76"/>
      <c r="AA363" s="76"/>
      <c r="AB363" s="76"/>
    </row>
    <row r="364" ht="15.75" customHeight="1">
      <c r="Q364" s="76"/>
      <c r="U364" s="76"/>
      <c r="Y364" s="76"/>
      <c r="Z364" s="76"/>
      <c r="AA364" s="76"/>
      <c r="AB364" s="76"/>
    </row>
    <row r="365" ht="15.75" customHeight="1">
      <c r="Q365" s="76"/>
      <c r="U365" s="76"/>
      <c r="Y365" s="76"/>
      <c r="Z365" s="76"/>
      <c r="AA365" s="76"/>
      <c r="AB365" s="76"/>
    </row>
    <row r="366" ht="15.75" customHeight="1">
      <c r="Q366" s="76"/>
      <c r="U366" s="76"/>
      <c r="Y366" s="76"/>
      <c r="Z366" s="76"/>
      <c r="AA366" s="76"/>
      <c r="AB366" s="76"/>
    </row>
    <row r="367" ht="15.75" customHeight="1">
      <c r="Q367" s="76"/>
      <c r="U367" s="76"/>
      <c r="Y367" s="76"/>
      <c r="Z367" s="76"/>
      <c r="AA367" s="76"/>
      <c r="AB367" s="76"/>
    </row>
    <row r="368" ht="15.75" customHeight="1">
      <c r="Q368" s="76"/>
      <c r="U368" s="76"/>
      <c r="Y368" s="76"/>
      <c r="Z368" s="76"/>
      <c r="AA368" s="76"/>
      <c r="AB368" s="76"/>
    </row>
    <row r="369" ht="15.75" customHeight="1">
      <c r="Q369" s="76"/>
      <c r="U369" s="76"/>
      <c r="Y369" s="76"/>
      <c r="Z369" s="76"/>
      <c r="AA369" s="76"/>
      <c r="AB369" s="76"/>
    </row>
    <row r="370" ht="15.75" customHeight="1">
      <c r="Q370" s="76"/>
      <c r="U370" s="76"/>
      <c r="Y370" s="76"/>
      <c r="Z370" s="76"/>
      <c r="AA370" s="76"/>
      <c r="AB370" s="76"/>
    </row>
    <row r="371" ht="15.75" customHeight="1">
      <c r="Q371" s="76"/>
      <c r="U371" s="76"/>
      <c r="Y371" s="76"/>
      <c r="Z371" s="76"/>
      <c r="AA371" s="76"/>
      <c r="AB371" s="76"/>
    </row>
    <row r="372" ht="15.75" customHeight="1">
      <c r="Q372" s="76"/>
      <c r="U372" s="76"/>
      <c r="Y372" s="76"/>
      <c r="Z372" s="76"/>
      <c r="AA372" s="76"/>
      <c r="AB372" s="76"/>
    </row>
    <row r="373" ht="15.75" customHeight="1">
      <c r="Q373" s="76"/>
      <c r="U373" s="76"/>
      <c r="Y373" s="76"/>
      <c r="Z373" s="76"/>
      <c r="AA373" s="76"/>
      <c r="AB373" s="76"/>
    </row>
    <row r="374" ht="15.75" customHeight="1">
      <c r="Q374" s="76"/>
      <c r="U374" s="76"/>
      <c r="Y374" s="76"/>
      <c r="Z374" s="76"/>
      <c r="AA374" s="76"/>
      <c r="AB374" s="76"/>
    </row>
    <row r="375" ht="15.75" customHeight="1">
      <c r="Q375" s="76"/>
      <c r="U375" s="76"/>
      <c r="Y375" s="76"/>
      <c r="Z375" s="76"/>
      <c r="AA375" s="76"/>
      <c r="AB375" s="76"/>
    </row>
    <row r="376" ht="15.75" customHeight="1">
      <c r="Q376" s="76"/>
      <c r="U376" s="76"/>
      <c r="Y376" s="76"/>
      <c r="Z376" s="76"/>
      <c r="AA376" s="76"/>
      <c r="AB376" s="76"/>
    </row>
    <row r="377" ht="15.75" customHeight="1">
      <c r="Q377" s="76"/>
      <c r="U377" s="76"/>
      <c r="Y377" s="76"/>
      <c r="Z377" s="76"/>
      <c r="AA377" s="76"/>
      <c r="AB377" s="76"/>
    </row>
    <row r="378" ht="15.75" customHeight="1">
      <c r="Q378" s="76"/>
      <c r="U378" s="76"/>
      <c r="Y378" s="76"/>
      <c r="Z378" s="76"/>
      <c r="AA378" s="76"/>
      <c r="AB378" s="76"/>
    </row>
    <row r="379" ht="15.75" customHeight="1">
      <c r="Q379" s="76"/>
      <c r="U379" s="76"/>
      <c r="Y379" s="76"/>
      <c r="Z379" s="76"/>
      <c r="AA379" s="76"/>
      <c r="AB379" s="76"/>
    </row>
    <row r="380" ht="15.75" customHeight="1">
      <c r="Q380" s="76"/>
      <c r="U380" s="76"/>
      <c r="Y380" s="76"/>
      <c r="Z380" s="76"/>
      <c r="AA380" s="76"/>
      <c r="AB380" s="76"/>
    </row>
    <row r="381" ht="15.75" customHeight="1">
      <c r="Q381" s="76"/>
      <c r="U381" s="76"/>
      <c r="Y381" s="76"/>
      <c r="Z381" s="76"/>
      <c r="AA381" s="76"/>
      <c r="AB381" s="76"/>
    </row>
    <row r="382" ht="15.75" customHeight="1">
      <c r="Q382" s="76"/>
      <c r="U382" s="76"/>
      <c r="Y382" s="76"/>
      <c r="Z382" s="76"/>
      <c r="AA382" s="76"/>
      <c r="AB382" s="76"/>
    </row>
    <row r="383" ht="15.75" customHeight="1">
      <c r="Q383" s="76"/>
      <c r="U383" s="76"/>
      <c r="Y383" s="76"/>
      <c r="Z383" s="76"/>
      <c r="AA383" s="76"/>
      <c r="AB383" s="76"/>
    </row>
    <row r="384" ht="15.75" customHeight="1">
      <c r="Q384" s="76"/>
      <c r="U384" s="76"/>
      <c r="Y384" s="76"/>
      <c r="Z384" s="76"/>
      <c r="AA384" s="76"/>
      <c r="AB384" s="76"/>
    </row>
    <row r="385" ht="15.75" customHeight="1">
      <c r="Q385" s="76"/>
      <c r="U385" s="76"/>
      <c r="Y385" s="76"/>
      <c r="Z385" s="76"/>
      <c r="AA385" s="76"/>
      <c r="AB385" s="76"/>
    </row>
    <row r="386" ht="15.75" customHeight="1">
      <c r="Q386" s="76"/>
      <c r="U386" s="76"/>
      <c r="Y386" s="76"/>
      <c r="Z386" s="76"/>
      <c r="AA386" s="76"/>
      <c r="AB386" s="76"/>
    </row>
    <row r="387" ht="15.75" customHeight="1">
      <c r="Q387" s="76"/>
      <c r="U387" s="76"/>
      <c r="Y387" s="76"/>
      <c r="Z387" s="76"/>
      <c r="AA387" s="76"/>
      <c r="AB387" s="76"/>
    </row>
    <row r="388" ht="15.75" customHeight="1">
      <c r="Q388" s="76"/>
      <c r="U388" s="76"/>
      <c r="Y388" s="76"/>
      <c r="Z388" s="76"/>
      <c r="AA388" s="76"/>
      <c r="AB388" s="76"/>
    </row>
    <row r="389" ht="15.75" customHeight="1">
      <c r="Q389" s="76"/>
      <c r="U389" s="76"/>
      <c r="Y389" s="76"/>
      <c r="Z389" s="76"/>
      <c r="AA389" s="76"/>
      <c r="AB389" s="76"/>
    </row>
    <row r="390" ht="15.75" customHeight="1">
      <c r="Q390" s="76"/>
      <c r="U390" s="76"/>
      <c r="Y390" s="76"/>
      <c r="Z390" s="76"/>
      <c r="AA390" s="76"/>
      <c r="AB390" s="76"/>
    </row>
    <row r="391" ht="15.75" customHeight="1">
      <c r="Q391" s="76"/>
      <c r="U391" s="76"/>
      <c r="Y391" s="76"/>
      <c r="Z391" s="76"/>
      <c r="AA391" s="76"/>
      <c r="AB391" s="76"/>
    </row>
    <row r="392" ht="15.75" customHeight="1">
      <c r="Q392" s="76"/>
      <c r="U392" s="76"/>
      <c r="Y392" s="76"/>
      <c r="Z392" s="76"/>
      <c r="AA392" s="76"/>
      <c r="AB392" s="76"/>
    </row>
    <row r="393" ht="15.75" customHeight="1">
      <c r="Q393" s="76"/>
      <c r="U393" s="76"/>
      <c r="Y393" s="76"/>
      <c r="Z393" s="76"/>
      <c r="AA393" s="76"/>
      <c r="AB393" s="76"/>
    </row>
    <row r="394" ht="15.75" customHeight="1">
      <c r="Q394" s="76"/>
      <c r="U394" s="76"/>
      <c r="Y394" s="76"/>
      <c r="Z394" s="76"/>
      <c r="AA394" s="76"/>
      <c r="AB394" s="76"/>
    </row>
    <row r="395" ht="15.75" customHeight="1">
      <c r="Q395" s="76"/>
      <c r="U395" s="76"/>
      <c r="Y395" s="76"/>
      <c r="Z395" s="76"/>
      <c r="AA395" s="76"/>
      <c r="AB395" s="76"/>
    </row>
    <row r="396" ht="15.75" customHeight="1">
      <c r="Q396" s="76"/>
      <c r="U396" s="76"/>
      <c r="Y396" s="76"/>
      <c r="Z396" s="76"/>
      <c r="AA396" s="76"/>
      <c r="AB396" s="76"/>
    </row>
    <row r="397" ht="15.75" customHeight="1">
      <c r="Q397" s="76"/>
      <c r="U397" s="76"/>
      <c r="Y397" s="76"/>
      <c r="Z397" s="76"/>
      <c r="AA397" s="76"/>
      <c r="AB397" s="76"/>
    </row>
    <row r="398" ht="15.75" customHeight="1">
      <c r="Q398" s="76"/>
      <c r="U398" s="76"/>
      <c r="Y398" s="76"/>
      <c r="Z398" s="76"/>
      <c r="AA398" s="76"/>
      <c r="AB398" s="76"/>
    </row>
    <row r="399" ht="15.75" customHeight="1">
      <c r="Q399" s="76"/>
      <c r="U399" s="76"/>
      <c r="Y399" s="76"/>
      <c r="Z399" s="76"/>
      <c r="AA399" s="76"/>
      <c r="AB399" s="76"/>
    </row>
    <row r="400" ht="15.75" customHeight="1">
      <c r="Q400" s="76"/>
      <c r="U400" s="76"/>
      <c r="Y400" s="76"/>
      <c r="Z400" s="76"/>
      <c r="AA400" s="76"/>
      <c r="AB400" s="76"/>
    </row>
    <row r="401" ht="15.75" customHeight="1">
      <c r="Q401" s="76"/>
      <c r="U401" s="76"/>
      <c r="Y401" s="76"/>
      <c r="Z401" s="76"/>
      <c r="AA401" s="76"/>
      <c r="AB401" s="76"/>
    </row>
    <row r="402" ht="15.75" customHeight="1">
      <c r="Q402" s="76"/>
      <c r="U402" s="76"/>
      <c r="Y402" s="76"/>
      <c r="Z402" s="76"/>
      <c r="AA402" s="76"/>
      <c r="AB402" s="76"/>
    </row>
    <row r="403" ht="15.75" customHeight="1">
      <c r="Q403" s="76"/>
      <c r="U403" s="76"/>
      <c r="Y403" s="76"/>
      <c r="Z403" s="76"/>
      <c r="AA403" s="76"/>
      <c r="AB403" s="76"/>
    </row>
    <row r="404" ht="15.75" customHeight="1">
      <c r="Q404" s="76"/>
      <c r="U404" s="76"/>
      <c r="Y404" s="76"/>
      <c r="Z404" s="76"/>
      <c r="AA404" s="76"/>
      <c r="AB404" s="76"/>
    </row>
    <row r="405" ht="15.75" customHeight="1">
      <c r="Q405" s="76"/>
      <c r="U405" s="76"/>
      <c r="Y405" s="76"/>
      <c r="Z405" s="76"/>
      <c r="AA405" s="76"/>
      <c r="AB405" s="76"/>
    </row>
    <row r="406" ht="15.75" customHeight="1">
      <c r="Q406" s="76"/>
      <c r="U406" s="76"/>
      <c r="Y406" s="76"/>
      <c r="Z406" s="76"/>
      <c r="AA406" s="76"/>
      <c r="AB406" s="76"/>
    </row>
    <row r="407" ht="15.75" customHeight="1">
      <c r="Q407" s="76"/>
      <c r="U407" s="76"/>
      <c r="Y407" s="76"/>
      <c r="Z407" s="76"/>
      <c r="AA407" s="76"/>
      <c r="AB407" s="76"/>
    </row>
    <row r="408" ht="15.75" customHeight="1">
      <c r="Q408" s="76"/>
      <c r="U408" s="76"/>
      <c r="Y408" s="76"/>
      <c r="Z408" s="76"/>
      <c r="AA408" s="76"/>
      <c r="AB408" s="76"/>
    </row>
    <row r="409" ht="15.75" customHeight="1">
      <c r="Q409" s="76"/>
      <c r="U409" s="76"/>
      <c r="Y409" s="76"/>
      <c r="Z409" s="76"/>
      <c r="AA409" s="76"/>
      <c r="AB409" s="76"/>
    </row>
    <row r="410" ht="15.75" customHeight="1">
      <c r="Q410" s="76"/>
      <c r="U410" s="76"/>
      <c r="Y410" s="76"/>
      <c r="Z410" s="76"/>
      <c r="AA410" s="76"/>
      <c r="AB410" s="76"/>
    </row>
    <row r="411" ht="15.75" customHeight="1">
      <c r="Q411" s="76"/>
      <c r="U411" s="76"/>
      <c r="Y411" s="76"/>
      <c r="Z411" s="76"/>
      <c r="AA411" s="76"/>
      <c r="AB411" s="76"/>
    </row>
    <row r="412" ht="15.75" customHeight="1">
      <c r="Q412" s="76"/>
      <c r="U412" s="76"/>
      <c r="Y412" s="76"/>
      <c r="Z412" s="76"/>
      <c r="AA412" s="76"/>
      <c r="AB412" s="76"/>
    </row>
    <row r="413" ht="15.75" customHeight="1">
      <c r="Q413" s="76"/>
      <c r="U413" s="76"/>
      <c r="Y413" s="76"/>
      <c r="Z413" s="76"/>
      <c r="AA413" s="76"/>
      <c r="AB413" s="76"/>
    </row>
    <row r="414" ht="15.75" customHeight="1">
      <c r="Q414" s="76"/>
      <c r="U414" s="76"/>
      <c r="Y414" s="76"/>
      <c r="Z414" s="76"/>
      <c r="AA414" s="76"/>
      <c r="AB414" s="76"/>
    </row>
    <row r="415" ht="15.75" customHeight="1">
      <c r="Q415" s="76"/>
      <c r="U415" s="76"/>
      <c r="Y415" s="76"/>
      <c r="Z415" s="76"/>
      <c r="AA415" s="76"/>
      <c r="AB415" s="76"/>
    </row>
    <row r="416" ht="15.75" customHeight="1">
      <c r="Q416" s="76"/>
      <c r="U416" s="76"/>
      <c r="Y416" s="76"/>
      <c r="Z416" s="76"/>
      <c r="AA416" s="76"/>
      <c r="AB416" s="76"/>
    </row>
    <row r="417" ht="15.75" customHeight="1">
      <c r="Q417" s="76"/>
      <c r="U417" s="76"/>
      <c r="Y417" s="76"/>
      <c r="Z417" s="76"/>
      <c r="AA417" s="76"/>
      <c r="AB417" s="76"/>
    </row>
    <row r="418" ht="15.75" customHeight="1">
      <c r="Q418" s="76"/>
      <c r="U418" s="76"/>
      <c r="Y418" s="76"/>
      <c r="Z418" s="76"/>
      <c r="AA418" s="76"/>
      <c r="AB418" s="76"/>
    </row>
    <row r="419" ht="15.75" customHeight="1">
      <c r="Q419" s="76"/>
      <c r="U419" s="76"/>
      <c r="Y419" s="76"/>
      <c r="Z419" s="76"/>
      <c r="AA419" s="76"/>
      <c r="AB419" s="76"/>
    </row>
    <row r="420" ht="15.75" customHeight="1">
      <c r="Q420" s="76"/>
      <c r="U420" s="76"/>
      <c r="Y420" s="76"/>
      <c r="Z420" s="76"/>
      <c r="AA420" s="76"/>
      <c r="AB420" s="76"/>
    </row>
    <row r="421" ht="15.75" customHeight="1">
      <c r="Q421" s="76"/>
      <c r="U421" s="76"/>
      <c r="Y421" s="76"/>
      <c r="Z421" s="76"/>
      <c r="AA421" s="76"/>
      <c r="AB421" s="76"/>
    </row>
    <row r="422" ht="15.75" customHeight="1">
      <c r="Q422" s="76"/>
      <c r="U422" s="76"/>
      <c r="Y422" s="76"/>
      <c r="Z422" s="76"/>
      <c r="AA422" s="76"/>
      <c r="AB422" s="76"/>
    </row>
    <row r="423" ht="15.75" customHeight="1">
      <c r="Q423" s="76"/>
      <c r="U423" s="76"/>
      <c r="Y423" s="76"/>
      <c r="Z423" s="76"/>
      <c r="AA423" s="76"/>
      <c r="AB423" s="76"/>
    </row>
    <row r="424" ht="15.75" customHeight="1">
      <c r="Q424" s="76"/>
      <c r="U424" s="76"/>
      <c r="Y424" s="76"/>
      <c r="Z424" s="76"/>
      <c r="AA424" s="76"/>
      <c r="AB424" s="76"/>
    </row>
    <row r="425" ht="15.75" customHeight="1">
      <c r="Q425" s="76"/>
      <c r="U425" s="76"/>
      <c r="Y425" s="76"/>
      <c r="Z425" s="76"/>
      <c r="AA425" s="76"/>
      <c r="AB425" s="76"/>
    </row>
    <row r="426" ht="15.75" customHeight="1">
      <c r="Q426" s="76"/>
      <c r="U426" s="76"/>
      <c r="Y426" s="76"/>
      <c r="Z426" s="76"/>
      <c r="AA426" s="76"/>
      <c r="AB426" s="76"/>
    </row>
    <row r="427" ht="15.75" customHeight="1">
      <c r="Q427" s="76"/>
      <c r="U427" s="76"/>
      <c r="Y427" s="76"/>
      <c r="Z427" s="76"/>
      <c r="AA427" s="76"/>
      <c r="AB427" s="76"/>
    </row>
    <row r="428" ht="15.75" customHeight="1">
      <c r="Q428" s="76"/>
      <c r="U428" s="76"/>
      <c r="Y428" s="76"/>
      <c r="Z428" s="76"/>
      <c r="AA428" s="76"/>
      <c r="AB428" s="76"/>
    </row>
    <row r="429" ht="15.75" customHeight="1">
      <c r="Q429" s="76"/>
      <c r="U429" s="76"/>
      <c r="Y429" s="76"/>
      <c r="Z429" s="76"/>
      <c r="AA429" s="76"/>
      <c r="AB429" s="76"/>
    </row>
    <row r="430" ht="15.75" customHeight="1">
      <c r="Q430" s="76"/>
      <c r="U430" s="76"/>
      <c r="Y430" s="76"/>
      <c r="Z430" s="76"/>
      <c r="AA430" s="76"/>
      <c r="AB430" s="76"/>
    </row>
    <row r="431" ht="15.75" customHeight="1">
      <c r="Q431" s="76"/>
      <c r="U431" s="76"/>
      <c r="Y431" s="76"/>
      <c r="Z431" s="76"/>
      <c r="AA431" s="76"/>
      <c r="AB431" s="76"/>
    </row>
    <row r="432" ht="15.75" customHeight="1">
      <c r="Q432" s="76"/>
      <c r="U432" s="76"/>
      <c r="Y432" s="76"/>
      <c r="Z432" s="76"/>
      <c r="AA432" s="76"/>
      <c r="AB432" s="76"/>
    </row>
    <row r="433" ht="15.75" customHeight="1">
      <c r="Q433" s="76"/>
      <c r="U433" s="76"/>
      <c r="Y433" s="76"/>
      <c r="Z433" s="76"/>
      <c r="AA433" s="76"/>
      <c r="AB433" s="76"/>
    </row>
    <row r="434" ht="15.75" customHeight="1">
      <c r="Q434" s="76"/>
      <c r="U434" s="76"/>
      <c r="Y434" s="76"/>
      <c r="Z434" s="76"/>
      <c r="AA434" s="76"/>
      <c r="AB434" s="76"/>
    </row>
    <row r="435" ht="15.75" customHeight="1">
      <c r="Q435" s="76"/>
      <c r="U435" s="76"/>
      <c r="Y435" s="76"/>
      <c r="Z435" s="76"/>
      <c r="AA435" s="76"/>
      <c r="AB435" s="76"/>
    </row>
    <row r="436" ht="15.75" customHeight="1">
      <c r="Q436" s="76"/>
      <c r="U436" s="76"/>
      <c r="Y436" s="76"/>
      <c r="Z436" s="76"/>
      <c r="AA436" s="76"/>
      <c r="AB436" s="76"/>
    </row>
    <row r="437" ht="15.75" customHeight="1">
      <c r="Q437" s="76"/>
      <c r="U437" s="76"/>
      <c r="Y437" s="76"/>
      <c r="Z437" s="76"/>
      <c r="AA437" s="76"/>
      <c r="AB437" s="76"/>
    </row>
    <row r="438" ht="15.75" customHeight="1">
      <c r="Q438" s="76"/>
      <c r="U438" s="76"/>
      <c r="Y438" s="76"/>
      <c r="Z438" s="76"/>
      <c r="AA438" s="76"/>
      <c r="AB438" s="76"/>
    </row>
    <row r="439" ht="15.75" customHeight="1">
      <c r="Q439" s="76"/>
      <c r="U439" s="76"/>
      <c r="Y439" s="76"/>
      <c r="Z439" s="76"/>
      <c r="AA439" s="76"/>
      <c r="AB439" s="76"/>
    </row>
    <row r="440" ht="15.75" customHeight="1">
      <c r="Q440" s="76"/>
      <c r="U440" s="76"/>
      <c r="Y440" s="76"/>
      <c r="Z440" s="76"/>
      <c r="AA440" s="76"/>
      <c r="AB440" s="76"/>
    </row>
    <row r="441" ht="15.75" customHeight="1">
      <c r="Q441" s="76"/>
      <c r="U441" s="76"/>
      <c r="Y441" s="76"/>
      <c r="Z441" s="76"/>
      <c r="AA441" s="76"/>
      <c r="AB441" s="76"/>
    </row>
    <row r="442" ht="15.75" customHeight="1">
      <c r="Q442" s="76"/>
      <c r="U442" s="76"/>
      <c r="Y442" s="76"/>
      <c r="Z442" s="76"/>
      <c r="AA442" s="76"/>
      <c r="AB442" s="76"/>
    </row>
    <row r="443" ht="15.75" customHeight="1">
      <c r="Q443" s="76"/>
      <c r="U443" s="76"/>
      <c r="Y443" s="76"/>
      <c r="Z443" s="76"/>
      <c r="AA443" s="76"/>
      <c r="AB443" s="76"/>
    </row>
    <row r="444" ht="15.75" customHeight="1">
      <c r="Q444" s="76"/>
      <c r="U444" s="76"/>
      <c r="Y444" s="76"/>
      <c r="Z444" s="76"/>
      <c r="AA444" s="76"/>
      <c r="AB444" s="76"/>
    </row>
    <row r="445" ht="15.75" customHeight="1">
      <c r="Q445" s="76"/>
      <c r="U445" s="76"/>
      <c r="Y445" s="76"/>
      <c r="Z445" s="76"/>
      <c r="AA445" s="76"/>
      <c r="AB445" s="76"/>
    </row>
    <row r="446" ht="15.75" customHeight="1">
      <c r="Q446" s="76"/>
      <c r="U446" s="76"/>
      <c r="Y446" s="76"/>
      <c r="Z446" s="76"/>
      <c r="AA446" s="76"/>
      <c r="AB446" s="76"/>
    </row>
    <row r="447" ht="15.75" customHeight="1">
      <c r="Q447" s="76"/>
      <c r="U447" s="76"/>
      <c r="Y447" s="76"/>
      <c r="Z447" s="76"/>
      <c r="AA447" s="76"/>
      <c r="AB447" s="76"/>
    </row>
    <row r="448" ht="15.75" customHeight="1">
      <c r="Q448" s="76"/>
      <c r="U448" s="76"/>
      <c r="Y448" s="76"/>
      <c r="Z448" s="76"/>
      <c r="AA448" s="76"/>
      <c r="AB448" s="76"/>
    </row>
    <row r="449" ht="15.75" customHeight="1">
      <c r="Q449" s="76"/>
      <c r="U449" s="76"/>
      <c r="Y449" s="76"/>
      <c r="Z449" s="76"/>
      <c r="AA449" s="76"/>
      <c r="AB449" s="76"/>
    </row>
    <row r="450" ht="15.75" customHeight="1">
      <c r="Q450" s="76"/>
      <c r="U450" s="76"/>
      <c r="Y450" s="76"/>
      <c r="Z450" s="76"/>
      <c r="AA450" s="76"/>
      <c r="AB450" s="76"/>
    </row>
    <row r="451" ht="15.75" customHeight="1">
      <c r="Q451" s="76"/>
      <c r="U451" s="76"/>
      <c r="Y451" s="76"/>
      <c r="Z451" s="76"/>
      <c r="AA451" s="76"/>
      <c r="AB451" s="76"/>
    </row>
    <row r="452" ht="15.75" customHeight="1">
      <c r="Q452" s="76"/>
      <c r="U452" s="76"/>
      <c r="Y452" s="76"/>
      <c r="Z452" s="76"/>
      <c r="AA452" s="76"/>
      <c r="AB452" s="76"/>
    </row>
    <row r="453" ht="15.75" customHeight="1">
      <c r="Q453" s="76"/>
      <c r="U453" s="76"/>
      <c r="Y453" s="76"/>
      <c r="Z453" s="76"/>
      <c r="AA453" s="76"/>
      <c r="AB453" s="76"/>
    </row>
    <row r="454" ht="15.75" customHeight="1">
      <c r="Q454" s="76"/>
      <c r="U454" s="76"/>
      <c r="Y454" s="76"/>
      <c r="Z454" s="76"/>
      <c r="AA454" s="76"/>
      <c r="AB454" s="76"/>
    </row>
    <row r="455" ht="15.75" customHeight="1">
      <c r="Q455" s="76"/>
      <c r="U455" s="76"/>
      <c r="Y455" s="76"/>
      <c r="Z455" s="76"/>
      <c r="AA455" s="76"/>
      <c r="AB455" s="76"/>
    </row>
    <row r="456" ht="15.75" customHeight="1">
      <c r="Q456" s="76"/>
      <c r="U456" s="76"/>
      <c r="Y456" s="76"/>
      <c r="Z456" s="76"/>
      <c r="AA456" s="76"/>
      <c r="AB456" s="76"/>
    </row>
    <row r="457" ht="15.75" customHeight="1">
      <c r="Q457" s="76"/>
      <c r="U457" s="76"/>
      <c r="Y457" s="76"/>
      <c r="Z457" s="76"/>
      <c r="AA457" s="76"/>
      <c r="AB457" s="76"/>
    </row>
    <row r="458" ht="15.75" customHeight="1">
      <c r="Q458" s="76"/>
      <c r="U458" s="76"/>
      <c r="Y458" s="76"/>
      <c r="Z458" s="76"/>
      <c r="AA458" s="76"/>
      <c r="AB458" s="76"/>
    </row>
    <row r="459" ht="15.75" customHeight="1">
      <c r="Q459" s="76"/>
      <c r="U459" s="76"/>
      <c r="Y459" s="76"/>
      <c r="Z459" s="76"/>
      <c r="AA459" s="76"/>
      <c r="AB459" s="76"/>
    </row>
    <row r="460" ht="15.75" customHeight="1">
      <c r="Q460" s="76"/>
      <c r="U460" s="76"/>
      <c r="Y460" s="76"/>
      <c r="Z460" s="76"/>
      <c r="AA460" s="76"/>
      <c r="AB460" s="76"/>
    </row>
    <row r="461" ht="15.75" customHeight="1">
      <c r="Q461" s="76"/>
      <c r="U461" s="76"/>
      <c r="Y461" s="76"/>
      <c r="Z461" s="76"/>
      <c r="AA461" s="76"/>
      <c r="AB461" s="76"/>
    </row>
    <row r="462" ht="15.75" customHeight="1">
      <c r="Q462" s="76"/>
      <c r="U462" s="76"/>
      <c r="Y462" s="76"/>
      <c r="Z462" s="76"/>
      <c r="AA462" s="76"/>
      <c r="AB462" s="76"/>
    </row>
    <row r="463" ht="15.75" customHeight="1">
      <c r="Q463" s="76"/>
      <c r="U463" s="76"/>
      <c r="Y463" s="76"/>
      <c r="Z463" s="76"/>
      <c r="AA463" s="76"/>
      <c r="AB463" s="76"/>
    </row>
    <row r="464" ht="15.75" customHeight="1">
      <c r="Q464" s="76"/>
      <c r="U464" s="76"/>
      <c r="Y464" s="76"/>
      <c r="Z464" s="76"/>
      <c r="AA464" s="76"/>
      <c r="AB464" s="76"/>
    </row>
    <row r="465" ht="15.75" customHeight="1">
      <c r="Q465" s="76"/>
      <c r="U465" s="76"/>
      <c r="Y465" s="76"/>
      <c r="Z465" s="76"/>
      <c r="AA465" s="76"/>
      <c r="AB465" s="76"/>
    </row>
    <row r="466" ht="15.75" customHeight="1">
      <c r="Q466" s="76"/>
      <c r="U466" s="76"/>
      <c r="Y466" s="76"/>
      <c r="Z466" s="76"/>
      <c r="AA466" s="76"/>
      <c r="AB466" s="76"/>
    </row>
    <row r="467" ht="15.75" customHeight="1">
      <c r="Q467" s="76"/>
      <c r="U467" s="76"/>
      <c r="Y467" s="76"/>
      <c r="Z467" s="76"/>
      <c r="AA467" s="76"/>
      <c r="AB467" s="76"/>
    </row>
    <row r="468" ht="15.75" customHeight="1">
      <c r="Q468" s="76"/>
      <c r="U468" s="76"/>
      <c r="Y468" s="76"/>
      <c r="Z468" s="76"/>
      <c r="AA468" s="76"/>
      <c r="AB468" s="76"/>
    </row>
    <row r="469" ht="15.75" customHeight="1">
      <c r="Q469" s="76"/>
      <c r="U469" s="76"/>
      <c r="Y469" s="76"/>
      <c r="Z469" s="76"/>
      <c r="AA469" s="76"/>
      <c r="AB469" s="76"/>
    </row>
    <row r="470" ht="15.75" customHeight="1">
      <c r="Q470" s="76"/>
      <c r="U470" s="76"/>
      <c r="Y470" s="76"/>
      <c r="Z470" s="76"/>
      <c r="AA470" s="76"/>
      <c r="AB470" s="76"/>
    </row>
    <row r="471" ht="15.75" customHeight="1">
      <c r="Q471" s="76"/>
      <c r="U471" s="76"/>
      <c r="Y471" s="76"/>
      <c r="Z471" s="76"/>
      <c r="AA471" s="76"/>
      <c r="AB471" s="76"/>
    </row>
    <row r="472" ht="15.75" customHeight="1">
      <c r="Q472" s="76"/>
      <c r="U472" s="76"/>
      <c r="Y472" s="76"/>
      <c r="Z472" s="76"/>
      <c r="AA472" s="76"/>
      <c r="AB472" s="76"/>
    </row>
    <row r="473" ht="15.75" customHeight="1">
      <c r="Q473" s="76"/>
      <c r="U473" s="76"/>
      <c r="Y473" s="76"/>
      <c r="Z473" s="76"/>
      <c r="AA473" s="76"/>
      <c r="AB473" s="76"/>
    </row>
    <row r="474" ht="15.75" customHeight="1">
      <c r="Q474" s="76"/>
      <c r="U474" s="76"/>
      <c r="Y474" s="76"/>
      <c r="Z474" s="76"/>
      <c r="AA474" s="76"/>
      <c r="AB474" s="76"/>
    </row>
    <row r="475" ht="15.75" customHeight="1">
      <c r="Q475" s="76"/>
      <c r="U475" s="76"/>
      <c r="Y475" s="76"/>
      <c r="Z475" s="76"/>
      <c r="AA475" s="76"/>
      <c r="AB475" s="76"/>
    </row>
    <row r="476" ht="15.75" customHeight="1">
      <c r="Q476" s="76"/>
      <c r="U476" s="76"/>
      <c r="Y476" s="76"/>
      <c r="Z476" s="76"/>
      <c r="AA476" s="76"/>
      <c r="AB476" s="76"/>
    </row>
    <row r="477" ht="15.75" customHeight="1">
      <c r="Q477" s="76"/>
      <c r="U477" s="76"/>
      <c r="Y477" s="76"/>
      <c r="Z477" s="76"/>
      <c r="AA477" s="76"/>
      <c r="AB477" s="76"/>
    </row>
    <row r="478" ht="15.75" customHeight="1">
      <c r="Q478" s="76"/>
      <c r="U478" s="76"/>
      <c r="Y478" s="76"/>
      <c r="Z478" s="76"/>
      <c r="AA478" s="76"/>
      <c r="AB478" s="76"/>
    </row>
    <row r="479" ht="15.75" customHeight="1">
      <c r="Q479" s="76"/>
      <c r="U479" s="76"/>
      <c r="Y479" s="76"/>
      <c r="Z479" s="76"/>
      <c r="AA479" s="76"/>
      <c r="AB479" s="76"/>
    </row>
    <row r="480" ht="15.75" customHeight="1">
      <c r="Q480" s="76"/>
      <c r="U480" s="76"/>
      <c r="Y480" s="76"/>
      <c r="Z480" s="76"/>
      <c r="AA480" s="76"/>
      <c r="AB480" s="76"/>
    </row>
    <row r="481" ht="15.75" customHeight="1">
      <c r="Q481" s="76"/>
      <c r="U481" s="76"/>
      <c r="Y481" s="76"/>
      <c r="Z481" s="76"/>
      <c r="AA481" s="76"/>
      <c r="AB481" s="76"/>
    </row>
    <row r="482" ht="15.75" customHeight="1">
      <c r="Q482" s="76"/>
      <c r="U482" s="76"/>
      <c r="Y482" s="76"/>
      <c r="Z482" s="76"/>
      <c r="AA482" s="76"/>
      <c r="AB482" s="76"/>
    </row>
    <row r="483" ht="15.75" customHeight="1">
      <c r="Q483" s="76"/>
      <c r="U483" s="76"/>
      <c r="Y483" s="76"/>
      <c r="Z483" s="76"/>
      <c r="AA483" s="76"/>
      <c r="AB483" s="76"/>
    </row>
    <row r="484" ht="15.75" customHeight="1">
      <c r="Q484" s="76"/>
      <c r="U484" s="76"/>
      <c r="Y484" s="76"/>
      <c r="Z484" s="76"/>
      <c r="AA484" s="76"/>
      <c r="AB484" s="76"/>
    </row>
    <row r="485" ht="15.75" customHeight="1">
      <c r="Q485" s="76"/>
      <c r="U485" s="76"/>
      <c r="Y485" s="76"/>
      <c r="Z485" s="76"/>
      <c r="AA485" s="76"/>
      <c r="AB485" s="76"/>
    </row>
    <row r="486" ht="15.75" customHeight="1">
      <c r="Q486" s="76"/>
      <c r="U486" s="76"/>
      <c r="Y486" s="76"/>
      <c r="Z486" s="76"/>
      <c r="AA486" s="76"/>
      <c r="AB486" s="76"/>
    </row>
    <row r="487" ht="15.75" customHeight="1">
      <c r="Q487" s="76"/>
      <c r="U487" s="76"/>
      <c r="Y487" s="76"/>
      <c r="Z487" s="76"/>
      <c r="AA487" s="76"/>
      <c r="AB487" s="76"/>
    </row>
    <row r="488" ht="15.75" customHeight="1">
      <c r="Q488" s="76"/>
      <c r="U488" s="76"/>
      <c r="Y488" s="76"/>
      <c r="Z488" s="76"/>
      <c r="AA488" s="76"/>
      <c r="AB488" s="76"/>
    </row>
    <row r="489" ht="15.75" customHeight="1">
      <c r="Q489" s="76"/>
      <c r="U489" s="76"/>
      <c r="Y489" s="76"/>
      <c r="Z489" s="76"/>
      <c r="AA489" s="76"/>
      <c r="AB489" s="76"/>
    </row>
    <row r="490" ht="15.75" customHeight="1">
      <c r="Q490" s="76"/>
      <c r="U490" s="76"/>
      <c r="Y490" s="76"/>
      <c r="Z490" s="76"/>
      <c r="AA490" s="76"/>
      <c r="AB490" s="76"/>
    </row>
    <row r="491" ht="15.75" customHeight="1">
      <c r="Q491" s="76"/>
      <c r="U491" s="76"/>
      <c r="Y491" s="76"/>
      <c r="Z491" s="76"/>
      <c r="AA491" s="76"/>
      <c r="AB491" s="76"/>
    </row>
    <row r="492" ht="15.75" customHeight="1">
      <c r="Q492" s="76"/>
      <c r="U492" s="76"/>
      <c r="Y492" s="76"/>
      <c r="Z492" s="76"/>
      <c r="AA492" s="76"/>
      <c r="AB492" s="76"/>
    </row>
    <row r="493" ht="15.75" customHeight="1">
      <c r="Q493" s="76"/>
      <c r="U493" s="76"/>
      <c r="Y493" s="76"/>
      <c r="Z493" s="76"/>
      <c r="AA493" s="76"/>
      <c r="AB493" s="76"/>
    </row>
    <row r="494" ht="15.75" customHeight="1">
      <c r="Q494" s="76"/>
      <c r="U494" s="76"/>
      <c r="Y494" s="76"/>
      <c r="Z494" s="76"/>
      <c r="AA494" s="76"/>
      <c r="AB494" s="76"/>
    </row>
    <row r="495" ht="15.75" customHeight="1">
      <c r="Q495" s="76"/>
      <c r="U495" s="76"/>
      <c r="Y495" s="76"/>
      <c r="Z495" s="76"/>
      <c r="AA495" s="76"/>
      <c r="AB495" s="76"/>
    </row>
    <row r="496" ht="15.75" customHeight="1">
      <c r="Q496" s="76"/>
      <c r="U496" s="76"/>
      <c r="Y496" s="76"/>
      <c r="Z496" s="76"/>
      <c r="AA496" s="76"/>
      <c r="AB496" s="76"/>
    </row>
    <row r="497" ht="15.75" customHeight="1">
      <c r="Q497" s="76"/>
      <c r="U497" s="76"/>
      <c r="Y497" s="76"/>
      <c r="Z497" s="76"/>
      <c r="AA497" s="76"/>
      <c r="AB497" s="76"/>
    </row>
    <row r="498" ht="15.75" customHeight="1">
      <c r="Q498" s="76"/>
      <c r="U498" s="76"/>
      <c r="Y498" s="76"/>
      <c r="Z498" s="76"/>
      <c r="AA498" s="76"/>
      <c r="AB498" s="76"/>
    </row>
    <row r="499" ht="15.75" customHeight="1">
      <c r="Q499" s="76"/>
      <c r="U499" s="76"/>
      <c r="Y499" s="76"/>
      <c r="Z499" s="76"/>
      <c r="AA499" s="76"/>
      <c r="AB499" s="76"/>
    </row>
    <row r="500" ht="15.75" customHeight="1">
      <c r="Q500" s="76"/>
      <c r="U500" s="76"/>
      <c r="Y500" s="76"/>
      <c r="Z500" s="76"/>
      <c r="AA500" s="76"/>
      <c r="AB500" s="76"/>
    </row>
    <row r="501" ht="15.75" customHeight="1">
      <c r="Q501" s="76"/>
      <c r="U501" s="76"/>
      <c r="Y501" s="76"/>
      <c r="Z501" s="76"/>
      <c r="AA501" s="76"/>
      <c r="AB501" s="76"/>
    </row>
    <row r="502" ht="15.75" customHeight="1">
      <c r="Q502" s="76"/>
      <c r="U502" s="76"/>
      <c r="Y502" s="76"/>
      <c r="Z502" s="76"/>
      <c r="AA502" s="76"/>
      <c r="AB502" s="76"/>
    </row>
    <row r="503" ht="15.75" customHeight="1">
      <c r="Q503" s="76"/>
      <c r="U503" s="76"/>
      <c r="Y503" s="76"/>
      <c r="Z503" s="76"/>
      <c r="AA503" s="76"/>
      <c r="AB503" s="76"/>
    </row>
    <row r="504" ht="15.75" customHeight="1">
      <c r="Q504" s="76"/>
      <c r="U504" s="76"/>
      <c r="Y504" s="76"/>
      <c r="Z504" s="76"/>
      <c r="AA504" s="76"/>
      <c r="AB504" s="76"/>
    </row>
    <row r="505" ht="15.75" customHeight="1">
      <c r="Q505" s="76"/>
      <c r="U505" s="76"/>
      <c r="Y505" s="76"/>
      <c r="Z505" s="76"/>
      <c r="AA505" s="76"/>
      <c r="AB505" s="76"/>
    </row>
    <row r="506" ht="15.75" customHeight="1">
      <c r="Q506" s="76"/>
      <c r="U506" s="76"/>
      <c r="Y506" s="76"/>
      <c r="Z506" s="76"/>
      <c r="AA506" s="76"/>
      <c r="AB506" s="76"/>
    </row>
    <row r="507" ht="15.75" customHeight="1">
      <c r="Q507" s="76"/>
      <c r="U507" s="76"/>
      <c r="Y507" s="76"/>
      <c r="Z507" s="76"/>
      <c r="AA507" s="76"/>
      <c r="AB507" s="76"/>
    </row>
    <row r="508" ht="15.75" customHeight="1">
      <c r="Q508" s="76"/>
      <c r="U508" s="76"/>
      <c r="Y508" s="76"/>
      <c r="Z508" s="76"/>
      <c r="AA508" s="76"/>
      <c r="AB508" s="76"/>
    </row>
    <row r="509" ht="15.75" customHeight="1">
      <c r="Q509" s="76"/>
      <c r="U509" s="76"/>
      <c r="Y509" s="76"/>
      <c r="Z509" s="76"/>
      <c r="AA509" s="76"/>
      <c r="AB509" s="76"/>
    </row>
    <row r="510" ht="15.75" customHeight="1">
      <c r="Q510" s="76"/>
      <c r="U510" s="76"/>
      <c r="Y510" s="76"/>
      <c r="Z510" s="76"/>
      <c r="AA510" s="76"/>
      <c r="AB510" s="76"/>
    </row>
    <row r="511" ht="15.75" customHeight="1">
      <c r="Q511" s="76"/>
      <c r="U511" s="76"/>
      <c r="Y511" s="76"/>
      <c r="Z511" s="76"/>
      <c r="AA511" s="76"/>
      <c r="AB511" s="76"/>
    </row>
    <row r="512" ht="15.75" customHeight="1">
      <c r="Q512" s="76"/>
      <c r="U512" s="76"/>
      <c r="Y512" s="76"/>
      <c r="Z512" s="76"/>
      <c r="AA512" s="76"/>
      <c r="AB512" s="76"/>
    </row>
    <row r="513" ht="15.75" customHeight="1">
      <c r="Q513" s="76"/>
      <c r="U513" s="76"/>
      <c r="Y513" s="76"/>
      <c r="Z513" s="76"/>
      <c r="AA513" s="76"/>
      <c r="AB513" s="76"/>
    </row>
    <row r="514" ht="15.75" customHeight="1">
      <c r="Q514" s="76"/>
      <c r="U514" s="76"/>
      <c r="Y514" s="76"/>
      <c r="Z514" s="76"/>
      <c r="AA514" s="76"/>
      <c r="AB514" s="76"/>
    </row>
    <row r="515" ht="15.75" customHeight="1">
      <c r="Q515" s="76"/>
      <c r="U515" s="76"/>
      <c r="Y515" s="76"/>
      <c r="Z515" s="76"/>
      <c r="AA515" s="76"/>
      <c r="AB515" s="76"/>
    </row>
    <row r="516" ht="15.75" customHeight="1">
      <c r="Q516" s="76"/>
      <c r="U516" s="76"/>
      <c r="Y516" s="76"/>
      <c r="Z516" s="76"/>
      <c r="AA516" s="76"/>
      <c r="AB516" s="76"/>
    </row>
    <row r="517" ht="15.75" customHeight="1">
      <c r="Q517" s="76"/>
      <c r="U517" s="76"/>
      <c r="Y517" s="76"/>
      <c r="Z517" s="76"/>
      <c r="AA517" s="76"/>
      <c r="AB517" s="76"/>
    </row>
    <row r="518" ht="15.75" customHeight="1">
      <c r="Q518" s="76"/>
      <c r="U518" s="76"/>
      <c r="Y518" s="76"/>
      <c r="Z518" s="76"/>
      <c r="AA518" s="76"/>
      <c r="AB518" s="76"/>
    </row>
    <row r="519" ht="15.75" customHeight="1">
      <c r="Q519" s="76"/>
      <c r="U519" s="76"/>
      <c r="Y519" s="76"/>
      <c r="Z519" s="76"/>
      <c r="AA519" s="76"/>
      <c r="AB519" s="76"/>
    </row>
    <row r="520" ht="15.75" customHeight="1">
      <c r="Q520" s="76"/>
      <c r="U520" s="76"/>
      <c r="Y520" s="76"/>
      <c r="Z520" s="76"/>
      <c r="AA520" s="76"/>
      <c r="AB520" s="76"/>
    </row>
    <row r="521" ht="15.75" customHeight="1">
      <c r="Q521" s="76"/>
      <c r="U521" s="76"/>
      <c r="Y521" s="76"/>
      <c r="Z521" s="76"/>
      <c r="AA521" s="76"/>
      <c r="AB521" s="76"/>
    </row>
    <row r="522" ht="15.75" customHeight="1">
      <c r="Q522" s="76"/>
      <c r="U522" s="76"/>
      <c r="Y522" s="76"/>
      <c r="Z522" s="76"/>
      <c r="AA522" s="76"/>
      <c r="AB522" s="76"/>
    </row>
    <row r="523" ht="15.75" customHeight="1">
      <c r="Q523" s="76"/>
      <c r="U523" s="76"/>
      <c r="Y523" s="76"/>
      <c r="Z523" s="76"/>
      <c r="AA523" s="76"/>
      <c r="AB523" s="76"/>
    </row>
    <row r="524" ht="15.75" customHeight="1">
      <c r="Q524" s="76"/>
      <c r="U524" s="76"/>
      <c r="Y524" s="76"/>
      <c r="Z524" s="76"/>
      <c r="AA524" s="76"/>
      <c r="AB524" s="76"/>
    </row>
    <row r="525" ht="15.75" customHeight="1">
      <c r="Q525" s="76"/>
      <c r="U525" s="76"/>
      <c r="Y525" s="76"/>
      <c r="Z525" s="76"/>
      <c r="AA525" s="76"/>
      <c r="AB525" s="76"/>
    </row>
    <row r="526" ht="15.75" customHeight="1">
      <c r="Q526" s="76"/>
      <c r="U526" s="76"/>
      <c r="Y526" s="76"/>
      <c r="Z526" s="76"/>
      <c r="AA526" s="76"/>
      <c r="AB526" s="76"/>
    </row>
    <row r="527" ht="15.75" customHeight="1">
      <c r="Q527" s="76"/>
      <c r="U527" s="76"/>
      <c r="Y527" s="76"/>
      <c r="Z527" s="76"/>
      <c r="AA527" s="76"/>
      <c r="AB527" s="76"/>
    </row>
    <row r="528" ht="15.75" customHeight="1">
      <c r="Q528" s="76"/>
      <c r="U528" s="76"/>
      <c r="Y528" s="76"/>
      <c r="Z528" s="76"/>
      <c r="AA528" s="76"/>
      <c r="AB528" s="76"/>
    </row>
    <row r="529" ht="15.75" customHeight="1">
      <c r="Q529" s="76"/>
      <c r="U529" s="76"/>
      <c r="Y529" s="76"/>
      <c r="Z529" s="76"/>
      <c r="AA529" s="76"/>
      <c r="AB529" s="76"/>
    </row>
    <row r="530" ht="15.75" customHeight="1">
      <c r="Q530" s="76"/>
      <c r="U530" s="76"/>
      <c r="Y530" s="76"/>
      <c r="Z530" s="76"/>
      <c r="AA530" s="76"/>
      <c r="AB530" s="76"/>
    </row>
    <row r="531" ht="15.75" customHeight="1">
      <c r="Q531" s="76"/>
      <c r="U531" s="76"/>
      <c r="Y531" s="76"/>
      <c r="Z531" s="76"/>
      <c r="AA531" s="76"/>
      <c r="AB531" s="76"/>
    </row>
    <row r="532" ht="15.75" customHeight="1">
      <c r="Q532" s="76"/>
      <c r="U532" s="76"/>
      <c r="Y532" s="76"/>
      <c r="Z532" s="76"/>
      <c r="AA532" s="76"/>
      <c r="AB532" s="76"/>
    </row>
    <row r="533" ht="15.75" customHeight="1">
      <c r="Q533" s="76"/>
      <c r="U533" s="76"/>
      <c r="Y533" s="76"/>
      <c r="Z533" s="76"/>
      <c r="AA533" s="76"/>
      <c r="AB533" s="76"/>
    </row>
    <row r="534" ht="15.75" customHeight="1">
      <c r="Q534" s="76"/>
      <c r="U534" s="76"/>
      <c r="Y534" s="76"/>
      <c r="Z534" s="76"/>
      <c r="AA534" s="76"/>
      <c r="AB534" s="76"/>
    </row>
    <row r="535" ht="15.75" customHeight="1">
      <c r="Q535" s="76"/>
      <c r="U535" s="76"/>
      <c r="Y535" s="76"/>
      <c r="Z535" s="76"/>
      <c r="AA535" s="76"/>
      <c r="AB535" s="76"/>
    </row>
    <row r="536" ht="15.75" customHeight="1">
      <c r="Q536" s="76"/>
      <c r="U536" s="76"/>
      <c r="Y536" s="76"/>
      <c r="Z536" s="76"/>
      <c r="AA536" s="76"/>
      <c r="AB536" s="76"/>
    </row>
    <row r="537" ht="15.75" customHeight="1">
      <c r="Q537" s="76"/>
      <c r="U537" s="76"/>
      <c r="Y537" s="76"/>
      <c r="Z537" s="76"/>
      <c r="AA537" s="76"/>
      <c r="AB537" s="76"/>
    </row>
    <row r="538" ht="15.75" customHeight="1">
      <c r="Q538" s="76"/>
      <c r="U538" s="76"/>
      <c r="Y538" s="76"/>
      <c r="Z538" s="76"/>
      <c r="AA538" s="76"/>
      <c r="AB538" s="76"/>
    </row>
    <row r="539" ht="15.75" customHeight="1">
      <c r="Q539" s="76"/>
      <c r="U539" s="76"/>
      <c r="Y539" s="76"/>
      <c r="Z539" s="76"/>
      <c r="AA539" s="76"/>
      <c r="AB539" s="76"/>
    </row>
    <row r="540" ht="15.75" customHeight="1">
      <c r="Q540" s="76"/>
      <c r="U540" s="76"/>
      <c r="Y540" s="76"/>
      <c r="Z540" s="76"/>
      <c r="AA540" s="76"/>
      <c r="AB540" s="76"/>
    </row>
    <row r="541" ht="15.75" customHeight="1">
      <c r="Q541" s="76"/>
      <c r="U541" s="76"/>
      <c r="Y541" s="76"/>
      <c r="Z541" s="76"/>
      <c r="AA541" s="76"/>
      <c r="AB541" s="76"/>
    </row>
    <row r="542" ht="15.75" customHeight="1">
      <c r="Q542" s="76"/>
      <c r="U542" s="76"/>
      <c r="Y542" s="76"/>
      <c r="Z542" s="76"/>
      <c r="AA542" s="76"/>
      <c r="AB542" s="76"/>
    </row>
    <row r="543" ht="15.75" customHeight="1">
      <c r="Q543" s="76"/>
      <c r="U543" s="76"/>
      <c r="Y543" s="76"/>
      <c r="Z543" s="76"/>
      <c r="AA543" s="76"/>
      <c r="AB543" s="76"/>
    </row>
    <row r="544" ht="15.75" customHeight="1">
      <c r="Q544" s="76"/>
      <c r="U544" s="76"/>
      <c r="Y544" s="76"/>
      <c r="Z544" s="76"/>
      <c r="AA544" s="76"/>
      <c r="AB544" s="76"/>
    </row>
    <row r="545" ht="15.75" customHeight="1">
      <c r="Q545" s="76"/>
      <c r="U545" s="76"/>
      <c r="Y545" s="76"/>
      <c r="Z545" s="76"/>
      <c r="AA545" s="76"/>
      <c r="AB545" s="76"/>
    </row>
    <row r="546" ht="15.75" customHeight="1">
      <c r="Q546" s="76"/>
      <c r="U546" s="76"/>
      <c r="Y546" s="76"/>
      <c r="Z546" s="76"/>
      <c r="AA546" s="76"/>
      <c r="AB546" s="76"/>
    </row>
    <row r="547" ht="15.75" customHeight="1">
      <c r="Q547" s="76"/>
      <c r="U547" s="76"/>
      <c r="Y547" s="76"/>
      <c r="Z547" s="76"/>
      <c r="AA547" s="76"/>
      <c r="AB547" s="76"/>
    </row>
    <row r="548" ht="15.75" customHeight="1">
      <c r="Q548" s="76"/>
      <c r="U548" s="76"/>
      <c r="Y548" s="76"/>
      <c r="Z548" s="76"/>
      <c r="AA548" s="76"/>
      <c r="AB548" s="76"/>
    </row>
    <row r="549" ht="15.75" customHeight="1">
      <c r="Q549" s="76"/>
      <c r="U549" s="76"/>
      <c r="Y549" s="76"/>
      <c r="Z549" s="76"/>
      <c r="AA549" s="76"/>
      <c r="AB549" s="76"/>
    </row>
    <row r="550" ht="15.75" customHeight="1">
      <c r="Q550" s="76"/>
      <c r="U550" s="76"/>
      <c r="Y550" s="76"/>
      <c r="Z550" s="76"/>
      <c r="AA550" s="76"/>
      <c r="AB550" s="76"/>
    </row>
    <row r="551" ht="15.75" customHeight="1">
      <c r="Q551" s="76"/>
      <c r="U551" s="76"/>
      <c r="Y551" s="76"/>
      <c r="Z551" s="76"/>
      <c r="AA551" s="76"/>
      <c r="AB551" s="76"/>
    </row>
    <row r="552" ht="15.75" customHeight="1">
      <c r="Q552" s="76"/>
      <c r="U552" s="76"/>
      <c r="Y552" s="76"/>
      <c r="Z552" s="76"/>
      <c r="AA552" s="76"/>
      <c r="AB552" s="76"/>
    </row>
    <row r="553" ht="15.75" customHeight="1">
      <c r="Q553" s="76"/>
      <c r="U553" s="76"/>
      <c r="Y553" s="76"/>
      <c r="Z553" s="76"/>
      <c r="AA553" s="76"/>
      <c r="AB553" s="76"/>
    </row>
    <row r="554" ht="15.75" customHeight="1">
      <c r="Q554" s="76"/>
      <c r="U554" s="76"/>
      <c r="Y554" s="76"/>
      <c r="Z554" s="76"/>
      <c r="AA554" s="76"/>
      <c r="AB554" s="76"/>
    </row>
    <row r="555" ht="15.75" customHeight="1">
      <c r="Q555" s="76"/>
      <c r="U555" s="76"/>
      <c r="Y555" s="76"/>
      <c r="Z555" s="76"/>
      <c r="AA555" s="76"/>
      <c r="AB555" s="76"/>
    </row>
    <row r="556" ht="15.75" customHeight="1">
      <c r="Q556" s="76"/>
      <c r="U556" s="76"/>
      <c r="Y556" s="76"/>
      <c r="Z556" s="76"/>
      <c r="AA556" s="76"/>
      <c r="AB556" s="76"/>
    </row>
    <row r="557" ht="15.75" customHeight="1">
      <c r="Q557" s="76"/>
      <c r="U557" s="76"/>
      <c r="Y557" s="76"/>
      <c r="Z557" s="76"/>
      <c r="AA557" s="76"/>
      <c r="AB557" s="76"/>
    </row>
    <row r="558" ht="15.75" customHeight="1">
      <c r="Q558" s="76"/>
      <c r="U558" s="76"/>
      <c r="Y558" s="76"/>
      <c r="Z558" s="76"/>
      <c r="AA558" s="76"/>
      <c r="AB558" s="76"/>
    </row>
    <row r="559" ht="15.75" customHeight="1">
      <c r="Q559" s="76"/>
      <c r="U559" s="76"/>
      <c r="Y559" s="76"/>
      <c r="Z559" s="76"/>
      <c r="AA559" s="76"/>
      <c r="AB559" s="76"/>
    </row>
    <row r="560" ht="15.75" customHeight="1">
      <c r="Q560" s="76"/>
      <c r="U560" s="76"/>
      <c r="Y560" s="76"/>
      <c r="Z560" s="76"/>
      <c r="AA560" s="76"/>
      <c r="AB560" s="76"/>
    </row>
    <row r="561" ht="15.75" customHeight="1">
      <c r="Q561" s="76"/>
      <c r="U561" s="76"/>
      <c r="Y561" s="76"/>
      <c r="Z561" s="76"/>
      <c r="AA561" s="76"/>
      <c r="AB561" s="76"/>
    </row>
    <row r="562" ht="15.75" customHeight="1">
      <c r="Q562" s="76"/>
      <c r="U562" s="76"/>
      <c r="Y562" s="76"/>
      <c r="Z562" s="76"/>
      <c r="AA562" s="76"/>
      <c r="AB562" s="76"/>
    </row>
    <row r="563" ht="15.75" customHeight="1">
      <c r="Q563" s="76"/>
      <c r="U563" s="76"/>
      <c r="Y563" s="76"/>
      <c r="Z563" s="76"/>
      <c r="AA563" s="76"/>
      <c r="AB563" s="76"/>
    </row>
    <row r="564" ht="15.75" customHeight="1">
      <c r="Q564" s="76"/>
      <c r="U564" s="76"/>
      <c r="Y564" s="76"/>
      <c r="Z564" s="76"/>
      <c r="AA564" s="76"/>
      <c r="AB564" s="76"/>
    </row>
    <row r="565" ht="15.75" customHeight="1">
      <c r="Q565" s="76"/>
      <c r="U565" s="76"/>
      <c r="Y565" s="76"/>
      <c r="Z565" s="76"/>
      <c r="AA565" s="76"/>
      <c r="AB565" s="76"/>
    </row>
    <row r="566" ht="15.75" customHeight="1">
      <c r="Q566" s="76"/>
      <c r="U566" s="76"/>
      <c r="Y566" s="76"/>
      <c r="Z566" s="76"/>
      <c r="AA566" s="76"/>
      <c r="AB566" s="76"/>
    </row>
    <row r="567" ht="15.75" customHeight="1">
      <c r="Q567" s="76"/>
      <c r="U567" s="76"/>
      <c r="Y567" s="76"/>
      <c r="Z567" s="76"/>
      <c r="AA567" s="76"/>
      <c r="AB567" s="76"/>
    </row>
    <row r="568" ht="15.75" customHeight="1">
      <c r="Q568" s="76"/>
      <c r="U568" s="76"/>
      <c r="Y568" s="76"/>
      <c r="Z568" s="76"/>
      <c r="AA568" s="76"/>
      <c r="AB568" s="76"/>
    </row>
    <row r="569" ht="15.75" customHeight="1">
      <c r="Q569" s="76"/>
      <c r="U569" s="76"/>
      <c r="Y569" s="76"/>
      <c r="Z569" s="76"/>
      <c r="AA569" s="76"/>
      <c r="AB569" s="76"/>
    </row>
    <row r="570" ht="15.75" customHeight="1">
      <c r="Q570" s="76"/>
      <c r="U570" s="76"/>
      <c r="Y570" s="76"/>
      <c r="Z570" s="76"/>
      <c r="AA570" s="76"/>
      <c r="AB570" s="76"/>
    </row>
    <row r="571" ht="15.75" customHeight="1">
      <c r="Q571" s="76"/>
      <c r="U571" s="76"/>
      <c r="Y571" s="76"/>
      <c r="Z571" s="76"/>
      <c r="AA571" s="76"/>
      <c r="AB571" s="76"/>
    </row>
    <row r="572" ht="15.75" customHeight="1">
      <c r="Q572" s="76"/>
      <c r="U572" s="76"/>
      <c r="Y572" s="76"/>
      <c r="Z572" s="76"/>
      <c r="AA572" s="76"/>
      <c r="AB572" s="76"/>
    </row>
    <row r="573" ht="15.75" customHeight="1">
      <c r="Q573" s="76"/>
      <c r="U573" s="76"/>
      <c r="Y573" s="76"/>
      <c r="Z573" s="76"/>
      <c r="AA573" s="76"/>
      <c r="AB573" s="76"/>
    </row>
    <row r="574" ht="15.75" customHeight="1">
      <c r="Q574" s="76"/>
      <c r="U574" s="76"/>
      <c r="Y574" s="76"/>
      <c r="Z574" s="76"/>
      <c r="AA574" s="76"/>
      <c r="AB574" s="76"/>
    </row>
    <row r="575" ht="15.75" customHeight="1">
      <c r="Q575" s="76"/>
      <c r="U575" s="76"/>
      <c r="Y575" s="76"/>
      <c r="Z575" s="76"/>
      <c r="AA575" s="76"/>
      <c r="AB575" s="76"/>
    </row>
    <row r="576" ht="15.75" customHeight="1">
      <c r="Q576" s="76"/>
      <c r="U576" s="76"/>
      <c r="Y576" s="76"/>
      <c r="Z576" s="76"/>
      <c r="AA576" s="76"/>
      <c r="AB576" s="76"/>
    </row>
    <row r="577" ht="15.75" customHeight="1">
      <c r="Q577" s="76"/>
      <c r="U577" s="76"/>
      <c r="Y577" s="76"/>
      <c r="Z577" s="76"/>
      <c r="AA577" s="76"/>
      <c r="AB577" s="76"/>
    </row>
    <row r="578" ht="15.75" customHeight="1">
      <c r="Q578" s="76"/>
      <c r="U578" s="76"/>
      <c r="Y578" s="76"/>
      <c r="Z578" s="76"/>
      <c r="AA578" s="76"/>
      <c r="AB578" s="76"/>
    </row>
    <row r="579" ht="15.75" customHeight="1">
      <c r="Q579" s="76"/>
      <c r="U579" s="76"/>
      <c r="Y579" s="76"/>
      <c r="Z579" s="76"/>
      <c r="AA579" s="76"/>
      <c r="AB579" s="76"/>
    </row>
    <row r="580" ht="15.75" customHeight="1">
      <c r="Q580" s="76"/>
      <c r="U580" s="76"/>
      <c r="Y580" s="76"/>
      <c r="Z580" s="76"/>
      <c r="AA580" s="76"/>
      <c r="AB580" s="76"/>
    </row>
    <row r="581" ht="15.75" customHeight="1">
      <c r="Q581" s="76"/>
      <c r="U581" s="76"/>
      <c r="Y581" s="76"/>
      <c r="Z581" s="76"/>
      <c r="AA581" s="76"/>
      <c r="AB581" s="76"/>
    </row>
    <row r="582" ht="15.75" customHeight="1">
      <c r="Q582" s="76"/>
      <c r="U582" s="76"/>
      <c r="Y582" s="76"/>
      <c r="Z582" s="76"/>
      <c r="AA582" s="76"/>
      <c r="AB582" s="76"/>
    </row>
    <row r="583" ht="15.75" customHeight="1">
      <c r="Q583" s="76"/>
      <c r="U583" s="76"/>
      <c r="Y583" s="76"/>
      <c r="Z583" s="76"/>
      <c r="AA583" s="76"/>
      <c r="AB583" s="76"/>
    </row>
    <row r="584" ht="15.75" customHeight="1">
      <c r="Q584" s="76"/>
      <c r="U584" s="76"/>
      <c r="Y584" s="76"/>
      <c r="Z584" s="76"/>
      <c r="AA584" s="76"/>
      <c r="AB584" s="76"/>
    </row>
    <row r="585" ht="15.75" customHeight="1">
      <c r="Q585" s="76"/>
      <c r="U585" s="76"/>
      <c r="Y585" s="76"/>
      <c r="Z585" s="76"/>
      <c r="AA585" s="76"/>
      <c r="AB585" s="76"/>
    </row>
    <row r="586" ht="15.75" customHeight="1">
      <c r="Q586" s="76"/>
      <c r="U586" s="76"/>
      <c r="Y586" s="76"/>
      <c r="Z586" s="76"/>
      <c r="AA586" s="76"/>
      <c r="AB586" s="76"/>
    </row>
    <row r="587" ht="15.75" customHeight="1">
      <c r="Q587" s="76"/>
      <c r="U587" s="76"/>
      <c r="Y587" s="76"/>
      <c r="Z587" s="76"/>
      <c r="AA587" s="76"/>
      <c r="AB587" s="76"/>
    </row>
    <row r="588" ht="15.75" customHeight="1">
      <c r="Q588" s="76"/>
      <c r="U588" s="76"/>
      <c r="Y588" s="76"/>
      <c r="Z588" s="76"/>
      <c r="AA588" s="76"/>
      <c r="AB588" s="76"/>
    </row>
    <row r="589" ht="15.75" customHeight="1">
      <c r="Q589" s="76"/>
      <c r="U589" s="76"/>
      <c r="Y589" s="76"/>
      <c r="Z589" s="76"/>
      <c r="AA589" s="76"/>
      <c r="AB589" s="76"/>
    </row>
    <row r="590" ht="15.75" customHeight="1">
      <c r="Q590" s="76"/>
      <c r="U590" s="76"/>
      <c r="Y590" s="76"/>
      <c r="Z590" s="76"/>
      <c r="AA590" s="76"/>
      <c r="AB590" s="76"/>
    </row>
    <row r="591" ht="15.75" customHeight="1">
      <c r="Q591" s="76"/>
      <c r="U591" s="76"/>
      <c r="Y591" s="76"/>
      <c r="Z591" s="76"/>
      <c r="AA591" s="76"/>
      <c r="AB591" s="76"/>
    </row>
    <row r="592" ht="15.75" customHeight="1">
      <c r="Q592" s="76"/>
      <c r="U592" s="76"/>
      <c r="Y592" s="76"/>
      <c r="Z592" s="76"/>
      <c r="AA592" s="76"/>
      <c r="AB592" s="76"/>
    </row>
    <row r="593" ht="15.75" customHeight="1">
      <c r="Q593" s="76"/>
      <c r="U593" s="76"/>
      <c r="Y593" s="76"/>
      <c r="Z593" s="76"/>
      <c r="AA593" s="76"/>
      <c r="AB593" s="76"/>
    </row>
    <row r="594" ht="15.75" customHeight="1">
      <c r="Q594" s="76"/>
      <c r="U594" s="76"/>
      <c r="Y594" s="76"/>
      <c r="Z594" s="76"/>
      <c r="AA594" s="76"/>
      <c r="AB594" s="76"/>
    </row>
    <row r="595" ht="15.75" customHeight="1">
      <c r="Q595" s="76"/>
      <c r="U595" s="76"/>
      <c r="Y595" s="76"/>
      <c r="Z595" s="76"/>
      <c r="AA595" s="76"/>
      <c r="AB595" s="76"/>
    </row>
    <row r="596" ht="15.75" customHeight="1">
      <c r="Q596" s="76"/>
      <c r="U596" s="76"/>
      <c r="Y596" s="76"/>
      <c r="Z596" s="76"/>
      <c r="AA596" s="76"/>
      <c r="AB596" s="76"/>
    </row>
    <row r="597" ht="15.75" customHeight="1">
      <c r="Q597" s="76"/>
      <c r="U597" s="76"/>
      <c r="Y597" s="76"/>
      <c r="Z597" s="76"/>
      <c r="AA597" s="76"/>
      <c r="AB597" s="76"/>
    </row>
    <row r="598" ht="15.75" customHeight="1">
      <c r="Q598" s="76"/>
      <c r="U598" s="76"/>
      <c r="Y598" s="76"/>
      <c r="Z598" s="76"/>
      <c r="AA598" s="76"/>
      <c r="AB598" s="76"/>
    </row>
    <row r="599" ht="15.75" customHeight="1">
      <c r="Q599" s="76"/>
      <c r="U599" s="76"/>
      <c r="Y599" s="76"/>
      <c r="Z599" s="76"/>
      <c r="AA599" s="76"/>
      <c r="AB599" s="76"/>
    </row>
    <row r="600" ht="15.75" customHeight="1">
      <c r="Q600" s="76"/>
      <c r="U600" s="76"/>
      <c r="Y600" s="76"/>
      <c r="Z600" s="76"/>
      <c r="AA600" s="76"/>
      <c r="AB600" s="76"/>
    </row>
    <row r="601" ht="15.75" customHeight="1">
      <c r="Q601" s="76"/>
      <c r="U601" s="76"/>
      <c r="Y601" s="76"/>
      <c r="Z601" s="76"/>
      <c r="AA601" s="76"/>
      <c r="AB601" s="76"/>
    </row>
    <row r="602" ht="15.75" customHeight="1">
      <c r="Q602" s="76"/>
      <c r="U602" s="76"/>
      <c r="Y602" s="76"/>
      <c r="Z602" s="76"/>
      <c r="AA602" s="76"/>
      <c r="AB602" s="76"/>
    </row>
    <row r="603" ht="15.75" customHeight="1">
      <c r="Q603" s="76"/>
      <c r="U603" s="76"/>
      <c r="Y603" s="76"/>
      <c r="Z603" s="76"/>
      <c r="AA603" s="76"/>
      <c r="AB603" s="76"/>
    </row>
    <row r="604" ht="15.75" customHeight="1">
      <c r="Q604" s="76"/>
      <c r="U604" s="76"/>
      <c r="Y604" s="76"/>
      <c r="Z604" s="76"/>
      <c r="AA604" s="76"/>
      <c r="AB604" s="76"/>
    </row>
    <row r="605" ht="15.75" customHeight="1">
      <c r="Q605" s="76"/>
      <c r="U605" s="76"/>
      <c r="Y605" s="76"/>
      <c r="Z605" s="76"/>
      <c r="AA605" s="76"/>
      <c r="AB605" s="76"/>
    </row>
    <row r="606" ht="15.75" customHeight="1">
      <c r="Q606" s="76"/>
      <c r="U606" s="76"/>
      <c r="Y606" s="76"/>
      <c r="Z606" s="76"/>
      <c r="AA606" s="76"/>
      <c r="AB606" s="76"/>
    </row>
    <row r="607" ht="15.75" customHeight="1">
      <c r="Q607" s="76"/>
      <c r="U607" s="76"/>
      <c r="Y607" s="76"/>
      <c r="Z607" s="76"/>
      <c r="AA607" s="76"/>
      <c r="AB607" s="76"/>
    </row>
    <row r="608" ht="15.75" customHeight="1">
      <c r="Q608" s="76"/>
      <c r="U608" s="76"/>
      <c r="Y608" s="76"/>
      <c r="Z608" s="76"/>
      <c r="AA608" s="76"/>
      <c r="AB608" s="76"/>
    </row>
    <row r="609" ht="15.75" customHeight="1">
      <c r="Q609" s="76"/>
      <c r="U609" s="76"/>
      <c r="Y609" s="76"/>
      <c r="Z609" s="76"/>
      <c r="AA609" s="76"/>
      <c r="AB609" s="76"/>
    </row>
    <row r="610" ht="15.75" customHeight="1">
      <c r="Q610" s="76"/>
      <c r="U610" s="76"/>
      <c r="Y610" s="76"/>
      <c r="Z610" s="76"/>
      <c r="AA610" s="76"/>
      <c r="AB610" s="76"/>
    </row>
    <row r="611" ht="15.75" customHeight="1">
      <c r="Q611" s="76"/>
      <c r="U611" s="76"/>
      <c r="Y611" s="76"/>
      <c r="Z611" s="76"/>
      <c r="AA611" s="76"/>
      <c r="AB611" s="76"/>
    </row>
    <row r="612" ht="15.75" customHeight="1">
      <c r="Q612" s="76"/>
      <c r="U612" s="76"/>
      <c r="Y612" s="76"/>
      <c r="Z612" s="76"/>
      <c r="AA612" s="76"/>
      <c r="AB612" s="76"/>
    </row>
    <row r="613" ht="15.75" customHeight="1">
      <c r="Q613" s="76"/>
      <c r="U613" s="76"/>
      <c r="Y613" s="76"/>
      <c r="Z613" s="76"/>
      <c r="AA613" s="76"/>
      <c r="AB613" s="76"/>
    </row>
    <row r="614" ht="15.75" customHeight="1">
      <c r="Q614" s="76"/>
      <c r="U614" s="76"/>
      <c r="Y614" s="76"/>
      <c r="Z614" s="76"/>
      <c r="AA614" s="76"/>
      <c r="AB614" s="76"/>
    </row>
    <row r="615" ht="15.75" customHeight="1">
      <c r="Q615" s="76"/>
      <c r="U615" s="76"/>
      <c r="Y615" s="76"/>
      <c r="Z615" s="76"/>
      <c r="AA615" s="76"/>
      <c r="AB615" s="76"/>
    </row>
    <row r="616" ht="15.75" customHeight="1">
      <c r="Q616" s="76"/>
      <c r="U616" s="76"/>
      <c r="Y616" s="76"/>
      <c r="Z616" s="76"/>
      <c r="AA616" s="76"/>
      <c r="AB616" s="76"/>
    </row>
    <row r="617" ht="15.75" customHeight="1">
      <c r="Q617" s="76"/>
      <c r="U617" s="76"/>
      <c r="Y617" s="76"/>
      <c r="Z617" s="76"/>
      <c r="AA617" s="76"/>
      <c r="AB617" s="76"/>
    </row>
    <row r="618" ht="15.75" customHeight="1">
      <c r="Q618" s="76"/>
      <c r="U618" s="76"/>
      <c r="Y618" s="76"/>
      <c r="Z618" s="76"/>
      <c r="AA618" s="76"/>
      <c r="AB618" s="76"/>
    </row>
    <row r="619" ht="15.75" customHeight="1">
      <c r="Q619" s="76"/>
      <c r="U619" s="76"/>
      <c r="Y619" s="76"/>
      <c r="Z619" s="76"/>
      <c r="AA619" s="76"/>
      <c r="AB619" s="76"/>
    </row>
    <row r="620" ht="15.75" customHeight="1">
      <c r="Q620" s="76"/>
      <c r="U620" s="76"/>
      <c r="Y620" s="76"/>
      <c r="Z620" s="76"/>
      <c r="AA620" s="76"/>
      <c r="AB620" s="76"/>
    </row>
    <row r="621" ht="15.75" customHeight="1">
      <c r="Q621" s="76"/>
      <c r="U621" s="76"/>
      <c r="Y621" s="76"/>
      <c r="Z621" s="76"/>
      <c r="AA621" s="76"/>
      <c r="AB621" s="76"/>
    </row>
    <row r="622" ht="15.75" customHeight="1">
      <c r="Q622" s="76"/>
      <c r="U622" s="76"/>
      <c r="Y622" s="76"/>
      <c r="Z622" s="76"/>
      <c r="AA622" s="76"/>
      <c r="AB622" s="76"/>
    </row>
    <row r="623" ht="15.75" customHeight="1">
      <c r="Q623" s="76"/>
      <c r="U623" s="76"/>
      <c r="Y623" s="76"/>
      <c r="Z623" s="76"/>
      <c r="AA623" s="76"/>
      <c r="AB623" s="76"/>
    </row>
    <row r="624" ht="15.75" customHeight="1">
      <c r="Q624" s="76"/>
      <c r="U624" s="76"/>
      <c r="Y624" s="76"/>
      <c r="Z624" s="76"/>
      <c r="AA624" s="76"/>
      <c r="AB624" s="76"/>
    </row>
    <row r="625" ht="15.75" customHeight="1">
      <c r="Q625" s="76"/>
      <c r="U625" s="76"/>
      <c r="Y625" s="76"/>
      <c r="Z625" s="76"/>
      <c r="AA625" s="76"/>
      <c r="AB625" s="76"/>
    </row>
    <row r="626" ht="15.75" customHeight="1">
      <c r="Q626" s="76"/>
      <c r="U626" s="76"/>
      <c r="Y626" s="76"/>
      <c r="Z626" s="76"/>
      <c r="AA626" s="76"/>
      <c r="AB626" s="76"/>
    </row>
    <row r="627" ht="15.75" customHeight="1">
      <c r="Q627" s="76"/>
      <c r="U627" s="76"/>
      <c r="Y627" s="76"/>
      <c r="Z627" s="76"/>
      <c r="AA627" s="76"/>
      <c r="AB627" s="76"/>
    </row>
    <row r="628" ht="15.75" customHeight="1">
      <c r="Q628" s="76"/>
      <c r="U628" s="76"/>
      <c r="Y628" s="76"/>
      <c r="Z628" s="76"/>
      <c r="AA628" s="76"/>
      <c r="AB628" s="76"/>
    </row>
    <row r="629" ht="15.75" customHeight="1">
      <c r="Q629" s="76"/>
      <c r="U629" s="76"/>
      <c r="Y629" s="76"/>
      <c r="Z629" s="76"/>
      <c r="AA629" s="76"/>
      <c r="AB629" s="76"/>
    </row>
    <row r="630" ht="15.75" customHeight="1">
      <c r="Q630" s="76"/>
      <c r="U630" s="76"/>
      <c r="Y630" s="76"/>
      <c r="Z630" s="76"/>
      <c r="AA630" s="76"/>
      <c r="AB630" s="76"/>
    </row>
    <row r="631" ht="15.75" customHeight="1">
      <c r="Q631" s="76"/>
      <c r="U631" s="76"/>
      <c r="Y631" s="76"/>
      <c r="Z631" s="76"/>
      <c r="AA631" s="76"/>
      <c r="AB631" s="76"/>
    </row>
    <row r="632" ht="15.75" customHeight="1">
      <c r="Q632" s="76"/>
      <c r="U632" s="76"/>
      <c r="Y632" s="76"/>
      <c r="Z632" s="76"/>
      <c r="AA632" s="76"/>
      <c r="AB632" s="76"/>
    </row>
    <row r="633" ht="15.75" customHeight="1">
      <c r="Q633" s="76"/>
      <c r="U633" s="76"/>
      <c r="Y633" s="76"/>
      <c r="Z633" s="76"/>
      <c r="AA633" s="76"/>
      <c r="AB633" s="76"/>
    </row>
    <row r="634" ht="15.75" customHeight="1">
      <c r="Q634" s="76"/>
      <c r="U634" s="76"/>
      <c r="Y634" s="76"/>
      <c r="Z634" s="76"/>
      <c r="AA634" s="76"/>
      <c r="AB634" s="76"/>
    </row>
    <row r="635" ht="15.75" customHeight="1">
      <c r="Q635" s="76"/>
      <c r="U635" s="76"/>
      <c r="Y635" s="76"/>
      <c r="Z635" s="76"/>
      <c r="AA635" s="76"/>
      <c r="AB635" s="76"/>
    </row>
    <row r="636" ht="15.75" customHeight="1">
      <c r="Q636" s="76"/>
      <c r="U636" s="76"/>
      <c r="Y636" s="76"/>
      <c r="Z636" s="76"/>
      <c r="AA636" s="76"/>
      <c r="AB636" s="76"/>
    </row>
    <row r="637" ht="15.75" customHeight="1">
      <c r="Q637" s="76"/>
      <c r="U637" s="76"/>
      <c r="Y637" s="76"/>
      <c r="Z637" s="76"/>
      <c r="AA637" s="76"/>
      <c r="AB637" s="76"/>
    </row>
    <row r="638" ht="15.75" customHeight="1">
      <c r="Q638" s="76"/>
      <c r="U638" s="76"/>
      <c r="Y638" s="76"/>
      <c r="Z638" s="76"/>
      <c r="AA638" s="76"/>
      <c r="AB638" s="76"/>
    </row>
    <row r="639" ht="15.75" customHeight="1">
      <c r="Q639" s="76"/>
      <c r="U639" s="76"/>
      <c r="Y639" s="76"/>
      <c r="Z639" s="76"/>
      <c r="AA639" s="76"/>
      <c r="AB639" s="76"/>
    </row>
    <row r="640" ht="15.75" customHeight="1">
      <c r="Q640" s="76"/>
      <c r="U640" s="76"/>
      <c r="Y640" s="76"/>
      <c r="Z640" s="76"/>
      <c r="AA640" s="76"/>
      <c r="AB640" s="76"/>
    </row>
    <row r="641" ht="15.75" customHeight="1">
      <c r="Q641" s="76"/>
      <c r="U641" s="76"/>
      <c r="Y641" s="76"/>
      <c r="Z641" s="76"/>
      <c r="AA641" s="76"/>
      <c r="AB641" s="76"/>
    </row>
    <row r="642" ht="15.75" customHeight="1">
      <c r="Q642" s="76"/>
      <c r="U642" s="76"/>
      <c r="Y642" s="76"/>
      <c r="Z642" s="76"/>
      <c r="AA642" s="76"/>
      <c r="AB642" s="76"/>
    </row>
    <row r="643" ht="15.75" customHeight="1">
      <c r="Q643" s="76"/>
      <c r="U643" s="76"/>
      <c r="Y643" s="76"/>
      <c r="Z643" s="76"/>
      <c r="AA643" s="76"/>
      <c r="AB643" s="76"/>
    </row>
    <row r="644" ht="15.75" customHeight="1">
      <c r="Q644" s="76"/>
      <c r="U644" s="76"/>
      <c r="Y644" s="76"/>
      <c r="Z644" s="76"/>
      <c r="AA644" s="76"/>
      <c r="AB644" s="76"/>
    </row>
    <row r="645" ht="15.75" customHeight="1">
      <c r="Q645" s="76"/>
      <c r="U645" s="76"/>
      <c r="Y645" s="76"/>
      <c r="Z645" s="76"/>
      <c r="AA645" s="76"/>
      <c r="AB645" s="76"/>
    </row>
    <row r="646" ht="15.75" customHeight="1">
      <c r="Q646" s="76"/>
      <c r="U646" s="76"/>
      <c r="Y646" s="76"/>
      <c r="Z646" s="76"/>
      <c r="AA646" s="76"/>
      <c r="AB646" s="76"/>
    </row>
    <row r="647" ht="15.75" customHeight="1">
      <c r="Q647" s="76"/>
      <c r="U647" s="76"/>
      <c r="Y647" s="76"/>
      <c r="Z647" s="76"/>
      <c r="AA647" s="76"/>
      <c r="AB647" s="76"/>
    </row>
    <row r="648" ht="15.75" customHeight="1">
      <c r="Q648" s="76"/>
      <c r="U648" s="76"/>
      <c r="Y648" s="76"/>
      <c r="Z648" s="76"/>
      <c r="AA648" s="76"/>
      <c r="AB648" s="76"/>
    </row>
    <row r="649" ht="15.75" customHeight="1">
      <c r="Q649" s="76"/>
      <c r="U649" s="76"/>
      <c r="Y649" s="76"/>
      <c r="Z649" s="76"/>
      <c r="AA649" s="76"/>
      <c r="AB649" s="76"/>
    </row>
    <row r="650" ht="15.75" customHeight="1">
      <c r="Q650" s="76"/>
      <c r="U650" s="76"/>
      <c r="Y650" s="76"/>
      <c r="Z650" s="76"/>
      <c r="AA650" s="76"/>
      <c r="AB650" s="76"/>
    </row>
    <row r="651" ht="15.75" customHeight="1">
      <c r="Q651" s="76"/>
      <c r="U651" s="76"/>
      <c r="Y651" s="76"/>
      <c r="Z651" s="76"/>
      <c r="AA651" s="76"/>
      <c r="AB651" s="76"/>
    </row>
    <row r="652" ht="15.75" customHeight="1">
      <c r="Q652" s="76"/>
      <c r="U652" s="76"/>
      <c r="Y652" s="76"/>
      <c r="Z652" s="76"/>
      <c r="AA652" s="76"/>
      <c r="AB652" s="76"/>
    </row>
    <row r="653" ht="15.75" customHeight="1">
      <c r="Q653" s="76"/>
      <c r="U653" s="76"/>
      <c r="Y653" s="76"/>
      <c r="Z653" s="76"/>
      <c r="AA653" s="76"/>
      <c r="AB653" s="76"/>
    </row>
    <row r="654" ht="15.75" customHeight="1">
      <c r="Q654" s="76"/>
      <c r="U654" s="76"/>
      <c r="Y654" s="76"/>
      <c r="Z654" s="76"/>
      <c r="AA654" s="76"/>
      <c r="AB654" s="76"/>
    </row>
    <row r="655" ht="15.75" customHeight="1">
      <c r="Q655" s="76"/>
      <c r="U655" s="76"/>
      <c r="Y655" s="76"/>
      <c r="Z655" s="76"/>
      <c r="AA655" s="76"/>
      <c r="AB655" s="76"/>
    </row>
    <row r="656" ht="15.75" customHeight="1">
      <c r="Q656" s="76"/>
      <c r="U656" s="76"/>
      <c r="Y656" s="76"/>
      <c r="Z656" s="76"/>
      <c r="AA656" s="76"/>
      <c r="AB656" s="76"/>
    </row>
    <row r="657" ht="15.75" customHeight="1">
      <c r="Q657" s="76"/>
      <c r="U657" s="76"/>
      <c r="Y657" s="76"/>
      <c r="Z657" s="76"/>
      <c r="AA657" s="76"/>
      <c r="AB657" s="76"/>
    </row>
    <row r="658" ht="15.75" customHeight="1">
      <c r="Q658" s="76"/>
      <c r="U658" s="76"/>
      <c r="Y658" s="76"/>
      <c r="Z658" s="76"/>
      <c r="AA658" s="76"/>
      <c r="AB658" s="76"/>
    </row>
    <row r="659" ht="15.75" customHeight="1">
      <c r="Q659" s="76"/>
      <c r="U659" s="76"/>
      <c r="Y659" s="76"/>
      <c r="Z659" s="76"/>
      <c r="AA659" s="76"/>
      <c r="AB659" s="76"/>
    </row>
    <row r="660" ht="15.75" customHeight="1">
      <c r="Q660" s="76"/>
      <c r="U660" s="76"/>
      <c r="Y660" s="76"/>
      <c r="Z660" s="76"/>
      <c r="AA660" s="76"/>
      <c r="AB660" s="76"/>
    </row>
    <row r="661" ht="15.75" customHeight="1">
      <c r="Q661" s="76"/>
      <c r="U661" s="76"/>
      <c r="Y661" s="76"/>
      <c r="Z661" s="76"/>
      <c r="AA661" s="76"/>
      <c r="AB661" s="76"/>
    </row>
    <row r="662" ht="15.75" customHeight="1">
      <c r="Q662" s="76"/>
      <c r="U662" s="76"/>
      <c r="Y662" s="76"/>
      <c r="Z662" s="76"/>
      <c r="AA662" s="76"/>
      <c r="AB662" s="76"/>
    </row>
    <row r="663" ht="15.75" customHeight="1">
      <c r="Q663" s="76"/>
      <c r="U663" s="76"/>
      <c r="Y663" s="76"/>
      <c r="Z663" s="76"/>
      <c r="AA663" s="76"/>
      <c r="AB663" s="76"/>
    </row>
    <row r="664" ht="15.75" customHeight="1">
      <c r="Q664" s="76"/>
      <c r="U664" s="76"/>
      <c r="Y664" s="76"/>
      <c r="Z664" s="76"/>
      <c r="AA664" s="76"/>
      <c r="AB664" s="76"/>
    </row>
    <row r="665" ht="15.75" customHeight="1">
      <c r="Q665" s="76"/>
      <c r="U665" s="76"/>
      <c r="Y665" s="76"/>
      <c r="Z665" s="76"/>
      <c r="AA665" s="76"/>
      <c r="AB665" s="76"/>
    </row>
    <row r="666" ht="15.75" customHeight="1">
      <c r="Q666" s="76"/>
      <c r="U666" s="76"/>
      <c r="Y666" s="76"/>
      <c r="Z666" s="76"/>
      <c r="AA666" s="76"/>
      <c r="AB666" s="76"/>
    </row>
    <row r="667" ht="15.75" customHeight="1">
      <c r="Q667" s="76"/>
      <c r="U667" s="76"/>
      <c r="Y667" s="76"/>
      <c r="Z667" s="76"/>
      <c r="AA667" s="76"/>
      <c r="AB667" s="76"/>
    </row>
    <row r="668" ht="15.75" customHeight="1">
      <c r="Q668" s="76"/>
      <c r="U668" s="76"/>
      <c r="Y668" s="76"/>
      <c r="Z668" s="76"/>
      <c r="AA668" s="76"/>
      <c r="AB668" s="76"/>
    </row>
    <row r="669" ht="15.75" customHeight="1">
      <c r="Q669" s="76"/>
      <c r="U669" s="76"/>
      <c r="Y669" s="76"/>
      <c r="Z669" s="76"/>
      <c r="AA669" s="76"/>
      <c r="AB669" s="76"/>
    </row>
    <row r="670" ht="15.75" customHeight="1">
      <c r="Q670" s="76"/>
      <c r="U670" s="76"/>
      <c r="Y670" s="76"/>
      <c r="Z670" s="76"/>
      <c r="AA670" s="76"/>
      <c r="AB670" s="76"/>
    </row>
    <row r="671" ht="15.75" customHeight="1">
      <c r="Q671" s="76"/>
      <c r="U671" s="76"/>
      <c r="Y671" s="76"/>
      <c r="Z671" s="76"/>
      <c r="AA671" s="76"/>
      <c r="AB671" s="76"/>
    </row>
    <row r="672" ht="15.75" customHeight="1">
      <c r="Q672" s="76"/>
      <c r="U672" s="76"/>
      <c r="Y672" s="76"/>
      <c r="Z672" s="76"/>
      <c r="AA672" s="76"/>
      <c r="AB672" s="76"/>
    </row>
    <row r="673" ht="15.75" customHeight="1">
      <c r="Q673" s="76"/>
      <c r="U673" s="76"/>
      <c r="Y673" s="76"/>
      <c r="Z673" s="76"/>
      <c r="AA673" s="76"/>
      <c r="AB673" s="76"/>
    </row>
    <row r="674" ht="15.75" customHeight="1">
      <c r="Q674" s="76"/>
      <c r="U674" s="76"/>
      <c r="Y674" s="76"/>
      <c r="Z674" s="76"/>
      <c r="AA674" s="76"/>
      <c r="AB674" s="76"/>
    </row>
    <row r="675" ht="15.75" customHeight="1">
      <c r="Q675" s="76"/>
      <c r="U675" s="76"/>
      <c r="Y675" s="76"/>
      <c r="Z675" s="76"/>
      <c r="AA675" s="76"/>
      <c r="AB675" s="76"/>
    </row>
    <row r="676" ht="15.75" customHeight="1">
      <c r="Q676" s="76"/>
      <c r="U676" s="76"/>
      <c r="Y676" s="76"/>
      <c r="Z676" s="76"/>
      <c r="AA676" s="76"/>
      <c r="AB676" s="76"/>
    </row>
    <row r="677" ht="15.75" customHeight="1">
      <c r="Q677" s="76"/>
      <c r="U677" s="76"/>
      <c r="Y677" s="76"/>
      <c r="Z677" s="76"/>
      <c r="AA677" s="76"/>
      <c r="AB677" s="76"/>
    </row>
    <row r="678" ht="15.75" customHeight="1">
      <c r="Q678" s="76"/>
      <c r="U678" s="76"/>
      <c r="Y678" s="76"/>
      <c r="Z678" s="76"/>
      <c r="AA678" s="76"/>
      <c r="AB678" s="76"/>
    </row>
    <row r="679" ht="15.75" customHeight="1">
      <c r="Q679" s="76"/>
      <c r="U679" s="76"/>
      <c r="Y679" s="76"/>
      <c r="Z679" s="76"/>
      <c r="AA679" s="76"/>
      <c r="AB679" s="76"/>
    </row>
    <row r="680" ht="15.75" customHeight="1">
      <c r="Q680" s="76"/>
      <c r="U680" s="76"/>
      <c r="Y680" s="76"/>
      <c r="Z680" s="76"/>
      <c r="AA680" s="76"/>
      <c r="AB680" s="76"/>
    </row>
    <row r="681" ht="15.75" customHeight="1">
      <c r="Q681" s="76"/>
      <c r="U681" s="76"/>
      <c r="Y681" s="76"/>
      <c r="Z681" s="76"/>
      <c r="AA681" s="76"/>
      <c r="AB681" s="76"/>
    </row>
    <row r="682" ht="15.75" customHeight="1">
      <c r="Q682" s="76"/>
      <c r="U682" s="76"/>
      <c r="Y682" s="76"/>
      <c r="Z682" s="76"/>
      <c r="AA682" s="76"/>
      <c r="AB682" s="76"/>
    </row>
    <row r="683" ht="15.75" customHeight="1">
      <c r="Q683" s="76"/>
      <c r="U683" s="76"/>
      <c r="Y683" s="76"/>
      <c r="Z683" s="76"/>
      <c r="AA683" s="76"/>
      <c r="AB683" s="76"/>
    </row>
    <row r="684" ht="15.75" customHeight="1">
      <c r="Q684" s="76"/>
      <c r="U684" s="76"/>
      <c r="Y684" s="76"/>
      <c r="Z684" s="76"/>
      <c r="AA684" s="76"/>
      <c r="AB684" s="76"/>
    </row>
    <row r="685" ht="15.75" customHeight="1">
      <c r="Q685" s="76"/>
      <c r="U685" s="76"/>
      <c r="Y685" s="76"/>
      <c r="Z685" s="76"/>
      <c r="AA685" s="76"/>
      <c r="AB685" s="76"/>
    </row>
    <row r="686" ht="15.75" customHeight="1">
      <c r="Q686" s="76"/>
      <c r="U686" s="76"/>
      <c r="Y686" s="76"/>
      <c r="Z686" s="76"/>
      <c r="AA686" s="76"/>
      <c r="AB686" s="76"/>
    </row>
    <row r="687" ht="15.75" customHeight="1">
      <c r="Q687" s="76"/>
      <c r="U687" s="76"/>
      <c r="Y687" s="76"/>
      <c r="Z687" s="76"/>
      <c r="AA687" s="76"/>
      <c r="AB687" s="76"/>
    </row>
    <row r="688" ht="15.75" customHeight="1">
      <c r="Q688" s="76"/>
      <c r="U688" s="76"/>
      <c r="Y688" s="76"/>
      <c r="Z688" s="76"/>
      <c r="AA688" s="76"/>
      <c r="AB688" s="76"/>
    </row>
    <row r="689" ht="15.75" customHeight="1">
      <c r="Q689" s="76"/>
      <c r="U689" s="76"/>
      <c r="Y689" s="76"/>
      <c r="Z689" s="76"/>
      <c r="AA689" s="76"/>
      <c r="AB689" s="76"/>
    </row>
    <row r="690" ht="15.75" customHeight="1">
      <c r="Q690" s="76"/>
      <c r="U690" s="76"/>
      <c r="Y690" s="76"/>
      <c r="Z690" s="76"/>
      <c r="AA690" s="76"/>
      <c r="AB690" s="76"/>
    </row>
    <row r="691" ht="15.75" customHeight="1">
      <c r="Q691" s="76"/>
      <c r="U691" s="76"/>
      <c r="Y691" s="76"/>
      <c r="Z691" s="76"/>
      <c r="AA691" s="76"/>
      <c r="AB691" s="76"/>
    </row>
    <row r="692" ht="15.75" customHeight="1">
      <c r="Q692" s="76"/>
      <c r="U692" s="76"/>
      <c r="Y692" s="76"/>
      <c r="Z692" s="76"/>
      <c r="AA692" s="76"/>
      <c r="AB692" s="76"/>
    </row>
    <row r="693" ht="15.75" customHeight="1">
      <c r="Q693" s="76"/>
      <c r="U693" s="76"/>
      <c r="Y693" s="76"/>
      <c r="Z693" s="76"/>
      <c r="AA693" s="76"/>
      <c r="AB693" s="76"/>
    </row>
    <row r="694" ht="15.75" customHeight="1">
      <c r="Q694" s="76"/>
      <c r="U694" s="76"/>
      <c r="Y694" s="76"/>
      <c r="Z694" s="76"/>
      <c r="AA694" s="76"/>
      <c r="AB694" s="76"/>
    </row>
    <row r="695" ht="15.75" customHeight="1">
      <c r="Q695" s="76"/>
      <c r="U695" s="76"/>
      <c r="Y695" s="76"/>
      <c r="Z695" s="76"/>
      <c r="AA695" s="76"/>
      <c r="AB695" s="76"/>
    </row>
    <row r="696" ht="15.75" customHeight="1">
      <c r="Q696" s="76"/>
      <c r="U696" s="76"/>
      <c r="Y696" s="76"/>
      <c r="Z696" s="76"/>
      <c r="AA696" s="76"/>
      <c r="AB696" s="76"/>
    </row>
    <row r="697" ht="15.75" customHeight="1">
      <c r="Q697" s="76"/>
      <c r="U697" s="76"/>
      <c r="Y697" s="76"/>
      <c r="Z697" s="76"/>
      <c r="AA697" s="76"/>
      <c r="AB697" s="76"/>
    </row>
    <row r="698" ht="15.75" customHeight="1">
      <c r="Q698" s="76"/>
      <c r="U698" s="76"/>
      <c r="Y698" s="76"/>
      <c r="Z698" s="76"/>
      <c r="AA698" s="76"/>
      <c r="AB698" s="76"/>
    </row>
    <row r="699" ht="15.75" customHeight="1">
      <c r="Q699" s="76"/>
      <c r="U699" s="76"/>
      <c r="Y699" s="76"/>
      <c r="Z699" s="76"/>
      <c r="AA699" s="76"/>
      <c r="AB699" s="76"/>
    </row>
    <row r="700" ht="15.75" customHeight="1">
      <c r="Q700" s="76"/>
      <c r="U700" s="76"/>
      <c r="Y700" s="76"/>
      <c r="Z700" s="76"/>
      <c r="AA700" s="76"/>
      <c r="AB700" s="76"/>
    </row>
    <row r="701" ht="15.75" customHeight="1">
      <c r="Q701" s="76"/>
      <c r="U701" s="76"/>
      <c r="Y701" s="76"/>
      <c r="Z701" s="76"/>
      <c r="AA701" s="76"/>
      <c r="AB701" s="76"/>
    </row>
    <row r="702" ht="15.75" customHeight="1">
      <c r="Q702" s="76"/>
      <c r="U702" s="76"/>
      <c r="Y702" s="76"/>
      <c r="Z702" s="76"/>
      <c r="AA702" s="76"/>
      <c r="AB702" s="76"/>
    </row>
    <row r="703" ht="15.75" customHeight="1">
      <c r="Q703" s="76"/>
      <c r="U703" s="76"/>
      <c r="Y703" s="76"/>
      <c r="Z703" s="76"/>
      <c r="AA703" s="76"/>
      <c r="AB703" s="76"/>
    </row>
    <row r="704" ht="15.75" customHeight="1">
      <c r="Q704" s="76"/>
      <c r="U704" s="76"/>
      <c r="Y704" s="76"/>
      <c r="Z704" s="76"/>
      <c r="AA704" s="76"/>
      <c r="AB704" s="76"/>
    </row>
    <row r="705" ht="15.75" customHeight="1">
      <c r="Q705" s="76"/>
      <c r="U705" s="76"/>
      <c r="Y705" s="76"/>
      <c r="Z705" s="76"/>
      <c r="AA705" s="76"/>
      <c r="AB705" s="76"/>
    </row>
    <row r="706" ht="15.75" customHeight="1">
      <c r="Q706" s="76"/>
      <c r="U706" s="76"/>
      <c r="Y706" s="76"/>
      <c r="Z706" s="76"/>
      <c r="AA706" s="76"/>
      <c r="AB706" s="76"/>
    </row>
    <row r="707" ht="15.75" customHeight="1">
      <c r="Q707" s="76"/>
      <c r="U707" s="76"/>
      <c r="Y707" s="76"/>
      <c r="Z707" s="76"/>
      <c r="AA707" s="76"/>
      <c r="AB707" s="76"/>
    </row>
    <row r="708" ht="15.75" customHeight="1">
      <c r="Q708" s="76"/>
      <c r="U708" s="76"/>
      <c r="Y708" s="76"/>
      <c r="Z708" s="76"/>
      <c r="AA708" s="76"/>
      <c r="AB708" s="76"/>
    </row>
    <row r="709" ht="15.75" customHeight="1">
      <c r="Q709" s="76"/>
      <c r="U709" s="76"/>
      <c r="Y709" s="76"/>
      <c r="Z709" s="76"/>
      <c r="AA709" s="76"/>
      <c r="AB709" s="76"/>
    </row>
    <row r="710" ht="15.75" customHeight="1">
      <c r="Q710" s="76"/>
      <c r="U710" s="76"/>
      <c r="Y710" s="76"/>
      <c r="Z710" s="76"/>
      <c r="AA710" s="76"/>
      <c r="AB710" s="76"/>
    </row>
    <row r="711" ht="15.75" customHeight="1">
      <c r="Q711" s="76"/>
      <c r="U711" s="76"/>
      <c r="Y711" s="76"/>
      <c r="Z711" s="76"/>
      <c r="AA711" s="76"/>
      <c r="AB711" s="76"/>
    </row>
    <row r="712" ht="15.75" customHeight="1">
      <c r="Q712" s="76"/>
      <c r="U712" s="76"/>
      <c r="Y712" s="76"/>
      <c r="Z712" s="76"/>
      <c r="AA712" s="76"/>
      <c r="AB712" s="76"/>
    </row>
    <row r="713" ht="15.75" customHeight="1">
      <c r="Q713" s="76"/>
      <c r="U713" s="76"/>
      <c r="Y713" s="76"/>
      <c r="Z713" s="76"/>
      <c r="AA713" s="76"/>
      <c r="AB713" s="76"/>
    </row>
    <row r="714" ht="15.75" customHeight="1">
      <c r="Q714" s="76"/>
      <c r="U714" s="76"/>
      <c r="Y714" s="76"/>
      <c r="Z714" s="76"/>
      <c r="AA714" s="76"/>
      <c r="AB714" s="76"/>
    </row>
    <row r="715" ht="15.75" customHeight="1">
      <c r="Q715" s="76"/>
      <c r="U715" s="76"/>
      <c r="Y715" s="76"/>
      <c r="Z715" s="76"/>
      <c r="AA715" s="76"/>
      <c r="AB715" s="76"/>
    </row>
    <row r="716" ht="15.75" customHeight="1">
      <c r="Q716" s="76"/>
      <c r="U716" s="76"/>
      <c r="Y716" s="76"/>
      <c r="Z716" s="76"/>
      <c r="AA716" s="76"/>
      <c r="AB716" s="76"/>
    </row>
    <row r="717" ht="15.75" customHeight="1">
      <c r="Q717" s="76"/>
      <c r="U717" s="76"/>
      <c r="Y717" s="76"/>
      <c r="Z717" s="76"/>
      <c r="AA717" s="76"/>
      <c r="AB717" s="76"/>
    </row>
    <row r="718" ht="15.75" customHeight="1">
      <c r="Q718" s="76"/>
      <c r="U718" s="76"/>
      <c r="Y718" s="76"/>
      <c r="Z718" s="76"/>
      <c r="AA718" s="76"/>
      <c r="AB718" s="76"/>
    </row>
    <row r="719" ht="15.75" customHeight="1">
      <c r="Q719" s="76"/>
      <c r="U719" s="76"/>
      <c r="Y719" s="76"/>
      <c r="Z719" s="76"/>
      <c r="AA719" s="76"/>
      <c r="AB719" s="76"/>
    </row>
    <row r="720" ht="15.75" customHeight="1">
      <c r="Q720" s="76"/>
      <c r="U720" s="76"/>
      <c r="Y720" s="76"/>
      <c r="Z720" s="76"/>
      <c r="AA720" s="76"/>
      <c r="AB720" s="76"/>
    </row>
    <row r="721" ht="15.75" customHeight="1">
      <c r="Q721" s="76"/>
      <c r="U721" s="76"/>
      <c r="Y721" s="76"/>
      <c r="Z721" s="76"/>
      <c r="AA721" s="76"/>
      <c r="AB721" s="76"/>
    </row>
    <row r="722" ht="15.75" customHeight="1">
      <c r="Q722" s="76"/>
      <c r="U722" s="76"/>
      <c r="Y722" s="76"/>
      <c r="Z722" s="76"/>
      <c r="AA722" s="76"/>
      <c r="AB722" s="76"/>
    </row>
    <row r="723" ht="15.75" customHeight="1">
      <c r="Q723" s="76"/>
      <c r="U723" s="76"/>
      <c r="Y723" s="76"/>
      <c r="Z723" s="76"/>
      <c r="AA723" s="76"/>
      <c r="AB723" s="76"/>
    </row>
    <row r="724" ht="15.75" customHeight="1">
      <c r="Q724" s="76"/>
      <c r="U724" s="76"/>
      <c r="Y724" s="76"/>
      <c r="Z724" s="76"/>
      <c r="AA724" s="76"/>
      <c r="AB724" s="76"/>
    </row>
    <row r="725" ht="15.75" customHeight="1">
      <c r="Q725" s="76"/>
      <c r="U725" s="76"/>
      <c r="Y725" s="76"/>
      <c r="Z725" s="76"/>
      <c r="AA725" s="76"/>
      <c r="AB725" s="76"/>
    </row>
    <row r="726" ht="15.75" customHeight="1">
      <c r="Q726" s="76"/>
      <c r="U726" s="76"/>
      <c r="Y726" s="76"/>
      <c r="Z726" s="76"/>
      <c r="AA726" s="76"/>
      <c r="AB726" s="76"/>
    </row>
    <row r="727" ht="15.75" customHeight="1">
      <c r="Q727" s="76"/>
      <c r="U727" s="76"/>
      <c r="Y727" s="76"/>
      <c r="Z727" s="76"/>
      <c r="AA727" s="76"/>
      <c r="AB727" s="76"/>
    </row>
    <row r="728" ht="15.75" customHeight="1">
      <c r="Q728" s="76"/>
      <c r="U728" s="76"/>
      <c r="Y728" s="76"/>
      <c r="Z728" s="76"/>
      <c r="AA728" s="76"/>
      <c r="AB728" s="76"/>
    </row>
    <row r="729" ht="15.75" customHeight="1">
      <c r="Q729" s="76"/>
      <c r="U729" s="76"/>
      <c r="Y729" s="76"/>
      <c r="Z729" s="76"/>
      <c r="AA729" s="76"/>
      <c r="AB729" s="76"/>
    </row>
    <row r="730" ht="15.75" customHeight="1">
      <c r="Q730" s="76"/>
      <c r="U730" s="76"/>
      <c r="Y730" s="76"/>
      <c r="Z730" s="76"/>
      <c r="AA730" s="76"/>
      <c r="AB730" s="76"/>
    </row>
    <row r="731" ht="15.75" customHeight="1">
      <c r="Q731" s="76"/>
      <c r="U731" s="76"/>
      <c r="Y731" s="76"/>
      <c r="Z731" s="76"/>
      <c r="AA731" s="76"/>
      <c r="AB731" s="76"/>
    </row>
    <row r="732" ht="15.75" customHeight="1">
      <c r="Q732" s="76"/>
      <c r="U732" s="76"/>
      <c r="Y732" s="76"/>
      <c r="Z732" s="76"/>
      <c r="AA732" s="76"/>
      <c r="AB732" s="76"/>
    </row>
    <row r="733" ht="15.75" customHeight="1">
      <c r="Q733" s="76"/>
      <c r="U733" s="76"/>
      <c r="Y733" s="76"/>
      <c r="Z733" s="76"/>
      <c r="AA733" s="76"/>
      <c r="AB733" s="76"/>
    </row>
    <row r="734" ht="15.75" customHeight="1">
      <c r="Q734" s="76"/>
      <c r="U734" s="76"/>
      <c r="Y734" s="76"/>
      <c r="Z734" s="76"/>
      <c r="AA734" s="76"/>
      <c r="AB734" s="76"/>
    </row>
    <row r="735" ht="15.75" customHeight="1">
      <c r="Q735" s="76"/>
      <c r="U735" s="76"/>
      <c r="Y735" s="76"/>
      <c r="Z735" s="76"/>
      <c r="AA735" s="76"/>
      <c r="AB735" s="76"/>
    </row>
    <row r="736" ht="15.75" customHeight="1">
      <c r="Q736" s="76"/>
      <c r="U736" s="76"/>
      <c r="Y736" s="76"/>
      <c r="Z736" s="76"/>
      <c r="AA736" s="76"/>
      <c r="AB736" s="76"/>
    </row>
    <row r="737" ht="15.75" customHeight="1">
      <c r="Q737" s="76"/>
      <c r="U737" s="76"/>
      <c r="Y737" s="76"/>
      <c r="Z737" s="76"/>
      <c r="AA737" s="76"/>
      <c r="AB737" s="76"/>
    </row>
    <row r="738" ht="15.75" customHeight="1">
      <c r="Q738" s="76"/>
      <c r="U738" s="76"/>
      <c r="Y738" s="76"/>
      <c r="Z738" s="76"/>
      <c r="AA738" s="76"/>
      <c r="AB738" s="76"/>
    </row>
    <row r="739" ht="15.75" customHeight="1">
      <c r="Q739" s="76"/>
      <c r="U739" s="76"/>
      <c r="Y739" s="76"/>
      <c r="Z739" s="76"/>
      <c r="AA739" s="76"/>
      <c r="AB739" s="76"/>
    </row>
    <row r="740" ht="15.75" customHeight="1">
      <c r="Q740" s="76"/>
      <c r="U740" s="76"/>
      <c r="Y740" s="76"/>
      <c r="Z740" s="76"/>
      <c r="AA740" s="76"/>
      <c r="AB740" s="76"/>
    </row>
    <row r="741" ht="15.75" customHeight="1">
      <c r="Q741" s="76"/>
      <c r="U741" s="76"/>
      <c r="Y741" s="76"/>
      <c r="Z741" s="76"/>
      <c r="AA741" s="76"/>
      <c r="AB741" s="76"/>
    </row>
    <row r="742" ht="15.75" customHeight="1">
      <c r="Q742" s="76"/>
      <c r="U742" s="76"/>
      <c r="Y742" s="76"/>
      <c r="Z742" s="76"/>
      <c r="AA742" s="76"/>
      <c r="AB742" s="76"/>
    </row>
    <row r="743" ht="15.75" customHeight="1">
      <c r="Q743" s="76"/>
      <c r="U743" s="76"/>
      <c r="Y743" s="76"/>
      <c r="Z743" s="76"/>
      <c r="AA743" s="76"/>
      <c r="AB743" s="76"/>
    </row>
    <row r="744" ht="15.75" customHeight="1">
      <c r="Q744" s="76"/>
      <c r="U744" s="76"/>
      <c r="Y744" s="76"/>
      <c r="Z744" s="76"/>
      <c r="AA744" s="76"/>
      <c r="AB744" s="76"/>
    </row>
    <row r="745" ht="15.75" customHeight="1">
      <c r="Q745" s="76"/>
      <c r="U745" s="76"/>
      <c r="Y745" s="76"/>
      <c r="Z745" s="76"/>
      <c r="AA745" s="76"/>
      <c r="AB745" s="76"/>
    </row>
    <row r="746" ht="15.75" customHeight="1">
      <c r="Q746" s="76"/>
      <c r="U746" s="76"/>
      <c r="Y746" s="76"/>
      <c r="Z746" s="76"/>
      <c r="AA746" s="76"/>
      <c r="AB746" s="76"/>
    </row>
    <row r="747" ht="15.75" customHeight="1">
      <c r="Q747" s="76"/>
      <c r="U747" s="76"/>
      <c r="Y747" s="76"/>
      <c r="Z747" s="76"/>
      <c r="AA747" s="76"/>
      <c r="AB747" s="76"/>
    </row>
    <row r="748" ht="15.75" customHeight="1">
      <c r="Q748" s="76"/>
      <c r="U748" s="76"/>
      <c r="Y748" s="76"/>
      <c r="Z748" s="76"/>
      <c r="AA748" s="76"/>
      <c r="AB748" s="76"/>
    </row>
    <row r="749" ht="15.75" customHeight="1">
      <c r="Q749" s="76"/>
      <c r="U749" s="76"/>
      <c r="Y749" s="76"/>
      <c r="Z749" s="76"/>
      <c r="AA749" s="76"/>
      <c r="AB749" s="76"/>
    </row>
    <row r="750" ht="15.75" customHeight="1">
      <c r="Q750" s="76"/>
      <c r="U750" s="76"/>
      <c r="Y750" s="76"/>
      <c r="Z750" s="76"/>
      <c r="AA750" s="76"/>
      <c r="AB750" s="76"/>
    </row>
    <row r="751" ht="15.75" customHeight="1">
      <c r="Q751" s="76"/>
      <c r="U751" s="76"/>
      <c r="Y751" s="76"/>
      <c r="Z751" s="76"/>
      <c r="AA751" s="76"/>
      <c r="AB751" s="76"/>
    </row>
    <row r="752" ht="15.75" customHeight="1">
      <c r="Q752" s="76"/>
      <c r="U752" s="76"/>
      <c r="Y752" s="76"/>
      <c r="Z752" s="76"/>
      <c r="AA752" s="76"/>
      <c r="AB752" s="76"/>
    </row>
    <row r="753" ht="15.75" customHeight="1">
      <c r="Q753" s="76"/>
      <c r="U753" s="76"/>
      <c r="Y753" s="76"/>
      <c r="Z753" s="76"/>
      <c r="AA753" s="76"/>
      <c r="AB753" s="76"/>
    </row>
    <row r="754" ht="15.75" customHeight="1">
      <c r="Q754" s="76"/>
      <c r="U754" s="76"/>
      <c r="Y754" s="76"/>
      <c r="Z754" s="76"/>
      <c r="AA754" s="76"/>
      <c r="AB754" s="76"/>
    </row>
    <row r="755" ht="15.75" customHeight="1">
      <c r="Q755" s="76"/>
      <c r="U755" s="76"/>
      <c r="Y755" s="76"/>
      <c r="Z755" s="76"/>
      <c r="AA755" s="76"/>
      <c r="AB755" s="76"/>
    </row>
    <row r="756" ht="15.75" customHeight="1">
      <c r="Q756" s="76"/>
      <c r="U756" s="76"/>
      <c r="Y756" s="76"/>
      <c r="Z756" s="76"/>
      <c r="AA756" s="76"/>
      <c r="AB756" s="76"/>
    </row>
    <row r="757" ht="15.75" customHeight="1">
      <c r="Q757" s="76"/>
      <c r="U757" s="76"/>
      <c r="Y757" s="76"/>
      <c r="Z757" s="76"/>
      <c r="AA757" s="76"/>
      <c r="AB757" s="76"/>
    </row>
    <row r="758" ht="15.75" customHeight="1">
      <c r="Q758" s="76"/>
      <c r="U758" s="76"/>
      <c r="Y758" s="76"/>
      <c r="Z758" s="76"/>
      <c r="AA758" s="76"/>
      <c r="AB758" s="76"/>
    </row>
    <row r="759" ht="15.75" customHeight="1">
      <c r="Q759" s="76"/>
      <c r="U759" s="76"/>
      <c r="Y759" s="76"/>
      <c r="Z759" s="76"/>
      <c r="AA759" s="76"/>
      <c r="AB759" s="76"/>
    </row>
    <row r="760" ht="15.75" customHeight="1">
      <c r="Q760" s="76"/>
      <c r="U760" s="76"/>
      <c r="Y760" s="76"/>
      <c r="Z760" s="76"/>
      <c r="AA760" s="76"/>
      <c r="AB760" s="76"/>
    </row>
    <row r="761" ht="15.75" customHeight="1">
      <c r="Q761" s="76"/>
      <c r="U761" s="76"/>
      <c r="Y761" s="76"/>
      <c r="Z761" s="76"/>
      <c r="AA761" s="76"/>
      <c r="AB761" s="76"/>
    </row>
    <row r="762" ht="15.75" customHeight="1">
      <c r="Q762" s="76"/>
      <c r="U762" s="76"/>
      <c r="Y762" s="76"/>
      <c r="Z762" s="76"/>
      <c r="AA762" s="76"/>
      <c r="AB762" s="76"/>
    </row>
    <row r="763" ht="15.75" customHeight="1">
      <c r="Q763" s="76"/>
      <c r="U763" s="76"/>
      <c r="Y763" s="76"/>
      <c r="Z763" s="76"/>
      <c r="AA763" s="76"/>
      <c r="AB763" s="76"/>
    </row>
    <row r="764" ht="15.75" customHeight="1">
      <c r="Q764" s="76"/>
      <c r="U764" s="76"/>
      <c r="Y764" s="76"/>
      <c r="Z764" s="76"/>
      <c r="AA764" s="76"/>
      <c r="AB764" s="76"/>
    </row>
    <row r="765" ht="15.75" customHeight="1">
      <c r="Q765" s="76"/>
      <c r="U765" s="76"/>
      <c r="Y765" s="76"/>
      <c r="Z765" s="76"/>
      <c r="AA765" s="76"/>
      <c r="AB765" s="76"/>
    </row>
    <row r="766" ht="15.75" customHeight="1">
      <c r="Q766" s="76"/>
      <c r="U766" s="76"/>
      <c r="Y766" s="76"/>
      <c r="Z766" s="76"/>
      <c r="AA766" s="76"/>
      <c r="AB766" s="76"/>
    </row>
    <row r="767" ht="15.75" customHeight="1">
      <c r="Q767" s="76"/>
      <c r="U767" s="76"/>
      <c r="Y767" s="76"/>
      <c r="Z767" s="76"/>
      <c r="AA767" s="76"/>
      <c r="AB767" s="76"/>
    </row>
    <row r="768" ht="15.75" customHeight="1">
      <c r="Q768" s="76"/>
      <c r="U768" s="76"/>
      <c r="Y768" s="76"/>
      <c r="Z768" s="76"/>
      <c r="AA768" s="76"/>
      <c r="AB768" s="76"/>
    </row>
    <row r="769" ht="15.75" customHeight="1">
      <c r="Q769" s="76"/>
      <c r="U769" s="76"/>
      <c r="Y769" s="76"/>
      <c r="Z769" s="76"/>
      <c r="AA769" s="76"/>
      <c r="AB769" s="76"/>
    </row>
    <row r="770" ht="15.75" customHeight="1">
      <c r="Q770" s="76"/>
      <c r="U770" s="76"/>
      <c r="Y770" s="76"/>
      <c r="Z770" s="76"/>
      <c r="AA770" s="76"/>
      <c r="AB770" s="76"/>
    </row>
    <row r="771" ht="15.75" customHeight="1">
      <c r="Q771" s="76"/>
      <c r="U771" s="76"/>
      <c r="Y771" s="76"/>
      <c r="Z771" s="76"/>
      <c r="AA771" s="76"/>
      <c r="AB771" s="76"/>
    </row>
    <row r="772" ht="15.75" customHeight="1">
      <c r="Q772" s="76"/>
      <c r="U772" s="76"/>
      <c r="Y772" s="76"/>
      <c r="Z772" s="76"/>
      <c r="AA772" s="76"/>
      <c r="AB772" s="76"/>
    </row>
    <row r="773" ht="15.75" customHeight="1">
      <c r="Q773" s="76"/>
      <c r="U773" s="76"/>
      <c r="Y773" s="76"/>
      <c r="Z773" s="76"/>
      <c r="AA773" s="76"/>
      <c r="AB773" s="76"/>
    </row>
    <row r="774" ht="15.75" customHeight="1">
      <c r="Q774" s="76"/>
      <c r="U774" s="76"/>
      <c r="Y774" s="76"/>
      <c r="Z774" s="76"/>
      <c r="AA774" s="76"/>
      <c r="AB774" s="76"/>
    </row>
    <row r="775" ht="15.75" customHeight="1">
      <c r="Q775" s="76"/>
      <c r="U775" s="76"/>
      <c r="Y775" s="76"/>
      <c r="Z775" s="76"/>
      <c r="AA775" s="76"/>
      <c r="AB775" s="76"/>
    </row>
    <row r="776" ht="15.75" customHeight="1">
      <c r="Q776" s="76"/>
      <c r="U776" s="76"/>
      <c r="Y776" s="76"/>
      <c r="Z776" s="76"/>
      <c r="AA776" s="76"/>
      <c r="AB776" s="76"/>
    </row>
    <row r="777" ht="15.75" customHeight="1">
      <c r="Q777" s="76"/>
      <c r="U777" s="76"/>
      <c r="Y777" s="76"/>
      <c r="Z777" s="76"/>
      <c r="AA777" s="76"/>
      <c r="AB777" s="76"/>
    </row>
    <row r="778" ht="15.75" customHeight="1">
      <c r="Q778" s="76"/>
      <c r="U778" s="76"/>
      <c r="Y778" s="76"/>
      <c r="Z778" s="76"/>
      <c r="AA778" s="76"/>
      <c r="AB778" s="76"/>
    </row>
    <row r="779" ht="15.75" customHeight="1">
      <c r="Q779" s="76"/>
      <c r="U779" s="76"/>
      <c r="Y779" s="76"/>
      <c r="Z779" s="76"/>
      <c r="AA779" s="76"/>
      <c r="AB779" s="76"/>
    </row>
    <row r="780" ht="15.75" customHeight="1">
      <c r="Q780" s="76"/>
      <c r="U780" s="76"/>
      <c r="Y780" s="76"/>
      <c r="Z780" s="76"/>
      <c r="AA780" s="76"/>
      <c r="AB780" s="76"/>
    </row>
    <row r="781" ht="15.75" customHeight="1">
      <c r="Q781" s="76"/>
      <c r="U781" s="76"/>
      <c r="Y781" s="76"/>
      <c r="Z781" s="76"/>
      <c r="AA781" s="76"/>
      <c r="AB781" s="76"/>
    </row>
    <row r="782" ht="15.75" customHeight="1">
      <c r="Q782" s="76"/>
      <c r="U782" s="76"/>
      <c r="Y782" s="76"/>
      <c r="Z782" s="76"/>
      <c r="AA782" s="76"/>
      <c r="AB782" s="76"/>
    </row>
    <row r="783" ht="15.75" customHeight="1">
      <c r="Q783" s="76"/>
      <c r="U783" s="76"/>
      <c r="Y783" s="76"/>
      <c r="Z783" s="76"/>
      <c r="AA783" s="76"/>
      <c r="AB783" s="76"/>
    </row>
    <row r="784" ht="15.75" customHeight="1">
      <c r="Q784" s="76"/>
      <c r="U784" s="76"/>
      <c r="Y784" s="76"/>
      <c r="Z784" s="76"/>
      <c r="AA784" s="76"/>
      <c r="AB784" s="76"/>
    </row>
    <row r="785" ht="15.75" customHeight="1">
      <c r="Q785" s="76"/>
      <c r="U785" s="76"/>
      <c r="Y785" s="76"/>
      <c r="Z785" s="76"/>
      <c r="AA785" s="76"/>
      <c r="AB785" s="76"/>
    </row>
    <row r="786" ht="15.75" customHeight="1">
      <c r="Q786" s="76"/>
      <c r="U786" s="76"/>
      <c r="Y786" s="76"/>
      <c r="Z786" s="76"/>
      <c r="AA786" s="76"/>
      <c r="AB786" s="76"/>
    </row>
    <row r="787" ht="15.75" customHeight="1">
      <c r="Q787" s="76"/>
      <c r="U787" s="76"/>
      <c r="Y787" s="76"/>
      <c r="Z787" s="76"/>
      <c r="AA787" s="76"/>
      <c r="AB787" s="76"/>
    </row>
    <row r="788" ht="15.75" customHeight="1">
      <c r="Q788" s="76"/>
      <c r="U788" s="76"/>
      <c r="Y788" s="76"/>
      <c r="Z788" s="76"/>
      <c r="AA788" s="76"/>
      <c r="AB788" s="76"/>
    </row>
    <row r="789" ht="15.75" customHeight="1">
      <c r="Q789" s="76"/>
      <c r="U789" s="76"/>
      <c r="Y789" s="76"/>
      <c r="Z789" s="76"/>
      <c r="AA789" s="76"/>
      <c r="AB789" s="76"/>
    </row>
    <row r="790" ht="15.75" customHeight="1">
      <c r="Q790" s="76"/>
      <c r="U790" s="76"/>
      <c r="Y790" s="76"/>
      <c r="Z790" s="76"/>
      <c r="AA790" s="76"/>
      <c r="AB790" s="76"/>
    </row>
    <row r="791" ht="15.75" customHeight="1">
      <c r="Q791" s="76"/>
      <c r="U791" s="76"/>
      <c r="Y791" s="76"/>
      <c r="Z791" s="76"/>
      <c r="AA791" s="76"/>
      <c r="AB791" s="76"/>
    </row>
    <row r="792" ht="15.75" customHeight="1">
      <c r="Q792" s="76"/>
      <c r="U792" s="76"/>
      <c r="Y792" s="76"/>
      <c r="Z792" s="76"/>
      <c r="AA792" s="76"/>
      <c r="AB792" s="76"/>
    </row>
    <row r="793" ht="15.75" customHeight="1">
      <c r="Q793" s="76"/>
      <c r="U793" s="76"/>
      <c r="Y793" s="76"/>
      <c r="Z793" s="76"/>
      <c r="AA793" s="76"/>
      <c r="AB793" s="76"/>
    </row>
    <row r="794" ht="15.75" customHeight="1">
      <c r="Q794" s="76"/>
      <c r="U794" s="76"/>
      <c r="Y794" s="76"/>
      <c r="Z794" s="76"/>
      <c r="AA794" s="76"/>
      <c r="AB794" s="76"/>
    </row>
    <row r="795" ht="15.75" customHeight="1">
      <c r="Q795" s="76"/>
      <c r="U795" s="76"/>
      <c r="Y795" s="76"/>
      <c r="Z795" s="76"/>
      <c r="AA795" s="76"/>
      <c r="AB795" s="76"/>
    </row>
    <row r="796" ht="15.75" customHeight="1">
      <c r="Q796" s="76"/>
      <c r="U796" s="76"/>
      <c r="Y796" s="76"/>
      <c r="Z796" s="76"/>
      <c r="AA796" s="76"/>
      <c r="AB796" s="76"/>
    </row>
    <row r="797" ht="15.75" customHeight="1">
      <c r="Q797" s="76"/>
      <c r="U797" s="76"/>
      <c r="Y797" s="76"/>
      <c r="Z797" s="76"/>
      <c r="AA797" s="76"/>
      <c r="AB797" s="76"/>
    </row>
    <row r="798" ht="15.75" customHeight="1">
      <c r="Q798" s="76"/>
      <c r="U798" s="76"/>
      <c r="Y798" s="76"/>
      <c r="Z798" s="76"/>
      <c r="AA798" s="76"/>
      <c r="AB798" s="76"/>
    </row>
    <row r="799" ht="15.75" customHeight="1">
      <c r="Q799" s="76"/>
      <c r="U799" s="76"/>
      <c r="Y799" s="76"/>
      <c r="Z799" s="76"/>
      <c r="AA799" s="76"/>
      <c r="AB799" s="76"/>
    </row>
    <row r="800" ht="15.75" customHeight="1">
      <c r="Q800" s="76"/>
      <c r="U800" s="76"/>
      <c r="Y800" s="76"/>
      <c r="Z800" s="76"/>
      <c r="AA800" s="76"/>
      <c r="AB800" s="76"/>
    </row>
    <row r="801" ht="15.75" customHeight="1">
      <c r="Q801" s="76"/>
      <c r="U801" s="76"/>
      <c r="Y801" s="76"/>
      <c r="Z801" s="76"/>
      <c r="AA801" s="76"/>
      <c r="AB801" s="76"/>
    </row>
    <row r="802" ht="15.75" customHeight="1">
      <c r="Q802" s="76"/>
      <c r="U802" s="76"/>
      <c r="Y802" s="76"/>
      <c r="Z802" s="76"/>
      <c r="AA802" s="76"/>
      <c r="AB802" s="76"/>
    </row>
    <row r="803" ht="15.75" customHeight="1">
      <c r="Q803" s="76"/>
      <c r="U803" s="76"/>
      <c r="Y803" s="76"/>
      <c r="Z803" s="76"/>
      <c r="AA803" s="76"/>
      <c r="AB803" s="76"/>
    </row>
    <row r="804" ht="15.75" customHeight="1">
      <c r="Q804" s="76"/>
      <c r="U804" s="76"/>
      <c r="Y804" s="76"/>
      <c r="Z804" s="76"/>
      <c r="AA804" s="76"/>
      <c r="AB804" s="76"/>
    </row>
    <row r="805" ht="15.75" customHeight="1">
      <c r="Q805" s="76"/>
      <c r="U805" s="76"/>
      <c r="Y805" s="76"/>
      <c r="Z805" s="76"/>
      <c r="AA805" s="76"/>
      <c r="AB805" s="76"/>
    </row>
    <row r="806" ht="15.75" customHeight="1">
      <c r="Q806" s="76"/>
      <c r="U806" s="76"/>
      <c r="Y806" s="76"/>
      <c r="Z806" s="76"/>
      <c r="AA806" s="76"/>
      <c r="AB806" s="76"/>
    </row>
    <row r="807" ht="15.75" customHeight="1">
      <c r="Q807" s="76"/>
      <c r="U807" s="76"/>
      <c r="Y807" s="76"/>
      <c r="Z807" s="76"/>
      <c r="AA807" s="76"/>
      <c r="AB807" s="76"/>
    </row>
    <row r="808" ht="15.75" customHeight="1">
      <c r="Q808" s="76"/>
      <c r="U808" s="76"/>
      <c r="Y808" s="76"/>
      <c r="Z808" s="76"/>
      <c r="AA808" s="76"/>
      <c r="AB808" s="76"/>
    </row>
    <row r="809" ht="15.75" customHeight="1">
      <c r="Q809" s="76"/>
      <c r="U809" s="76"/>
      <c r="Y809" s="76"/>
      <c r="Z809" s="76"/>
      <c r="AA809" s="76"/>
      <c r="AB809" s="76"/>
    </row>
    <row r="810" ht="15.75" customHeight="1">
      <c r="Q810" s="76"/>
      <c r="U810" s="76"/>
      <c r="Y810" s="76"/>
      <c r="Z810" s="76"/>
      <c r="AA810" s="76"/>
      <c r="AB810" s="76"/>
    </row>
    <row r="811" ht="15.75" customHeight="1">
      <c r="Q811" s="76"/>
      <c r="U811" s="76"/>
      <c r="Y811" s="76"/>
      <c r="Z811" s="76"/>
      <c r="AA811" s="76"/>
      <c r="AB811" s="76"/>
    </row>
    <row r="812" ht="15.75" customHeight="1">
      <c r="Q812" s="76"/>
      <c r="U812" s="76"/>
      <c r="Y812" s="76"/>
      <c r="Z812" s="76"/>
      <c r="AA812" s="76"/>
      <c r="AB812" s="76"/>
    </row>
    <row r="813" ht="15.75" customHeight="1">
      <c r="Q813" s="76"/>
      <c r="U813" s="76"/>
      <c r="Y813" s="76"/>
      <c r="Z813" s="76"/>
      <c r="AA813" s="76"/>
      <c r="AB813" s="76"/>
    </row>
    <row r="814" ht="15.75" customHeight="1">
      <c r="Q814" s="76"/>
      <c r="U814" s="76"/>
      <c r="Y814" s="76"/>
      <c r="Z814" s="76"/>
      <c r="AA814" s="76"/>
      <c r="AB814" s="76"/>
    </row>
    <row r="815" ht="15.75" customHeight="1">
      <c r="Q815" s="76"/>
      <c r="U815" s="76"/>
      <c r="Y815" s="76"/>
      <c r="Z815" s="76"/>
      <c r="AA815" s="76"/>
      <c r="AB815" s="76"/>
    </row>
    <row r="816" ht="15.75" customHeight="1">
      <c r="Q816" s="76"/>
      <c r="U816" s="76"/>
      <c r="Y816" s="76"/>
      <c r="Z816" s="76"/>
      <c r="AA816" s="76"/>
      <c r="AB816" s="76"/>
    </row>
    <row r="817" ht="15.75" customHeight="1">
      <c r="Q817" s="76"/>
      <c r="U817" s="76"/>
      <c r="Y817" s="76"/>
      <c r="Z817" s="76"/>
      <c r="AA817" s="76"/>
      <c r="AB817" s="76"/>
    </row>
    <row r="818" ht="15.75" customHeight="1">
      <c r="Q818" s="76"/>
      <c r="U818" s="76"/>
      <c r="Y818" s="76"/>
      <c r="Z818" s="76"/>
      <c r="AA818" s="76"/>
      <c r="AB818" s="76"/>
    </row>
    <row r="819" ht="15.75" customHeight="1">
      <c r="Q819" s="76"/>
      <c r="U819" s="76"/>
      <c r="Y819" s="76"/>
      <c r="Z819" s="76"/>
      <c r="AA819" s="76"/>
      <c r="AB819" s="76"/>
    </row>
    <row r="820" ht="15.75" customHeight="1">
      <c r="Q820" s="76"/>
      <c r="U820" s="76"/>
      <c r="Y820" s="76"/>
      <c r="Z820" s="76"/>
      <c r="AA820" s="76"/>
      <c r="AB820" s="76"/>
    </row>
    <row r="821" ht="15.75" customHeight="1">
      <c r="Q821" s="76"/>
      <c r="U821" s="76"/>
      <c r="Y821" s="76"/>
      <c r="Z821" s="76"/>
      <c r="AA821" s="76"/>
      <c r="AB821" s="76"/>
    </row>
    <row r="822" ht="15.75" customHeight="1">
      <c r="Q822" s="76"/>
      <c r="U822" s="76"/>
      <c r="Y822" s="76"/>
      <c r="Z822" s="76"/>
      <c r="AA822" s="76"/>
      <c r="AB822" s="76"/>
    </row>
    <row r="823" ht="15.75" customHeight="1">
      <c r="Q823" s="76"/>
      <c r="U823" s="76"/>
      <c r="Y823" s="76"/>
      <c r="Z823" s="76"/>
      <c r="AA823" s="76"/>
      <c r="AB823" s="76"/>
    </row>
    <row r="824" ht="15.75" customHeight="1">
      <c r="Q824" s="76"/>
      <c r="U824" s="76"/>
      <c r="Y824" s="76"/>
      <c r="Z824" s="76"/>
      <c r="AA824" s="76"/>
      <c r="AB824" s="76"/>
    </row>
    <row r="825" ht="15.75" customHeight="1">
      <c r="Q825" s="76"/>
      <c r="U825" s="76"/>
      <c r="Y825" s="76"/>
      <c r="Z825" s="76"/>
      <c r="AA825" s="76"/>
      <c r="AB825" s="76"/>
    </row>
    <row r="826" ht="15.75" customHeight="1">
      <c r="Q826" s="76"/>
      <c r="U826" s="76"/>
      <c r="Y826" s="76"/>
      <c r="Z826" s="76"/>
      <c r="AA826" s="76"/>
      <c r="AB826" s="76"/>
    </row>
    <row r="827" ht="15.75" customHeight="1">
      <c r="Q827" s="76"/>
      <c r="U827" s="76"/>
      <c r="Y827" s="76"/>
      <c r="Z827" s="76"/>
      <c r="AA827" s="76"/>
      <c r="AB827" s="76"/>
    </row>
    <row r="828" ht="15.75" customHeight="1">
      <c r="Q828" s="76"/>
      <c r="U828" s="76"/>
      <c r="Y828" s="76"/>
      <c r="Z828" s="76"/>
      <c r="AA828" s="76"/>
      <c r="AB828" s="76"/>
    </row>
    <row r="829" ht="15.75" customHeight="1">
      <c r="Q829" s="76"/>
      <c r="U829" s="76"/>
      <c r="Y829" s="76"/>
      <c r="Z829" s="76"/>
      <c r="AA829" s="76"/>
      <c r="AB829" s="76"/>
    </row>
    <row r="830" ht="15.75" customHeight="1">
      <c r="Q830" s="76"/>
      <c r="U830" s="76"/>
      <c r="Y830" s="76"/>
      <c r="Z830" s="76"/>
      <c r="AA830" s="76"/>
      <c r="AB830" s="76"/>
    </row>
    <row r="831" ht="15.75" customHeight="1">
      <c r="Q831" s="76"/>
      <c r="U831" s="76"/>
      <c r="Y831" s="76"/>
      <c r="Z831" s="76"/>
      <c r="AA831" s="76"/>
      <c r="AB831" s="76"/>
    </row>
    <row r="832" ht="15.75" customHeight="1">
      <c r="Q832" s="76"/>
      <c r="U832" s="76"/>
      <c r="Y832" s="76"/>
      <c r="Z832" s="76"/>
      <c r="AA832" s="76"/>
      <c r="AB832" s="76"/>
    </row>
    <row r="833" ht="15.75" customHeight="1">
      <c r="Q833" s="76"/>
      <c r="U833" s="76"/>
      <c r="Y833" s="76"/>
      <c r="Z833" s="76"/>
      <c r="AA833" s="76"/>
      <c r="AB833" s="76"/>
    </row>
    <row r="834" ht="15.75" customHeight="1">
      <c r="Q834" s="76"/>
      <c r="U834" s="76"/>
      <c r="Y834" s="76"/>
      <c r="Z834" s="76"/>
      <c r="AA834" s="76"/>
      <c r="AB834" s="76"/>
    </row>
    <row r="835" ht="15.75" customHeight="1">
      <c r="Q835" s="76"/>
      <c r="U835" s="76"/>
      <c r="Y835" s="76"/>
      <c r="Z835" s="76"/>
      <c r="AA835" s="76"/>
      <c r="AB835" s="76"/>
    </row>
    <row r="836" ht="15.75" customHeight="1">
      <c r="Q836" s="76"/>
      <c r="U836" s="76"/>
      <c r="Y836" s="76"/>
      <c r="Z836" s="76"/>
      <c r="AA836" s="76"/>
      <c r="AB836" s="76"/>
    </row>
    <row r="837" ht="15.75" customHeight="1">
      <c r="Q837" s="76"/>
      <c r="U837" s="76"/>
      <c r="Y837" s="76"/>
      <c r="Z837" s="76"/>
      <c r="AA837" s="76"/>
      <c r="AB837" s="76"/>
    </row>
    <row r="838" ht="15.75" customHeight="1">
      <c r="Q838" s="76"/>
      <c r="U838" s="76"/>
      <c r="Y838" s="76"/>
      <c r="Z838" s="76"/>
      <c r="AA838" s="76"/>
      <c r="AB838" s="76"/>
    </row>
    <row r="839" ht="15.75" customHeight="1">
      <c r="Q839" s="76"/>
      <c r="U839" s="76"/>
      <c r="Y839" s="76"/>
      <c r="Z839" s="76"/>
      <c r="AA839" s="76"/>
      <c r="AB839" s="76"/>
    </row>
    <row r="840" ht="15.75" customHeight="1">
      <c r="Q840" s="76"/>
      <c r="U840" s="76"/>
      <c r="Y840" s="76"/>
      <c r="Z840" s="76"/>
      <c r="AA840" s="76"/>
      <c r="AB840" s="76"/>
    </row>
    <row r="841" ht="15.75" customHeight="1">
      <c r="Q841" s="76"/>
      <c r="U841" s="76"/>
      <c r="Y841" s="76"/>
      <c r="Z841" s="76"/>
      <c r="AA841" s="76"/>
      <c r="AB841" s="76"/>
    </row>
    <row r="842" ht="15.75" customHeight="1">
      <c r="Q842" s="76"/>
      <c r="U842" s="76"/>
      <c r="Y842" s="76"/>
      <c r="Z842" s="76"/>
      <c r="AA842" s="76"/>
      <c r="AB842" s="76"/>
    </row>
    <row r="843" ht="15.75" customHeight="1">
      <c r="Q843" s="76"/>
      <c r="U843" s="76"/>
      <c r="Y843" s="76"/>
      <c r="Z843" s="76"/>
      <c r="AA843" s="76"/>
      <c r="AB843" s="76"/>
    </row>
    <row r="844" ht="15.75" customHeight="1">
      <c r="Q844" s="76"/>
      <c r="U844" s="76"/>
      <c r="Y844" s="76"/>
      <c r="Z844" s="76"/>
      <c r="AA844" s="76"/>
      <c r="AB844" s="76"/>
    </row>
    <row r="845" ht="15.75" customHeight="1">
      <c r="Q845" s="76"/>
      <c r="U845" s="76"/>
      <c r="Y845" s="76"/>
      <c r="Z845" s="76"/>
      <c r="AA845" s="76"/>
      <c r="AB845" s="76"/>
    </row>
    <row r="846" ht="15.75" customHeight="1">
      <c r="Q846" s="76"/>
      <c r="U846" s="76"/>
      <c r="Y846" s="76"/>
      <c r="Z846" s="76"/>
      <c r="AA846" s="76"/>
      <c r="AB846" s="76"/>
    </row>
    <row r="847" ht="15.75" customHeight="1">
      <c r="Q847" s="76"/>
      <c r="U847" s="76"/>
      <c r="Y847" s="76"/>
      <c r="Z847" s="76"/>
      <c r="AA847" s="76"/>
      <c r="AB847" s="76"/>
    </row>
    <row r="848" ht="15.75" customHeight="1">
      <c r="Q848" s="76"/>
      <c r="U848" s="76"/>
      <c r="Y848" s="76"/>
      <c r="Z848" s="76"/>
      <c r="AA848" s="76"/>
      <c r="AB848" s="76"/>
    </row>
    <row r="849" ht="15.75" customHeight="1">
      <c r="Q849" s="76"/>
      <c r="U849" s="76"/>
      <c r="Y849" s="76"/>
      <c r="Z849" s="76"/>
      <c r="AA849" s="76"/>
      <c r="AB849" s="76"/>
    </row>
    <row r="850" ht="15.75" customHeight="1">
      <c r="Q850" s="76"/>
      <c r="U850" s="76"/>
      <c r="Y850" s="76"/>
      <c r="Z850" s="76"/>
      <c r="AA850" s="76"/>
      <c r="AB850" s="76"/>
    </row>
    <row r="851" ht="15.75" customHeight="1">
      <c r="Q851" s="76"/>
      <c r="U851" s="76"/>
      <c r="Y851" s="76"/>
      <c r="Z851" s="76"/>
      <c r="AA851" s="76"/>
      <c r="AB851" s="76"/>
    </row>
    <row r="852" ht="15.75" customHeight="1">
      <c r="Q852" s="76"/>
      <c r="U852" s="76"/>
      <c r="Y852" s="76"/>
      <c r="Z852" s="76"/>
      <c r="AA852" s="76"/>
      <c r="AB852" s="76"/>
    </row>
    <row r="853" ht="15.75" customHeight="1">
      <c r="Q853" s="76"/>
      <c r="U853" s="76"/>
      <c r="Y853" s="76"/>
      <c r="Z853" s="76"/>
      <c r="AA853" s="76"/>
      <c r="AB853" s="76"/>
    </row>
    <row r="854" ht="15.75" customHeight="1">
      <c r="Q854" s="76"/>
      <c r="U854" s="76"/>
      <c r="Y854" s="76"/>
      <c r="Z854" s="76"/>
      <c r="AA854" s="76"/>
      <c r="AB854" s="76"/>
    </row>
    <row r="855" ht="15.75" customHeight="1">
      <c r="Q855" s="76"/>
      <c r="U855" s="76"/>
      <c r="Y855" s="76"/>
      <c r="Z855" s="76"/>
      <c r="AA855" s="76"/>
      <c r="AB855" s="76"/>
    </row>
    <row r="856" ht="15.75" customHeight="1">
      <c r="Q856" s="76"/>
      <c r="U856" s="76"/>
      <c r="Y856" s="76"/>
      <c r="Z856" s="76"/>
      <c r="AA856" s="76"/>
      <c r="AB856" s="76"/>
    </row>
    <row r="857" ht="15.75" customHeight="1">
      <c r="Q857" s="76"/>
      <c r="U857" s="76"/>
      <c r="Y857" s="76"/>
      <c r="Z857" s="76"/>
      <c r="AA857" s="76"/>
      <c r="AB857" s="76"/>
    </row>
    <row r="858" ht="15.75" customHeight="1">
      <c r="Q858" s="76"/>
      <c r="U858" s="76"/>
      <c r="Y858" s="76"/>
      <c r="Z858" s="76"/>
      <c r="AA858" s="76"/>
      <c r="AB858" s="76"/>
    </row>
    <row r="859" ht="15.75" customHeight="1">
      <c r="Q859" s="76"/>
      <c r="U859" s="76"/>
      <c r="Y859" s="76"/>
      <c r="Z859" s="76"/>
      <c r="AA859" s="76"/>
      <c r="AB859" s="76"/>
    </row>
    <row r="860" ht="15.75" customHeight="1">
      <c r="Q860" s="76"/>
      <c r="U860" s="76"/>
      <c r="Y860" s="76"/>
      <c r="Z860" s="76"/>
      <c r="AA860" s="76"/>
      <c r="AB860" s="76"/>
    </row>
    <row r="861" ht="15.75" customHeight="1">
      <c r="Q861" s="76"/>
      <c r="U861" s="76"/>
      <c r="Y861" s="76"/>
      <c r="Z861" s="76"/>
      <c r="AA861" s="76"/>
      <c r="AB861" s="76"/>
    </row>
    <row r="862" ht="15.75" customHeight="1">
      <c r="Q862" s="76"/>
      <c r="U862" s="76"/>
      <c r="Y862" s="76"/>
      <c r="Z862" s="76"/>
      <c r="AA862" s="76"/>
      <c r="AB862" s="76"/>
    </row>
    <row r="863" ht="15.75" customHeight="1">
      <c r="Q863" s="76"/>
      <c r="U863" s="76"/>
      <c r="Y863" s="76"/>
      <c r="Z863" s="76"/>
      <c r="AA863" s="76"/>
      <c r="AB863" s="76"/>
    </row>
    <row r="864" ht="15.75" customHeight="1">
      <c r="Q864" s="76"/>
      <c r="U864" s="76"/>
      <c r="Y864" s="76"/>
      <c r="Z864" s="76"/>
      <c r="AA864" s="76"/>
      <c r="AB864" s="76"/>
    </row>
    <row r="865" ht="15.75" customHeight="1">
      <c r="Q865" s="76"/>
      <c r="U865" s="76"/>
      <c r="Y865" s="76"/>
      <c r="Z865" s="76"/>
      <c r="AA865" s="76"/>
      <c r="AB865" s="76"/>
    </row>
    <row r="866" ht="15.75" customHeight="1">
      <c r="Q866" s="76"/>
      <c r="U866" s="76"/>
      <c r="Y866" s="76"/>
      <c r="Z866" s="76"/>
      <c r="AA866" s="76"/>
      <c r="AB866" s="76"/>
    </row>
    <row r="867" ht="15.75" customHeight="1">
      <c r="Q867" s="76"/>
      <c r="U867" s="76"/>
      <c r="Y867" s="76"/>
      <c r="Z867" s="76"/>
      <c r="AA867" s="76"/>
      <c r="AB867" s="76"/>
    </row>
    <row r="868" ht="15.75" customHeight="1">
      <c r="Q868" s="76"/>
      <c r="U868" s="76"/>
      <c r="Y868" s="76"/>
      <c r="Z868" s="76"/>
      <c r="AA868" s="76"/>
      <c r="AB868" s="76"/>
    </row>
    <row r="869" ht="15.75" customHeight="1">
      <c r="Q869" s="76"/>
      <c r="U869" s="76"/>
      <c r="Y869" s="76"/>
      <c r="Z869" s="76"/>
      <c r="AA869" s="76"/>
      <c r="AB869" s="76"/>
    </row>
    <row r="870" ht="15.75" customHeight="1">
      <c r="Q870" s="76"/>
      <c r="U870" s="76"/>
      <c r="Y870" s="76"/>
      <c r="Z870" s="76"/>
      <c r="AA870" s="76"/>
      <c r="AB870" s="76"/>
    </row>
    <row r="871" ht="15.75" customHeight="1">
      <c r="Q871" s="76"/>
      <c r="U871" s="76"/>
      <c r="Y871" s="76"/>
      <c r="Z871" s="76"/>
      <c r="AA871" s="76"/>
      <c r="AB871" s="76"/>
    </row>
    <row r="872" ht="15.75" customHeight="1">
      <c r="Q872" s="76"/>
      <c r="U872" s="76"/>
      <c r="Y872" s="76"/>
      <c r="Z872" s="76"/>
      <c r="AA872" s="76"/>
      <c r="AB872" s="76"/>
    </row>
    <row r="873" ht="15.75" customHeight="1">
      <c r="Q873" s="76"/>
      <c r="U873" s="76"/>
      <c r="Y873" s="76"/>
      <c r="Z873" s="76"/>
      <c r="AA873" s="76"/>
      <c r="AB873" s="76"/>
    </row>
    <row r="874" ht="15.75" customHeight="1">
      <c r="Q874" s="76"/>
      <c r="U874" s="76"/>
      <c r="Y874" s="76"/>
      <c r="Z874" s="76"/>
      <c r="AA874" s="76"/>
      <c r="AB874" s="76"/>
    </row>
    <row r="875" ht="15.75" customHeight="1">
      <c r="Q875" s="76"/>
      <c r="U875" s="76"/>
      <c r="Y875" s="76"/>
      <c r="Z875" s="76"/>
      <c r="AA875" s="76"/>
      <c r="AB875" s="76"/>
    </row>
    <row r="876" ht="15.75" customHeight="1">
      <c r="Q876" s="76"/>
      <c r="U876" s="76"/>
      <c r="Y876" s="76"/>
      <c r="Z876" s="76"/>
      <c r="AA876" s="76"/>
      <c r="AB876" s="76"/>
    </row>
    <row r="877" ht="15.75" customHeight="1">
      <c r="Q877" s="76"/>
      <c r="U877" s="76"/>
      <c r="Y877" s="76"/>
      <c r="Z877" s="76"/>
      <c r="AA877" s="76"/>
      <c r="AB877" s="76"/>
    </row>
    <row r="878" ht="15.75" customHeight="1">
      <c r="Q878" s="76"/>
      <c r="U878" s="76"/>
      <c r="Y878" s="76"/>
      <c r="Z878" s="76"/>
      <c r="AA878" s="76"/>
      <c r="AB878" s="76"/>
    </row>
    <row r="879" ht="15.75" customHeight="1">
      <c r="Q879" s="76"/>
      <c r="U879" s="76"/>
      <c r="Y879" s="76"/>
      <c r="Z879" s="76"/>
      <c r="AA879" s="76"/>
      <c r="AB879" s="76"/>
    </row>
    <row r="880" ht="15.75" customHeight="1">
      <c r="Q880" s="76"/>
      <c r="U880" s="76"/>
      <c r="Y880" s="76"/>
      <c r="Z880" s="76"/>
      <c r="AA880" s="76"/>
      <c r="AB880" s="76"/>
    </row>
    <row r="881" ht="15.75" customHeight="1">
      <c r="Q881" s="76"/>
      <c r="U881" s="76"/>
      <c r="Y881" s="76"/>
      <c r="Z881" s="76"/>
      <c r="AA881" s="76"/>
      <c r="AB881" s="76"/>
    </row>
    <row r="882" ht="15.75" customHeight="1">
      <c r="Q882" s="76"/>
      <c r="U882" s="76"/>
      <c r="Y882" s="76"/>
      <c r="Z882" s="76"/>
      <c r="AA882" s="76"/>
      <c r="AB882" s="76"/>
    </row>
    <row r="883" ht="15.75" customHeight="1">
      <c r="Q883" s="76"/>
      <c r="U883" s="76"/>
      <c r="Y883" s="76"/>
      <c r="Z883" s="76"/>
      <c r="AA883" s="76"/>
      <c r="AB883" s="76"/>
    </row>
    <row r="884" ht="15.75" customHeight="1">
      <c r="Q884" s="76"/>
      <c r="U884" s="76"/>
      <c r="Y884" s="76"/>
      <c r="Z884" s="76"/>
      <c r="AA884" s="76"/>
      <c r="AB884" s="76"/>
    </row>
    <row r="885" ht="15.75" customHeight="1">
      <c r="Q885" s="76"/>
      <c r="U885" s="76"/>
      <c r="Y885" s="76"/>
      <c r="Z885" s="76"/>
      <c r="AA885" s="76"/>
      <c r="AB885" s="76"/>
    </row>
    <row r="886" ht="15.75" customHeight="1">
      <c r="Q886" s="76"/>
      <c r="U886" s="76"/>
      <c r="Y886" s="76"/>
      <c r="Z886" s="76"/>
      <c r="AA886" s="76"/>
      <c r="AB886" s="76"/>
    </row>
    <row r="887" ht="15.75" customHeight="1">
      <c r="Q887" s="76"/>
      <c r="U887" s="76"/>
      <c r="Y887" s="76"/>
      <c r="Z887" s="76"/>
      <c r="AA887" s="76"/>
      <c r="AB887" s="76"/>
    </row>
    <row r="888" ht="15.75" customHeight="1">
      <c r="Q888" s="76"/>
      <c r="U888" s="76"/>
      <c r="Y888" s="76"/>
      <c r="Z888" s="76"/>
      <c r="AA888" s="76"/>
      <c r="AB888" s="76"/>
    </row>
    <row r="889" ht="15.75" customHeight="1">
      <c r="Q889" s="76"/>
      <c r="U889" s="76"/>
      <c r="Y889" s="76"/>
      <c r="Z889" s="76"/>
      <c r="AA889" s="76"/>
      <c r="AB889" s="76"/>
    </row>
    <row r="890" ht="15.75" customHeight="1">
      <c r="Q890" s="76"/>
      <c r="U890" s="76"/>
      <c r="Y890" s="76"/>
      <c r="Z890" s="76"/>
      <c r="AA890" s="76"/>
      <c r="AB890" s="76"/>
    </row>
    <row r="891" ht="15.75" customHeight="1">
      <c r="Q891" s="76"/>
      <c r="U891" s="76"/>
      <c r="Y891" s="76"/>
      <c r="Z891" s="76"/>
      <c r="AA891" s="76"/>
      <c r="AB891" s="76"/>
    </row>
    <row r="892" ht="15.75" customHeight="1">
      <c r="Q892" s="76"/>
      <c r="U892" s="76"/>
      <c r="Y892" s="76"/>
      <c r="Z892" s="76"/>
      <c r="AA892" s="76"/>
      <c r="AB892" s="76"/>
    </row>
    <row r="893" ht="15.75" customHeight="1">
      <c r="Q893" s="76"/>
      <c r="U893" s="76"/>
      <c r="Y893" s="76"/>
      <c r="Z893" s="76"/>
      <c r="AA893" s="76"/>
      <c r="AB893" s="76"/>
    </row>
    <row r="894" ht="15.75" customHeight="1">
      <c r="Q894" s="76"/>
      <c r="U894" s="76"/>
      <c r="Y894" s="76"/>
      <c r="Z894" s="76"/>
      <c r="AA894" s="76"/>
      <c r="AB894" s="76"/>
    </row>
    <row r="895" ht="15.75" customHeight="1">
      <c r="Q895" s="76"/>
      <c r="U895" s="76"/>
      <c r="Y895" s="76"/>
      <c r="Z895" s="76"/>
      <c r="AA895" s="76"/>
      <c r="AB895" s="76"/>
    </row>
    <row r="896" ht="15.75" customHeight="1">
      <c r="Q896" s="76"/>
      <c r="U896" s="76"/>
      <c r="Y896" s="76"/>
      <c r="Z896" s="76"/>
      <c r="AA896" s="76"/>
      <c r="AB896" s="76"/>
    </row>
    <row r="897" ht="15.75" customHeight="1">
      <c r="Q897" s="76"/>
      <c r="U897" s="76"/>
      <c r="Y897" s="76"/>
      <c r="Z897" s="76"/>
      <c r="AA897" s="76"/>
      <c r="AB897" s="76"/>
    </row>
    <row r="898" ht="15.75" customHeight="1">
      <c r="Q898" s="76"/>
      <c r="U898" s="76"/>
      <c r="Y898" s="76"/>
      <c r="Z898" s="76"/>
      <c r="AA898" s="76"/>
      <c r="AB898" s="76"/>
    </row>
    <row r="899" ht="15.75" customHeight="1">
      <c r="Q899" s="76"/>
      <c r="U899" s="76"/>
      <c r="Y899" s="76"/>
      <c r="Z899" s="76"/>
      <c r="AA899" s="76"/>
      <c r="AB899" s="76"/>
    </row>
    <row r="900" ht="15.75" customHeight="1">
      <c r="Q900" s="76"/>
      <c r="U900" s="76"/>
      <c r="Y900" s="76"/>
      <c r="Z900" s="76"/>
      <c r="AA900" s="76"/>
      <c r="AB900" s="76"/>
    </row>
    <row r="901" ht="15.75" customHeight="1">
      <c r="Q901" s="76"/>
      <c r="U901" s="76"/>
      <c r="Y901" s="76"/>
      <c r="Z901" s="76"/>
      <c r="AA901" s="76"/>
      <c r="AB901" s="76"/>
    </row>
    <row r="902" ht="15.75" customHeight="1">
      <c r="Q902" s="76"/>
      <c r="U902" s="76"/>
      <c r="Y902" s="76"/>
      <c r="Z902" s="76"/>
      <c r="AA902" s="76"/>
      <c r="AB902" s="76"/>
    </row>
    <row r="903" ht="15.75" customHeight="1">
      <c r="Q903" s="76"/>
      <c r="U903" s="76"/>
      <c r="Y903" s="76"/>
      <c r="Z903" s="76"/>
      <c r="AA903" s="76"/>
      <c r="AB903" s="76"/>
    </row>
    <row r="904" ht="15.75" customHeight="1">
      <c r="Q904" s="76"/>
      <c r="U904" s="76"/>
      <c r="Y904" s="76"/>
      <c r="Z904" s="76"/>
      <c r="AA904" s="76"/>
      <c r="AB904" s="76"/>
    </row>
    <row r="905" ht="15.75" customHeight="1">
      <c r="Q905" s="76"/>
      <c r="U905" s="76"/>
      <c r="Y905" s="76"/>
      <c r="Z905" s="76"/>
      <c r="AA905" s="76"/>
      <c r="AB905" s="76"/>
    </row>
    <row r="906" ht="15.75" customHeight="1">
      <c r="Q906" s="76"/>
      <c r="U906" s="76"/>
      <c r="Y906" s="76"/>
      <c r="Z906" s="76"/>
      <c r="AA906" s="76"/>
      <c r="AB906" s="76"/>
    </row>
    <row r="907" ht="15.75" customHeight="1">
      <c r="Q907" s="76"/>
      <c r="U907" s="76"/>
      <c r="Y907" s="76"/>
      <c r="Z907" s="76"/>
      <c r="AA907" s="76"/>
      <c r="AB907" s="76"/>
    </row>
    <row r="908" ht="15.75" customHeight="1">
      <c r="Q908" s="76"/>
      <c r="U908" s="76"/>
      <c r="Y908" s="76"/>
      <c r="Z908" s="76"/>
      <c r="AA908" s="76"/>
      <c r="AB908" s="76"/>
    </row>
    <row r="909" ht="15.75" customHeight="1">
      <c r="Q909" s="76"/>
      <c r="U909" s="76"/>
      <c r="Y909" s="76"/>
      <c r="Z909" s="76"/>
      <c r="AA909" s="76"/>
      <c r="AB909" s="76"/>
    </row>
    <row r="910" ht="15.75" customHeight="1">
      <c r="Q910" s="76"/>
      <c r="U910" s="76"/>
      <c r="Y910" s="76"/>
      <c r="Z910" s="76"/>
      <c r="AA910" s="76"/>
      <c r="AB910" s="76"/>
    </row>
    <row r="911" ht="15.75" customHeight="1">
      <c r="Q911" s="76"/>
      <c r="U911" s="76"/>
      <c r="Y911" s="76"/>
      <c r="Z911" s="76"/>
      <c r="AA911" s="76"/>
      <c r="AB911" s="76"/>
    </row>
    <row r="912" ht="15.75" customHeight="1">
      <c r="Q912" s="76"/>
      <c r="U912" s="76"/>
      <c r="Y912" s="76"/>
      <c r="Z912" s="76"/>
      <c r="AA912" s="76"/>
      <c r="AB912" s="76"/>
    </row>
    <row r="913" ht="15.75" customHeight="1">
      <c r="Q913" s="76"/>
      <c r="U913" s="76"/>
      <c r="Y913" s="76"/>
      <c r="Z913" s="76"/>
      <c r="AA913" s="76"/>
      <c r="AB913" s="76"/>
    </row>
    <row r="914" ht="15.75" customHeight="1">
      <c r="Q914" s="76"/>
      <c r="U914" s="76"/>
      <c r="Y914" s="76"/>
      <c r="Z914" s="76"/>
      <c r="AA914" s="76"/>
      <c r="AB914" s="76"/>
    </row>
    <row r="915" ht="15.75" customHeight="1">
      <c r="Q915" s="76"/>
      <c r="U915" s="76"/>
      <c r="Y915" s="76"/>
      <c r="Z915" s="76"/>
      <c r="AA915" s="76"/>
      <c r="AB915" s="76"/>
    </row>
    <row r="916" ht="15.75" customHeight="1">
      <c r="Q916" s="76"/>
      <c r="U916" s="76"/>
      <c r="Y916" s="76"/>
      <c r="Z916" s="76"/>
      <c r="AA916" s="76"/>
      <c r="AB916" s="76"/>
    </row>
    <row r="917" ht="15.75" customHeight="1">
      <c r="Q917" s="76"/>
      <c r="U917" s="76"/>
      <c r="Y917" s="76"/>
      <c r="Z917" s="76"/>
      <c r="AA917" s="76"/>
      <c r="AB917" s="76"/>
    </row>
    <row r="918" ht="15.75" customHeight="1">
      <c r="Q918" s="76"/>
      <c r="U918" s="76"/>
      <c r="Y918" s="76"/>
      <c r="Z918" s="76"/>
      <c r="AA918" s="76"/>
      <c r="AB918" s="76"/>
    </row>
    <row r="919" ht="15.75" customHeight="1">
      <c r="Q919" s="76"/>
      <c r="U919" s="76"/>
      <c r="Y919" s="76"/>
      <c r="Z919" s="76"/>
      <c r="AA919" s="76"/>
      <c r="AB919" s="76"/>
    </row>
    <row r="920" ht="15.75" customHeight="1">
      <c r="Q920" s="76"/>
      <c r="U920" s="76"/>
      <c r="Y920" s="76"/>
      <c r="Z920" s="76"/>
      <c r="AA920" s="76"/>
      <c r="AB920" s="76"/>
    </row>
    <row r="921" ht="15.75" customHeight="1">
      <c r="Q921" s="76"/>
      <c r="U921" s="76"/>
      <c r="Y921" s="76"/>
      <c r="Z921" s="76"/>
      <c r="AA921" s="76"/>
      <c r="AB921" s="76"/>
    </row>
    <row r="922" ht="15.75" customHeight="1">
      <c r="Q922" s="76"/>
      <c r="U922" s="76"/>
      <c r="Y922" s="76"/>
      <c r="Z922" s="76"/>
      <c r="AA922" s="76"/>
      <c r="AB922" s="76"/>
    </row>
    <row r="923" ht="15.75" customHeight="1">
      <c r="Q923" s="76"/>
      <c r="U923" s="76"/>
      <c r="Y923" s="76"/>
      <c r="Z923" s="76"/>
      <c r="AA923" s="76"/>
      <c r="AB923" s="76"/>
    </row>
    <row r="924" ht="15.75" customHeight="1">
      <c r="Q924" s="76"/>
      <c r="U924" s="76"/>
      <c r="Y924" s="76"/>
      <c r="Z924" s="76"/>
      <c r="AA924" s="76"/>
      <c r="AB924" s="76"/>
    </row>
    <row r="925" ht="15.75" customHeight="1">
      <c r="Q925" s="76"/>
      <c r="U925" s="76"/>
      <c r="Y925" s="76"/>
      <c r="Z925" s="76"/>
      <c r="AA925" s="76"/>
      <c r="AB925" s="76"/>
    </row>
    <row r="926" ht="15.75" customHeight="1">
      <c r="Q926" s="76"/>
      <c r="U926" s="76"/>
      <c r="Y926" s="76"/>
      <c r="Z926" s="76"/>
      <c r="AA926" s="76"/>
      <c r="AB926" s="76"/>
    </row>
    <row r="927" ht="15.75" customHeight="1">
      <c r="Q927" s="76"/>
      <c r="U927" s="76"/>
      <c r="Y927" s="76"/>
      <c r="Z927" s="76"/>
      <c r="AA927" s="76"/>
      <c r="AB927" s="76"/>
    </row>
    <row r="928" ht="15.75" customHeight="1">
      <c r="Q928" s="76"/>
      <c r="U928" s="76"/>
      <c r="Y928" s="76"/>
      <c r="Z928" s="76"/>
      <c r="AA928" s="76"/>
      <c r="AB928" s="76"/>
    </row>
    <row r="929" ht="15.75" customHeight="1">
      <c r="Q929" s="76"/>
      <c r="U929" s="76"/>
      <c r="Y929" s="76"/>
      <c r="Z929" s="76"/>
      <c r="AA929" s="76"/>
      <c r="AB929" s="76"/>
    </row>
    <row r="930" ht="15.75" customHeight="1">
      <c r="Q930" s="76"/>
      <c r="U930" s="76"/>
      <c r="Y930" s="76"/>
      <c r="Z930" s="76"/>
      <c r="AA930" s="76"/>
      <c r="AB930" s="76"/>
    </row>
    <row r="931" ht="15.75" customHeight="1">
      <c r="Q931" s="76"/>
      <c r="U931" s="76"/>
      <c r="Y931" s="76"/>
      <c r="Z931" s="76"/>
      <c r="AA931" s="76"/>
      <c r="AB931" s="76"/>
    </row>
    <row r="932" ht="15.75" customHeight="1">
      <c r="Q932" s="76"/>
      <c r="U932" s="76"/>
      <c r="Y932" s="76"/>
      <c r="Z932" s="76"/>
      <c r="AA932" s="76"/>
      <c r="AB932" s="76"/>
    </row>
    <row r="933" ht="15.75" customHeight="1">
      <c r="Q933" s="76"/>
      <c r="U933" s="76"/>
      <c r="Y933" s="76"/>
      <c r="Z933" s="76"/>
      <c r="AA933" s="76"/>
      <c r="AB933" s="76"/>
    </row>
    <row r="934" ht="15.75" customHeight="1">
      <c r="Q934" s="76"/>
      <c r="U934" s="76"/>
      <c r="Y934" s="76"/>
      <c r="Z934" s="76"/>
      <c r="AA934" s="76"/>
      <c r="AB934" s="76"/>
    </row>
    <row r="935" ht="15.75" customHeight="1">
      <c r="Q935" s="76"/>
      <c r="U935" s="76"/>
      <c r="Y935" s="76"/>
      <c r="Z935" s="76"/>
      <c r="AA935" s="76"/>
      <c r="AB935" s="76"/>
    </row>
    <row r="936" ht="15.75" customHeight="1">
      <c r="Q936" s="76"/>
      <c r="U936" s="76"/>
      <c r="Y936" s="76"/>
      <c r="Z936" s="76"/>
      <c r="AA936" s="76"/>
      <c r="AB936" s="76"/>
    </row>
    <row r="937" ht="15.75" customHeight="1">
      <c r="Q937" s="76"/>
      <c r="U937" s="76"/>
      <c r="Y937" s="76"/>
      <c r="Z937" s="76"/>
      <c r="AA937" s="76"/>
      <c r="AB937" s="76"/>
    </row>
    <row r="938" ht="15.75" customHeight="1">
      <c r="Q938" s="76"/>
      <c r="U938" s="76"/>
      <c r="Y938" s="76"/>
      <c r="Z938" s="76"/>
      <c r="AA938" s="76"/>
      <c r="AB938" s="76"/>
    </row>
    <row r="939" ht="15.75" customHeight="1">
      <c r="Q939" s="76"/>
      <c r="U939" s="76"/>
      <c r="Y939" s="76"/>
      <c r="Z939" s="76"/>
      <c r="AA939" s="76"/>
      <c r="AB939" s="76"/>
    </row>
    <row r="940" ht="15.75" customHeight="1">
      <c r="Q940" s="76"/>
      <c r="U940" s="76"/>
      <c r="Y940" s="76"/>
      <c r="Z940" s="76"/>
      <c r="AA940" s="76"/>
      <c r="AB940" s="76"/>
    </row>
    <row r="941" ht="15.75" customHeight="1">
      <c r="Q941" s="76"/>
      <c r="U941" s="76"/>
      <c r="Y941" s="76"/>
      <c r="Z941" s="76"/>
      <c r="AA941" s="76"/>
      <c r="AB941" s="76"/>
    </row>
    <row r="942" ht="15.75" customHeight="1">
      <c r="Q942" s="76"/>
      <c r="U942" s="76"/>
      <c r="Y942" s="76"/>
      <c r="Z942" s="76"/>
      <c r="AA942" s="76"/>
      <c r="AB942" s="76"/>
    </row>
    <row r="943" ht="15.75" customHeight="1">
      <c r="Q943" s="76"/>
      <c r="U943" s="76"/>
      <c r="Y943" s="76"/>
      <c r="Z943" s="76"/>
      <c r="AA943" s="76"/>
      <c r="AB943" s="76"/>
    </row>
    <row r="944" ht="15.75" customHeight="1">
      <c r="Q944" s="76"/>
      <c r="U944" s="76"/>
      <c r="Y944" s="76"/>
      <c r="Z944" s="76"/>
      <c r="AA944" s="76"/>
      <c r="AB944" s="76"/>
    </row>
    <row r="945" ht="15.75" customHeight="1">
      <c r="Q945" s="76"/>
      <c r="U945" s="76"/>
      <c r="Y945" s="76"/>
      <c r="Z945" s="76"/>
      <c r="AA945" s="76"/>
      <c r="AB945" s="76"/>
    </row>
    <row r="946" ht="15.75" customHeight="1">
      <c r="Q946" s="76"/>
      <c r="U946" s="76"/>
      <c r="Y946" s="76"/>
      <c r="Z946" s="76"/>
      <c r="AA946" s="76"/>
      <c r="AB946" s="76"/>
    </row>
    <row r="947" ht="15.75" customHeight="1">
      <c r="Q947" s="76"/>
      <c r="U947" s="76"/>
      <c r="Y947" s="76"/>
      <c r="Z947" s="76"/>
      <c r="AA947" s="76"/>
      <c r="AB947" s="76"/>
    </row>
    <row r="948" ht="15.75" customHeight="1">
      <c r="Q948" s="76"/>
      <c r="U948" s="76"/>
      <c r="Y948" s="76"/>
      <c r="Z948" s="76"/>
      <c r="AA948" s="76"/>
      <c r="AB948" s="76"/>
    </row>
    <row r="949" ht="15.75" customHeight="1">
      <c r="Q949" s="76"/>
      <c r="U949" s="76"/>
      <c r="Y949" s="76"/>
      <c r="Z949" s="76"/>
      <c r="AA949" s="76"/>
      <c r="AB949" s="76"/>
    </row>
    <row r="950" ht="15.75" customHeight="1">
      <c r="Q950" s="76"/>
      <c r="U950" s="76"/>
      <c r="Y950" s="76"/>
      <c r="Z950" s="76"/>
      <c r="AA950" s="76"/>
      <c r="AB950" s="76"/>
    </row>
    <row r="951" ht="15.75" customHeight="1">
      <c r="Q951" s="76"/>
      <c r="U951" s="76"/>
      <c r="Y951" s="76"/>
      <c r="Z951" s="76"/>
      <c r="AA951" s="76"/>
      <c r="AB951" s="76"/>
    </row>
    <row r="952" ht="15.75" customHeight="1">
      <c r="Q952" s="76"/>
      <c r="U952" s="76"/>
      <c r="Y952" s="76"/>
      <c r="Z952" s="76"/>
      <c r="AA952" s="76"/>
      <c r="AB952" s="76"/>
    </row>
    <row r="953" ht="15.75" customHeight="1">
      <c r="Q953" s="76"/>
      <c r="U953" s="76"/>
      <c r="Y953" s="76"/>
      <c r="Z953" s="76"/>
      <c r="AA953" s="76"/>
      <c r="AB953" s="76"/>
    </row>
    <row r="954" ht="15.75" customHeight="1">
      <c r="Q954" s="76"/>
      <c r="U954" s="76"/>
      <c r="Y954" s="76"/>
      <c r="Z954" s="76"/>
      <c r="AA954" s="76"/>
      <c r="AB954" s="76"/>
    </row>
    <row r="955" ht="15.75" customHeight="1">
      <c r="Q955" s="76"/>
      <c r="U955" s="76"/>
      <c r="Y955" s="76"/>
      <c r="Z955" s="76"/>
      <c r="AA955" s="76"/>
      <c r="AB955" s="76"/>
    </row>
    <row r="956" ht="15.75" customHeight="1">
      <c r="Q956" s="76"/>
      <c r="U956" s="76"/>
      <c r="Y956" s="76"/>
      <c r="Z956" s="76"/>
      <c r="AA956" s="76"/>
      <c r="AB956" s="76"/>
    </row>
    <row r="957" ht="15.75" customHeight="1">
      <c r="Q957" s="76"/>
      <c r="U957" s="76"/>
      <c r="Y957" s="76"/>
      <c r="Z957" s="76"/>
      <c r="AA957" s="76"/>
      <c r="AB957" s="76"/>
    </row>
    <row r="958" ht="15.75" customHeight="1">
      <c r="Q958" s="76"/>
      <c r="U958" s="76"/>
      <c r="Y958" s="76"/>
      <c r="Z958" s="76"/>
      <c r="AA958" s="76"/>
      <c r="AB958" s="76"/>
    </row>
    <row r="959" ht="15.75" customHeight="1">
      <c r="Q959" s="76"/>
      <c r="U959" s="76"/>
      <c r="Y959" s="76"/>
      <c r="Z959" s="76"/>
      <c r="AA959" s="76"/>
      <c r="AB959" s="76"/>
    </row>
    <row r="960" ht="15.75" customHeight="1">
      <c r="Q960" s="76"/>
      <c r="U960" s="76"/>
      <c r="Y960" s="76"/>
      <c r="Z960" s="76"/>
      <c r="AA960" s="76"/>
      <c r="AB960" s="76"/>
    </row>
    <row r="961" ht="15.75" customHeight="1">
      <c r="Q961" s="76"/>
      <c r="U961" s="76"/>
      <c r="Y961" s="76"/>
      <c r="Z961" s="76"/>
      <c r="AA961" s="76"/>
      <c r="AB961" s="76"/>
    </row>
    <row r="962" ht="15.75" customHeight="1">
      <c r="Q962" s="76"/>
      <c r="U962" s="76"/>
      <c r="Y962" s="76"/>
      <c r="Z962" s="76"/>
      <c r="AA962" s="76"/>
      <c r="AB962" s="76"/>
    </row>
    <row r="963" ht="15.75" customHeight="1">
      <c r="Q963" s="76"/>
      <c r="U963" s="76"/>
      <c r="Y963" s="76"/>
      <c r="Z963" s="76"/>
      <c r="AA963" s="76"/>
      <c r="AB963" s="76"/>
    </row>
    <row r="964" ht="15.75" customHeight="1">
      <c r="Q964" s="76"/>
      <c r="U964" s="76"/>
      <c r="Y964" s="76"/>
      <c r="Z964" s="76"/>
      <c r="AA964" s="76"/>
      <c r="AB964" s="76"/>
    </row>
    <row r="965" ht="15.75" customHeight="1">
      <c r="Q965" s="76"/>
      <c r="U965" s="76"/>
      <c r="Y965" s="76"/>
      <c r="Z965" s="76"/>
      <c r="AA965" s="76"/>
      <c r="AB965" s="76"/>
    </row>
    <row r="966" ht="15.75" customHeight="1">
      <c r="Q966" s="76"/>
      <c r="U966" s="76"/>
      <c r="Y966" s="76"/>
      <c r="Z966" s="76"/>
      <c r="AA966" s="76"/>
      <c r="AB966" s="76"/>
    </row>
    <row r="967" ht="15.75" customHeight="1">
      <c r="Q967" s="76"/>
      <c r="U967" s="76"/>
      <c r="Y967" s="76"/>
      <c r="Z967" s="76"/>
      <c r="AA967" s="76"/>
      <c r="AB967" s="76"/>
    </row>
    <row r="968" ht="15.75" customHeight="1">
      <c r="Q968" s="76"/>
      <c r="U968" s="76"/>
      <c r="Y968" s="76"/>
      <c r="Z968" s="76"/>
      <c r="AA968" s="76"/>
      <c r="AB968" s="76"/>
    </row>
    <row r="969" ht="15.75" customHeight="1">
      <c r="Q969" s="76"/>
      <c r="U969" s="76"/>
      <c r="Y969" s="76"/>
      <c r="Z969" s="76"/>
      <c r="AA969" s="76"/>
      <c r="AB969" s="76"/>
    </row>
    <row r="970" ht="15.75" customHeight="1">
      <c r="Q970" s="76"/>
      <c r="U970" s="76"/>
      <c r="Y970" s="76"/>
      <c r="Z970" s="76"/>
      <c r="AA970" s="76"/>
      <c r="AB970" s="76"/>
    </row>
    <row r="971" ht="15.75" customHeight="1">
      <c r="Q971" s="76"/>
      <c r="U971" s="76"/>
      <c r="Y971" s="76"/>
      <c r="Z971" s="76"/>
      <c r="AA971" s="76"/>
      <c r="AB971" s="76"/>
    </row>
    <row r="972" ht="15.75" customHeight="1">
      <c r="Q972" s="76"/>
      <c r="U972" s="76"/>
      <c r="Y972" s="76"/>
      <c r="Z972" s="76"/>
      <c r="AA972" s="76"/>
      <c r="AB972" s="76"/>
    </row>
    <row r="973" ht="15.75" customHeight="1">
      <c r="Q973" s="76"/>
      <c r="U973" s="76"/>
      <c r="Y973" s="76"/>
      <c r="Z973" s="76"/>
      <c r="AA973" s="76"/>
      <c r="AB973" s="76"/>
    </row>
    <row r="974" ht="15.75" customHeight="1">
      <c r="Q974" s="76"/>
      <c r="U974" s="76"/>
      <c r="Y974" s="76"/>
      <c r="Z974" s="76"/>
      <c r="AA974" s="76"/>
      <c r="AB974" s="76"/>
    </row>
    <row r="975" ht="15.75" customHeight="1">
      <c r="Q975" s="76"/>
      <c r="U975" s="76"/>
      <c r="Y975" s="76"/>
      <c r="Z975" s="76"/>
      <c r="AA975" s="76"/>
      <c r="AB975" s="76"/>
    </row>
    <row r="976" ht="15.75" customHeight="1">
      <c r="Q976" s="76"/>
      <c r="U976" s="76"/>
      <c r="Y976" s="76"/>
      <c r="Z976" s="76"/>
      <c r="AA976" s="76"/>
      <c r="AB976" s="76"/>
    </row>
    <row r="977" ht="15.75" customHeight="1">
      <c r="Q977" s="76"/>
      <c r="U977" s="76"/>
      <c r="Y977" s="76"/>
      <c r="Z977" s="76"/>
      <c r="AA977" s="76"/>
      <c r="AB977" s="76"/>
    </row>
    <row r="978" ht="15.75" customHeight="1">
      <c r="Q978" s="76"/>
      <c r="U978" s="76"/>
      <c r="Y978" s="76"/>
      <c r="Z978" s="76"/>
      <c r="AA978" s="76"/>
      <c r="AB978" s="76"/>
    </row>
    <row r="979" ht="15.75" customHeight="1">
      <c r="Q979" s="76"/>
      <c r="U979" s="76"/>
      <c r="Y979" s="76"/>
      <c r="Z979" s="76"/>
      <c r="AA979" s="76"/>
      <c r="AB979" s="76"/>
    </row>
    <row r="980" ht="15.75" customHeight="1">
      <c r="Q980" s="76"/>
      <c r="U980" s="76"/>
      <c r="Y980" s="76"/>
      <c r="Z980" s="76"/>
      <c r="AA980" s="76"/>
      <c r="AB980" s="76"/>
    </row>
    <row r="981" ht="15.75" customHeight="1">
      <c r="Q981" s="76"/>
      <c r="U981" s="76"/>
      <c r="Y981" s="76"/>
      <c r="Z981" s="76"/>
      <c r="AA981" s="76"/>
      <c r="AB981" s="76"/>
    </row>
    <row r="982" ht="15.75" customHeight="1">
      <c r="Q982" s="76"/>
      <c r="U982" s="76"/>
      <c r="Y982" s="76"/>
      <c r="Z982" s="76"/>
      <c r="AA982" s="76"/>
      <c r="AB982" s="76"/>
    </row>
    <row r="983" ht="15.75" customHeight="1">
      <c r="Q983" s="76"/>
      <c r="U983" s="76"/>
      <c r="Y983" s="76"/>
      <c r="Z983" s="76"/>
      <c r="AA983" s="76"/>
      <c r="AB983" s="76"/>
    </row>
    <row r="984" ht="15.75" customHeight="1">
      <c r="Q984" s="76"/>
      <c r="U984" s="76"/>
      <c r="Y984" s="76"/>
      <c r="Z984" s="76"/>
      <c r="AA984" s="76"/>
      <c r="AB984" s="76"/>
    </row>
    <row r="985" ht="15.75" customHeight="1">
      <c r="Q985" s="76"/>
      <c r="U985" s="76"/>
      <c r="Y985" s="76"/>
      <c r="Z985" s="76"/>
      <c r="AA985" s="76"/>
      <c r="AB985" s="76"/>
    </row>
    <row r="986" ht="15.75" customHeight="1">
      <c r="Q986" s="76"/>
      <c r="U986" s="76"/>
      <c r="Y986" s="76"/>
      <c r="Z986" s="76"/>
      <c r="AA986" s="76"/>
      <c r="AB986" s="76"/>
    </row>
    <row r="987" ht="15.75" customHeight="1">
      <c r="Q987" s="76"/>
      <c r="U987" s="76"/>
      <c r="Y987" s="76"/>
      <c r="Z987" s="76"/>
      <c r="AA987" s="76"/>
      <c r="AB987" s="76"/>
    </row>
    <row r="988" ht="15.75" customHeight="1">
      <c r="Q988" s="76"/>
      <c r="U988" s="76"/>
      <c r="Y988" s="76"/>
      <c r="Z988" s="76"/>
      <c r="AA988" s="76"/>
      <c r="AB988" s="76"/>
    </row>
    <row r="989" ht="15.75" customHeight="1">
      <c r="Q989" s="76"/>
      <c r="U989" s="76"/>
      <c r="Y989" s="76"/>
      <c r="Z989" s="76"/>
      <c r="AA989" s="76"/>
      <c r="AB989" s="76"/>
    </row>
    <row r="990" ht="15.75" customHeight="1">
      <c r="Q990" s="76"/>
      <c r="U990" s="76"/>
      <c r="Y990" s="76"/>
      <c r="Z990" s="76"/>
      <c r="AA990" s="76"/>
      <c r="AB990" s="76"/>
    </row>
    <row r="991" ht="15.75" customHeight="1">
      <c r="Q991" s="76"/>
      <c r="U991" s="76"/>
      <c r="Y991" s="76"/>
      <c r="Z991" s="76"/>
      <c r="AA991" s="76"/>
      <c r="AB991" s="76"/>
    </row>
    <row r="992" ht="15.75" customHeight="1">
      <c r="Q992" s="76"/>
      <c r="U992" s="76"/>
      <c r="Y992" s="76"/>
      <c r="Z992" s="76"/>
      <c r="AA992" s="76"/>
      <c r="AB992" s="76"/>
    </row>
    <row r="993" ht="15.75" customHeight="1">
      <c r="Q993" s="76"/>
      <c r="U993" s="76"/>
      <c r="Y993" s="76"/>
      <c r="Z993" s="76"/>
      <c r="AA993" s="76"/>
      <c r="AB993" s="76"/>
    </row>
    <row r="994" ht="15.75" customHeight="1">
      <c r="Q994" s="76"/>
      <c r="U994" s="76"/>
      <c r="Y994" s="76"/>
      <c r="Z994" s="76"/>
      <c r="AA994" s="76"/>
      <c r="AB994" s="76"/>
    </row>
    <row r="995" ht="15.75" customHeight="1">
      <c r="Q995" s="76"/>
      <c r="U995" s="76"/>
      <c r="Y995" s="76"/>
      <c r="Z995" s="76"/>
      <c r="AA995" s="76"/>
      <c r="AB995" s="76"/>
    </row>
    <row r="996" ht="15.75" customHeight="1">
      <c r="Q996" s="76"/>
      <c r="U996" s="76"/>
      <c r="Y996" s="76"/>
      <c r="Z996" s="76"/>
      <c r="AA996" s="76"/>
      <c r="AB996" s="76"/>
    </row>
    <row r="997" ht="15.75" customHeight="1">
      <c r="Q997" s="76"/>
      <c r="U997" s="76"/>
      <c r="Y997" s="76"/>
      <c r="Z997" s="76"/>
      <c r="AA997" s="76"/>
      <c r="AB997" s="76"/>
    </row>
    <row r="998" ht="15.75" customHeight="1">
      <c r="Q998" s="76"/>
      <c r="U998" s="76"/>
      <c r="Y998" s="76"/>
      <c r="Z998" s="76"/>
      <c r="AA998" s="76"/>
      <c r="AB998" s="76"/>
    </row>
    <row r="999" ht="15.75" customHeight="1">
      <c r="Q999" s="76"/>
      <c r="U999" s="76"/>
      <c r="Y999" s="76"/>
      <c r="Z999" s="76"/>
      <c r="AA999" s="76"/>
      <c r="AB999" s="76"/>
    </row>
    <row r="1000" ht="15.75" customHeight="1">
      <c r="Q1000" s="76"/>
      <c r="U1000" s="76"/>
      <c r="Y1000" s="76"/>
      <c r="Z1000" s="76"/>
      <c r="AA1000" s="76"/>
      <c r="AB1000" s="76"/>
    </row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7" width="2.43"/>
    <col customWidth="1" min="18" max="18" width="8.71"/>
    <col customWidth="1" min="19" max="19" width="59.57"/>
    <col customWidth="1" min="20" max="20" width="11.57"/>
    <col customWidth="1" min="21" max="21" width="2.43"/>
    <col customWidth="1" min="22" max="22" width="8.71"/>
    <col customWidth="1" min="23" max="23" width="59.57"/>
    <col customWidth="1" min="24" max="24" width="11.57"/>
    <col customWidth="1" min="25" max="28" width="2.43"/>
  </cols>
  <sheetData>
    <row r="1">
      <c r="B1" s="1" t="s">
        <v>63</v>
      </c>
      <c r="C1" s="2"/>
      <c r="D1" s="3"/>
      <c r="F1" s="1" t="s">
        <v>59</v>
      </c>
      <c r="G1" s="2"/>
      <c r="H1" s="3"/>
      <c r="J1" s="54" t="s">
        <v>60</v>
      </c>
      <c r="K1" s="2"/>
      <c r="L1" s="3"/>
      <c r="N1" s="54" t="s">
        <v>61</v>
      </c>
      <c r="O1" s="2"/>
      <c r="P1" s="3"/>
      <c r="Q1" s="76"/>
      <c r="Y1" s="76"/>
      <c r="Z1" s="76"/>
      <c r="AA1" s="76"/>
      <c r="AB1" s="76"/>
    </row>
    <row r="2">
      <c r="B2" s="61" t="s">
        <v>6</v>
      </c>
      <c r="C2" s="62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  <c r="Q2" s="76"/>
      <c r="Y2" s="76"/>
      <c r="Z2" s="76"/>
      <c r="AA2" s="76"/>
      <c r="AB2" s="76"/>
    </row>
    <row r="3" ht="14.25" customHeight="1">
      <c r="B3" s="18">
        <v>111083.0</v>
      </c>
      <c r="C3" s="9" t="str">
        <f>VLOOKUP(B3,'FML March 2026'!E:F,2,false)</f>
        <v>ALEPPO PEPPER  PKG 1/LB  LA BOITE</v>
      </c>
      <c r="D3" s="9" t="str">
        <f>VLOOKUP(B3,'Unit of Measure ship March 2026'!A:C,3,false)</f>
        <v>LBS</v>
      </c>
      <c r="F3" s="79">
        <v>53697.0</v>
      </c>
      <c r="G3" s="80" t="str">
        <f>VLOOKUP(F3,'FML March 2026'!E:F,2,false)</f>
        <v>ARTICHOKE, JERUSALEM, FRESH</v>
      </c>
      <c r="H3" s="33" t="str">
        <f>VLOOKUP(F3,'Unit of Measure ship March 2026'!A:C,3,false)</f>
        <v>LBS</v>
      </c>
      <c r="J3" s="18">
        <v>34727.0</v>
      </c>
      <c r="K3" s="9" t="str">
        <f>VLOOKUP(J3,'FML March 2026'!E:F,2,false)</f>
        <v>BEEF EXPORT RIBS, CAB CHOICE 18/DOWN 4/PC, 30D AGE,BLST/FRZN (USA) NAMP-109E</v>
      </c>
      <c r="L3" s="9" t="str">
        <f>VLOOKUP(J3,'Unit of Measure ship March 2026'!A:C,3,false)</f>
        <v>LBS</v>
      </c>
      <c r="N3" s="18">
        <v>10251.0</v>
      </c>
      <c r="O3" s="9" t="str">
        <f>VLOOKUP(N3,'FML March 2026'!E:F,2,false)</f>
        <v>ARCTIC CHAR WHOLE</v>
      </c>
      <c r="P3" s="35" t="s">
        <v>42</v>
      </c>
      <c r="Q3" s="76"/>
      <c r="R3" s="49"/>
      <c r="S3" s="9"/>
      <c r="T3" s="9"/>
      <c r="U3" s="76"/>
      <c r="V3" s="49"/>
      <c r="W3" s="9"/>
      <c r="X3" s="9"/>
      <c r="Y3" s="76"/>
      <c r="Z3" s="76"/>
      <c r="AA3" s="76"/>
      <c r="AB3" s="76"/>
    </row>
    <row r="4" ht="14.25" customHeight="1">
      <c r="B4" s="18">
        <v>110031.0</v>
      </c>
      <c r="C4" s="9" t="str">
        <f>VLOOKUP(B4,'FML March 2026'!E:F,2,false)</f>
        <v>ALMONDS MARCONA CS/11LBS SAVOR IMPORTS</v>
      </c>
      <c r="D4" s="9" t="str">
        <f>VLOOKUP(B4,'Unit of Measure ship March 2026'!A:C,3,false)</f>
        <v>LBS</v>
      </c>
      <c r="F4" s="78">
        <v>24182.0</v>
      </c>
      <c r="G4" s="81" t="str">
        <f>VLOOKUP(F4,'FML March 2026'!E:F,2,false)</f>
        <v>ARUGULA, BABY</v>
      </c>
      <c r="H4" s="33" t="str">
        <f>VLOOKUP(F4,'Unit of Measure ship March 2026'!A:C,3,false)</f>
        <v>LBS</v>
      </c>
      <c r="J4" s="18">
        <v>14389.0</v>
      </c>
      <c r="K4" s="9" t="str">
        <f>VLOOKUP(J4,'FML March 2026'!E:F,2,false)</f>
        <v>BEEF OXTAIL STEER W/LINER U.S.D.A. NAMP -1791</v>
      </c>
      <c r="L4" s="9" t="str">
        <f>VLOOKUP(J4,'Unit of Measure ship March 2026'!A:C,3,false)</f>
        <v>LBS</v>
      </c>
      <c r="N4" s="18">
        <v>53699.0</v>
      </c>
      <c r="O4" s="9" t="str">
        <f>VLOOKUP(N4,'FML March 2026'!E:F,2,false)</f>
        <v>OCTOPUS, FROZEN 4-6/LB FROZEN 30 LB CS POLAR</v>
      </c>
      <c r="P4" s="35" t="s">
        <v>42</v>
      </c>
      <c r="Q4" s="76"/>
      <c r="R4" s="49"/>
      <c r="S4" s="9"/>
      <c r="T4" s="9"/>
      <c r="U4" s="76"/>
      <c r="V4" s="49"/>
      <c r="W4" s="9"/>
      <c r="X4" s="9"/>
      <c r="Y4" s="76"/>
      <c r="Z4" s="76"/>
      <c r="AA4" s="76"/>
      <c r="AB4" s="76"/>
    </row>
    <row r="5" ht="14.25" customHeight="1">
      <c r="B5" s="78">
        <v>40136.0</v>
      </c>
      <c r="C5" s="33" t="str">
        <f>VLOOKUP(B5,'FML March 2026'!E:F,2,false)</f>
        <v>ALMONDS SLIVERED BLANCHED 5 LBS</v>
      </c>
      <c r="D5" s="33" t="str">
        <f>VLOOKUP(B5,'Unit of Measure ship March 2026'!A:C,3,false)</f>
        <v>LBS</v>
      </c>
      <c r="F5" s="78">
        <v>15378.0</v>
      </c>
      <c r="G5" s="81" t="str">
        <f>VLOOKUP(F5,'FML March 2026'!E:F,2,false)</f>
        <v>AVOCADOS HASS FRESH CA-48PC FL-12/14PC 20#</v>
      </c>
      <c r="H5" s="33" t="str">
        <f>VLOOKUP(F5,'Unit of Measure ship March 2026'!A:C,3,false)</f>
        <v>LBS</v>
      </c>
      <c r="J5" s="18">
        <v>14581.0</v>
      </c>
      <c r="K5" s="9" t="str">
        <f>VLOOKUP(J5,'FML March 2026'!E:F,2,false)</f>
        <v>CHICKEN LEG QUARTERS FROZEN  PACKER (USA)</v>
      </c>
      <c r="L5" s="9" t="str">
        <f>VLOOKUP(J5,'Unit of Measure ship March 2026'!A:C,3,false)</f>
        <v>LBS</v>
      </c>
      <c r="N5" s="78">
        <v>53625.0</v>
      </c>
      <c r="O5" s="33" t="str">
        <f>VLOOKUP(N5,'FML March 2026'!E:F,2,false)</f>
        <v>SALMON FILLET, ATLANTIC, PREMIUM, FROZEN, 3 - 4 LB D-TRIM INDV. CRYOVAC (CHILE)</v>
      </c>
      <c r="P5" s="82" t="s">
        <v>42</v>
      </c>
      <c r="Q5" s="76"/>
      <c r="R5" s="49"/>
      <c r="S5" s="9"/>
      <c r="T5" s="9"/>
      <c r="U5" s="76"/>
      <c r="V5" s="49"/>
      <c r="W5" s="9"/>
      <c r="X5" s="9"/>
      <c r="Y5" s="76"/>
      <c r="Z5" s="76"/>
      <c r="AA5" s="76"/>
      <c r="AB5" s="76"/>
    </row>
    <row r="6" ht="14.25" customHeight="1">
      <c r="B6" s="18">
        <v>16011.0</v>
      </c>
      <c r="C6" s="9" t="str">
        <f>VLOOKUP(B6,'FML March 2026'!E:F,2,false)</f>
        <v>ANCHOVY FILLETS IN OLIVE OIL</v>
      </c>
      <c r="D6" s="9" t="str">
        <f>VLOOKUP(B6,'Unit of Measure ship March 2026'!A:C,3,false)</f>
        <v>CAN/28OZ</v>
      </c>
      <c r="F6" s="18">
        <v>15449.0</v>
      </c>
      <c r="G6" s="9" t="str">
        <f>VLOOKUP(F6,'FML March 2026'!E:F,2,false)</f>
        <v>BEET ROOTS LARGE 1/25#</v>
      </c>
      <c r="H6" s="9" t="str">
        <f>VLOOKUP(F6,'Unit of Measure ship March 2026'!A:C,3,false)</f>
        <v>LBS</v>
      </c>
      <c r="J6" s="78">
        <v>11695.0</v>
      </c>
      <c r="K6" s="33" t="str">
        <f>VLOOKUP(J6,'FML March 2026'!E:F,2,false)</f>
        <v>CHICKEN LEG/THIGH BONELESS &amp; SKINLESS FROZEN</v>
      </c>
      <c r="L6" s="33" t="str">
        <f>VLOOKUP(J6,'Unit of Measure ship March 2026'!A:C,3,false)</f>
        <v>LBS</v>
      </c>
      <c r="N6" s="18">
        <v>42269.0</v>
      </c>
      <c r="O6" s="9" t="str">
        <f>VLOOKUP(N6,'FML March 2026'!E:F,2,false)</f>
        <v>SHRIMP 16/20 RAW P&amp;D TAIL-ON CS10/LB SURAM ROYAL WHITE (VIETNAM)</v>
      </c>
      <c r="P6" s="9" t="str">
        <f>VLOOKUP(N6,'Unit of Measure ship March 2026'!A:C,3,false)</f>
        <v>LBS</v>
      </c>
      <c r="Q6" s="76"/>
      <c r="R6" s="49"/>
      <c r="S6" s="9"/>
      <c r="T6" s="9"/>
      <c r="U6" s="76"/>
      <c r="V6" s="49"/>
      <c r="W6" s="9"/>
      <c r="X6" s="9"/>
      <c r="Y6" s="76"/>
      <c r="Z6" s="76"/>
      <c r="AA6" s="76"/>
      <c r="AB6" s="76"/>
    </row>
    <row r="7" ht="14.25" customHeight="1">
      <c r="B7" s="78">
        <v>109664.0</v>
      </c>
      <c r="C7" s="33" t="str">
        <f>VLOOKUP(B7,'FML March 2026'!E:F,2,false)</f>
        <v>APPLE CIDER VINEGAR SPARROW LANE V</v>
      </c>
      <c r="D7" s="33" t="str">
        <f>VLOOKUP(B7,'Unit of Measure ship March 2026'!A:C,3,false)</f>
        <v>GAL</v>
      </c>
      <c r="F7" s="17">
        <v>15449.0</v>
      </c>
      <c r="G7" s="9" t="str">
        <f>VLOOKUP(F7,'FML March 2026'!E:F,2,false)</f>
        <v>BEET ROOTS LARGE 1/25#</v>
      </c>
      <c r="H7" s="9" t="str">
        <f>VLOOKUP(F7,'Unit of Measure ship March 2026'!A:C,3,false)</f>
        <v>LBS</v>
      </c>
      <c r="J7" s="18">
        <v>14502.0</v>
      </c>
      <c r="K7" s="9" t="str">
        <f>VLOOKUP(J7,'FML March 2026'!E:F,2,false)</f>
        <v>CHICKEN NECKS/BACKS 50# SKIN-ON (PLASTIC WRAPPED) (USA)</v>
      </c>
      <c r="L7" s="9" t="str">
        <f>VLOOKUP(J7,'Unit of Measure ship March 2026'!A:C,3,false)</f>
        <v>LBS</v>
      </c>
      <c r="N7" s="83"/>
      <c r="O7" s="33"/>
      <c r="P7" s="33"/>
      <c r="Q7" s="76"/>
      <c r="R7" s="49"/>
      <c r="S7" s="9"/>
      <c r="T7" s="9"/>
      <c r="U7" s="76"/>
      <c r="V7" s="49"/>
      <c r="W7" s="9"/>
      <c r="X7" s="9"/>
      <c r="Y7" s="76"/>
      <c r="Z7" s="76"/>
      <c r="AA7" s="76"/>
      <c r="AB7" s="76"/>
    </row>
    <row r="8" ht="14.25" customHeight="1">
      <c r="B8" s="8">
        <v>111121.0</v>
      </c>
      <c r="C8" s="9" t="str">
        <f>VLOOKUP(B8,'FML March 2026'!E:F,2,false)</f>
        <v>ARTICHOKE "ROMANA STYLE" CS2/3 KG</v>
      </c>
      <c r="D8" s="9" t="str">
        <f>VLOOKUP(B8,'Unit of Measure ship March 2026'!A:C,3,false)</f>
        <v>LBS</v>
      </c>
      <c r="F8" s="78">
        <v>15333.0</v>
      </c>
      <c r="G8" s="81" t="str">
        <f>VLOOKUP(F8,'FML March 2026'!E:F,2,false)</f>
        <v>BLACKBERRIES FRESH 12 1/2 PT 4.5#</v>
      </c>
      <c r="H8" s="33" t="str">
        <f>VLOOKUP(F8,'Unit of Measure ship March 2026'!A:C,3,false)</f>
        <v>LBS</v>
      </c>
      <c r="J8" s="18">
        <v>14576.0</v>
      </c>
      <c r="K8" s="9" t="str">
        <f>VLOOKUP(J8,'FML March 2026'!E:F,2,false)</f>
        <v>CHICKEN, FRYER, WOG, IND WRAPPED, NON-INJECTED, 2.50-3.25 LB EA, FZN, 12/1 EA</v>
      </c>
      <c r="L8" s="9" t="str">
        <f>VLOOKUP(J8,'Unit of Measure ship March 2026'!A:C,3,false)</f>
        <v>LBS</v>
      </c>
      <c r="O8" s="9"/>
      <c r="P8" s="9"/>
      <c r="Q8" s="76"/>
      <c r="R8" s="49"/>
      <c r="S8" s="9"/>
      <c r="T8" s="9"/>
      <c r="U8" s="76"/>
      <c r="V8" s="49"/>
      <c r="W8" s="9"/>
      <c r="X8" s="9"/>
      <c r="Y8" s="76"/>
      <c r="Z8" s="76"/>
      <c r="AA8" s="76"/>
      <c r="AB8" s="76"/>
    </row>
    <row r="9" ht="14.25" customHeight="1">
      <c r="B9" s="77">
        <v>109686.0</v>
      </c>
      <c r="C9" s="33" t="str">
        <f>VLOOKUP(B9,'FML March 2026'!E:F,2,false)</f>
        <v>BACON, NUESKE 24 HOUR  APPLEWOOD SMOKED BACON (NUESKI 2131)</v>
      </c>
      <c r="D9" s="33" t="str">
        <f>VLOOKUP(B9,'Unit of Measure ship March 2026'!A:C,3,false)</f>
        <v>LBS</v>
      </c>
      <c r="F9" s="78">
        <v>15335.0</v>
      </c>
      <c r="G9" s="81" t="str">
        <f>VLOOKUP(F9,'FML March 2026'!E:F,2,false)</f>
        <v>BLUEBERRIES FRESH 12 1/2 PT 4.5#</v>
      </c>
      <c r="H9" s="33" t="str">
        <f>VLOOKUP(F9,'Unit of Measure ship March 2026'!A:C,3,false)</f>
        <v>LBS</v>
      </c>
      <c r="J9" s="18">
        <v>14443.0</v>
      </c>
      <c r="K9" s="9" t="str">
        <f>VLOOKUP(J9,'FML March 2026'!E:F,2,false)</f>
        <v>PORK LOIN BACK RIBS 1-1/2# DOWN DOMESTIC NAMP 422 (USA)</v>
      </c>
      <c r="L9" s="9" t="str">
        <f>VLOOKUP(J9,'Unit of Measure ship March 2026'!A:C,3,false)</f>
        <v>LBS</v>
      </c>
      <c r="O9" s="9"/>
      <c r="P9" s="9"/>
      <c r="Q9" s="76"/>
      <c r="R9" s="49"/>
      <c r="S9" s="9"/>
      <c r="T9" s="9"/>
      <c r="U9" s="76"/>
      <c r="V9" s="49"/>
      <c r="W9" s="9"/>
      <c r="X9" s="9"/>
      <c r="Y9" s="76"/>
      <c r="Z9" s="76"/>
      <c r="AA9" s="76"/>
      <c r="AB9" s="76"/>
    </row>
    <row r="10" ht="14.25" customHeight="1">
      <c r="B10" s="18">
        <v>16250.0</v>
      </c>
      <c r="C10" s="9" t="str">
        <f>VLOOKUP(B10,'FML March 2026'!E:F,2,false)</f>
        <v>BAY LEAVES WHOLE D`ALLESANDRO/ SPICECO</v>
      </c>
      <c r="D10" s="9" t="str">
        <f>VLOOKUP(B10,'Unit of Measure ship March 2026'!A:C,3,false)</f>
        <v>LBS</v>
      </c>
      <c r="F10" s="79">
        <v>38191.0</v>
      </c>
      <c r="G10" s="80" t="str">
        <f>VLOOKUP(F10,'FML March 2026'!E:F,2,false)</f>
        <v>BRUSSELS SPROUTS SMALL</v>
      </c>
      <c r="H10" s="33" t="str">
        <f>VLOOKUP(F10,'Unit of Measure ship March 2026'!A:C,3,false)</f>
        <v>LBS</v>
      </c>
      <c r="J10" s="17"/>
      <c r="K10" s="9"/>
      <c r="L10" s="9"/>
      <c r="O10" s="9"/>
      <c r="P10" s="9"/>
      <c r="Q10" s="76"/>
      <c r="R10" s="49"/>
      <c r="S10" s="9"/>
      <c r="T10" s="9"/>
      <c r="U10" s="76"/>
      <c r="V10" s="49"/>
      <c r="W10" s="9"/>
      <c r="X10" s="9"/>
      <c r="Y10" s="76"/>
      <c r="Z10" s="76"/>
      <c r="AA10" s="76"/>
      <c r="AB10" s="76"/>
    </row>
    <row r="11" ht="14.25" customHeight="1">
      <c r="B11" s="84">
        <v>109688.0</v>
      </c>
      <c r="C11" s="33" t="str">
        <f>VLOOKUP(B11,'FML March 2026'!E:F,2,false)</f>
        <v>BEE POLLEN FRONTIER HERB</v>
      </c>
      <c r="D11" s="33" t="str">
        <f>VLOOKUP(B11,'Unit of Measure ship March 2026'!A:C,3,false)</f>
        <v>PEA1/OZ</v>
      </c>
      <c r="F11" s="18">
        <v>15458.0</v>
      </c>
      <c r="G11" s="9" t="str">
        <f>VLOOKUP(F11,'FML March 2026'!E:F,2,false)</f>
        <v>CARROTS CLIP TOP 50#</v>
      </c>
      <c r="H11" s="9" t="str">
        <f>VLOOKUP(F11,'Unit of Measure ship March 2026'!A:C,3,false)</f>
        <v>LBS</v>
      </c>
      <c r="J11" s="17"/>
      <c r="K11" s="9"/>
      <c r="L11" s="9"/>
      <c r="N11" s="49"/>
      <c r="O11" s="9"/>
      <c r="P11" s="9"/>
      <c r="Q11" s="76"/>
      <c r="R11" s="49"/>
      <c r="S11" s="9"/>
      <c r="T11" s="9"/>
      <c r="U11" s="76"/>
      <c r="V11" s="49"/>
      <c r="W11" s="9"/>
      <c r="X11" s="9"/>
      <c r="Y11" s="76"/>
      <c r="Z11" s="76"/>
      <c r="AA11" s="76"/>
      <c r="AB11" s="76"/>
    </row>
    <row r="12" ht="14.25" customHeight="1">
      <c r="B12" s="18">
        <v>145610.0</v>
      </c>
      <c r="C12" s="9" t="str">
        <f>VLOOKUP(B12,'FML March 2026'!E:F,2,false)</f>
        <v>BERNAL MANZANILLA OLIVES (WITH PIT)</v>
      </c>
      <c r="D12" s="35" t="s">
        <v>64</v>
      </c>
      <c r="F12" s="18">
        <v>15459.0</v>
      </c>
      <c r="G12" s="9" t="str">
        <f>VLOOKUP(F12,'FML March 2026'!E:F,2,false)</f>
        <v>CAULIFLOWER #1 CAL. 12 CT 25#</v>
      </c>
      <c r="H12" s="9" t="str">
        <f>VLOOKUP(F12,'Unit of Measure ship March 2026'!A:C,3,false)</f>
        <v>LBS</v>
      </c>
      <c r="J12" s="17"/>
      <c r="K12" s="9"/>
      <c r="L12" s="9"/>
      <c r="N12" s="49"/>
      <c r="O12" s="9"/>
      <c r="P12" s="9"/>
      <c r="Q12" s="76"/>
      <c r="R12" s="49"/>
      <c r="S12" s="9"/>
      <c r="T12" s="9"/>
      <c r="U12" s="76"/>
      <c r="V12" s="49"/>
      <c r="W12" s="9"/>
      <c r="X12" s="9"/>
      <c r="Y12" s="76"/>
      <c r="Z12" s="76"/>
      <c r="AA12" s="76"/>
      <c r="AB12" s="76"/>
    </row>
    <row r="13" ht="14.25" customHeight="1">
      <c r="B13" s="18">
        <v>20884.0</v>
      </c>
      <c r="C13" s="9" t="str">
        <f>VLOOKUP(B13,'FML March 2026'!E:F,2,false)</f>
        <v>BREAD CRUMBS PANKO 25 LB KIKKOMAN #05010 (USA)</v>
      </c>
      <c r="D13" s="9" t="str">
        <f>VLOOKUP(B13,'Unit of Measure ship March 2026'!A:C,3,false)</f>
        <v>LBS</v>
      </c>
      <c r="F13" s="16">
        <v>15459.0</v>
      </c>
      <c r="G13" s="9" t="str">
        <f>VLOOKUP(F13,'FML March 2026'!E:F,2,false)</f>
        <v>CAULIFLOWER #1 CAL. 12 CT 25#</v>
      </c>
      <c r="H13" s="9" t="str">
        <f>VLOOKUP(F13,'Unit of Measure ship March 2026'!A:C,3,false)</f>
        <v>LBS</v>
      </c>
      <c r="J13" s="17"/>
      <c r="K13" s="9"/>
      <c r="L13" s="9"/>
      <c r="N13" s="49"/>
      <c r="O13" s="9"/>
      <c r="P13" s="9"/>
      <c r="Q13" s="76"/>
      <c r="R13" s="49"/>
      <c r="S13" s="9"/>
      <c r="T13" s="9"/>
      <c r="U13" s="76"/>
      <c r="V13" s="49"/>
      <c r="W13" s="9"/>
      <c r="X13" s="9"/>
      <c r="Y13" s="76"/>
      <c r="Z13" s="76"/>
      <c r="AA13" s="76"/>
      <c r="AB13" s="76"/>
    </row>
    <row r="14" ht="14.25" customHeight="1">
      <c r="B14" s="18">
        <v>15016.0</v>
      </c>
      <c r="C14" s="9" t="str">
        <f>VLOOKUP(B14,'FML March 2026'!E:F,2,false)</f>
        <v>BUTTER, UNSALTED, 82% FAT, FZN, 50/200 G</v>
      </c>
      <c r="D14" s="9" t="str">
        <f>VLOOKUP(B14,'Unit of Measure ship March 2026'!A:C,3,false)</f>
        <v>LBS</v>
      </c>
      <c r="F14" s="78">
        <v>110917.0</v>
      </c>
      <c r="G14" s="81" t="str">
        <f>VLOOKUP(F14,'FML March 2026'!E:F,2,false)</f>
        <v>CAULIFLOWER ORANGE 12CT (28LB)</v>
      </c>
      <c r="H14" s="33" t="str">
        <f>VLOOKUP(F14,'Unit of Measure ship March 2026'!A:C,3,false)</f>
        <v>LBS</v>
      </c>
      <c r="J14" s="8"/>
      <c r="K14" s="9"/>
      <c r="L14" s="9"/>
      <c r="N14" s="49"/>
      <c r="O14" s="9"/>
      <c r="P14" s="9"/>
      <c r="Q14" s="76"/>
      <c r="R14" s="49"/>
      <c r="S14" s="9"/>
      <c r="T14" s="9"/>
      <c r="U14" s="76"/>
      <c r="V14" s="49"/>
      <c r="W14" s="9"/>
      <c r="X14" s="9"/>
      <c r="Y14" s="76"/>
      <c r="Z14" s="76"/>
      <c r="AA14" s="76"/>
      <c r="AB14" s="76"/>
    </row>
    <row r="15" ht="14.25" customHeight="1">
      <c r="B15" s="78">
        <v>14893.0</v>
      </c>
      <c r="C15" s="33" t="str">
        <f>VLOOKUP(B15,'FML March 2026'!E:F,2,false)</f>
        <v>BUTTERMILK LOCAL 10 DAYS CS9/HGAL</v>
      </c>
      <c r="D15" s="33" t="str">
        <f>VLOOKUP(B15,'Unit of Measure ship March 2026'!A:C,3,false)</f>
        <v>QRT</v>
      </c>
      <c r="F15" s="78">
        <v>110078.0</v>
      </c>
      <c r="G15" s="81" t="str">
        <f>VLOOKUP(F15,'FML March 2026'!E:F,2,false)</f>
        <v>CAULIFLOWER PURPLR FRESH</v>
      </c>
      <c r="H15" s="33" t="str">
        <f>VLOOKUP(F15,'Unit of Measure ship March 2026'!A:C,3,false)</f>
        <v>EA</v>
      </c>
      <c r="K15" s="9"/>
      <c r="L15" s="9"/>
      <c r="N15" s="49"/>
      <c r="O15" s="9"/>
      <c r="P15" s="9"/>
      <c r="Q15" s="76"/>
      <c r="R15" s="49"/>
      <c r="S15" s="9"/>
      <c r="T15" s="9"/>
      <c r="U15" s="76"/>
      <c r="V15" s="49"/>
      <c r="W15" s="9"/>
      <c r="X15" s="9"/>
      <c r="Y15" s="76"/>
      <c r="Z15" s="76"/>
      <c r="AA15" s="76"/>
      <c r="AB15" s="76"/>
    </row>
    <row r="16" ht="14.25" customHeight="1">
      <c r="B16" s="18">
        <v>15038.0</v>
      </c>
      <c r="C16" s="9" t="str">
        <f>VLOOKUP(B16,'FML March 2026'!E:F,2,false)</f>
        <v>CABRALES CHEESE</v>
      </c>
      <c r="D16" s="35" t="s">
        <v>42</v>
      </c>
      <c r="F16" s="78">
        <v>15562.0</v>
      </c>
      <c r="G16" s="81" t="str">
        <f>VLOOKUP(F16,'FML March 2026'!E:F,2,false)</f>
        <v>CELERIAC (CELERY ROOT) 20#</v>
      </c>
      <c r="H16" s="33" t="str">
        <f>VLOOKUP(F16,'Unit of Measure ship March 2026'!A:C,3,false)</f>
        <v>LBS</v>
      </c>
      <c r="K16" s="9"/>
      <c r="L16" s="9"/>
      <c r="N16" s="49"/>
      <c r="O16" s="9"/>
      <c r="P16" s="9"/>
      <c r="Q16" s="76"/>
      <c r="R16" s="49"/>
      <c r="S16" s="9"/>
      <c r="T16" s="9"/>
      <c r="U16" s="76"/>
      <c r="V16" s="49"/>
      <c r="W16" s="9"/>
      <c r="X16" s="9"/>
      <c r="Y16" s="76"/>
      <c r="Z16" s="76"/>
      <c r="AA16" s="76"/>
      <c r="AB16" s="76"/>
    </row>
    <row r="17" ht="14.25" customHeight="1">
      <c r="B17" s="18">
        <v>16015.0</v>
      </c>
      <c r="C17" s="9" t="str">
        <f>VLOOKUP(B17,'FML March 2026'!E:F,2,false)</f>
        <v>CAPERS, NON-PAREIL, IN VINEGAR, DRY, 6X850GR</v>
      </c>
      <c r="D17" s="9" t="str">
        <f>VLOOKUP(B17,'Unit of Measure ship March 2026'!A:C,3,false)</f>
        <v>CAN/32OZ</v>
      </c>
      <c r="F17" s="18">
        <v>15460.0</v>
      </c>
      <c r="G17" s="9" t="str">
        <f>VLOOKUP(F17,'FML March 2026'!E:F,2,false)</f>
        <v>CELERY #1 CAL. 36CT 60#</v>
      </c>
      <c r="H17" s="9" t="str">
        <f>VLOOKUP(F17,'Unit of Measure ship March 2026'!A:C,3,false)</f>
        <v>LBS</v>
      </c>
      <c r="K17" s="9"/>
      <c r="L17" s="9"/>
      <c r="N17" s="49"/>
      <c r="O17" s="9"/>
      <c r="P17" s="9"/>
      <c r="Q17" s="76"/>
      <c r="R17" s="49"/>
      <c r="S17" s="9"/>
      <c r="T17" s="9"/>
      <c r="U17" s="76"/>
      <c r="V17" s="49"/>
      <c r="W17" s="9"/>
      <c r="X17" s="9"/>
      <c r="Y17" s="76"/>
      <c r="Z17" s="76"/>
      <c r="AA17" s="76"/>
      <c r="AB17" s="76"/>
    </row>
    <row r="18" ht="14.25" customHeight="1">
      <c r="B18" s="18">
        <v>15816.0</v>
      </c>
      <c r="C18" s="9" t="str">
        <f>VLOOKUP(B18,'FML March 2026'!E:F,2,false)</f>
        <v>CARAWAY SEEDS WHOLE 16 OZ D BADIA</v>
      </c>
      <c r="D18" s="9" t="str">
        <f>VLOOKUP(B18,'Unit of Measure ship March 2026'!A:C,3,false)</f>
        <v>LBS</v>
      </c>
      <c r="F18" s="18">
        <v>109760.0</v>
      </c>
      <c r="G18" s="9" t="str">
        <f>VLOOKUP(F18,'FML March 2026'!E:F,2,false)</f>
        <v>CELERY MICRO HARPKE FAMILY FARM - PK/5 OZ PACKED IN 60 OZ CLAM SHELL</v>
      </c>
      <c r="H18" s="9" t="str">
        <f>VLOOKUP(F18,'Unit of Measure ship March 2026'!A:C,3,false)</f>
        <v>PK/5OZ</v>
      </c>
      <c r="K18" s="9"/>
      <c r="L18" s="9"/>
      <c r="N18" s="49"/>
      <c r="O18" s="9"/>
      <c r="P18" s="9"/>
      <c r="Q18" s="76"/>
      <c r="R18" s="49"/>
      <c r="S18" s="9"/>
      <c r="T18" s="9"/>
      <c r="U18" s="76"/>
      <c r="V18" s="49"/>
      <c r="W18" s="9"/>
      <c r="X18" s="9"/>
      <c r="Y18" s="76"/>
      <c r="Z18" s="76"/>
      <c r="AA18" s="76"/>
      <c r="AB18" s="76"/>
    </row>
    <row r="19" ht="14.25" customHeight="1">
      <c r="B19" s="18">
        <v>16309.0</v>
      </c>
      <c r="C19" s="9" t="str">
        <f>VLOOKUP(B19,'FML March 2026'!E:F,2,false)</f>
        <v>CARDAMOM GROUND</v>
      </c>
      <c r="D19" s="9" t="str">
        <f>VLOOKUP(B19,'Unit of Measure ship March 2026'!A:C,3,false)</f>
        <v>LBS</v>
      </c>
      <c r="F19" s="18">
        <v>15543.0</v>
      </c>
      <c r="G19" s="9" t="str">
        <f>VLOOKUP(F19,'FML March 2026'!E:F,2,false)</f>
        <v>CHERVIL, FRESH, 12BU 1 LB/CS</v>
      </c>
      <c r="H19" s="9" t="str">
        <f>VLOOKUP(F19,'Unit of Measure ship March 2026'!A:C,3,false)</f>
        <v>LBS</v>
      </c>
      <c r="J19" s="49"/>
      <c r="K19" s="9"/>
      <c r="L19" s="9"/>
      <c r="N19" s="57"/>
      <c r="O19" s="9"/>
      <c r="P19" s="9"/>
      <c r="Q19" s="76"/>
      <c r="R19" s="57"/>
      <c r="S19" s="9"/>
      <c r="T19" s="9"/>
      <c r="U19" s="76"/>
      <c r="V19" s="57"/>
      <c r="W19" s="9"/>
      <c r="X19" s="9"/>
      <c r="Y19" s="76"/>
      <c r="Z19" s="76"/>
      <c r="AA19" s="76"/>
      <c r="AB19" s="76"/>
    </row>
    <row r="20" ht="14.25" customHeight="1">
      <c r="B20" s="78">
        <v>35186.0</v>
      </c>
      <c r="C20" s="33" t="str">
        <f>VLOOKUP(B20,'FML March 2026'!E:F,2,false)</f>
        <v>CELERY SALT 32 OZ D`ALLESANDRO/ SPICE CO</v>
      </c>
      <c r="D20" s="33" t="str">
        <f>VLOOKUP(B20,'Unit of Measure ship March 2026'!A:C,3,false)</f>
        <v>JAR/32OZ</v>
      </c>
      <c r="F20" s="78">
        <v>109753.0</v>
      </c>
      <c r="G20" s="80" t="str">
        <f>VLOOKUP(F20,'FML March 2026'!E:F,2,false)</f>
        <v>CHILI FRESNO FRESH</v>
      </c>
      <c r="H20" s="33" t="str">
        <f>VLOOKUP(F20,'Unit of Measure ship March 2026'!A:C,3,false)</f>
        <v>LBS</v>
      </c>
      <c r="J20" s="49"/>
      <c r="K20" s="9"/>
      <c r="L20" s="9"/>
      <c r="N20" s="49"/>
      <c r="O20" s="9"/>
      <c r="P20" s="9"/>
      <c r="Q20" s="76"/>
      <c r="R20" s="49"/>
      <c r="S20" s="9"/>
      <c r="T20" s="9"/>
      <c r="U20" s="76"/>
      <c r="V20" s="49"/>
      <c r="W20" s="9"/>
      <c r="X20" s="9"/>
      <c r="Y20" s="76"/>
      <c r="Z20" s="76"/>
      <c r="AA20" s="76"/>
      <c r="AB20" s="76"/>
    </row>
    <row r="21" ht="14.25" customHeight="1">
      <c r="B21" s="78">
        <v>27418.0</v>
      </c>
      <c r="C21" s="33" t="str">
        <f>VLOOKUP(B21,'FML March 2026'!E:F,2,false)</f>
        <v>CHEESE, PARMIGIANO REGGIANO, DOP, QUARTERS, 18-20 LB EA, CHL, 2/1 EA</v>
      </c>
      <c r="D21" s="33" t="str">
        <f>VLOOKUP(B21,'Unit of Measure ship March 2026'!A:C,3,false)</f>
        <v>LBS</v>
      </c>
      <c r="F21" s="18">
        <v>15438.0</v>
      </c>
      <c r="G21" s="9" t="str">
        <f>VLOOKUP(F21,'FML March 2026'!E:F,2,false)</f>
        <v>CHIVES (12 BUNCH), 1 LB/CS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  <c r="Q21" s="76"/>
      <c r="R21" s="49"/>
      <c r="S21" s="9"/>
      <c r="T21" s="9"/>
      <c r="U21" s="76"/>
      <c r="V21" s="49"/>
      <c r="W21" s="9"/>
      <c r="X21" s="9"/>
      <c r="Y21" s="76"/>
      <c r="Z21" s="76"/>
      <c r="AA21" s="76"/>
      <c r="AB21" s="76"/>
    </row>
    <row r="22" ht="14.25" customHeight="1">
      <c r="B22" s="78">
        <v>15203.0</v>
      </c>
      <c r="C22" s="33" t="str">
        <f>VLOOKUP(B22,'FML March 2026'!E:F,2,false)</f>
        <v>CHERRIES, DARK SWEET PITTED, WHOLE, IQF, FRZN</v>
      </c>
      <c r="D22" s="33" t="str">
        <f>VLOOKUP(B22,'Unit of Measure ship March 2026'!A:C,3,false)</f>
        <v>LBS</v>
      </c>
      <c r="F22" s="18">
        <v>15431.0</v>
      </c>
      <c r="G22" s="9" t="str">
        <f>VLOOKUP(F22,'FML March 2026'!E:F,2,false)</f>
        <v>CILANTRO (12 BUNCH) 1 LB/CS DOMESTIC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  <c r="Q22" s="76"/>
      <c r="R22" s="49"/>
      <c r="S22" s="9"/>
      <c r="T22" s="9"/>
      <c r="U22" s="76"/>
      <c r="V22" s="49"/>
      <c r="W22" s="9"/>
      <c r="X22" s="9"/>
      <c r="Y22" s="76"/>
      <c r="Z22" s="76"/>
      <c r="AA22" s="76"/>
      <c r="AB22" s="76"/>
    </row>
    <row r="23" ht="14.25" customHeight="1">
      <c r="B23" s="18">
        <v>16308.0</v>
      </c>
      <c r="C23" s="9" t="str">
        <f>VLOOKUP(B23,'FML March 2026'!E:F,2,false)</f>
        <v>CHILI PEPPER RED CRUSHED D`ALLESANDRO/ SPICECO</v>
      </c>
      <c r="D23" s="9" t="str">
        <f>VLOOKUP(B23,'Unit of Measure ship March 2026'!A:C,3,false)</f>
        <v>LBS</v>
      </c>
      <c r="F23" s="78">
        <v>111175.0</v>
      </c>
      <c r="G23" s="81" t="str">
        <f>VLOOKUP(F23,'FML March 2026'!E:F,2,false)</f>
        <v>CILANTRO MICRO FRESH HARPKE FAMILY FARM PK/5 OZ PACKED IN 60 OZ SIZE CLAM SHELL</v>
      </c>
      <c r="H23" s="33" t="str">
        <f>VLOOKUP(F23,'Unit of Measure ship March 2026'!A:C,3,false)</f>
        <v>EA</v>
      </c>
      <c r="J23" s="49"/>
      <c r="K23" s="9"/>
      <c r="L23" s="9"/>
      <c r="N23" s="49"/>
      <c r="O23" s="9"/>
      <c r="P23" s="9"/>
      <c r="Q23" s="76"/>
      <c r="R23" s="49"/>
      <c r="S23" s="9"/>
      <c r="T23" s="9"/>
      <c r="U23" s="76"/>
      <c r="V23" s="49"/>
      <c r="W23" s="9"/>
      <c r="X23" s="9"/>
      <c r="Y23" s="76"/>
      <c r="Z23" s="76"/>
      <c r="AA23" s="76"/>
      <c r="AB23" s="76"/>
    </row>
    <row r="24" ht="14.25" customHeight="1">
      <c r="B24" s="78">
        <v>16252.0</v>
      </c>
      <c r="C24" s="33" t="str">
        <f>VLOOKUP(B24,'FML March 2026'!E:F,2,false)</f>
        <v>CHILI POWDER 16 OZ D`ALLESANDRO/ SPICECO</v>
      </c>
      <c r="D24" s="33" t="str">
        <f>VLOOKUP(B24,'Unit of Measure ship March 2026'!A:C,3,false)</f>
        <v>LBS</v>
      </c>
      <c r="F24" s="78">
        <v>15462.0</v>
      </c>
      <c r="G24" s="81" t="str">
        <f>VLOOKUP(F24,'FML March 2026'!E:F,2,false)</f>
        <v>CUCUMBERS SEEDLESS LARGE, PLASTIC WRAPPED 13#</v>
      </c>
      <c r="H24" s="33" t="str">
        <f>VLOOKUP(F24,'Unit of Measure ship March 2026'!A:C,3,false)</f>
        <v>LBS</v>
      </c>
      <c r="J24" s="49"/>
      <c r="K24" s="9"/>
      <c r="L24" s="9"/>
      <c r="N24" s="49"/>
      <c r="O24" s="9"/>
      <c r="P24" s="9"/>
      <c r="Q24" s="76"/>
      <c r="R24" s="49"/>
      <c r="S24" s="9"/>
      <c r="T24" s="9"/>
      <c r="U24" s="76"/>
      <c r="V24" s="49"/>
      <c r="W24" s="9"/>
      <c r="X24" s="9"/>
      <c r="Y24" s="76"/>
      <c r="Z24" s="76"/>
      <c r="AA24" s="76"/>
      <c r="AB24" s="76"/>
    </row>
    <row r="25" ht="14.25" customHeight="1">
      <c r="B25" s="18">
        <v>16882.0</v>
      </c>
      <c r="C25" s="9" t="str">
        <f>VLOOKUP(B25,'FML March 2026'!E:F,2,false)</f>
        <v>CHIPS POTATO CHIPS BULK</v>
      </c>
      <c r="D25" s="9" t="str">
        <f>VLOOKUP(B25,'Unit of Measure ship March 2026'!A:C,3,false)</f>
        <v>LBS</v>
      </c>
      <c r="F25" s="18">
        <v>15433.0</v>
      </c>
      <c r="G25" s="9" t="str">
        <f>VLOOKUP(F25,'FML March 2026'!E:F,2,false)</f>
        <v>DILL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  <c r="Q25" s="76"/>
      <c r="R25" s="49"/>
      <c r="S25" s="9"/>
      <c r="T25" s="9"/>
      <c r="U25" s="76"/>
      <c r="V25" s="49"/>
      <c r="W25" s="9"/>
      <c r="X25" s="9"/>
      <c r="Y25" s="76"/>
      <c r="Z25" s="76"/>
      <c r="AA25" s="76"/>
      <c r="AB25" s="76"/>
    </row>
    <row r="26" ht="14.25" customHeight="1">
      <c r="B26" s="18">
        <v>16288.0</v>
      </c>
      <c r="C26" s="9" t="str">
        <f>VLOOKUP(B26,'FML March 2026'!E:F,2,false)</f>
        <v>CORIANDER WHOLE BADIA (USA )</v>
      </c>
      <c r="D26" s="9" t="str">
        <f>VLOOKUP(B26,'Unit of Measure ship March 2026'!A:C,3,false)</f>
        <v>LBS</v>
      </c>
      <c r="F26" s="18">
        <v>15547.0</v>
      </c>
      <c r="G26" s="9" t="str">
        <f>VLOOKUP(F26,'FML March 2026'!E:F,2,false)</f>
        <v>FENNEL FRESH CAL. 40#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  <c r="Q26" s="76"/>
      <c r="R26" s="49"/>
      <c r="S26" s="9"/>
      <c r="T26" s="9"/>
      <c r="U26" s="76"/>
      <c r="V26" s="49"/>
      <c r="W26" s="9"/>
      <c r="X26" s="9"/>
      <c r="Y26" s="76"/>
      <c r="Z26" s="76"/>
      <c r="AA26" s="76"/>
      <c r="AB26" s="76"/>
    </row>
    <row r="27" ht="14.25" customHeight="1">
      <c r="B27" s="32">
        <v>109633.0</v>
      </c>
      <c r="C27" s="33" t="str">
        <f>VLOOKUP(B27,'FML March 2026'!E:F,2,false)</f>
        <v>CORN FLOUR 50  LB</v>
      </c>
      <c r="D27" s="33" t="str">
        <f>VLOOKUP(B27,'Unit of Measure ship March 2026'!A:C,3,false)</f>
        <v>KG</v>
      </c>
      <c r="F27" s="18">
        <v>30639.0</v>
      </c>
      <c r="G27" s="9" t="str">
        <f>VLOOKUP(F27,'FML March 2026'!E:F,2,false)</f>
        <v>GARLIC PEELED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  <c r="Q27" s="76"/>
      <c r="R27" s="49"/>
      <c r="S27" s="9"/>
      <c r="T27" s="9"/>
      <c r="U27" s="76"/>
      <c r="V27" s="49"/>
      <c r="W27" s="9"/>
      <c r="X27" s="9"/>
      <c r="Y27" s="76"/>
      <c r="Z27" s="76"/>
      <c r="AA27" s="76"/>
      <c r="AB27" s="76"/>
    </row>
    <row r="28" ht="14.25" customHeight="1">
      <c r="B28" s="78">
        <v>11882.0</v>
      </c>
      <c r="C28" s="33" t="str">
        <f>VLOOKUP(B28,'FML March 2026'!E:F,2,false)</f>
        <v>CREME FRAICHE</v>
      </c>
      <c r="D28" s="33" t="str">
        <f>VLOOKUP(B28,'Unit of Measure ship March 2026'!A:C,3,false)</f>
        <v>QRT</v>
      </c>
      <c r="F28" s="78">
        <v>38392.0</v>
      </c>
      <c r="G28" s="80" t="str">
        <f>VLOOKUP(F28,'FML March 2026'!E:F,2,false)</f>
        <v>GINGER FRESH</v>
      </c>
      <c r="H28" s="33" t="str">
        <f>VLOOKUP(F28,'Unit of Measure ship March 2026'!A:C,3,false)</f>
        <v>LBS</v>
      </c>
      <c r="J28" s="49"/>
      <c r="K28" s="9"/>
      <c r="L28" s="9"/>
      <c r="N28" s="49"/>
      <c r="O28" s="9"/>
      <c r="P28" s="9"/>
      <c r="Q28" s="76"/>
      <c r="R28" s="49"/>
      <c r="S28" s="9"/>
      <c r="T28" s="9"/>
      <c r="U28" s="76"/>
      <c r="V28" s="49"/>
      <c r="W28" s="9"/>
      <c r="X28" s="9"/>
      <c r="Y28" s="76"/>
      <c r="Z28" s="76"/>
      <c r="AA28" s="76"/>
      <c r="AB28" s="76"/>
    </row>
    <row r="29" ht="14.25" customHeight="1">
      <c r="B29" s="18">
        <v>16256.0</v>
      </c>
      <c r="C29" s="9" t="str">
        <f>VLOOKUP(B29,'FML March 2026'!E:F,2,false)</f>
        <v>CUMIN GROUND D`ALLESANDRO/ SPICECO (USA )</v>
      </c>
      <c r="D29" s="9" t="str">
        <f>VLOOKUP(B29,'Unit of Measure ship March 2026'!A:C,3,false)</f>
        <v>LBS</v>
      </c>
      <c r="F29" s="18">
        <v>15426.0</v>
      </c>
      <c r="G29" s="9" t="str">
        <f>VLOOKUP(F29,'FML March 2026'!E:F,2,false)</f>
        <v>HORSERADISH ROOTS FRESH #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  <c r="Q29" s="76"/>
      <c r="R29" s="49"/>
      <c r="S29" s="9"/>
      <c r="T29" s="9"/>
      <c r="U29" s="76"/>
      <c r="V29" s="49"/>
      <c r="W29" s="9"/>
      <c r="X29" s="9"/>
      <c r="Y29" s="76"/>
      <c r="Z29" s="76"/>
      <c r="AA29" s="76"/>
      <c r="AB29" s="76"/>
    </row>
    <row r="30" ht="14.25" customHeight="1">
      <c r="B30" s="18">
        <v>15814.0</v>
      </c>
      <c r="C30" s="9" t="str">
        <f>VLOOKUP(B30,'FML March 2026'!E:F,2,false)</f>
        <v>DATES PITTED DRIED</v>
      </c>
      <c r="D30" s="9" t="str">
        <f>VLOOKUP(B30,'Unit of Measure ship March 2026'!A:C,3,false)</f>
        <v>LBS</v>
      </c>
      <c r="F30" s="18">
        <v>30025.0</v>
      </c>
      <c r="G30" s="9" t="str">
        <f>VLOOKUP(F30,'FML March 2026'!E:F,2,false)</f>
        <v>KAFFIR LIME LEAVES FRESH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  <c r="Q30" s="76"/>
      <c r="R30" s="49"/>
      <c r="S30" s="9"/>
      <c r="T30" s="9"/>
      <c r="U30" s="76"/>
      <c r="V30" s="49"/>
      <c r="W30" s="9"/>
      <c r="X30" s="9"/>
      <c r="Y30" s="76"/>
      <c r="Z30" s="76"/>
      <c r="AA30" s="76"/>
      <c r="AB30" s="76"/>
    </row>
    <row r="31" ht="14.25" customHeight="1">
      <c r="B31" s="18">
        <v>15027.0</v>
      </c>
      <c r="C31" s="9" t="str">
        <f>VLOOKUP(B31,'FML March 2026'!E:F,2,false)</f>
        <v>EGG YOLKS FROZEN NO SUGAR OR SALT ADDED 6/5 LB SUNNY FRESH/ DEBEL (USA)</v>
      </c>
      <c r="D31" s="9" t="str">
        <f>VLOOKUP(B31,'Unit of Measure ship March 2026'!A:C,3,false)</f>
        <v>LBS</v>
      </c>
      <c r="F31" s="78">
        <v>110907.0</v>
      </c>
      <c r="G31" s="81" t="str">
        <f>VLOOKUP(F31,'FML March 2026'!E:F,2,false)</f>
        <v>KALE GREEN  FRESH CS15/LBS</v>
      </c>
      <c r="H31" s="33" t="str">
        <f>VLOOKUP(F31,'Unit of Measure ship March 2026'!A:C,3,false)</f>
        <v>LBS</v>
      </c>
      <c r="J31" s="49"/>
      <c r="K31" s="9"/>
      <c r="L31" s="9"/>
      <c r="N31" s="49"/>
      <c r="O31" s="9"/>
      <c r="P31" s="9"/>
      <c r="Q31" s="76"/>
      <c r="R31" s="49"/>
      <c r="S31" s="9"/>
      <c r="T31" s="9"/>
      <c r="U31" s="76"/>
      <c r="V31" s="49"/>
      <c r="W31" s="9"/>
      <c r="X31" s="9"/>
      <c r="Y31" s="76"/>
      <c r="Z31" s="76"/>
      <c r="AA31" s="76"/>
      <c r="AB31" s="76"/>
    </row>
    <row r="32" ht="14.25" customHeight="1">
      <c r="B32" s="18">
        <v>15022.0</v>
      </c>
      <c r="C32" s="9" t="str">
        <f>VLOOKUP(B32,'FML March 2026'!E:F,2,false)</f>
        <v>EGGS-DATED, MEDIUM, REGULAR</v>
      </c>
      <c r="D32" s="9" t="str">
        <f>VLOOKUP(B32,'Unit of Measure ship March 2026'!A:C,3,false)</f>
        <v>PC</v>
      </c>
      <c r="F32" s="18">
        <v>15397.0</v>
      </c>
      <c r="G32" s="9" t="str">
        <f>VLOOKUP(F32,'FML March 2026'!E:F,2,false)</f>
        <v>LEMONS FRESH FIRM FANCY CALIF. SUNKIST #1 200CT 40#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  <c r="Q32" s="76"/>
      <c r="R32" s="49"/>
      <c r="S32" s="9"/>
      <c r="T32" s="9"/>
      <c r="U32" s="76"/>
      <c r="V32" s="49"/>
      <c r="W32" s="9"/>
      <c r="X32" s="9"/>
      <c r="Y32" s="76"/>
      <c r="Z32" s="76"/>
      <c r="AA32" s="76"/>
      <c r="AB32" s="76"/>
    </row>
    <row r="33" ht="14.25" customHeight="1">
      <c r="B33" s="79">
        <v>15026.0</v>
      </c>
      <c r="C33" s="33" t="str">
        <f>VLOOKUP(B33,'FML March 2026'!E:F,2,false)</f>
        <v>EGGS, WHOLE, LIQUID, W/ CITRIC ACID, NO SUGAR, 1-5 LB/1-5 LT, FZN, 6/5 LB</v>
      </c>
      <c r="D33" s="33" t="str">
        <f>VLOOKUP(B33,'Unit of Measure ship March 2026'!A:C,3,false)</f>
        <v>LBS</v>
      </c>
      <c r="F33" s="79">
        <v>110068.0</v>
      </c>
      <c r="G33" s="80" t="str">
        <f>VLOOKUP(F33,'FML March 2026'!E:F,2,false)</f>
        <v>MAITAKE MUSHROOM FRESH</v>
      </c>
      <c r="H33" s="33" t="str">
        <f>VLOOKUP(F33,'Unit of Measure ship March 2026'!A:C,3,false)</f>
        <v>LBS</v>
      </c>
      <c r="J33" s="49"/>
      <c r="K33" s="9"/>
      <c r="L33" s="9"/>
      <c r="N33" s="49"/>
      <c r="O33" s="9"/>
      <c r="P33" s="9"/>
      <c r="Q33" s="76"/>
      <c r="R33" s="49"/>
      <c r="S33" s="9"/>
      <c r="T33" s="9"/>
      <c r="U33" s="76"/>
      <c r="V33" s="49"/>
      <c r="W33" s="9"/>
      <c r="X33" s="9"/>
      <c r="Y33" s="76"/>
      <c r="Z33" s="76"/>
      <c r="AA33" s="76"/>
      <c r="AB33" s="76"/>
    </row>
    <row r="34" ht="14.25" customHeight="1">
      <c r="B34" s="78">
        <v>16259.0</v>
      </c>
      <c r="C34" s="33" t="str">
        <f>VLOOKUP(B34,'FML March 2026'!E:F,2,false)</f>
        <v>FENNEL SEED WHOLE BADIA (USA )</v>
      </c>
      <c r="D34" s="33" t="str">
        <f>VLOOKUP(B34,'Unit of Measure ship March 2026'!A:C,3,false)</f>
        <v>LBS</v>
      </c>
      <c r="F34" s="8">
        <v>110915.0</v>
      </c>
      <c r="G34" s="9" t="str">
        <f>VLOOKUP(F34,'FML March 2026'!E:F,2,false)</f>
        <v>MICRO GREEN FLOWER BLEND PKG 8 OZ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  <c r="Q34" s="76"/>
      <c r="R34" s="49"/>
      <c r="S34" s="9"/>
      <c r="T34" s="9"/>
      <c r="U34" s="76"/>
      <c r="V34" s="49"/>
      <c r="W34" s="9"/>
      <c r="X34" s="9"/>
      <c r="Y34" s="76"/>
      <c r="Z34" s="76"/>
      <c r="AA34" s="76"/>
      <c r="AB34" s="76"/>
    </row>
    <row r="35" ht="14.25" customHeight="1">
      <c r="B35" s="78">
        <v>31226.0</v>
      </c>
      <c r="C35" s="9" t="str">
        <f>VLOOKUP(B35,'FML March 2026'!E:F,2,false)</f>
        <v>FLEUR DE SEL / SEL DE GUERANDE 1 KG PAIL</v>
      </c>
      <c r="D35" s="9" t="str">
        <f>VLOOKUP(B35,'Unit of Measure ship March 2026'!A:C,3,false)</f>
        <v>LBS</v>
      </c>
      <c r="F35" s="8">
        <v>110915.0</v>
      </c>
      <c r="G35" s="9" t="str">
        <f>VLOOKUP(F35,'FML March 2026'!E:F,2,false)</f>
        <v>MICRO GREEN FLOWER BLEND PKG 8 OZ</v>
      </c>
      <c r="H35" s="9" t="str">
        <f>VLOOKUP(F35,'Unit of Measure ship March 2026'!A:C,3,false)</f>
        <v>LBS</v>
      </c>
      <c r="J35" s="49"/>
      <c r="K35" s="9"/>
      <c r="L35" s="9"/>
      <c r="N35" s="49"/>
      <c r="O35" s="9"/>
      <c r="P35" s="9"/>
      <c r="Q35" s="76"/>
      <c r="R35" s="49"/>
      <c r="S35" s="9"/>
      <c r="T35" s="9"/>
      <c r="U35" s="76"/>
      <c r="V35" s="49"/>
      <c r="W35" s="9"/>
      <c r="X35" s="9"/>
      <c r="Y35" s="76"/>
      <c r="Z35" s="76"/>
      <c r="AA35" s="76"/>
      <c r="AB35" s="76"/>
    </row>
    <row r="36" ht="14.25" customHeight="1">
      <c r="B36" s="8">
        <v>111865.0</v>
      </c>
      <c r="C36" s="9" t="str">
        <f>VLOOKUP(B36,'FML March 2026'!E:F,2,false)</f>
        <v>FLOUR ALL PURPOSE SIR GALAHAD BAG50/LBS KING ARTHUR</v>
      </c>
      <c r="D36" s="9" t="str">
        <f>VLOOKUP(B36,'Unit of Measure ship March 2026'!A:C,3,false)</f>
        <v>LBS</v>
      </c>
      <c r="F36" s="8">
        <v>110919.0</v>
      </c>
      <c r="G36" s="9" t="str">
        <f>VLOOKUP(F36,'FML March 2026'!E:F,2,false)</f>
        <v>MICRO GREEN NASTURDIUM  PKG/8OZ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  <c r="Q36" s="76"/>
      <c r="R36" s="49"/>
      <c r="S36" s="9"/>
      <c r="T36" s="9"/>
      <c r="U36" s="76"/>
      <c r="V36" s="49"/>
      <c r="W36" s="9"/>
      <c r="X36" s="9"/>
      <c r="Y36" s="76"/>
      <c r="Z36" s="76"/>
      <c r="AA36" s="76"/>
      <c r="AB36" s="76"/>
    </row>
    <row r="37" ht="14.25" customHeight="1">
      <c r="B37" s="78">
        <v>111794.0</v>
      </c>
      <c r="C37" s="33" t="str">
        <f>VLOOKUP(B37,'FML March 2026'!E:F,2,false)</f>
        <v>FRENCH FRIES SEASHORE STYLE SEASONED SKIN-ON CS 6/5 LB LAMB WESTON SS101</v>
      </c>
      <c r="D37" s="33" t="str">
        <f>VLOOKUP(B37,'Unit of Measure ship March 2026'!A:C,3,false)</f>
        <v>LBS</v>
      </c>
      <c r="F37" s="8">
        <v>110919.0</v>
      </c>
      <c r="G37" s="9" t="str">
        <f>VLOOKUP(F37,'FML March 2026'!E:F,2,false)</f>
        <v>MICRO GREEN NASTURDIUM  PKG/8OZ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  <c r="Q37" s="76"/>
      <c r="R37" s="49"/>
      <c r="S37" s="9"/>
      <c r="T37" s="9"/>
      <c r="U37" s="76"/>
      <c r="V37" s="49"/>
      <c r="W37" s="9"/>
      <c r="X37" s="9"/>
      <c r="Y37" s="76"/>
      <c r="Z37" s="76"/>
      <c r="AA37" s="76"/>
      <c r="AB37" s="76"/>
    </row>
    <row r="38" ht="14.25" customHeight="1">
      <c r="B38" s="78">
        <v>111135.0</v>
      </c>
      <c r="C38" s="33" t="str">
        <f>VLOOKUP(B38,'FML March 2026'!E:F,2,false)</f>
        <v>GARLIC MINCED BADIA</v>
      </c>
      <c r="D38" s="33" t="str">
        <f>VLOOKUP(B38,'Unit of Measure ship March 2026'!A:C,3,false)</f>
        <v>LBS</v>
      </c>
      <c r="F38" s="8">
        <v>110914.0</v>
      </c>
      <c r="G38" s="9" t="str">
        <f>VLOOKUP(F38,'FML March 2026'!E:F,2,false)</f>
        <v>MICRO SPINACH NEW ZEALAND</v>
      </c>
      <c r="H38" s="9" t="str">
        <f>VLOOKUP(F38,'Unit of Measure ship March 2026'!A:C,3,false)</f>
        <v>PKG/8OZ</v>
      </c>
      <c r="J38" s="49"/>
      <c r="K38" s="9"/>
      <c r="L38" s="9"/>
      <c r="N38" s="49"/>
      <c r="O38" s="9"/>
      <c r="P38" s="9"/>
      <c r="Q38" s="76"/>
      <c r="R38" s="49"/>
      <c r="S38" s="9"/>
      <c r="T38" s="9"/>
      <c r="U38" s="76"/>
      <c r="V38" s="49"/>
      <c r="W38" s="9"/>
      <c r="X38" s="9"/>
      <c r="Y38" s="76"/>
      <c r="Z38" s="76"/>
      <c r="AA38" s="76"/>
      <c r="AB38" s="76"/>
    </row>
    <row r="39" ht="14.25" customHeight="1">
      <c r="B39" s="18">
        <v>12666.0</v>
      </c>
      <c r="C39" s="9" t="str">
        <f>VLOOKUP(B39,'FML March 2026'!E:F,2,false)</f>
        <v>GLUTEN FREE WHITE RICE FLOUR</v>
      </c>
      <c r="D39" s="9" t="str">
        <f>VLOOKUP(B39,'Unit of Measure ship March 2026'!A:C,3,false)</f>
        <v>LBS</v>
      </c>
      <c r="F39" s="16">
        <v>110914.0</v>
      </c>
      <c r="G39" s="9" t="str">
        <f>VLOOKUP(F39,'FML March 2026'!E:F,2,false)</f>
        <v>MICRO SPINACH NEW ZEALAND</v>
      </c>
      <c r="H39" s="9" t="str">
        <f>VLOOKUP(F39,'Unit of Measure ship March 2026'!A:C,3,false)</f>
        <v>PKG/8OZ</v>
      </c>
      <c r="J39" s="49"/>
      <c r="K39" s="9"/>
      <c r="L39" s="9"/>
      <c r="N39" s="49"/>
      <c r="O39" s="9"/>
      <c r="P39" s="9"/>
      <c r="Q39" s="76"/>
      <c r="R39" s="49"/>
      <c r="S39" s="9"/>
      <c r="T39" s="9"/>
      <c r="U39" s="76"/>
      <c r="V39" s="49"/>
      <c r="W39" s="9"/>
      <c r="X39" s="9"/>
      <c r="Y39" s="76"/>
      <c r="Z39" s="76"/>
      <c r="AA39" s="76"/>
      <c r="AB39" s="76"/>
    </row>
    <row r="40" ht="14.25" customHeight="1">
      <c r="B40" s="8">
        <v>112068.0</v>
      </c>
      <c r="C40" s="9" t="str">
        <f>VLOOKUP(B40,'FML March 2026'!E:F,2,false)</f>
        <v>GOAT CHEESE  CHEFS CHEVRE CS 2/4 LB LAUR CHENEL</v>
      </c>
      <c r="D40" s="9" t="str">
        <f>VLOOKUP(B40,'Unit of Measure ship March 2026'!A:C,3,false)</f>
        <v>LBS</v>
      </c>
      <c r="F40" s="78">
        <v>111046.0</v>
      </c>
      <c r="G40" s="81" t="str">
        <f>VLOOKUP(F40,'FML March 2026'!E:F,2,false)</f>
        <v>MUSHROOM HON SHIMEJII BROIWNFRESH CS3/LB</v>
      </c>
      <c r="H40" s="33" t="str">
        <f>VLOOKUP(F40,'Unit of Measure ship March 2026'!A:C,3,false)</f>
        <v>LBS</v>
      </c>
      <c r="J40" s="49"/>
      <c r="K40" s="9"/>
      <c r="L40" s="9"/>
      <c r="N40" s="49"/>
      <c r="O40" s="9"/>
      <c r="P40" s="9"/>
      <c r="Q40" s="76"/>
      <c r="R40" s="49"/>
      <c r="S40" s="9"/>
      <c r="T40" s="9"/>
      <c r="U40" s="76"/>
      <c r="V40" s="49"/>
      <c r="W40" s="9"/>
      <c r="X40" s="9"/>
      <c r="Y40" s="76"/>
      <c r="Z40" s="76"/>
      <c r="AA40" s="76"/>
      <c r="AB40" s="76"/>
    </row>
    <row r="41" ht="14.25" customHeight="1">
      <c r="B41" s="78">
        <v>15058.0</v>
      </c>
      <c r="C41" s="33" t="str">
        <f>VLOOKUP(B41,'FML March 2026'!E:F,2,false)</f>
        <v>GRUYERE IGP SAVOIE CHABERT 40KG / DEXPA # 8681</v>
      </c>
      <c r="D41" s="33" t="str">
        <f>VLOOKUP(B41,'Unit of Measure ship March 2026'!A:C,3,false)</f>
        <v>LBS</v>
      </c>
      <c r="F41" s="78">
        <v>15551.0</v>
      </c>
      <c r="G41" s="81" t="str">
        <f>VLOOKUP(F41,'FML March 2026'!E:F,2,false)</f>
        <v>MUSHROOMS PORTOBELLO FRESH</v>
      </c>
      <c r="H41" s="33" t="str">
        <f>VLOOKUP(F41,'Unit of Measure ship March 2026'!A:C,3,false)</f>
        <v>LBS</v>
      </c>
      <c r="J41" s="49"/>
      <c r="K41" s="9"/>
      <c r="L41" s="9"/>
      <c r="N41" s="49"/>
      <c r="O41" s="9"/>
      <c r="P41" s="9"/>
      <c r="Q41" s="76"/>
      <c r="R41" s="49"/>
      <c r="S41" s="9"/>
      <c r="T41" s="9"/>
      <c r="U41" s="76"/>
      <c r="V41" s="49"/>
      <c r="W41" s="9"/>
      <c r="X41" s="9"/>
      <c r="Y41" s="76"/>
      <c r="Z41" s="76"/>
      <c r="AA41" s="76"/>
      <c r="AB41" s="76"/>
    </row>
    <row r="42" ht="14.25" customHeight="1">
      <c r="B42" s="78">
        <v>102496.0</v>
      </c>
      <c r="C42" s="33" t="str">
        <f>VLOOKUP(B42,'FML March 2026'!E:F,2,false)</f>
        <v>GUAR GUM CS 8/8 OZ BOBS RED MILL</v>
      </c>
      <c r="D42" s="33" t="str">
        <f>VLOOKUP(B42,'Unit of Measure ship March 2026'!A:C,3,false)</f>
        <v>LBS</v>
      </c>
      <c r="F42" s="78">
        <v>15556.0</v>
      </c>
      <c r="G42" s="81" t="str">
        <f>VLOOKUP(F42,'FML March 2026'!E:F,2,false)</f>
        <v>MUSHROOMS SHIITAKE  FRESH NO 1</v>
      </c>
      <c r="H42" s="33" t="str">
        <f>VLOOKUP(F42,'Unit of Measure ship March 2026'!A:C,3,false)</f>
        <v>LBS</v>
      </c>
      <c r="J42" s="49"/>
      <c r="K42" s="9"/>
      <c r="L42" s="9"/>
      <c r="N42" s="49"/>
      <c r="O42" s="9"/>
      <c r="P42" s="9"/>
      <c r="Q42" s="76"/>
      <c r="R42" s="49"/>
      <c r="S42" s="9"/>
      <c r="T42" s="9"/>
      <c r="U42" s="76"/>
      <c r="V42" s="49"/>
      <c r="W42" s="9"/>
      <c r="X42" s="9"/>
      <c r="Y42" s="76"/>
      <c r="Z42" s="76"/>
      <c r="AA42" s="76"/>
      <c r="AB42" s="76"/>
    </row>
    <row r="43" ht="14.25" customHeight="1">
      <c r="B43" s="18">
        <v>101778.0</v>
      </c>
      <c r="C43" s="9" t="str">
        <f>VLOOKUP(B43,'FML March 2026'!E:F,2,false)</f>
        <v>HAZELNUT WHOLE BLANCHED</v>
      </c>
      <c r="D43" s="9" t="str">
        <f>VLOOKUP(B43,'Unit of Measure ship March 2026'!A:C,3,false)</f>
        <v>LBS</v>
      </c>
      <c r="F43" s="79">
        <v>31638.0</v>
      </c>
      <c r="G43" s="80" t="str">
        <f>VLOOKUP(F43,'FML March 2026'!E:F,2,false)</f>
        <v>MUSHROOMS, FRESH WHITE, 8 OZ CELLO PACK</v>
      </c>
      <c r="H43" s="33" t="str">
        <f>VLOOKUP(F43,'Unit of Measure ship March 2026'!A:C,3,false)</f>
        <v>LBS</v>
      </c>
      <c r="J43" s="49"/>
      <c r="K43" s="9"/>
      <c r="L43" s="9"/>
      <c r="N43" s="49"/>
      <c r="O43" s="9"/>
      <c r="P43" s="9"/>
      <c r="Q43" s="76"/>
      <c r="R43" s="49"/>
      <c r="S43" s="9"/>
      <c r="T43" s="9"/>
      <c r="U43" s="76"/>
      <c r="V43" s="49"/>
      <c r="W43" s="9"/>
      <c r="X43" s="9"/>
      <c r="Y43" s="76"/>
      <c r="Z43" s="76"/>
      <c r="AA43" s="76"/>
      <c r="AB43" s="76"/>
    </row>
    <row r="44" ht="14.25" customHeight="1">
      <c r="B44" s="18">
        <v>14907.0</v>
      </c>
      <c r="C44" s="9" t="str">
        <f>VLOOKUP(B44,'FML March 2026'!E:F,2,false)</f>
        <v>HEAVY CREAM UHT LONG LIFE 38%-40% 12/1LT</v>
      </c>
      <c r="D44" s="9" t="str">
        <f>VLOOKUP(B44,'Unit of Measure ship March 2026'!A:C,3,false)</f>
        <v>LT</v>
      </c>
      <c r="F44" s="78">
        <v>15496.0</v>
      </c>
      <c r="G44" s="81" t="str">
        <f>VLOOKUP(F44,'FML March 2026'!E:F,2,false)</f>
        <v>ONIONS RED, MEDIUM 25#</v>
      </c>
      <c r="H44" s="33" t="str">
        <f>VLOOKUP(F44,'Unit of Measure ship March 2026'!A:C,3,false)</f>
        <v>LBS</v>
      </c>
      <c r="J44" s="49"/>
      <c r="K44" s="9"/>
      <c r="L44" s="9"/>
      <c r="N44" s="49"/>
      <c r="O44" s="9"/>
      <c r="P44" s="9"/>
      <c r="Q44" s="76"/>
      <c r="R44" s="49"/>
      <c r="S44" s="9"/>
      <c r="T44" s="9"/>
      <c r="U44" s="76"/>
      <c r="V44" s="49"/>
      <c r="W44" s="9"/>
      <c r="X44" s="9"/>
      <c r="Y44" s="76"/>
      <c r="Z44" s="76"/>
      <c r="AA44" s="76"/>
      <c r="AB44" s="76"/>
    </row>
    <row r="45" ht="14.25" customHeight="1">
      <c r="B45" s="18">
        <v>15658.0</v>
      </c>
      <c r="C45" s="9" t="str">
        <f>VLOOKUP(B45,'FML March 2026'!E:F,2,false)</f>
        <v>HONEY 6/5 LB GROEB/MELONIA/SWEET HARVEST</v>
      </c>
      <c r="D45" s="9" t="str">
        <f>VLOOKUP(B45,'Unit of Measure ship March 2026'!A:C,3,false)</f>
        <v>KG</v>
      </c>
      <c r="F45" s="79">
        <v>111864.0</v>
      </c>
      <c r="G45" s="80" t="str">
        <f>VLOOKUP(F45,'FML March 2026'!E:F,2,false)</f>
        <v>ONIONS, PEARL ONIONS RED FRESH 1/12PT 4#/CS</v>
      </c>
      <c r="H45" s="33" t="str">
        <f>VLOOKUP(F45,'Unit of Measure ship March 2026'!A:C,3,false)</f>
        <v>LBS</v>
      </c>
      <c r="J45" s="49"/>
      <c r="K45" s="9"/>
      <c r="L45" s="9"/>
      <c r="N45" s="49"/>
      <c r="O45" s="9"/>
      <c r="P45" s="9"/>
      <c r="Q45" s="76"/>
      <c r="R45" s="49"/>
      <c r="S45" s="9"/>
      <c r="T45" s="9"/>
      <c r="U45" s="76"/>
      <c r="V45" s="49"/>
      <c r="W45" s="9"/>
      <c r="X45" s="9"/>
      <c r="Y45" s="76"/>
      <c r="Z45" s="76"/>
      <c r="AA45" s="76"/>
      <c r="AB45" s="76"/>
    </row>
    <row r="46" ht="14.25" customHeight="1">
      <c r="B46" s="18">
        <v>109680.0</v>
      </c>
      <c r="C46" s="9" t="str">
        <f>VLOOKUP(B46,'FML March 2026'!E:F,2,false)</f>
        <v>HOT SAUCE CHOLULAS</v>
      </c>
      <c r="D46" s="9" t="str">
        <f>VLOOKUP(B46,'Unit of Measure ship March 2026'!A:C,3,false)</f>
        <v>BTL/6OZ</v>
      </c>
      <c r="F46" s="78">
        <v>15500.0</v>
      </c>
      <c r="G46" s="81" t="str">
        <f>VLOOKUP(F46,'FML March 2026'!E:F,2,false)</f>
        <v>PARSLEY ITALIAN,  20#/CS</v>
      </c>
      <c r="H46" s="33" t="str">
        <f>VLOOKUP(F46,'Unit of Measure ship March 2026'!A:C,3,false)</f>
        <v>LBS</v>
      </c>
      <c r="J46" s="49"/>
      <c r="K46" s="9"/>
      <c r="L46" s="9"/>
      <c r="N46" s="49"/>
      <c r="O46" s="9"/>
      <c r="P46" s="9"/>
      <c r="Q46" s="76"/>
      <c r="R46" s="49"/>
      <c r="S46" s="9"/>
      <c r="T46" s="9"/>
      <c r="U46" s="76"/>
      <c r="V46" s="49"/>
      <c r="W46" s="9"/>
      <c r="X46" s="9"/>
      <c r="Y46" s="76"/>
      <c r="Z46" s="76"/>
      <c r="AA46" s="76"/>
      <c r="AB46" s="76"/>
    </row>
    <row r="47" ht="14.25" customHeight="1">
      <c r="B47" s="18">
        <v>79483.0</v>
      </c>
      <c r="C47" s="9" t="str">
        <f>VLOOKUP(B47,'FML March 2026'!E:F,2,false)</f>
        <v>IDIAZABAL CHEESE</v>
      </c>
      <c r="D47" s="35" t="s">
        <v>42</v>
      </c>
      <c r="F47" s="79">
        <v>23714.0</v>
      </c>
      <c r="G47" s="80" t="str">
        <f>VLOOKUP(F47,'FML March 2026'!E:F,2,false)</f>
        <v>PARSNIP 20#/CS</v>
      </c>
      <c r="H47" s="33" t="str">
        <f>VLOOKUP(F47,'Unit of Measure ship March 2026'!A:C,3,false)</f>
        <v>LBS</v>
      </c>
      <c r="J47" s="49"/>
      <c r="K47" s="9"/>
      <c r="L47" s="9"/>
      <c r="N47" s="49"/>
      <c r="O47" s="9"/>
      <c r="P47" s="9"/>
      <c r="Q47" s="76"/>
      <c r="R47" s="49"/>
      <c r="S47" s="9"/>
      <c r="T47" s="9"/>
      <c r="U47" s="76"/>
      <c r="V47" s="49"/>
      <c r="W47" s="9"/>
      <c r="X47" s="9"/>
      <c r="Y47" s="76"/>
      <c r="Z47" s="76"/>
      <c r="AA47" s="76"/>
      <c r="AB47" s="76"/>
    </row>
    <row r="48" ht="14.25" customHeight="1">
      <c r="B48" s="18">
        <v>79486.0</v>
      </c>
      <c r="C48" s="9" t="str">
        <f>VLOOKUP(B48,'FML March 2026'!E:F,2,false)</f>
        <v>JAMON IBERICO DE BELLOTA</v>
      </c>
      <c r="D48" s="35" t="s">
        <v>42</v>
      </c>
      <c r="F48" s="18">
        <v>15502.0</v>
      </c>
      <c r="G48" s="9" t="str">
        <f>VLOOKUP(F48,'FML March 2026'!E:F,2,false)</f>
        <v>PEPPERS RED, MEDIUM, 88-100 MM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  <c r="Q48" s="76"/>
      <c r="R48" s="49"/>
      <c r="S48" s="9"/>
      <c r="T48" s="9"/>
      <c r="U48" s="76"/>
      <c r="V48" s="49"/>
      <c r="W48" s="9"/>
      <c r="X48" s="9"/>
      <c r="Y48" s="76"/>
      <c r="Z48" s="76"/>
      <c r="AA48" s="76"/>
      <c r="AB48" s="76"/>
    </row>
    <row r="49" ht="14.25" customHeight="1">
      <c r="B49" s="8">
        <v>111018.0</v>
      </c>
      <c r="C49" s="9" t="str">
        <f>VLOOKUP(B49,'FML March 2026'!E:F,2,false)</f>
        <v>LAVENDER DRY CS6/4 OZ</v>
      </c>
      <c r="D49" s="35" t="s">
        <v>65</v>
      </c>
      <c r="F49" s="18">
        <v>15577.0</v>
      </c>
      <c r="G49" s="9" t="str">
        <f>VLOOKUP(F49,'FML March 2026'!E:F,2,false)</f>
        <v>PEPPERS YELLOW, MEDIUM, 88-100 MM</v>
      </c>
      <c r="H49" s="9" t="str">
        <f>VLOOKUP(F49,'Unit of Measure ship March 2026'!A:C,3,false)</f>
        <v>LBS</v>
      </c>
      <c r="J49" s="49"/>
      <c r="K49" s="9"/>
      <c r="L49" s="9"/>
      <c r="N49" s="49"/>
      <c r="O49" s="9"/>
      <c r="P49" s="9"/>
      <c r="Q49" s="76"/>
      <c r="R49" s="49"/>
      <c r="S49" s="9"/>
      <c r="T49" s="9"/>
      <c r="U49" s="76"/>
      <c r="V49" s="49"/>
      <c r="W49" s="9"/>
      <c r="X49" s="9"/>
      <c r="Y49" s="76"/>
      <c r="Z49" s="76"/>
      <c r="AA49" s="76"/>
      <c r="AB49" s="76"/>
    </row>
    <row r="50" ht="14.25" customHeight="1">
      <c r="B50" s="18">
        <v>111990.0</v>
      </c>
      <c r="C50" s="9" t="str">
        <f>VLOOKUP(B50,'FML March 2026'!E:F,2,false)</f>
        <v>LOBSTER BROTH SAVORY CHOICE CS4.5/LITER FLAVOR</v>
      </c>
      <c r="D50" s="9" t="str">
        <f>VLOOKUP(B50,'Unit of Measure ship March 2026'!A:C,3,false)</f>
        <v>LBS</v>
      </c>
      <c r="F50" s="18">
        <v>33604.0</v>
      </c>
      <c r="G50" s="9" t="str">
        <f>VLOOKUP(F50,'FML March 2026'!E:F,2,false)</f>
        <v>PEPPERS, POBLANO CHILI #</v>
      </c>
      <c r="H50" s="9" t="str">
        <f>VLOOKUP(F50,'Unit of Measure ship March 2026'!A:C,3,false)</f>
        <v>LBS</v>
      </c>
      <c r="J50" s="49"/>
      <c r="K50" s="9"/>
      <c r="L50" s="9"/>
      <c r="N50" s="49"/>
      <c r="O50" s="9"/>
      <c r="P50" s="9"/>
      <c r="Q50" s="76"/>
      <c r="R50" s="49"/>
      <c r="S50" s="9"/>
      <c r="T50" s="9"/>
      <c r="U50" s="76"/>
      <c r="V50" s="49"/>
      <c r="W50" s="9"/>
      <c r="X50" s="9"/>
      <c r="Y50" s="76"/>
      <c r="Z50" s="76"/>
      <c r="AA50" s="76"/>
      <c r="AB50" s="76"/>
    </row>
    <row r="51" ht="14.25" customHeight="1">
      <c r="B51" s="78">
        <v>28302.0</v>
      </c>
      <c r="C51" s="9" t="str">
        <f>VLOOKUP(B51,'FML March 2026'!E:F,2,false)</f>
        <v>MAHON CHEESE 3 MONTH SOFT</v>
      </c>
      <c r="D51" s="35" t="s">
        <v>42</v>
      </c>
      <c r="F51" s="18">
        <v>109751.0</v>
      </c>
      <c r="G51" s="9" t="str">
        <f>VLOOKUP(F51,'FML March 2026'!E:F,2,false)</f>
        <v>POTATO RUSSET  110 CT</v>
      </c>
      <c r="H51" s="9" t="str">
        <f>VLOOKUP(F51,'Unit of Measure ship March 2026'!A:C,3,false)</f>
        <v>LBS</v>
      </c>
      <c r="J51" s="49"/>
      <c r="K51" s="9"/>
      <c r="L51" s="9"/>
      <c r="N51" s="49"/>
      <c r="O51" s="9"/>
      <c r="P51" s="9"/>
      <c r="Q51" s="76"/>
      <c r="R51" s="49"/>
      <c r="S51" s="9"/>
      <c r="T51" s="9"/>
      <c r="U51" s="76"/>
      <c r="V51" s="49"/>
      <c r="W51" s="9"/>
      <c r="X51" s="9"/>
      <c r="Y51" s="76"/>
      <c r="Z51" s="76"/>
      <c r="AA51" s="76"/>
      <c r="AB51" s="76"/>
    </row>
    <row r="52" ht="14.25" customHeight="1">
      <c r="B52" s="77">
        <v>109624.0</v>
      </c>
      <c r="C52" s="33" t="str">
        <f>VLOOKUP(B52,'FML March 2026'!E:F,2,false)</f>
        <v>MALT POWDER NON-DIASTATIC CS/50LB  MODERNIST PANTRY</v>
      </c>
      <c r="D52" s="33" t="str">
        <f>VLOOKUP(B52,'Unit of Measure ship March 2026'!A:C,3,false)</f>
        <v>KG</v>
      </c>
      <c r="F52" s="78">
        <v>15516.0</v>
      </c>
      <c r="G52" s="81" t="str">
        <f>VLOOKUP(F52,'FML March 2026'!E:F,2,false)</f>
        <v>POTATOES, SWEET, JUMBO, 40# BAG</v>
      </c>
      <c r="H52" s="33" t="str">
        <f>VLOOKUP(F52,'Unit of Measure ship March 2026'!A:C,3,false)</f>
        <v>LBS</v>
      </c>
      <c r="J52" s="49"/>
      <c r="K52" s="9"/>
      <c r="L52" s="9"/>
      <c r="N52" s="49"/>
      <c r="O52" s="9"/>
      <c r="P52" s="9"/>
      <c r="Q52" s="76"/>
      <c r="R52" s="49"/>
      <c r="S52" s="9"/>
      <c r="T52" s="9"/>
      <c r="U52" s="76"/>
      <c r="V52" s="49"/>
      <c r="W52" s="9"/>
      <c r="X52" s="9"/>
      <c r="Y52" s="76"/>
      <c r="Z52" s="76"/>
      <c r="AA52" s="76"/>
      <c r="AB52" s="76"/>
    </row>
    <row r="53" ht="14.25" customHeight="1">
      <c r="B53" s="18">
        <v>15057.0</v>
      </c>
      <c r="C53" s="9" t="str">
        <f>VLOOKUP(B53,'FML March 2026'!E:F,2,false)</f>
        <v>MANCHEGO, MEDIUM (MESETA)</v>
      </c>
      <c r="D53" s="9" t="str">
        <f>VLOOKUP(B53,'Unit of Measure ship March 2026'!A:C,3,false)</f>
        <v>LBS</v>
      </c>
      <c r="F53" s="78">
        <v>15334.0</v>
      </c>
      <c r="G53" s="81" t="str">
        <f>VLOOKUP(F53,'FML March 2026'!E:F,2,false)</f>
        <v>RASPBERRIES FRESH 12 1/2 PT PINK 4.5#</v>
      </c>
      <c r="H53" s="33" t="str">
        <f>VLOOKUP(F53,'Unit of Measure ship March 2026'!A:C,3,false)</f>
        <v>LBS</v>
      </c>
      <c r="J53" s="49"/>
      <c r="K53" s="9"/>
      <c r="L53" s="9"/>
      <c r="N53" s="49"/>
      <c r="O53" s="9"/>
      <c r="P53" s="9"/>
      <c r="Q53" s="76"/>
      <c r="R53" s="49"/>
      <c r="S53" s="9"/>
      <c r="T53" s="9"/>
      <c r="U53" s="76"/>
      <c r="V53" s="49"/>
      <c r="W53" s="9"/>
      <c r="X53" s="9"/>
      <c r="Y53" s="76"/>
      <c r="Z53" s="76"/>
      <c r="AA53" s="76"/>
      <c r="AB53" s="76"/>
    </row>
    <row r="54" ht="14.25" customHeight="1">
      <c r="B54" s="18">
        <v>109668.0</v>
      </c>
      <c r="C54" s="9" t="str">
        <f>VLOOKUP(B54,'FML March 2026'!E:F,2,false)</f>
        <v>MAYONNAISE VEGAN FOLLOW YOUR HEART</v>
      </c>
      <c r="D54" s="9" t="str">
        <f>VLOOKUP(B54,'Unit of Measure ship March 2026'!A:C,3,false)</f>
        <v>GAL</v>
      </c>
      <c r="F54" s="18">
        <v>15427.0</v>
      </c>
      <c r="G54" s="9" t="str">
        <f>VLOOKUP(F54,'FML March 2026'!E:F,2,false)</f>
        <v>ROSEMARY (12 BUNCH) 1 LB/CS</v>
      </c>
      <c r="H54" s="9" t="str">
        <f>VLOOKUP(F54,'Unit of Measure ship March 2026'!A:C,3,false)</f>
        <v>LBS</v>
      </c>
      <c r="J54" s="49"/>
      <c r="K54" s="9"/>
      <c r="L54" s="9"/>
      <c r="N54" s="49"/>
      <c r="O54" s="9"/>
      <c r="P54" s="9"/>
      <c r="Q54" s="76"/>
      <c r="R54" s="49"/>
      <c r="S54" s="9"/>
      <c r="T54" s="9"/>
      <c r="U54" s="76"/>
      <c r="V54" s="49"/>
      <c r="W54" s="9"/>
      <c r="X54" s="9"/>
      <c r="Y54" s="76"/>
      <c r="Z54" s="76"/>
      <c r="AA54" s="76"/>
      <c r="AB54" s="76"/>
    </row>
    <row r="55" ht="14.25" customHeight="1">
      <c r="B55" s="84">
        <v>109667.0</v>
      </c>
      <c r="C55" s="33" t="str">
        <f>VLOOKUP(B55,'FML March 2026'!E:F,2,false)</f>
        <v>MAYONNAISE, UNILEVER - HELLMANN'S, 4800126530, DRY, 4/1 GAL</v>
      </c>
      <c r="D55" s="33" t="str">
        <f>VLOOKUP(B55,'Unit of Measure ship March 2026'!A:C,3,false)</f>
        <v>GAL</v>
      </c>
      <c r="F55" s="78">
        <v>15444.0</v>
      </c>
      <c r="G55" s="81" t="str">
        <f>VLOOKUP(F55,'FML March 2026'!E:F,2,false)</f>
        <v>SAGE FRESH</v>
      </c>
      <c r="H55" s="33" t="str">
        <f>VLOOKUP(F55,'Unit of Measure ship March 2026'!A:C,3,false)</f>
        <v>LBS</v>
      </c>
      <c r="J55" s="49"/>
      <c r="K55" s="9"/>
      <c r="L55" s="9"/>
      <c r="N55" s="49"/>
      <c r="O55" s="9"/>
      <c r="P55" s="9"/>
      <c r="Q55" s="76"/>
      <c r="R55" s="49"/>
      <c r="S55" s="9"/>
      <c r="T55" s="9"/>
      <c r="U55" s="76"/>
      <c r="V55" s="49"/>
      <c r="W55" s="9"/>
      <c r="X55" s="9"/>
      <c r="Y55" s="76"/>
      <c r="Z55" s="76"/>
      <c r="AA55" s="76"/>
      <c r="AB55" s="76"/>
    </row>
    <row r="56" ht="14.25" customHeight="1">
      <c r="B56" s="18">
        <v>14869.0</v>
      </c>
      <c r="C56" s="9" t="str">
        <f>VLOOKUP(B56,'FML March 2026'!E:F,2,false)</f>
        <v>MILK, UHT, WHOLE, 3.5% FAT, DRY, 12/1 LT</v>
      </c>
      <c r="D56" s="9" t="str">
        <f>VLOOKUP(B56,'Unit of Measure ship March 2026'!A:C,3,false)</f>
        <v>LT</v>
      </c>
      <c r="F56" s="18">
        <v>24185.0</v>
      </c>
      <c r="G56" s="9" t="str">
        <f>VLOOKUP(F56,'FML March 2026'!E:F,2,false)</f>
        <v>SCALLIONS FRESH - ICELESS</v>
      </c>
      <c r="H56" s="9" t="str">
        <f>VLOOKUP(F56,'Unit of Measure ship March 2026'!A:C,3,false)</f>
        <v>LBS</v>
      </c>
      <c r="J56" s="49"/>
      <c r="K56" s="9"/>
      <c r="L56" s="9"/>
      <c r="N56" s="49"/>
      <c r="O56" s="9"/>
      <c r="P56" s="9"/>
      <c r="Q56" s="76"/>
      <c r="R56" s="49"/>
      <c r="S56" s="9"/>
      <c r="T56" s="9"/>
      <c r="U56" s="76"/>
      <c r="V56" s="49"/>
      <c r="W56" s="9"/>
      <c r="X56" s="9"/>
      <c r="Y56" s="76"/>
      <c r="Z56" s="76"/>
      <c r="AA56" s="76"/>
      <c r="AB56" s="76"/>
    </row>
    <row r="57" ht="14.25" customHeight="1">
      <c r="B57" s="18">
        <v>16426.0</v>
      </c>
      <c r="C57" s="9" t="str">
        <f>VLOOKUP(B57,'FML March 2026'!E:F,2,false)</f>
        <v>MUSTARD  TUB GREY POUPON - DIJON MUSTARD PLAIN (FRANCE)</v>
      </c>
      <c r="D57" s="9" t="str">
        <f>VLOOKUP(B57,'Unit of Measure ship March 2026'!A:C,3,false)</f>
        <v>JAR/48OZ</v>
      </c>
      <c r="F57" s="18">
        <v>15522.0</v>
      </c>
      <c r="G57" s="9" t="str">
        <f>VLOOKUP(F57,'FML March 2026'!E:F,2,false)</f>
        <v>SHALLOTS CLOVES #1 FRESH 5#</v>
      </c>
      <c r="H57" s="9" t="str">
        <f>VLOOKUP(F57,'Unit of Measure ship March 2026'!A:C,3,false)</f>
        <v>LBS</v>
      </c>
      <c r="J57" s="49"/>
      <c r="K57" s="9"/>
      <c r="L57" s="9"/>
      <c r="N57" s="49"/>
      <c r="O57" s="9"/>
      <c r="P57" s="9"/>
      <c r="Q57" s="76"/>
      <c r="R57" s="49"/>
      <c r="S57" s="9"/>
      <c r="T57" s="9"/>
      <c r="U57" s="76"/>
      <c r="V57" s="49"/>
      <c r="W57" s="9"/>
      <c r="X57" s="9"/>
      <c r="Y57" s="76"/>
      <c r="Z57" s="76"/>
      <c r="AA57" s="76"/>
      <c r="AB57" s="76"/>
    </row>
    <row r="58" ht="14.25" customHeight="1">
      <c r="B58" s="78">
        <v>16320.0</v>
      </c>
      <c r="C58" s="33" t="str">
        <f>VLOOKUP(B58,'FML March 2026'!E:F,2,false)</f>
        <v>MUSTARD SEED 24 OZ D`ALLESANDRO/ SPICECO</v>
      </c>
      <c r="D58" s="33" t="str">
        <f>VLOOKUP(B58,'Unit of Measure ship March 2026'!A:C,3,false)</f>
        <v>LBS</v>
      </c>
      <c r="F58" s="18">
        <v>15528.0</v>
      </c>
      <c r="G58" s="9" t="str">
        <f>VLOOKUP(F58,'FML March 2026'!E:F,2,false)</f>
        <v>SQUASH BUTTERNUT 40#</v>
      </c>
      <c r="H58" s="9" t="str">
        <f>VLOOKUP(F58,'Unit of Measure ship March 2026'!A:C,3,false)</f>
        <v>LBS</v>
      </c>
      <c r="J58" s="49"/>
      <c r="K58" s="9"/>
      <c r="L58" s="9"/>
      <c r="N58" s="49"/>
      <c r="O58" s="9"/>
      <c r="P58" s="9"/>
      <c r="Q58" s="76"/>
      <c r="R58" s="49"/>
      <c r="S58" s="9"/>
      <c r="T58" s="9"/>
      <c r="U58" s="76"/>
      <c r="V58" s="49"/>
      <c r="W58" s="9"/>
      <c r="X58" s="9"/>
      <c r="Y58" s="76"/>
      <c r="Z58" s="76"/>
      <c r="AA58" s="76"/>
      <c r="AB58" s="76"/>
    </row>
    <row r="59" ht="14.25" customHeight="1">
      <c r="B59" s="18">
        <v>16534.0</v>
      </c>
      <c r="C59" s="9" t="str">
        <f>VLOOKUP(B59,'FML March 2026'!E:F,2,false)</f>
        <v>MUSTARD, GRAINED, JAR</v>
      </c>
      <c r="D59" s="9" t="str">
        <f>VLOOKUP(B59,'Unit of Measure ship March 2026'!A:C,3,false)</f>
        <v>JAR7/OZ</v>
      </c>
      <c r="F59" s="18">
        <v>15442.0</v>
      </c>
      <c r="G59" s="9" t="str">
        <f>VLOOKUP(F59,'FML March 2026'!E:F,2,false)</f>
        <v>TARRAGON (12 BUNCH), 1 LB/CS</v>
      </c>
      <c r="H59" s="9" t="str">
        <f>VLOOKUP(F59,'Unit of Measure ship March 2026'!A:C,3,false)</f>
        <v>LBS</v>
      </c>
      <c r="J59" s="49"/>
      <c r="K59" s="9"/>
      <c r="L59" s="9"/>
      <c r="N59" s="49"/>
      <c r="O59" s="9"/>
      <c r="P59" s="9"/>
      <c r="Q59" s="76"/>
      <c r="R59" s="49"/>
      <c r="S59" s="9"/>
      <c r="T59" s="9"/>
      <c r="U59" s="76"/>
      <c r="V59" s="49"/>
      <c r="W59" s="9"/>
      <c r="X59" s="9"/>
      <c r="Y59" s="76"/>
      <c r="Z59" s="76"/>
      <c r="AA59" s="76"/>
      <c r="AB59" s="76"/>
    </row>
    <row r="60" ht="14.25" customHeight="1">
      <c r="B60" s="78">
        <v>111948.0</v>
      </c>
      <c r="C60" s="33" t="str">
        <f>VLOOKUP(B60,'FML March 2026'!E:F,2,false)</f>
        <v>OIL CHILI SESAME RAYU/ LA YU</v>
      </c>
      <c r="D60" s="33" t="str">
        <f>VLOOKUP(B60,'Unit of Measure ship March 2026'!A:C,3,false)</f>
        <v>B32.2/OZ</v>
      </c>
      <c r="F60" s="18">
        <v>15446.0</v>
      </c>
      <c r="G60" s="9" t="str">
        <f>VLOOKUP(F60,'FML March 2026'!E:F,2,false)</f>
        <v>THYME FRESH</v>
      </c>
      <c r="H60" s="9" t="str">
        <f>VLOOKUP(F60,'Unit of Measure ship March 2026'!A:C,3,false)</f>
        <v>LBS</v>
      </c>
      <c r="J60" s="49"/>
      <c r="K60" s="9"/>
      <c r="L60" s="9"/>
      <c r="N60" s="49"/>
      <c r="O60" s="9"/>
      <c r="P60" s="9"/>
      <c r="Q60" s="76"/>
      <c r="R60" s="49"/>
      <c r="S60" s="9"/>
      <c r="T60" s="9"/>
      <c r="U60" s="76"/>
      <c r="V60" s="49"/>
      <c r="W60" s="9"/>
      <c r="X60" s="9"/>
      <c r="Y60" s="76"/>
      <c r="Z60" s="76"/>
      <c r="AA60" s="76"/>
      <c r="AB60" s="76"/>
    </row>
    <row r="61" ht="14.25" customHeight="1">
      <c r="B61" s="18">
        <v>142741.0</v>
      </c>
      <c r="C61" s="9" t="str">
        <f>VLOOKUP(B61,'FML March 2026'!E:F,2,false)</f>
        <v>OIL OLIVE EXTRA VIRGIN ESPLENDIDO DOURO  500 ML - PORTUGAL</v>
      </c>
      <c r="D61" s="9" t="str">
        <f>VLOOKUP(B61,'Unit of Measure ship March 2026'!A:C,3,false)</f>
        <v>BT/500ML</v>
      </c>
      <c r="F61" s="18">
        <v>15537.0</v>
      </c>
      <c r="G61" s="9" t="str">
        <f>VLOOKUP(F61,'FML March 2026'!E:F,2,false)</f>
        <v>TOMATOES 6X6 #1 18# RED RIPE, FIRM (LAYERED), 55-65 MM</v>
      </c>
      <c r="H61" s="9" t="str">
        <f>VLOOKUP(F61,'Unit of Measure ship March 2026'!A:C,3,false)</f>
        <v>LBS</v>
      </c>
      <c r="J61" s="49"/>
      <c r="K61" s="9"/>
      <c r="L61" s="9"/>
      <c r="N61" s="49"/>
      <c r="O61" s="9"/>
      <c r="P61" s="9"/>
      <c r="Q61" s="76"/>
      <c r="R61" s="49"/>
      <c r="S61" s="9"/>
      <c r="T61" s="9"/>
      <c r="U61" s="76"/>
      <c r="V61" s="49"/>
      <c r="W61" s="9"/>
      <c r="X61" s="9"/>
      <c r="Y61" s="76"/>
      <c r="Z61" s="76"/>
      <c r="AA61" s="76"/>
      <c r="AB61" s="76"/>
    </row>
    <row r="62" ht="14.25" customHeight="1">
      <c r="B62" s="18">
        <v>52602.0</v>
      </c>
      <c r="C62" s="9" t="str">
        <f>VLOOKUP(B62,'FML March 2026'!E:F,2,false)</f>
        <v>OIL, 100% OLIVE, EXTRA VIRGIN, DRY, 4/5 LT</v>
      </c>
      <c r="D62" s="9" t="str">
        <f>VLOOKUP(B62,'Unit of Measure ship March 2026'!A:C,3,false)</f>
        <v>LT</v>
      </c>
      <c r="F62" s="78">
        <v>15425.0</v>
      </c>
      <c r="G62" s="81" t="str">
        <f>VLOOKUP(F62,'FML March 2026'!E:F,2,false)</f>
        <v>WATERMELONS SEEDLESS 4CT/6C 32#</v>
      </c>
      <c r="H62" s="33" t="str">
        <f>VLOOKUP(F62,'Unit of Measure ship March 2026'!A:C,3,false)</f>
        <v>LBS</v>
      </c>
      <c r="J62" s="49"/>
      <c r="K62" s="9"/>
      <c r="L62" s="9"/>
      <c r="N62" s="49"/>
      <c r="O62" s="9"/>
      <c r="P62" s="9"/>
      <c r="Q62" s="76"/>
      <c r="R62" s="49"/>
      <c r="S62" s="9"/>
      <c r="T62" s="9"/>
      <c r="U62" s="76"/>
      <c r="V62" s="49"/>
      <c r="W62" s="9"/>
      <c r="X62" s="9"/>
      <c r="Y62" s="76"/>
      <c r="Z62" s="76"/>
      <c r="AA62" s="76"/>
      <c r="AB62" s="76"/>
    </row>
    <row r="63" ht="14.25" customHeight="1">
      <c r="B63" s="18">
        <v>16377.0</v>
      </c>
      <c r="C63" s="9" t="str">
        <f>VLOOKUP(B63,'FML March 2026'!E:F,2,false)</f>
        <v>OIL, 100% VEGETABLE SOYBEAN, DRY, 4/5 LT</v>
      </c>
      <c r="D63" s="9" t="str">
        <f>VLOOKUP(B63,'Unit of Measure ship March 2026'!A:C,3,false)</f>
        <v>C4/5LT</v>
      </c>
      <c r="F63" s="58"/>
      <c r="G63" s="81"/>
      <c r="H63" s="58"/>
      <c r="J63" s="49"/>
      <c r="K63" s="9"/>
      <c r="L63" s="9"/>
      <c r="N63" s="49"/>
      <c r="O63" s="9"/>
      <c r="P63" s="9"/>
      <c r="Q63" s="76"/>
      <c r="R63" s="49"/>
      <c r="S63" s="9"/>
      <c r="T63" s="9"/>
      <c r="U63" s="76"/>
      <c r="V63" s="49"/>
      <c r="W63" s="9"/>
      <c r="X63" s="9"/>
      <c r="Y63" s="76"/>
      <c r="Z63" s="76"/>
      <c r="AA63" s="76"/>
      <c r="AB63" s="76"/>
    </row>
    <row r="64" ht="14.25" customHeight="1">
      <c r="B64" s="18">
        <v>10265.0</v>
      </c>
      <c r="C64" s="9" t="str">
        <f>VLOOKUP(B64,'FML March 2026'!E:F,2,false)</f>
        <v>OIL, FRYING, 100% SOYBEAN, TRANS FAT FREE, FLASHPOINT &gt;600F, DRY, 4/5 LT</v>
      </c>
      <c r="D64" s="9" t="str">
        <f>VLOOKUP(B64,'Unit of Measure ship March 2026'!A:C,3,false)</f>
        <v>CS4/5LT</v>
      </c>
      <c r="F64" s="58"/>
      <c r="G64" s="81"/>
      <c r="H64" s="58"/>
      <c r="J64" s="49"/>
      <c r="K64" s="9"/>
      <c r="L64" s="9"/>
      <c r="N64" s="49"/>
      <c r="O64" s="9"/>
      <c r="P64" s="9"/>
      <c r="Q64" s="76"/>
      <c r="R64" s="49"/>
      <c r="S64" s="9"/>
      <c r="T64" s="9"/>
      <c r="U64" s="76"/>
      <c r="V64" s="49"/>
      <c r="W64" s="9"/>
      <c r="X64" s="9"/>
      <c r="Y64" s="76"/>
      <c r="Z64" s="76"/>
      <c r="AA64" s="76"/>
      <c r="AB64" s="76"/>
    </row>
    <row r="65" ht="14.25" customHeight="1">
      <c r="B65" s="18">
        <v>52603.0</v>
      </c>
      <c r="C65" s="9" t="str">
        <f>VLOOKUP(B65,'FML March 2026'!E:F,2,false)</f>
        <v>OLIVE/CANOLA BLEND OIL</v>
      </c>
      <c r="D65" s="9" t="str">
        <f>VLOOKUP(B65,'Unit of Measure ship March 2026'!A:C,3,false)</f>
        <v>LT</v>
      </c>
      <c r="F65" s="58"/>
      <c r="G65" s="81"/>
      <c r="H65" s="33"/>
      <c r="J65" s="49"/>
      <c r="K65" s="9"/>
      <c r="L65" s="9"/>
      <c r="N65" s="49"/>
      <c r="O65" s="9"/>
      <c r="P65" s="9"/>
      <c r="Q65" s="76"/>
      <c r="R65" s="49"/>
      <c r="S65" s="9"/>
      <c r="T65" s="9"/>
      <c r="U65" s="76"/>
      <c r="V65" s="49"/>
      <c r="W65" s="9"/>
      <c r="X65" s="9"/>
      <c r="Y65" s="76"/>
      <c r="Z65" s="76"/>
      <c r="AA65" s="76"/>
      <c r="AB65" s="76"/>
    </row>
    <row r="66" ht="14.25" customHeight="1">
      <c r="B66" s="78">
        <v>142069.0</v>
      </c>
      <c r="C66" s="33" t="str">
        <f>VLOOKUP(B66,'FML March 2026'!E:F,2,false)</f>
        <v>ONION MINCED BADIA</v>
      </c>
      <c r="D66" s="33" t="str">
        <f>VLOOKUP(B66,'Unit of Measure ship March 2026'!A:C,3,false)</f>
        <v>LBS</v>
      </c>
      <c r="F66" s="58"/>
      <c r="G66" s="81"/>
      <c r="H66" s="33"/>
      <c r="J66" s="49"/>
      <c r="K66" s="9"/>
      <c r="L66" s="9"/>
      <c r="N66" s="49"/>
      <c r="O66" s="9"/>
      <c r="P66" s="9"/>
      <c r="Q66" s="76"/>
      <c r="R66" s="49"/>
      <c r="S66" s="9"/>
      <c r="T66" s="9"/>
      <c r="U66" s="76"/>
      <c r="V66" s="49"/>
      <c r="W66" s="9"/>
      <c r="X66" s="9"/>
      <c r="Y66" s="76"/>
      <c r="Z66" s="76"/>
      <c r="AA66" s="76"/>
      <c r="AB66" s="76"/>
    </row>
    <row r="67" ht="14.25" customHeight="1">
      <c r="B67" s="78">
        <v>16269.0</v>
      </c>
      <c r="C67" s="33" t="str">
        <f>VLOOKUP(B67,'FML March 2026'!E:F,2,false)</f>
        <v>PAPRIKA SPANISH MUNOZ Y PUJANTE/ D`ALLESANDRO/ SPICECO</v>
      </c>
      <c r="D67" s="33" t="str">
        <f>VLOOKUP(B67,'Unit of Measure ship March 2026'!A:C,3,false)</f>
        <v>LBS</v>
      </c>
      <c r="F67" s="58"/>
      <c r="G67" s="81"/>
      <c r="H67" s="33"/>
      <c r="J67" s="49"/>
      <c r="K67" s="9"/>
      <c r="L67" s="9"/>
      <c r="N67" s="49"/>
      <c r="O67" s="9"/>
      <c r="P67" s="9"/>
      <c r="Q67" s="76"/>
      <c r="R67" s="49"/>
      <c r="S67" s="9"/>
      <c r="T67" s="9"/>
      <c r="U67" s="76"/>
      <c r="V67" s="49"/>
      <c r="W67" s="9"/>
      <c r="X67" s="9"/>
      <c r="Y67" s="76"/>
      <c r="Z67" s="76"/>
      <c r="AA67" s="76"/>
      <c r="AB67" s="76"/>
    </row>
    <row r="68" ht="14.25" customHeight="1">
      <c r="B68" s="78">
        <v>51211.0</v>
      </c>
      <c r="C68" s="9" t="str">
        <f>VLOOKUP(B68,'FML March 2026'!E:F,2,false)</f>
        <v>PASTE VANILLA FLAVOR 35 OZ PASTRY STAR #00057</v>
      </c>
      <c r="D68" s="33" t="str">
        <f>VLOOKUP(B68,'Unit of Measure ship March 2026'!A:C,3,false)</f>
        <v>BTL/35OZ</v>
      </c>
      <c r="G68" s="7"/>
      <c r="H68" s="9"/>
      <c r="J68" s="49"/>
      <c r="K68" s="9"/>
      <c r="L68" s="9"/>
      <c r="N68" s="49"/>
      <c r="O68" s="9"/>
      <c r="P68" s="9"/>
      <c r="Q68" s="76"/>
      <c r="R68" s="49"/>
      <c r="S68" s="9"/>
      <c r="T68" s="9"/>
      <c r="U68" s="76"/>
      <c r="V68" s="49"/>
      <c r="W68" s="9"/>
      <c r="X68" s="9"/>
      <c r="Y68" s="76"/>
      <c r="Z68" s="76"/>
      <c r="AA68" s="76"/>
      <c r="AB68" s="76"/>
    </row>
    <row r="69" ht="14.25" customHeight="1">
      <c r="B69" s="78">
        <v>108553.0</v>
      </c>
      <c r="C69" s="33" t="str">
        <f>VLOOKUP(B69,'FML March 2026'!E:F,2,false)</f>
        <v>PEPPER ARBOL  D'ALLESANDRO CS/5LB</v>
      </c>
      <c r="D69" s="33" t="str">
        <f>VLOOKUP(B69,'Unit of Measure ship March 2026'!A:C,3,false)</f>
        <v>KG</v>
      </c>
      <c r="G69" s="7"/>
      <c r="H69" s="9"/>
      <c r="J69" s="49"/>
      <c r="K69" s="9"/>
      <c r="L69" s="9"/>
      <c r="N69" s="49"/>
      <c r="O69" s="9"/>
      <c r="P69" s="9"/>
      <c r="Q69" s="76"/>
      <c r="R69" s="49"/>
      <c r="S69" s="9"/>
      <c r="T69" s="9"/>
      <c r="U69" s="76"/>
      <c r="V69" s="49"/>
      <c r="W69" s="9"/>
      <c r="X69" s="9"/>
      <c r="Y69" s="76"/>
      <c r="Z69" s="76"/>
      <c r="AA69" s="76"/>
      <c r="AB69" s="76"/>
    </row>
    <row r="70" ht="14.25" customHeight="1">
      <c r="B70" s="18">
        <v>16302.0</v>
      </c>
      <c r="C70" s="9" t="str">
        <f>VLOOKUP(B70,'FML March 2026'!E:F,2,false)</f>
        <v>PEPPER CAYENNE GROUND BADIA (USA )</v>
      </c>
      <c r="D70" s="9" t="str">
        <f>VLOOKUP(B70,'Unit of Measure ship March 2026'!A:C,3,false)</f>
        <v>LBS</v>
      </c>
      <c r="G70" s="7"/>
      <c r="H70" s="9"/>
      <c r="J70" s="49"/>
      <c r="K70" s="9"/>
      <c r="L70" s="9"/>
      <c r="N70" s="49"/>
      <c r="O70" s="9"/>
      <c r="P70" s="9"/>
      <c r="Q70" s="76"/>
      <c r="R70" s="49"/>
      <c r="S70" s="9"/>
      <c r="T70" s="9"/>
      <c r="U70" s="76"/>
      <c r="V70" s="49"/>
      <c r="W70" s="9"/>
      <c r="X70" s="9"/>
      <c r="Y70" s="76"/>
      <c r="Z70" s="76"/>
      <c r="AA70" s="76"/>
      <c r="AB70" s="76"/>
    </row>
    <row r="71" ht="14.25" customHeight="1">
      <c r="B71" s="18">
        <v>16285.0</v>
      </c>
      <c r="C71" s="9" t="str">
        <f>VLOOKUP(B71,'FML March 2026'!E:F,2,false)</f>
        <v>PEPPERCORN, BLACK, WHOLE, DRY, 6/420 G</v>
      </c>
      <c r="D71" s="9" t="str">
        <f>VLOOKUP(B71,'Unit of Measure ship March 2026'!A:C,3,false)</f>
        <v>LBS</v>
      </c>
      <c r="G71" s="7"/>
      <c r="H71" s="9"/>
      <c r="J71" s="49"/>
      <c r="K71" s="9"/>
      <c r="L71" s="9"/>
      <c r="N71" s="49"/>
      <c r="O71" s="9"/>
      <c r="P71" s="9"/>
      <c r="Q71" s="76"/>
      <c r="R71" s="49"/>
      <c r="S71" s="9"/>
      <c r="T71" s="9"/>
      <c r="U71" s="76"/>
      <c r="V71" s="49"/>
      <c r="W71" s="9"/>
      <c r="X71" s="9"/>
      <c r="Y71" s="76"/>
      <c r="Z71" s="76"/>
      <c r="AA71" s="76"/>
      <c r="AB71" s="76"/>
    </row>
    <row r="72" ht="14.25" customHeight="1">
      <c r="B72" s="78">
        <v>16392.0</v>
      </c>
      <c r="C72" s="33" t="str">
        <f>VLOOKUP(B72,'FML March 2026'!E:F,2,false)</f>
        <v>PEPPERS RED ROASTED 6X#10</v>
      </c>
      <c r="D72" s="33" t="str">
        <f>VLOOKUP(B72,'Unit of Measure ship March 2026'!A:C,3,false)</f>
        <v>TIN/3KG</v>
      </c>
      <c r="G72" s="7"/>
      <c r="H72" s="9"/>
      <c r="J72" s="49"/>
      <c r="K72" s="9"/>
      <c r="L72" s="9"/>
      <c r="N72" s="49"/>
      <c r="O72" s="9"/>
      <c r="P72" s="9"/>
      <c r="Q72" s="76"/>
      <c r="R72" s="49"/>
      <c r="S72" s="9"/>
      <c r="T72" s="9"/>
      <c r="U72" s="76"/>
      <c r="V72" s="49"/>
      <c r="W72" s="9"/>
      <c r="X72" s="9"/>
      <c r="Y72" s="76"/>
      <c r="Z72" s="76"/>
      <c r="AA72" s="76"/>
      <c r="AB72" s="76"/>
    </row>
    <row r="73" ht="14.25" customHeight="1">
      <c r="B73" s="84">
        <v>109709.0</v>
      </c>
      <c r="C73" s="33" t="str">
        <f>VLOOKUP(B73,'FML March 2026'!E:F,2,false)</f>
        <v>PIERRE POIVRE PEPPER (LA BOITE A EPICE BRAND)</v>
      </c>
      <c r="D73" s="33" t="str">
        <f>VLOOKUP(B73,'Unit of Measure ship March 2026'!A:C,3,false)</f>
        <v>UNT/16OZ</v>
      </c>
      <c r="G73" s="7"/>
      <c r="H73" s="9"/>
      <c r="J73" s="49"/>
      <c r="K73" s="9"/>
      <c r="L73" s="9"/>
      <c r="N73" s="49"/>
      <c r="O73" s="9"/>
      <c r="P73" s="9"/>
      <c r="Q73" s="76"/>
      <c r="R73" s="49"/>
      <c r="S73" s="9"/>
      <c r="T73" s="9"/>
      <c r="U73" s="76"/>
      <c r="V73" s="49"/>
      <c r="W73" s="9"/>
      <c r="X73" s="9"/>
      <c r="Y73" s="76"/>
      <c r="Z73" s="76"/>
      <c r="AA73" s="76"/>
      <c r="AB73" s="76"/>
    </row>
    <row r="74" ht="14.25" customHeight="1">
      <c r="B74" s="78">
        <v>40502.0</v>
      </c>
      <c r="C74" s="9" t="str">
        <f>VLOOKUP(B74,'FML March 2026'!E:F,2,false)</f>
        <v>PIMENTON DULCE DE LA VERA</v>
      </c>
      <c r="D74" s="35" t="s">
        <v>65</v>
      </c>
      <c r="G74" s="7"/>
      <c r="H74" s="9"/>
      <c r="J74" s="49"/>
      <c r="K74" s="9"/>
      <c r="L74" s="9"/>
      <c r="N74" s="49"/>
      <c r="O74" s="9"/>
      <c r="P74" s="9"/>
      <c r="Q74" s="76"/>
      <c r="R74" s="49"/>
      <c r="S74" s="9"/>
      <c r="T74" s="9"/>
      <c r="U74" s="76"/>
      <c r="V74" s="49"/>
      <c r="W74" s="9"/>
      <c r="X74" s="9"/>
      <c r="Y74" s="76"/>
      <c r="Z74" s="76"/>
      <c r="AA74" s="76"/>
      <c r="AB74" s="76"/>
    </row>
    <row r="75" ht="14.25" customHeight="1">
      <c r="B75" s="18">
        <v>53666.0</v>
      </c>
      <c r="C75" s="9" t="str">
        <f>VLOOKUP(B75,'FML March 2026'!E:F,2,false)</f>
        <v>PIQUILLO PIMIENTOS WHOLE ROASTED &amp; PEELED 6/#10</v>
      </c>
      <c r="D75" s="9" t="str">
        <f>VLOOKUP(B75,'Unit of Measure ship March 2026'!A:C,3,false)</f>
        <v>CAN/3KG</v>
      </c>
      <c r="G75" s="7"/>
      <c r="H75" s="9"/>
      <c r="J75" s="49"/>
      <c r="K75" s="9"/>
      <c r="L75" s="9"/>
      <c r="N75" s="49"/>
      <c r="O75" s="9"/>
      <c r="P75" s="9"/>
      <c r="Q75" s="76"/>
      <c r="R75" s="49"/>
      <c r="S75" s="9"/>
      <c r="T75" s="9"/>
      <c r="U75" s="76"/>
      <c r="V75" s="49"/>
      <c r="W75" s="9"/>
      <c r="X75" s="9"/>
      <c r="Y75" s="76"/>
      <c r="Z75" s="76"/>
      <c r="AA75" s="76"/>
      <c r="AB75" s="76"/>
    </row>
    <row r="76" ht="14.25" customHeight="1">
      <c r="B76" s="78">
        <v>15894.0</v>
      </c>
      <c r="C76" s="33" t="str">
        <f>VLOOKUP(B76,'FML March 2026'!E:F,2,false)</f>
        <v>PISTACHIO NUTS WHOLE SHELLED RAW NUTLAND</v>
      </c>
      <c r="D76" s="33" t="str">
        <f>VLOOKUP(B76,'Unit of Measure ship March 2026'!A:C,3,false)</f>
        <v>LBS</v>
      </c>
      <c r="G76" s="7"/>
      <c r="H76" s="9"/>
      <c r="J76" s="49"/>
      <c r="K76" s="9"/>
      <c r="L76" s="9"/>
      <c r="N76" s="49"/>
      <c r="O76" s="9"/>
      <c r="P76" s="9"/>
      <c r="Q76" s="76"/>
      <c r="R76" s="49"/>
      <c r="S76" s="9"/>
      <c r="T76" s="9"/>
      <c r="U76" s="76"/>
      <c r="V76" s="49"/>
      <c r="W76" s="9"/>
      <c r="X76" s="9"/>
      <c r="Y76" s="76"/>
      <c r="Z76" s="76"/>
      <c r="AA76" s="76"/>
      <c r="AB76" s="76"/>
    </row>
    <row r="77" ht="14.25" customHeight="1">
      <c r="B77" s="8">
        <v>110935.0</v>
      </c>
      <c r="C77" s="9" t="str">
        <f>VLOOKUP(B77,'FML March 2026'!E:F,2,false)</f>
        <v>PORCINI POWDER</v>
      </c>
      <c r="D77" s="9" t="str">
        <f>VLOOKUP(B77,'Unit of Measure ship March 2026'!A:C,3,false)</f>
        <v>LBS</v>
      </c>
      <c r="G77" s="7"/>
      <c r="H77" s="9"/>
      <c r="J77" s="49"/>
      <c r="K77" s="9"/>
      <c r="L77" s="9"/>
      <c r="N77" s="49"/>
      <c r="O77" s="9"/>
      <c r="P77" s="9"/>
      <c r="Q77" s="76"/>
      <c r="R77" s="49"/>
      <c r="S77" s="9"/>
      <c r="T77" s="9"/>
      <c r="U77" s="76"/>
      <c r="V77" s="49"/>
      <c r="W77" s="9"/>
      <c r="X77" s="9"/>
      <c r="Y77" s="76"/>
      <c r="Z77" s="76"/>
      <c r="AA77" s="76"/>
      <c r="AB77" s="76"/>
    </row>
    <row r="78" ht="14.25" customHeight="1">
      <c r="B78" s="78">
        <v>110075.0</v>
      </c>
      <c r="C78" s="33" t="str">
        <f>VLOOKUP(B78,'FML March 2026'!E:F,2,false)</f>
        <v>POTATO PEE WEE MULTI COLORED MARBLE</v>
      </c>
      <c r="D78" s="33" t="str">
        <f>VLOOKUP(B78,'Unit of Measure ship March 2026'!A:C,3,false)</f>
        <v>LBS</v>
      </c>
      <c r="F78" s="8"/>
      <c r="G78" s="85"/>
      <c r="H78" s="9"/>
      <c r="J78" s="49"/>
      <c r="K78" s="9"/>
      <c r="L78" s="9"/>
      <c r="N78" s="49"/>
      <c r="O78" s="9"/>
      <c r="P78" s="9"/>
      <c r="Q78" s="76"/>
      <c r="R78" s="49"/>
      <c r="S78" s="9"/>
      <c r="T78" s="9"/>
      <c r="U78" s="76"/>
      <c r="V78" s="49"/>
      <c r="W78" s="9"/>
      <c r="X78" s="9"/>
      <c r="Y78" s="76"/>
      <c r="Z78" s="76"/>
      <c r="AA78" s="76"/>
      <c r="AB78" s="76"/>
    </row>
    <row r="79" ht="14.25" customHeight="1">
      <c r="B79" s="18">
        <v>101442.0</v>
      </c>
      <c r="C79" s="9" t="str">
        <f>VLOOKUP(B79,'FML March 2026'!E:F,2,false)</f>
        <v>PROSCIUTTO DI SAN DANIELE LEVONI BONELESS 16 MONTH  RESERVE CS/16 LBS</v>
      </c>
      <c r="D79" s="9" t="str">
        <f>VLOOKUP(B79,'Unit of Measure ship March 2026'!A:C,3,false)</f>
        <v>LBS</v>
      </c>
      <c r="F79" s="8"/>
      <c r="G79" s="85"/>
      <c r="H79" s="9"/>
      <c r="J79" s="49"/>
      <c r="K79" s="9"/>
      <c r="L79" s="9"/>
      <c r="N79" s="49"/>
      <c r="O79" s="9"/>
      <c r="P79" s="9"/>
      <c r="Q79" s="76"/>
      <c r="R79" s="49"/>
      <c r="S79" s="9"/>
      <c r="T79" s="9"/>
      <c r="U79" s="76"/>
      <c r="V79" s="49"/>
      <c r="W79" s="9"/>
      <c r="X79" s="9"/>
      <c r="Y79" s="76"/>
      <c r="Z79" s="76"/>
      <c r="AA79" s="76"/>
      <c r="AB79" s="76"/>
    </row>
    <row r="80" ht="14.25" customHeight="1">
      <c r="B80" s="78">
        <v>16946.0</v>
      </c>
      <c r="C80" s="33" t="str">
        <f>VLOOKUP(B80,'FML March 2026'!E:F,2,false)</f>
        <v>QUINOA WHITE</v>
      </c>
      <c r="D80" s="33" t="str">
        <f>VLOOKUP(B80,'Unit of Measure ship March 2026'!A:C,3,false)</f>
        <v>PC/12OZ</v>
      </c>
      <c r="F80" s="8"/>
      <c r="G80" s="7"/>
      <c r="H80" s="9"/>
      <c r="J80" s="49"/>
      <c r="K80" s="9"/>
      <c r="L80" s="9"/>
      <c r="N80" s="49"/>
      <c r="O80" s="9"/>
      <c r="P80" s="9"/>
      <c r="Q80" s="76"/>
      <c r="R80" s="49"/>
      <c r="S80" s="9"/>
      <c r="T80" s="9"/>
      <c r="U80" s="76"/>
      <c r="V80" s="49"/>
      <c r="W80" s="9"/>
      <c r="X80" s="9"/>
      <c r="Y80" s="76"/>
      <c r="Z80" s="76"/>
      <c r="AA80" s="76"/>
      <c r="AB80" s="76"/>
    </row>
    <row r="81" ht="14.25" customHeight="1">
      <c r="B81" s="18">
        <v>15805.0</v>
      </c>
      <c r="C81" s="9" t="str">
        <f>VLOOKUP(B81,'FML March 2026'!E:F,2,false)</f>
        <v>RAISINS GOLDEN SEEDLESS</v>
      </c>
      <c r="D81" s="9" t="str">
        <f>VLOOKUP(B81,'Unit of Measure ship March 2026'!A:C,3,false)</f>
        <v>LBS</v>
      </c>
      <c r="F81" s="8"/>
      <c r="G81" s="7"/>
      <c r="H81" s="9"/>
      <c r="J81" s="49"/>
      <c r="K81" s="9"/>
      <c r="L81" s="9"/>
      <c r="N81" s="49"/>
      <c r="O81" s="9"/>
      <c r="P81" s="9"/>
      <c r="Q81" s="76"/>
      <c r="R81" s="49"/>
      <c r="S81" s="9"/>
      <c r="T81" s="9"/>
      <c r="U81" s="76"/>
      <c r="V81" s="49"/>
      <c r="W81" s="9"/>
      <c r="X81" s="9"/>
      <c r="Y81" s="76"/>
      <c r="Z81" s="76"/>
      <c r="AA81" s="76"/>
      <c r="AB81" s="76"/>
    </row>
    <row r="82" ht="14.25" customHeight="1">
      <c r="B82" s="78">
        <v>16234.0</v>
      </c>
      <c r="C82" s="33" t="str">
        <f>VLOOKUP(B82,'FML March 2026'!E:F,2,false)</f>
        <v>RICE BROWN 25 LB PRODUCERS/ PAR EXCELLENCE</v>
      </c>
      <c r="D82" s="33" t="str">
        <f>VLOOKUP(B82,'Unit of Measure ship March 2026'!A:C,3,false)</f>
        <v>LBS</v>
      </c>
      <c r="F82" s="8"/>
      <c r="G82" s="7"/>
      <c r="H82" s="9"/>
      <c r="J82" s="49"/>
      <c r="K82" s="9"/>
      <c r="L82" s="9"/>
      <c r="N82" s="49"/>
      <c r="O82" s="9"/>
      <c r="P82" s="9"/>
      <c r="Q82" s="76"/>
      <c r="R82" s="49"/>
      <c r="S82" s="9"/>
      <c r="T82" s="9"/>
      <c r="U82" s="76"/>
      <c r="V82" s="49"/>
      <c r="W82" s="9"/>
      <c r="X82" s="9"/>
      <c r="Y82" s="76"/>
      <c r="Z82" s="76"/>
      <c r="AA82" s="76"/>
      <c r="AB82" s="76"/>
    </row>
    <row r="83" ht="14.25" customHeight="1">
      <c r="B83" s="18">
        <v>24095.0</v>
      </c>
      <c r="C83" s="9" t="str">
        <f>VLOOKUP(B83,'FML March 2026'!E:F,2,false)</f>
        <v>RICE ROUND PAELLA</v>
      </c>
      <c r="D83" s="9" t="str">
        <f>VLOOKUP(B83,'Unit of Measure ship March 2026'!A:C,3,false)</f>
        <v>LBS</v>
      </c>
      <c r="F83" s="8"/>
      <c r="G83" s="7"/>
      <c r="H83" s="9"/>
      <c r="J83" s="49"/>
      <c r="K83" s="9"/>
      <c r="L83" s="9"/>
      <c r="N83" s="49"/>
      <c r="O83" s="9"/>
      <c r="P83" s="9"/>
      <c r="Q83" s="76"/>
      <c r="R83" s="49"/>
      <c r="S83" s="9"/>
      <c r="T83" s="9"/>
      <c r="U83" s="76"/>
      <c r="V83" s="49"/>
      <c r="W83" s="9"/>
      <c r="X83" s="9"/>
      <c r="Y83" s="76"/>
      <c r="Z83" s="76"/>
      <c r="AA83" s="76"/>
      <c r="AB83" s="76"/>
    </row>
    <row r="84" ht="14.25" customHeight="1">
      <c r="B84" s="18">
        <v>112618.0</v>
      </c>
      <c r="C84" s="9" t="str">
        <f>VLOOKUP(B84,'FML March 2026'!E:F,2,false)</f>
        <v>ROSE ESSENCE ANGEL BAKE VV</v>
      </c>
      <c r="D84" s="9" t="str">
        <f>VLOOKUP(B84,'Unit of Measure ship March 2026'!A:C,3,false)</f>
        <v>PKG2/OZ</v>
      </c>
      <c r="F84" s="8"/>
      <c r="G84" s="7"/>
      <c r="H84" s="9"/>
      <c r="J84" s="49"/>
      <c r="K84" s="9"/>
      <c r="L84" s="9"/>
      <c r="N84" s="49"/>
      <c r="O84" s="9"/>
      <c r="P84" s="9"/>
      <c r="Q84" s="76"/>
      <c r="R84" s="49"/>
      <c r="S84" s="9"/>
      <c r="T84" s="9"/>
      <c r="U84" s="76"/>
      <c r="V84" s="49"/>
      <c r="W84" s="9"/>
      <c r="X84" s="9"/>
      <c r="Y84" s="76"/>
      <c r="Z84" s="76"/>
      <c r="AA84" s="76"/>
      <c r="AB84" s="76"/>
    </row>
    <row r="85" ht="14.25" customHeight="1">
      <c r="B85" s="18">
        <v>142891.0</v>
      </c>
      <c r="C85" s="9" t="str">
        <f>VLOOKUP(B85,'FML March 2026'!E:F,2,false)</f>
        <v>SALT CURING PRAGUE #1 2.5 LB HOOSIER HILL</v>
      </c>
      <c r="D85" s="9" t="str">
        <f>VLOOKUP(B85,'Unit of Measure ship March 2026'!A:C,3,false)</f>
        <v>LBS</v>
      </c>
      <c r="F85" s="8"/>
      <c r="G85" s="7"/>
      <c r="H85" s="9"/>
      <c r="J85" s="49"/>
      <c r="K85" s="9"/>
      <c r="L85" s="9"/>
      <c r="N85" s="49"/>
      <c r="O85" s="9"/>
      <c r="P85" s="9"/>
      <c r="Q85" s="76"/>
      <c r="R85" s="49"/>
      <c r="S85" s="9"/>
      <c r="T85" s="9"/>
      <c r="U85" s="76"/>
      <c r="V85" s="49"/>
      <c r="W85" s="9"/>
      <c r="X85" s="9"/>
      <c r="Y85" s="76"/>
      <c r="Z85" s="76"/>
      <c r="AA85" s="76"/>
      <c r="AB85" s="76"/>
    </row>
    <row r="86" ht="14.25" customHeight="1">
      <c r="B86" s="18">
        <v>16307.0</v>
      </c>
      <c r="C86" s="9" t="str">
        <f>VLOOKUP(B86,'FML March 2026'!E:F,2,false)</f>
        <v>SALT KOSHER GRANULATED</v>
      </c>
      <c r="D86" s="9" t="str">
        <f>VLOOKUP(B86,'Unit of Measure ship March 2026'!A:C,3,false)</f>
        <v>LBS</v>
      </c>
      <c r="F86" s="8"/>
      <c r="G86" s="7"/>
      <c r="H86" s="9"/>
      <c r="J86" s="49"/>
      <c r="K86" s="9"/>
      <c r="L86" s="9"/>
      <c r="N86" s="49"/>
      <c r="O86" s="9"/>
      <c r="P86" s="9"/>
      <c r="Q86" s="76"/>
      <c r="R86" s="49"/>
      <c r="S86" s="9"/>
      <c r="T86" s="9"/>
      <c r="U86" s="76"/>
      <c r="V86" s="49"/>
      <c r="W86" s="9"/>
      <c r="X86" s="9"/>
      <c r="Y86" s="76"/>
      <c r="Z86" s="76"/>
      <c r="AA86" s="76"/>
      <c r="AB86" s="76"/>
    </row>
    <row r="87" ht="14.25" customHeight="1">
      <c r="B87" s="18">
        <v>20880.0</v>
      </c>
      <c r="C87" s="9" t="str">
        <f>VLOOKUP(B87,'FML March 2026'!E:F,2,false)</f>
        <v>SALT SEA MALDON</v>
      </c>
      <c r="D87" s="9" t="str">
        <f>VLOOKUP(B87,'Unit of Measure ship March 2026'!A:C,3,false)</f>
        <v>LBS</v>
      </c>
      <c r="F87" s="8"/>
      <c r="G87" s="7"/>
      <c r="H87" s="9"/>
      <c r="J87" s="49"/>
      <c r="K87" s="9"/>
      <c r="L87" s="9"/>
      <c r="N87" s="49"/>
      <c r="O87" s="9"/>
      <c r="P87" s="9"/>
      <c r="Q87" s="76"/>
      <c r="R87" s="49"/>
      <c r="S87" s="9"/>
      <c r="T87" s="9"/>
      <c r="U87" s="76"/>
      <c r="V87" s="49"/>
      <c r="W87" s="9"/>
      <c r="X87" s="9"/>
      <c r="Y87" s="76"/>
      <c r="Z87" s="76"/>
      <c r="AA87" s="76"/>
      <c r="AB87" s="76"/>
    </row>
    <row r="88" ht="14.25" customHeight="1">
      <c r="B88" s="18">
        <v>24431.0</v>
      </c>
      <c r="C88" s="9" t="str">
        <f>VLOOKUP(B88,'FML March 2026'!E:F,2,false)</f>
        <v>SEA URCHIN 50GR/JAR, (EU ONLY)</v>
      </c>
      <c r="D88" s="9" t="str">
        <f>VLOOKUP(B88,'Unit of Measure ship March 2026'!A:C,3,false)</f>
        <v>PC/50GR</v>
      </c>
      <c r="F88" s="8"/>
      <c r="G88" s="7"/>
      <c r="H88" s="9"/>
      <c r="J88" s="49"/>
      <c r="K88" s="9"/>
      <c r="L88" s="9"/>
      <c r="N88" s="49"/>
      <c r="O88" s="9"/>
      <c r="P88" s="9"/>
      <c r="Q88" s="76"/>
      <c r="R88" s="49"/>
      <c r="S88" s="9"/>
      <c r="T88" s="9"/>
      <c r="U88" s="76"/>
      <c r="V88" s="49"/>
      <c r="W88" s="9"/>
      <c r="X88" s="9"/>
      <c r="Y88" s="76"/>
      <c r="Z88" s="76"/>
      <c r="AA88" s="76"/>
      <c r="AB88" s="76"/>
    </row>
    <row r="89" ht="14.25" customHeight="1">
      <c r="B89" s="78">
        <v>15818.0</v>
      </c>
      <c r="C89" s="33" t="str">
        <f>VLOOKUP(B89,'FML March 2026'!E:F,2,false)</f>
        <v>SESAME SEEDS WHITE BADIA (USA )</v>
      </c>
      <c r="D89" s="33" t="str">
        <f>VLOOKUP(B89,'Unit of Measure ship March 2026'!A:C,3,false)</f>
        <v>LBS</v>
      </c>
      <c r="F89" s="8"/>
      <c r="G89" s="7"/>
      <c r="H89" s="9"/>
      <c r="J89" s="49"/>
      <c r="K89" s="9"/>
      <c r="L89" s="9"/>
      <c r="N89" s="49"/>
      <c r="O89" s="9"/>
      <c r="P89" s="9"/>
      <c r="Q89" s="76"/>
      <c r="R89" s="49"/>
      <c r="S89" s="9"/>
      <c r="T89" s="9"/>
      <c r="U89" s="76"/>
      <c r="V89" s="49"/>
      <c r="W89" s="9"/>
      <c r="X89" s="9"/>
      <c r="Y89" s="76"/>
      <c r="Z89" s="76"/>
      <c r="AA89" s="76"/>
      <c r="AB89" s="76"/>
    </row>
    <row r="90" ht="14.25" customHeight="1">
      <c r="B90" s="18">
        <v>109695.0</v>
      </c>
      <c r="C90" s="9" t="str">
        <f>VLOOKUP(B90,'FML March 2026'!E:F,2,false)</f>
        <v>SMOKED SALT MALDON</v>
      </c>
      <c r="D90" s="9" t="str">
        <f>VLOOKUP(B90,'Unit of Measure ship March 2026'!A:C,3,false)</f>
        <v>LBS</v>
      </c>
      <c r="F90" s="8"/>
      <c r="G90" s="7"/>
      <c r="H90" s="9"/>
      <c r="J90" s="49"/>
      <c r="K90" s="9"/>
      <c r="L90" s="9"/>
      <c r="N90" s="49"/>
      <c r="O90" s="9"/>
      <c r="P90" s="9"/>
      <c r="Q90" s="76"/>
      <c r="R90" s="49"/>
      <c r="S90" s="9"/>
      <c r="T90" s="9"/>
      <c r="U90" s="76"/>
      <c r="V90" s="49"/>
      <c r="W90" s="9"/>
      <c r="X90" s="9"/>
      <c r="Y90" s="76"/>
      <c r="Z90" s="76"/>
      <c r="AA90" s="76"/>
      <c r="AB90" s="76"/>
    </row>
    <row r="91" ht="14.25" customHeight="1">
      <c r="B91" s="18">
        <v>16945.0</v>
      </c>
      <c r="C91" s="9" t="str">
        <f>VLOOKUP(B91,'FML March 2026'!E:F,2,false)</f>
        <v>SOY MILK  12/32 OZ SILK/ PACKER</v>
      </c>
      <c r="D91" s="9" t="str">
        <f>VLOOKUP(B91,'Unit of Measure ship March 2026'!A:C,3,false)</f>
        <v>LT</v>
      </c>
      <c r="F91" s="31"/>
      <c r="G91" s="86"/>
      <c r="H91" s="9"/>
      <c r="J91" s="49"/>
      <c r="K91" s="9"/>
      <c r="L91" s="9"/>
      <c r="N91" s="49"/>
      <c r="O91" s="9"/>
      <c r="P91" s="9"/>
      <c r="Q91" s="76"/>
      <c r="R91" s="49"/>
      <c r="S91" s="9"/>
      <c r="T91" s="9"/>
      <c r="U91" s="76"/>
      <c r="V91" s="49"/>
      <c r="W91" s="9"/>
      <c r="X91" s="9"/>
      <c r="Y91" s="76"/>
      <c r="Z91" s="76"/>
      <c r="AA91" s="76"/>
      <c r="AB91" s="76"/>
    </row>
    <row r="92" ht="14.25" customHeight="1">
      <c r="B92" s="18">
        <v>44287.0</v>
      </c>
      <c r="C92" s="9" t="str">
        <f>VLOOKUP(B92,'FML March 2026'!E:F,2,false)</f>
        <v>SPANISH STYLE CHORIZO. DRIED</v>
      </c>
      <c r="D92" s="35" t="s">
        <v>42</v>
      </c>
      <c r="F92" s="31"/>
      <c r="G92" s="86"/>
      <c r="H92" s="9"/>
      <c r="J92" s="49"/>
      <c r="K92" s="9"/>
      <c r="L92" s="9"/>
      <c r="N92" s="49"/>
      <c r="O92" s="9"/>
      <c r="P92" s="9"/>
      <c r="Q92" s="76"/>
      <c r="R92" s="49"/>
      <c r="S92" s="9"/>
      <c r="T92" s="9"/>
      <c r="U92" s="76"/>
      <c r="V92" s="49"/>
      <c r="W92" s="9"/>
      <c r="X92" s="9"/>
      <c r="Y92" s="76"/>
      <c r="Z92" s="76"/>
      <c r="AA92" s="76"/>
      <c r="AB92" s="76"/>
    </row>
    <row r="93" ht="14.25" customHeight="1">
      <c r="B93" s="18">
        <v>107138.0</v>
      </c>
      <c r="C93" s="9" t="str">
        <f>VLOOKUP(B93,'FML March 2026'!E:F,2,false)</f>
        <v>SPICE SAFFRON THREADS SPANISH (SPAIN)</v>
      </c>
      <c r="D93" s="9" t="str">
        <f>VLOOKUP(B93,'Unit of Measure ship March 2026'!A:C,3,false)</f>
        <v>CAN/1-OZ</v>
      </c>
      <c r="F93" s="87"/>
      <c r="G93" s="85"/>
      <c r="H93" s="9"/>
      <c r="J93" s="49"/>
      <c r="K93" s="9"/>
      <c r="L93" s="9"/>
      <c r="N93" s="49"/>
      <c r="O93" s="9"/>
      <c r="P93" s="9"/>
      <c r="Q93" s="76"/>
      <c r="R93" s="49"/>
      <c r="S93" s="9"/>
      <c r="T93" s="9"/>
      <c r="U93" s="76"/>
      <c r="V93" s="49"/>
      <c r="W93" s="9"/>
      <c r="X93" s="9"/>
      <c r="Y93" s="76"/>
      <c r="Z93" s="76"/>
      <c r="AA93" s="76"/>
      <c r="AB93" s="76"/>
    </row>
    <row r="94" ht="14.25" customHeight="1">
      <c r="B94" s="78">
        <v>100872.0</v>
      </c>
      <c r="C94" s="33" t="str">
        <f>VLOOKUP(B94,'FML March 2026'!E:F,2,false)</f>
        <v>SUGAR BROWN LIGHT 24LB  DOMINO (404309)</v>
      </c>
      <c r="D94" s="33" t="str">
        <f>VLOOKUP(B94,'Unit of Measure ship March 2026'!A:C,3,false)</f>
        <v>LBS</v>
      </c>
      <c r="F94" s="87"/>
      <c r="G94" s="85"/>
      <c r="H94" s="9"/>
      <c r="J94" s="49"/>
      <c r="K94" s="9"/>
      <c r="L94" s="9"/>
      <c r="N94" s="49"/>
      <c r="O94" s="9"/>
      <c r="P94" s="9"/>
      <c r="Q94" s="76"/>
      <c r="R94" s="49"/>
      <c r="S94" s="9"/>
      <c r="T94" s="9"/>
      <c r="U94" s="76"/>
      <c r="V94" s="49"/>
      <c r="W94" s="9"/>
      <c r="X94" s="9"/>
      <c r="Y94" s="76"/>
      <c r="Z94" s="76"/>
      <c r="AA94" s="76"/>
      <c r="AB94" s="76"/>
    </row>
    <row r="95" ht="14.25" customHeight="1">
      <c r="B95" s="18">
        <v>109843.0</v>
      </c>
      <c r="C95" s="9" t="str">
        <f>VLOOKUP(B95,'FML March 2026'!E:F,2,false)</f>
        <v>SUGAR IN THE RAW  CS12/2 LB</v>
      </c>
      <c r="D95" s="9" t="str">
        <f>VLOOKUP(B95,'Unit of Measure ship March 2026'!A:C,3,false)</f>
        <v>KG</v>
      </c>
      <c r="F95" s="87"/>
      <c r="G95" s="85"/>
      <c r="H95" s="9"/>
      <c r="J95" s="49"/>
      <c r="K95" s="9"/>
      <c r="L95" s="9"/>
      <c r="N95" s="49"/>
      <c r="O95" s="9"/>
      <c r="P95" s="9"/>
      <c r="Q95" s="76"/>
      <c r="R95" s="49"/>
      <c r="S95" s="9"/>
      <c r="T95" s="9"/>
      <c r="U95" s="76"/>
      <c r="V95" s="49"/>
      <c r="W95" s="9"/>
      <c r="X95" s="9"/>
      <c r="Y95" s="76"/>
      <c r="Z95" s="76"/>
      <c r="AA95" s="76"/>
      <c r="AB95" s="76"/>
    </row>
    <row r="96" ht="14.25" customHeight="1">
      <c r="B96" s="18">
        <v>15642.0</v>
      </c>
      <c r="C96" s="9" t="str">
        <f>VLOOKUP(B96,'FML March 2026'!E:F,2,false)</f>
        <v>SUGAR, GRANULATED, ICUMSA 150, SUGARCANE, DRY, 1/50 LB</v>
      </c>
      <c r="D96" s="9" t="str">
        <f>VLOOKUP(B96,'Unit of Measure ship March 2026'!A:C,3,false)</f>
        <v>LBS</v>
      </c>
      <c r="F96" s="87"/>
      <c r="G96" s="85"/>
      <c r="H96" s="9"/>
      <c r="J96" s="49"/>
      <c r="K96" s="9"/>
      <c r="L96" s="9"/>
      <c r="N96" s="49"/>
      <c r="O96" s="9"/>
      <c r="P96" s="9"/>
      <c r="Q96" s="76"/>
      <c r="R96" s="49"/>
      <c r="S96" s="9"/>
      <c r="T96" s="9"/>
      <c r="U96" s="76"/>
      <c r="V96" s="49"/>
      <c r="W96" s="9"/>
      <c r="X96" s="9"/>
      <c r="Y96" s="76"/>
      <c r="Z96" s="76"/>
      <c r="AA96" s="76"/>
      <c r="AB96" s="76"/>
    </row>
    <row r="97" ht="14.25" customHeight="1">
      <c r="B97" s="78">
        <v>15644.0</v>
      </c>
      <c r="C97" s="33" t="str">
        <f>VLOOKUP(B97,'FML March 2026'!E:F,2,false)</f>
        <v>SUGAR, POWDERED, W/ CORNSTARCH, DRY, 24/1 LB</v>
      </c>
      <c r="D97" s="33" t="str">
        <f>VLOOKUP(B97,'Unit of Measure ship March 2026'!A:C,3,false)</f>
        <v>LBS</v>
      </c>
      <c r="F97" s="87"/>
      <c r="G97" s="85"/>
      <c r="H97" s="9"/>
      <c r="J97" s="49"/>
      <c r="K97" s="9"/>
      <c r="L97" s="9"/>
      <c r="N97" s="49"/>
      <c r="O97" s="9"/>
      <c r="P97" s="9"/>
      <c r="Q97" s="76"/>
      <c r="R97" s="49"/>
      <c r="S97" s="9"/>
      <c r="T97" s="9"/>
      <c r="U97" s="76"/>
      <c r="V97" s="49"/>
      <c r="W97" s="9"/>
      <c r="X97" s="9"/>
      <c r="Y97" s="76"/>
      <c r="Z97" s="76"/>
      <c r="AA97" s="76"/>
      <c r="AB97" s="76"/>
    </row>
    <row r="98" ht="14.25" customHeight="1">
      <c r="B98" s="78">
        <v>29904.0</v>
      </c>
      <c r="C98" s="9" t="str">
        <f>VLOOKUP(B98,'FML March 2026'!E:F,2,false)</f>
        <v>SYRUP, MAPLE, 100% PURE, GRADE A, AMBER, DRY, 4/4 LT</v>
      </c>
      <c r="D98" s="9" t="str">
        <f>VLOOKUP(B98,'Unit of Measure ship March 2026'!A:C,3,false)</f>
        <v>BOX/4LTR</v>
      </c>
      <c r="F98" s="87"/>
      <c r="G98" s="85"/>
      <c r="H98" s="9"/>
      <c r="J98" s="49"/>
      <c r="K98" s="9"/>
      <c r="L98" s="9"/>
      <c r="N98" s="49"/>
      <c r="O98" s="9"/>
      <c r="P98" s="9"/>
      <c r="Q98" s="76"/>
      <c r="R98" s="49"/>
      <c r="S98" s="9"/>
      <c r="T98" s="9"/>
      <c r="U98" s="76"/>
      <c r="V98" s="49"/>
      <c r="W98" s="9"/>
      <c r="X98" s="9"/>
      <c r="Y98" s="76"/>
      <c r="Z98" s="76"/>
      <c r="AA98" s="76"/>
      <c r="AB98" s="76"/>
    </row>
    <row r="99" ht="14.25" customHeight="1">
      <c r="B99" s="18">
        <v>110928.0</v>
      </c>
      <c r="C99" s="9" t="str">
        <f>VLOOKUP(B99,'FML March 2026'!E:F,2,false)</f>
        <v>TAHINI PASTE  CS12/1LB SOOM</v>
      </c>
      <c r="D99" s="9" t="str">
        <f>VLOOKUP(B99,'Unit of Measure ship March 2026'!A:C,3,false)</f>
        <v>LBS</v>
      </c>
      <c r="F99" s="88"/>
      <c r="G99" s="85"/>
      <c r="H99" s="9"/>
      <c r="J99" s="49"/>
      <c r="K99" s="9"/>
      <c r="L99" s="9"/>
      <c r="N99" s="49"/>
      <c r="O99" s="9"/>
      <c r="P99" s="9"/>
      <c r="Q99" s="76"/>
      <c r="R99" s="49"/>
      <c r="S99" s="9"/>
      <c r="T99" s="9"/>
      <c r="U99" s="76"/>
      <c r="V99" s="49"/>
      <c r="W99" s="9"/>
      <c r="X99" s="9"/>
      <c r="Y99" s="76"/>
      <c r="Z99" s="76"/>
      <c r="AA99" s="76"/>
      <c r="AB99" s="76"/>
    </row>
    <row r="100" ht="14.25" customHeight="1">
      <c r="B100" s="78">
        <v>109632.0</v>
      </c>
      <c r="C100" s="33" t="str">
        <f>VLOOKUP(B100,'FML March 2026'!E:F,2,false)</f>
        <v>TAPIOCA FLOUR BOBS RED MILL</v>
      </c>
      <c r="D100" s="33" t="str">
        <f>VLOOKUP(B100,'Unit of Measure ship March 2026'!A:C,3,false)</f>
        <v>KG</v>
      </c>
      <c r="F100" s="8"/>
      <c r="G100" s="7"/>
      <c r="H100" s="9"/>
      <c r="K100" s="9"/>
      <c r="L100" s="9"/>
      <c r="N100" s="49"/>
      <c r="O100" s="9"/>
      <c r="P100" s="9"/>
      <c r="Q100" s="76"/>
      <c r="R100" s="49"/>
      <c r="S100" s="9"/>
      <c r="T100" s="9"/>
      <c r="U100" s="76"/>
      <c r="V100" s="49"/>
      <c r="W100" s="9"/>
      <c r="X100" s="9"/>
      <c r="Y100" s="76"/>
      <c r="Z100" s="76"/>
      <c r="AA100" s="76"/>
      <c r="AB100" s="76"/>
    </row>
    <row r="101" ht="14.25" customHeight="1">
      <c r="B101" s="77">
        <v>143140.0</v>
      </c>
      <c r="C101" s="33" t="str">
        <f>VLOOKUP(B101,'FML March 2026'!E:F,2,false)</f>
        <v>TOMATO, WHOLE, PEELED, IN JUICE, DRY, 6/#10</v>
      </c>
      <c r="D101" s="33" t="str">
        <f>VLOOKUP(B101,'Unit of Measure ship March 2026'!A:C,3,false)</f>
        <v>C6/6.5LB</v>
      </c>
      <c r="F101" s="8"/>
      <c r="G101" s="7"/>
      <c r="H101" s="9"/>
      <c r="K101" s="9"/>
      <c r="L101" s="9"/>
      <c r="N101" s="49"/>
      <c r="O101" s="9"/>
      <c r="P101" s="9"/>
      <c r="Q101" s="76"/>
      <c r="R101" s="49"/>
      <c r="S101" s="9"/>
      <c r="T101" s="9"/>
      <c r="U101" s="76"/>
      <c r="V101" s="49"/>
      <c r="W101" s="9"/>
      <c r="X101" s="9"/>
      <c r="Y101" s="76"/>
      <c r="Z101" s="76"/>
      <c r="AA101" s="76"/>
      <c r="AB101" s="76"/>
    </row>
    <row r="102" ht="14.25" customHeight="1">
      <c r="B102" s="84">
        <v>109765.0</v>
      </c>
      <c r="C102" s="33" t="str">
        <f>VLOOKUP(B102,'FML March 2026'!E:F,2,false)</f>
        <v>TOMATOES CHERRY MIXED HEIRLOOM</v>
      </c>
      <c r="D102" s="33" t="str">
        <f>VLOOKUP(B102,'Unit of Measure ship March 2026'!A:C,3,false)</f>
        <v>LBS</v>
      </c>
      <c r="F102" s="8"/>
      <c r="G102" s="7"/>
      <c r="H102" s="9"/>
      <c r="K102" s="9"/>
      <c r="L102" s="9"/>
      <c r="N102" s="49"/>
      <c r="O102" s="9"/>
      <c r="P102" s="9"/>
      <c r="Q102" s="76"/>
      <c r="R102" s="49"/>
      <c r="S102" s="9"/>
      <c r="T102" s="9"/>
      <c r="U102" s="76"/>
      <c r="V102" s="49"/>
      <c r="W102" s="9"/>
      <c r="X102" s="9"/>
      <c r="Y102" s="76"/>
      <c r="Z102" s="76"/>
      <c r="AA102" s="76"/>
      <c r="AB102" s="76"/>
    </row>
    <row r="103" ht="14.25" customHeight="1">
      <c r="B103" s="18">
        <v>20844.0</v>
      </c>
      <c r="C103" s="9" t="str">
        <f>VLOOKUP(B103,'FML March 2026'!E:F,2,false)</f>
        <v>VEAL DEMI GLACE CUISINE SOLUTIONS 1003743 (NO INSPECTION NEEDED) (NETHERLANDS)</v>
      </c>
      <c r="D103" s="9" t="str">
        <f>VLOOKUP(B103,'Unit of Measure ship March 2026'!A:C,3,false)</f>
        <v>LBS</v>
      </c>
      <c r="F103" s="8"/>
      <c r="G103" s="7"/>
      <c r="H103" s="9"/>
      <c r="J103" s="51"/>
      <c r="K103" s="9"/>
      <c r="L103" s="9"/>
      <c r="N103" s="49"/>
      <c r="O103" s="9"/>
      <c r="P103" s="9"/>
      <c r="Q103" s="76"/>
      <c r="R103" s="49"/>
      <c r="S103" s="9"/>
      <c r="T103" s="9"/>
      <c r="U103" s="76"/>
      <c r="V103" s="49"/>
      <c r="W103" s="9"/>
      <c r="X103" s="9"/>
      <c r="Y103" s="76"/>
      <c r="Z103" s="76"/>
      <c r="AA103" s="76"/>
      <c r="AB103" s="76"/>
    </row>
    <row r="104" ht="14.25" customHeight="1">
      <c r="B104" s="78">
        <v>109927.0</v>
      </c>
      <c r="C104" s="33" t="str">
        <f>VLOOKUP(B104,'FML March 2026'!E:F,2,false)</f>
        <v>VEGAN GROUND BEEF ALTERNATIVE IMPOSSIBLE BULK</v>
      </c>
      <c r="D104" s="33" t="str">
        <f>VLOOKUP(B104,'Unit of Measure ship March 2026'!A:C,3,false)</f>
        <v>LBS</v>
      </c>
      <c r="F104" s="8"/>
      <c r="G104" s="7"/>
      <c r="H104" s="9"/>
      <c r="J104" s="51"/>
      <c r="K104" s="9"/>
      <c r="L104" s="9"/>
      <c r="N104" s="49"/>
      <c r="O104" s="9"/>
      <c r="P104" s="9"/>
      <c r="Q104" s="76"/>
      <c r="R104" s="49"/>
      <c r="S104" s="9"/>
      <c r="T104" s="9"/>
      <c r="U104" s="76"/>
      <c r="V104" s="49"/>
      <c r="W104" s="9"/>
      <c r="X104" s="9"/>
      <c r="Y104" s="76"/>
      <c r="Z104" s="76"/>
      <c r="AA104" s="76"/>
      <c r="AB104" s="76"/>
    </row>
    <row r="105" ht="14.25" customHeight="1">
      <c r="B105" s="18">
        <v>111933.0</v>
      </c>
      <c r="C105" s="9" t="str">
        <f>VLOOKUP(B105,'FML March 2026'!E:F,2,false)</f>
        <v>VEGETABLE STOCK LIQUID  CS 4.5/ LITER SAVORY CHOICE</v>
      </c>
      <c r="D105" s="9" t="str">
        <f>VLOOKUP(B105,'Unit of Measure ship March 2026'!A:C,3,false)</f>
        <v>LT</v>
      </c>
      <c r="F105" s="8"/>
      <c r="G105" s="7"/>
      <c r="H105" s="9"/>
      <c r="J105" s="51"/>
      <c r="K105" s="9"/>
      <c r="L105" s="9"/>
      <c r="N105" s="49"/>
      <c r="O105" s="9"/>
      <c r="P105" s="9"/>
      <c r="Q105" s="76"/>
      <c r="R105" s="49"/>
      <c r="S105" s="9"/>
      <c r="T105" s="9"/>
      <c r="U105" s="76"/>
      <c r="V105" s="49"/>
      <c r="W105" s="9"/>
      <c r="X105" s="9"/>
      <c r="Y105" s="76"/>
      <c r="Z105" s="76"/>
      <c r="AA105" s="76"/>
      <c r="AB105" s="76"/>
    </row>
    <row r="106" ht="14.25" customHeight="1">
      <c r="B106" s="78">
        <v>109665.0</v>
      </c>
      <c r="C106" s="33" t="str">
        <f>VLOOKUP(B106,'FML March 2026'!E:F,2,false)</f>
        <v>VINEGAR CABERNET SPARROW LANE</v>
      </c>
      <c r="D106" s="33" t="str">
        <f>VLOOKUP(B106,'Unit of Measure ship March 2026'!A:C,3,false)</f>
        <v>GAL</v>
      </c>
      <c r="F106" s="8"/>
      <c r="G106" s="7"/>
      <c r="H106" s="9"/>
      <c r="J106" s="51"/>
      <c r="K106" s="9"/>
      <c r="L106" s="9"/>
      <c r="N106" s="49"/>
      <c r="O106" s="9"/>
      <c r="P106" s="9"/>
      <c r="Q106" s="76"/>
      <c r="R106" s="49"/>
      <c r="S106" s="9"/>
      <c r="T106" s="9"/>
      <c r="U106" s="76"/>
      <c r="V106" s="49"/>
      <c r="W106" s="9"/>
      <c r="X106" s="9"/>
      <c r="Y106" s="76"/>
      <c r="Z106" s="76"/>
      <c r="AA106" s="76"/>
      <c r="AB106" s="76"/>
    </row>
    <row r="107" ht="14.25" customHeight="1">
      <c r="B107" s="8">
        <v>110931.0</v>
      </c>
      <c r="C107" s="9" t="str">
        <f>VLOOKUP(B107,'FML March 2026'!E:F,2,false)</f>
        <v>VINEGAR SHERRY 20 YEAR CS122/12.7 OZ CAPIRETE</v>
      </c>
      <c r="D107" s="9" t="str">
        <f>VLOOKUP(B107,'Unit of Measure ship March 2026'!A:C,3,false)</f>
        <v>BT/12.7O</v>
      </c>
      <c r="F107" s="8"/>
      <c r="G107" s="7"/>
      <c r="H107" s="9"/>
      <c r="J107" s="51"/>
      <c r="K107" s="9"/>
      <c r="L107" s="9"/>
      <c r="N107" s="49"/>
      <c r="O107" s="9"/>
      <c r="P107" s="9"/>
      <c r="Q107" s="76"/>
      <c r="R107" s="49"/>
      <c r="S107" s="9"/>
      <c r="T107" s="9"/>
      <c r="U107" s="76"/>
      <c r="V107" s="49"/>
      <c r="W107" s="9"/>
      <c r="X107" s="9"/>
      <c r="Y107" s="76"/>
      <c r="Z107" s="76"/>
      <c r="AA107" s="76"/>
      <c r="AB107" s="76"/>
    </row>
    <row r="108" ht="14.25" customHeight="1">
      <c r="B108" s="18">
        <v>16402.0</v>
      </c>
      <c r="C108" s="9" t="str">
        <f>VLOOKUP(B108,'FML March 2026'!E:F,2,false)</f>
        <v>VINEGAR SHERRY/ XERES CS4/5 LT ROLAND</v>
      </c>
      <c r="D108" s="9" t="str">
        <f>VLOOKUP(B108,'Unit of Measure ship March 2026'!A:C,3,false)</f>
        <v>BT/750ML</v>
      </c>
      <c r="F108" s="8"/>
      <c r="G108" s="7"/>
      <c r="H108" s="9"/>
      <c r="J108" s="51"/>
      <c r="K108" s="9"/>
      <c r="L108" s="9"/>
      <c r="N108" s="49"/>
      <c r="O108" s="9"/>
      <c r="P108" s="9"/>
      <c r="Q108" s="76"/>
      <c r="R108" s="49"/>
      <c r="S108" s="9"/>
      <c r="T108" s="9"/>
      <c r="U108" s="76"/>
      <c r="V108" s="49"/>
      <c r="W108" s="9"/>
      <c r="X108" s="9"/>
      <c r="Y108" s="76"/>
      <c r="Z108" s="76"/>
      <c r="AA108" s="76"/>
      <c r="AB108" s="76"/>
    </row>
    <row r="109" ht="14.25" customHeight="1">
      <c r="B109" s="78">
        <v>16374.0</v>
      </c>
      <c r="C109" s="33" t="str">
        <f>VLOOKUP(B109,'FML March 2026'!E:F,2,false)</f>
        <v>VINEGAR, WHITE DISTILLED</v>
      </c>
      <c r="D109" s="33" t="str">
        <f>VLOOKUP(B109,'Unit of Measure ship March 2026'!A:C,3,false)</f>
        <v>BTL/5LT</v>
      </c>
      <c r="F109" s="8"/>
      <c r="G109" s="7"/>
      <c r="H109" s="9"/>
      <c r="J109" s="51"/>
      <c r="K109" s="9"/>
      <c r="L109" s="9"/>
      <c r="N109" s="49"/>
      <c r="O109" s="9"/>
      <c r="P109" s="9"/>
      <c r="Q109" s="76"/>
      <c r="R109" s="49"/>
      <c r="S109" s="9"/>
      <c r="T109" s="9"/>
      <c r="U109" s="76"/>
      <c r="V109" s="49"/>
      <c r="W109" s="9"/>
      <c r="X109" s="9"/>
      <c r="Y109" s="76"/>
      <c r="Z109" s="76"/>
      <c r="AA109" s="76"/>
      <c r="AB109" s="76"/>
    </row>
    <row r="110" ht="14.25" customHeight="1">
      <c r="B110" s="78">
        <v>49450.0</v>
      </c>
      <c r="C110" s="33" t="str">
        <f>VLOOKUP(B110,'FML March 2026'!E:F,2,false)</f>
        <v>WHIPPING CREAM (35% TO 36%) UHT</v>
      </c>
      <c r="D110" s="33" t="str">
        <f>VLOOKUP(B110,'Unit of Measure ship March 2026'!A:C,3,false)</f>
        <v>QRT</v>
      </c>
      <c r="F110" s="8"/>
      <c r="G110" s="7"/>
      <c r="H110" s="9"/>
      <c r="J110" s="51"/>
      <c r="K110" s="9"/>
      <c r="L110" s="9"/>
      <c r="N110" s="49"/>
      <c r="O110" s="9"/>
      <c r="P110" s="9"/>
      <c r="Q110" s="76"/>
      <c r="R110" s="49"/>
      <c r="S110" s="9"/>
      <c r="T110" s="9"/>
      <c r="U110" s="76"/>
      <c r="V110" s="49"/>
      <c r="W110" s="9"/>
      <c r="X110" s="9"/>
      <c r="Y110" s="76"/>
      <c r="Z110" s="76"/>
      <c r="AA110" s="76"/>
      <c r="AB110" s="76"/>
    </row>
    <row r="111" ht="14.25" customHeight="1">
      <c r="B111" s="53">
        <v>102288.0</v>
      </c>
      <c r="C111" s="9" t="str">
        <f>VLOOKUP(B111,'FML March 2026'!E:F,2,false)</f>
        <v>XANTHAN GUM (AUSTRIA)</v>
      </c>
      <c r="D111" s="9" t="str">
        <f>VLOOKUP(B111,'Unit of Measure ship March 2026'!A:C,3,false)</f>
        <v>LBS</v>
      </c>
      <c r="F111" s="8"/>
      <c r="G111" s="7"/>
      <c r="H111" s="9"/>
      <c r="J111" s="51"/>
      <c r="K111" s="9"/>
      <c r="L111" s="9"/>
      <c r="N111" s="49"/>
      <c r="O111" s="9"/>
      <c r="P111" s="9"/>
      <c r="Q111" s="76"/>
      <c r="R111" s="49"/>
      <c r="S111" s="9"/>
      <c r="T111" s="9"/>
      <c r="U111" s="76"/>
      <c r="V111" s="49"/>
      <c r="W111" s="9"/>
      <c r="X111" s="9"/>
      <c r="Y111" s="76"/>
      <c r="Z111" s="76"/>
      <c r="AA111" s="76"/>
      <c r="AB111" s="76"/>
    </row>
    <row r="112" ht="14.25" customHeight="1">
      <c r="B112" s="18">
        <v>109846.0</v>
      </c>
      <c r="C112" s="9" t="str">
        <f>VLOOKUP(B112,'FML March 2026'!E:F,2,false)</f>
        <v>YOGURT GREEK BULK</v>
      </c>
      <c r="D112" s="9" t="str">
        <f>VLOOKUP(B112,'Unit of Measure ship March 2026'!A:C,3,false)</f>
        <v>LBS</v>
      </c>
      <c r="F112" s="8"/>
      <c r="G112" s="7"/>
      <c r="H112" s="9"/>
      <c r="J112" s="51"/>
      <c r="K112" s="9"/>
      <c r="L112" s="9"/>
      <c r="N112" s="49"/>
      <c r="O112" s="9"/>
      <c r="P112" s="9"/>
      <c r="Q112" s="76"/>
      <c r="R112" s="49"/>
      <c r="S112" s="9"/>
      <c r="T112" s="9"/>
      <c r="U112" s="76"/>
      <c r="V112" s="49"/>
      <c r="W112" s="9"/>
      <c r="X112" s="9"/>
      <c r="Y112" s="76"/>
      <c r="Z112" s="76"/>
      <c r="AA112" s="76"/>
      <c r="AB112" s="76"/>
    </row>
    <row r="113" ht="14.25" customHeight="1">
      <c r="B113" s="8">
        <v>111706.0</v>
      </c>
      <c r="C113" s="9" t="str">
        <f>VLOOKUP(B113,'FML March 2026'!E:F,2,false)</f>
        <v>ZA'ATAR SPICE CS 6/16 OZ WOODLAND FARMS</v>
      </c>
      <c r="D113" s="9" t="str">
        <f>VLOOKUP(B113,'Unit of Measure ship March 2026'!A:C,3,false)</f>
        <v>LBS</v>
      </c>
      <c r="F113" s="8"/>
      <c r="G113" s="7"/>
      <c r="H113" s="9"/>
      <c r="J113" s="51"/>
      <c r="K113" s="9"/>
      <c r="L113" s="9"/>
      <c r="N113" s="49"/>
      <c r="O113" s="9"/>
      <c r="P113" s="9"/>
      <c r="Q113" s="76"/>
      <c r="R113" s="49"/>
      <c r="S113" s="9"/>
      <c r="T113" s="9"/>
      <c r="U113" s="76"/>
      <c r="V113" s="49"/>
      <c r="W113" s="9"/>
      <c r="X113" s="9"/>
      <c r="Y113" s="76"/>
      <c r="Z113" s="76"/>
      <c r="AA113" s="76"/>
      <c r="AB113" s="76"/>
    </row>
    <row r="114" ht="14.25" customHeight="1">
      <c r="B114" s="78"/>
      <c r="C114" s="33"/>
      <c r="D114" s="33"/>
      <c r="F114" s="8"/>
      <c r="G114" s="7"/>
      <c r="H114" s="9"/>
      <c r="J114" s="51"/>
      <c r="K114" s="9"/>
      <c r="L114" s="9"/>
      <c r="N114" s="49"/>
      <c r="O114" s="9"/>
      <c r="P114" s="9"/>
      <c r="Q114" s="76"/>
      <c r="R114" s="49"/>
      <c r="S114" s="9"/>
      <c r="T114" s="9"/>
      <c r="U114" s="76"/>
      <c r="V114" s="49"/>
      <c r="W114" s="9"/>
      <c r="X114" s="9"/>
      <c r="Y114" s="76"/>
      <c r="Z114" s="76"/>
      <c r="AA114" s="76"/>
      <c r="AB114" s="76"/>
    </row>
    <row r="115" ht="14.25" customHeight="1">
      <c r="B115" s="78"/>
      <c r="C115" s="33"/>
      <c r="D115" s="33"/>
      <c r="F115" s="8"/>
      <c r="G115" s="7"/>
      <c r="H115" s="9"/>
      <c r="J115" s="51"/>
      <c r="K115" s="9"/>
      <c r="L115" s="9"/>
      <c r="N115" s="49"/>
      <c r="O115" s="9"/>
      <c r="P115" s="9"/>
      <c r="Q115" s="76"/>
      <c r="R115" s="49"/>
      <c r="S115" s="9"/>
      <c r="T115" s="9"/>
      <c r="U115" s="76"/>
      <c r="V115" s="49"/>
      <c r="W115" s="9"/>
      <c r="X115" s="9"/>
      <c r="Y115" s="76"/>
      <c r="Z115" s="76"/>
      <c r="AA115" s="76"/>
      <c r="AB115" s="76"/>
    </row>
    <row r="116" ht="14.25" customHeight="1">
      <c r="B116" s="78"/>
      <c r="C116" s="33"/>
      <c r="D116" s="33"/>
      <c r="F116" s="8"/>
      <c r="G116" s="7"/>
      <c r="H116" s="9"/>
      <c r="J116" s="51"/>
      <c r="K116" s="9"/>
      <c r="L116" s="9"/>
      <c r="N116" s="49"/>
      <c r="O116" s="9"/>
      <c r="P116" s="9"/>
      <c r="Q116" s="76"/>
      <c r="R116" s="49"/>
      <c r="S116" s="9"/>
      <c r="T116" s="9"/>
      <c r="U116" s="76"/>
      <c r="V116" s="49"/>
      <c r="W116" s="9"/>
      <c r="X116" s="9"/>
      <c r="Y116" s="76"/>
      <c r="Z116" s="76"/>
      <c r="AA116" s="76"/>
      <c r="AB116" s="76"/>
    </row>
    <row r="117" ht="14.25" customHeight="1">
      <c r="B117" s="78"/>
      <c r="C117" s="33"/>
      <c r="D117" s="33"/>
      <c r="F117" s="8"/>
      <c r="G117" s="7"/>
      <c r="H117" s="9"/>
      <c r="J117" s="51"/>
      <c r="K117" s="9"/>
      <c r="L117" s="9"/>
      <c r="N117" s="49"/>
      <c r="O117" s="9"/>
      <c r="P117" s="9"/>
      <c r="Q117" s="76"/>
      <c r="R117" s="49"/>
      <c r="S117" s="9"/>
      <c r="T117" s="9"/>
      <c r="U117" s="76"/>
      <c r="V117" s="49"/>
      <c r="W117" s="9"/>
      <c r="X117" s="9"/>
      <c r="Y117" s="76"/>
      <c r="Z117" s="76"/>
      <c r="AA117" s="76"/>
      <c r="AB117" s="76"/>
    </row>
    <row r="118" ht="14.25" customHeight="1">
      <c r="B118" s="78"/>
      <c r="C118" s="33"/>
      <c r="D118" s="33"/>
      <c r="F118" s="8"/>
      <c r="G118" s="7"/>
      <c r="H118" s="9"/>
      <c r="J118" s="51"/>
      <c r="K118" s="9"/>
      <c r="L118" s="9"/>
      <c r="N118" s="49"/>
      <c r="O118" s="9"/>
      <c r="Q118" s="76"/>
      <c r="R118" s="49"/>
      <c r="S118" s="9"/>
      <c r="U118" s="76"/>
      <c r="V118" s="49"/>
      <c r="W118" s="9"/>
      <c r="Y118" s="76"/>
      <c r="Z118" s="76"/>
      <c r="AA118" s="76"/>
      <c r="AB118" s="76"/>
    </row>
    <row r="119" ht="14.25" customHeight="1">
      <c r="B119" s="78"/>
      <c r="C119" s="33"/>
      <c r="D119" s="33"/>
      <c r="F119" s="8"/>
      <c r="G119" s="7"/>
      <c r="H119" s="9"/>
      <c r="J119" s="51"/>
      <c r="K119" s="9"/>
      <c r="L119" s="9"/>
      <c r="N119" s="49"/>
      <c r="O119" s="9"/>
      <c r="Q119" s="76"/>
      <c r="R119" s="49"/>
      <c r="S119" s="9"/>
      <c r="U119" s="76"/>
      <c r="V119" s="49"/>
      <c r="W119" s="9"/>
      <c r="Y119" s="76"/>
      <c r="Z119" s="76"/>
      <c r="AA119" s="76"/>
      <c r="AB119" s="76"/>
    </row>
    <row r="120" ht="14.25" customHeight="1">
      <c r="B120" s="78"/>
      <c r="C120" s="33"/>
      <c r="D120" s="33"/>
      <c r="F120" s="8"/>
      <c r="G120" s="7"/>
      <c r="H120" s="9"/>
      <c r="J120" s="51"/>
      <c r="K120" s="9"/>
      <c r="L120" s="9"/>
      <c r="N120" s="49"/>
      <c r="O120" s="9"/>
      <c r="Q120" s="76"/>
      <c r="R120" s="49"/>
      <c r="S120" s="9"/>
      <c r="U120" s="76"/>
      <c r="V120" s="49"/>
      <c r="W120" s="9"/>
      <c r="Y120" s="76"/>
      <c r="Z120" s="76"/>
      <c r="AA120" s="76"/>
      <c r="AB120" s="76"/>
    </row>
    <row r="121" ht="14.25" customHeight="1">
      <c r="B121" s="78"/>
      <c r="C121" s="33"/>
      <c r="D121" s="33"/>
      <c r="F121" s="8"/>
      <c r="G121" s="7"/>
      <c r="H121" s="9"/>
      <c r="J121" s="51"/>
      <c r="K121" s="9"/>
      <c r="L121" s="9"/>
      <c r="N121" s="49"/>
      <c r="O121" s="9"/>
      <c r="Q121" s="76"/>
      <c r="R121" s="49"/>
      <c r="S121" s="9"/>
      <c r="U121" s="76"/>
      <c r="V121" s="49"/>
      <c r="W121" s="9"/>
      <c r="Y121" s="76"/>
      <c r="Z121" s="76"/>
      <c r="AA121" s="76"/>
      <c r="AB121" s="76"/>
    </row>
    <row r="122" ht="14.25" customHeight="1">
      <c r="B122" s="78"/>
      <c r="C122" s="33"/>
      <c r="D122" s="33"/>
      <c r="F122" s="8"/>
      <c r="G122" s="7"/>
      <c r="H122" s="9"/>
      <c r="J122" s="51"/>
      <c r="K122" s="9"/>
      <c r="L122" s="9"/>
      <c r="N122" s="49"/>
      <c r="O122" s="9"/>
      <c r="Q122" s="76"/>
      <c r="R122" s="49"/>
      <c r="S122" s="9"/>
      <c r="U122" s="76"/>
      <c r="V122" s="49"/>
      <c r="W122" s="9"/>
      <c r="Y122" s="76"/>
      <c r="Z122" s="76"/>
      <c r="AA122" s="76"/>
      <c r="AB122" s="76"/>
    </row>
    <row r="123" ht="14.25" customHeight="1">
      <c r="B123" s="78"/>
      <c r="C123" s="33"/>
      <c r="D123" s="33"/>
      <c r="F123" s="8"/>
      <c r="G123" s="7"/>
      <c r="H123" s="9"/>
      <c r="J123" s="51"/>
      <c r="K123" s="9"/>
      <c r="L123" s="9"/>
      <c r="N123" s="49"/>
      <c r="O123" s="9"/>
      <c r="Q123" s="76"/>
      <c r="R123" s="49"/>
      <c r="S123" s="9"/>
      <c r="U123" s="76"/>
      <c r="V123" s="49"/>
      <c r="W123" s="9"/>
      <c r="Y123" s="76"/>
      <c r="Z123" s="76"/>
      <c r="AA123" s="76"/>
      <c r="AB123" s="76"/>
    </row>
    <row r="124" ht="14.25" customHeight="1">
      <c r="B124" s="78"/>
      <c r="C124" s="33"/>
      <c r="D124" s="33"/>
      <c r="F124" s="8"/>
      <c r="G124" s="7"/>
      <c r="H124" s="9"/>
      <c r="J124" s="51"/>
      <c r="K124" s="9"/>
      <c r="L124" s="9"/>
      <c r="N124" s="49"/>
      <c r="O124" s="9"/>
      <c r="Q124" s="76"/>
      <c r="R124" s="49"/>
      <c r="S124" s="9"/>
      <c r="U124" s="76"/>
      <c r="V124" s="49"/>
      <c r="W124" s="9"/>
      <c r="Y124" s="76"/>
      <c r="Z124" s="76"/>
      <c r="AA124" s="76"/>
      <c r="AB124" s="76"/>
    </row>
    <row r="125" ht="14.25" customHeight="1">
      <c r="B125" s="78"/>
      <c r="C125" s="33"/>
      <c r="D125" s="33"/>
      <c r="F125" s="8"/>
      <c r="G125" s="7"/>
      <c r="H125" s="9"/>
      <c r="J125" s="51"/>
      <c r="K125" s="9"/>
      <c r="L125" s="9"/>
      <c r="N125" s="49"/>
      <c r="O125" s="9"/>
      <c r="Q125" s="76"/>
      <c r="R125" s="49"/>
      <c r="S125" s="9"/>
      <c r="U125" s="76"/>
      <c r="V125" s="49"/>
      <c r="W125" s="9"/>
      <c r="Y125" s="76"/>
      <c r="Z125" s="76"/>
      <c r="AA125" s="76"/>
      <c r="AB125" s="76"/>
    </row>
    <row r="126" ht="14.25" customHeight="1">
      <c r="B126" s="78"/>
      <c r="C126" s="33"/>
      <c r="D126" s="33"/>
      <c r="F126" s="8"/>
      <c r="G126" s="7"/>
      <c r="H126" s="9"/>
      <c r="J126" s="51"/>
      <c r="K126" s="9"/>
      <c r="L126" s="9"/>
      <c r="N126" s="49"/>
      <c r="O126" s="9"/>
      <c r="Q126" s="76"/>
      <c r="R126" s="49"/>
      <c r="S126" s="9"/>
      <c r="U126" s="76"/>
      <c r="V126" s="49"/>
      <c r="W126" s="9"/>
      <c r="Y126" s="76"/>
      <c r="Z126" s="76"/>
      <c r="AA126" s="76"/>
      <c r="AB126" s="76"/>
    </row>
    <row r="127" ht="14.25" customHeight="1">
      <c r="B127" s="31"/>
      <c r="C127" s="9"/>
      <c r="D127" s="9"/>
      <c r="F127" s="8"/>
      <c r="G127" s="7"/>
      <c r="H127" s="9"/>
      <c r="J127" s="51"/>
      <c r="K127" s="9"/>
      <c r="L127" s="9"/>
      <c r="N127" s="49"/>
      <c r="O127" s="9"/>
      <c r="Q127" s="76"/>
      <c r="R127" s="49"/>
      <c r="S127" s="9"/>
      <c r="U127" s="76"/>
      <c r="V127" s="49"/>
      <c r="W127" s="9"/>
      <c r="Y127" s="76"/>
      <c r="Z127" s="76"/>
      <c r="AA127" s="76"/>
      <c r="AB127" s="76"/>
    </row>
    <row r="128" ht="14.25" customHeight="1">
      <c r="B128" s="8"/>
      <c r="C128" s="9"/>
      <c r="D128" s="9"/>
      <c r="F128" s="8"/>
      <c r="G128" s="7"/>
      <c r="H128" s="9"/>
      <c r="J128" s="51"/>
      <c r="K128" s="9"/>
      <c r="L128" s="9"/>
      <c r="N128" s="49"/>
      <c r="O128" s="9"/>
      <c r="Q128" s="76"/>
      <c r="R128" s="49"/>
      <c r="S128" s="9"/>
      <c r="U128" s="76"/>
      <c r="V128" s="49"/>
      <c r="W128" s="9"/>
      <c r="Y128" s="76"/>
      <c r="Z128" s="76"/>
      <c r="AA128" s="76"/>
      <c r="AB128" s="76"/>
    </row>
    <row r="129" ht="14.25" customHeight="1">
      <c r="B129" s="8"/>
      <c r="C129" s="9"/>
      <c r="D129" s="9"/>
      <c r="F129" s="8"/>
      <c r="G129" s="7"/>
      <c r="H129" s="9"/>
      <c r="N129" s="49"/>
      <c r="O129" s="9"/>
      <c r="Q129" s="76"/>
      <c r="R129" s="49"/>
      <c r="S129" s="9"/>
      <c r="U129" s="76"/>
      <c r="V129" s="49"/>
      <c r="W129" s="9"/>
      <c r="Y129" s="76"/>
      <c r="Z129" s="76"/>
      <c r="AA129" s="76"/>
      <c r="AB129" s="76"/>
    </row>
    <row r="130" ht="14.25" customHeight="1">
      <c r="B130" s="8"/>
      <c r="C130" s="9"/>
      <c r="D130" s="9"/>
      <c r="F130" s="8"/>
      <c r="G130" s="7"/>
      <c r="H130" s="9"/>
      <c r="N130" s="49"/>
      <c r="O130" s="9"/>
      <c r="Q130" s="76"/>
      <c r="R130" s="49"/>
      <c r="S130" s="9"/>
      <c r="U130" s="76"/>
      <c r="V130" s="49"/>
      <c r="W130" s="9"/>
      <c r="Y130" s="76"/>
      <c r="Z130" s="76"/>
      <c r="AA130" s="76"/>
      <c r="AB130" s="76"/>
    </row>
    <row r="131" ht="14.25" customHeight="1">
      <c r="B131" s="18"/>
      <c r="C131" s="9"/>
      <c r="D131" s="9"/>
      <c r="F131" s="8"/>
      <c r="G131" s="7"/>
      <c r="H131" s="9"/>
      <c r="N131" s="49"/>
      <c r="O131" s="9"/>
      <c r="Q131" s="76"/>
      <c r="R131" s="49"/>
      <c r="S131" s="9"/>
      <c r="U131" s="76"/>
      <c r="V131" s="49"/>
      <c r="W131" s="9"/>
      <c r="Y131" s="76"/>
      <c r="Z131" s="76"/>
      <c r="AA131" s="76"/>
      <c r="AB131" s="76"/>
    </row>
    <row r="132" ht="14.25" customHeight="1">
      <c r="B132" s="18"/>
      <c r="C132" s="9"/>
      <c r="D132" s="9"/>
      <c r="F132" s="8"/>
      <c r="G132" s="7"/>
      <c r="H132" s="9"/>
      <c r="N132" s="49"/>
      <c r="O132" s="9"/>
      <c r="Q132" s="76"/>
      <c r="R132" s="49"/>
      <c r="S132" s="9"/>
      <c r="U132" s="76"/>
      <c r="V132" s="49"/>
      <c r="W132" s="9"/>
      <c r="Y132" s="76"/>
      <c r="Z132" s="76"/>
      <c r="AA132" s="76"/>
      <c r="AB132" s="76"/>
    </row>
    <row r="133" ht="14.25" customHeight="1">
      <c r="B133" s="18"/>
      <c r="C133" s="9"/>
      <c r="D133" s="9"/>
      <c r="F133" s="8"/>
      <c r="G133" s="7"/>
      <c r="H133" s="9"/>
      <c r="N133" s="49"/>
      <c r="O133" s="9"/>
      <c r="Q133" s="76"/>
      <c r="R133" s="49"/>
      <c r="S133" s="9"/>
      <c r="U133" s="76"/>
      <c r="V133" s="49"/>
      <c r="W133" s="9"/>
      <c r="Y133" s="76"/>
      <c r="Z133" s="76"/>
      <c r="AA133" s="76"/>
      <c r="AB133" s="76"/>
    </row>
    <row r="134" ht="15.75" customHeight="1">
      <c r="B134" s="18"/>
      <c r="C134" s="9"/>
      <c r="D134" s="9"/>
      <c r="F134" s="8"/>
      <c r="G134" s="7"/>
      <c r="N134" s="49"/>
      <c r="O134" s="9"/>
      <c r="Q134" s="76"/>
      <c r="R134" s="49"/>
      <c r="S134" s="9"/>
      <c r="U134" s="76"/>
      <c r="V134" s="49"/>
      <c r="W134" s="9"/>
      <c r="Y134" s="76"/>
      <c r="Z134" s="76"/>
      <c r="AA134" s="76"/>
      <c r="AB134" s="76"/>
    </row>
    <row r="135" ht="15.75" customHeight="1">
      <c r="B135" s="18"/>
      <c r="C135" s="9"/>
      <c r="D135" s="9"/>
      <c r="F135" s="8"/>
      <c r="G135" s="7"/>
      <c r="N135" s="49"/>
      <c r="O135" s="9"/>
      <c r="Q135" s="76"/>
      <c r="R135" s="49"/>
      <c r="S135" s="9"/>
      <c r="U135" s="76"/>
      <c r="V135" s="49"/>
      <c r="W135" s="9"/>
      <c r="Y135" s="76"/>
      <c r="Z135" s="76"/>
      <c r="AA135" s="76"/>
      <c r="AB135" s="76"/>
    </row>
    <row r="136" ht="15.75" customHeight="1">
      <c r="B136" s="18"/>
      <c r="C136" s="9"/>
      <c r="D136" s="9"/>
      <c r="F136" s="8"/>
      <c r="G136" s="7"/>
      <c r="N136" s="49"/>
      <c r="O136" s="9"/>
      <c r="Q136" s="76"/>
      <c r="R136" s="49"/>
      <c r="S136" s="9"/>
      <c r="U136" s="76"/>
      <c r="V136" s="49"/>
      <c r="W136" s="9"/>
      <c r="Y136" s="76"/>
      <c r="Z136" s="76"/>
      <c r="AA136" s="76"/>
      <c r="AB136" s="76"/>
    </row>
    <row r="137" ht="15.75" customHeight="1">
      <c r="B137" s="18"/>
      <c r="C137" s="9"/>
      <c r="D137" s="9"/>
      <c r="F137" s="8"/>
      <c r="G137" s="7"/>
      <c r="N137" s="49"/>
      <c r="O137" s="9"/>
      <c r="Q137" s="76"/>
      <c r="R137" s="49"/>
      <c r="S137" s="9"/>
      <c r="U137" s="76"/>
      <c r="V137" s="49"/>
      <c r="W137" s="9"/>
      <c r="Y137" s="76"/>
      <c r="Z137" s="76"/>
      <c r="AA137" s="76"/>
      <c r="AB137" s="76"/>
    </row>
    <row r="138" ht="15.75" customHeight="1">
      <c r="B138" s="18"/>
      <c r="C138" s="9"/>
      <c r="D138" s="9"/>
      <c r="F138" s="8"/>
      <c r="G138" s="7"/>
      <c r="N138" s="49"/>
      <c r="O138" s="9"/>
      <c r="Q138" s="76"/>
      <c r="R138" s="49"/>
      <c r="S138" s="9"/>
      <c r="U138" s="76"/>
      <c r="V138" s="49"/>
      <c r="W138" s="9"/>
      <c r="Y138" s="76"/>
      <c r="Z138" s="76"/>
      <c r="AA138" s="76"/>
      <c r="AB138" s="76"/>
    </row>
    <row r="139" ht="15.75" customHeight="1">
      <c r="B139" s="18"/>
      <c r="C139" s="9"/>
      <c r="D139" s="9"/>
      <c r="F139" s="8"/>
      <c r="G139" s="7"/>
      <c r="N139" s="49"/>
      <c r="O139" s="9"/>
      <c r="Q139" s="76"/>
      <c r="R139" s="49"/>
      <c r="S139" s="9"/>
      <c r="U139" s="76"/>
      <c r="V139" s="49"/>
      <c r="W139" s="9"/>
      <c r="Y139" s="76"/>
      <c r="Z139" s="76"/>
      <c r="AA139" s="76"/>
      <c r="AB139" s="76"/>
    </row>
    <row r="140" ht="15.75" customHeight="1">
      <c r="B140" s="18"/>
      <c r="C140" s="9"/>
      <c r="D140" s="9"/>
      <c r="F140" s="8"/>
      <c r="G140" s="7"/>
      <c r="N140" s="49"/>
      <c r="O140" s="9"/>
      <c r="Q140" s="76"/>
      <c r="R140" s="49"/>
      <c r="S140" s="9"/>
      <c r="U140" s="76"/>
      <c r="V140" s="49"/>
      <c r="W140" s="9"/>
      <c r="Y140" s="76"/>
      <c r="Z140" s="76"/>
      <c r="AA140" s="76"/>
      <c r="AB140" s="76"/>
    </row>
    <row r="141" ht="15.75" customHeight="1">
      <c r="B141" s="18"/>
      <c r="C141" s="9"/>
      <c r="D141" s="9"/>
      <c r="F141" s="8"/>
      <c r="G141" s="7"/>
      <c r="N141" s="49"/>
      <c r="O141" s="9"/>
      <c r="Q141" s="76"/>
      <c r="R141" s="49"/>
      <c r="S141" s="9"/>
      <c r="U141" s="76"/>
      <c r="V141" s="49"/>
      <c r="W141" s="9"/>
      <c r="Y141" s="76"/>
      <c r="Z141" s="76"/>
      <c r="AA141" s="76"/>
      <c r="AB141" s="76"/>
    </row>
    <row r="142" ht="15.75" customHeight="1">
      <c r="B142" s="18"/>
      <c r="C142" s="9"/>
      <c r="D142" s="9"/>
      <c r="F142" s="8"/>
      <c r="G142" s="7"/>
      <c r="N142" s="49"/>
      <c r="O142" s="9"/>
      <c r="Q142" s="76"/>
      <c r="R142" s="49"/>
      <c r="S142" s="9"/>
      <c r="U142" s="76"/>
      <c r="V142" s="49"/>
      <c r="W142" s="9"/>
      <c r="Y142" s="76"/>
      <c r="Z142" s="76"/>
      <c r="AA142" s="76"/>
      <c r="AB142" s="76"/>
    </row>
    <row r="143" ht="15.75" customHeight="1">
      <c r="B143" s="78"/>
      <c r="C143" s="9"/>
      <c r="D143" s="9"/>
      <c r="F143" s="8"/>
      <c r="G143" s="7"/>
      <c r="N143" s="49"/>
      <c r="O143" s="9"/>
      <c r="Q143" s="76"/>
      <c r="R143" s="49"/>
      <c r="S143" s="9"/>
      <c r="U143" s="76"/>
      <c r="V143" s="49"/>
      <c r="W143" s="9"/>
      <c r="Y143" s="76"/>
      <c r="Z143" s="76"/>
      <c r="AA143" s="76"/>
      <c r="AB143" s="76"/>
    </row>
    <row r="144" ht="15.75" customHeight="1">
      <c r="B144" s="78"/>
      <c r="C144" s="9"/>
      <c r="D144" s="9"/>
      <c r="F144" s="8"/>
      <c r="G144" s="7"/>
      <c r="N144" s="49"/>
      <c r="O144" s="9"/>
      <c r="Q144" s="76"/>
      <c r="R144" s="49"/>
      <c r="S144" s="9"/>
      <c r="U144" s="76"/>
      <c r="V144" s="49"/>
      <c r="W144" s="9"/>
      <c r="Y144" s="76"/>
      <c r="Z144" s="76"/>
      <c r="AA144" s="76"/>
      <c r="AB144" s="76"/>
    </row>
    <row r="145" ht="15.75" customHeight="1">
      <c r="B145" s="78"/>
      <c r="C145" s="9"/>
      <c r="D145" s="9"/>
      <c r="F145" s="8"/>
      <c r="G145" s="7"/>
      <c r="N145" s="49"/>
      <c r="O145" s="9"/>
      <c r="Q145" s="76"/>
      <c r="R145" s="49"/>
      <c r="S145" s="9"/>
      <c r="U145" s="76"/>
      <c r="V145" s="49"/>
      <c r="W145" s="9"/>
      <c r="Y145" s="76"/>
      <c r="Z145" s="76"/>
      <c r="AA145" s="76"/>
      <c r="AB145" s="76"/>
    </row>
    <row r="146" ht="15.75" customHeight="1">
      <c r="B146" s="78"/>
      <c r="C146" s="9"/>
      <c r="D146" s="9"/>
      <c r="F146" s="8"/>
      <c r="G146" s="7"/>
      <c r="N146" s="49"/>
      <c r="O146" s="9"/>
      <c r="Q146" s="76"/>
      <c r="R146" s="49"/>
      <c r="S146" s="9"/>
      <c r="U146" s="76"/>
      <c r="V146" s="49"/>
      <c r="W146" s="9"/>
      <c r="Y146" s="76"/>
      <c r="Z146" s="76"/>
      <c r="AA146" s="76"/>
      <c r="AB146" s="76"/>
    </row>
    <row r="147" ht="15.75" customHeight="1">
      <c r="B147" s="8"/>
      <c r="C147" s="9"/>
      <c r="D147" s="9"/>
      <c r="F147" s="8"/>
      <c r="G147" s="7"/>
      <c r="N147" s="49"/>
      <c r="O147" s="9"/>
      <c r="Q147" s="76"/>
      <c r="R147" s="49"/>
      <c r="S147" s="9"/>
      <c r="U147" s="76"/>
      <c r="V147" s="49"/>
      <c r="W147" s="9"/>
      <c r="Y147" s="76"/>
      <c r="Z147" s="76"/>
      <c r="AA147" s="76"/>
      <c r="AB147" s="76"/>
    </row>
    <row r="148" ht="15.75" customHeight="1">
      <c r="B148" s="8"/>
      <c r="C148" s="9"/>
      <c r="D148" s="9"/>
      <c r="F148" s="8"/>
      <c r="G148" s="7"/>
      <c r="N148" s="49"/>
      <c r="O148" s="9"/>
      <c r="Q148" s="76"/>
      <c r="R148" s="49"/>
      <c r="S148" s="9"/>
      <c r="U148" s="76"/>
      <c r="V148" s="49"/>
      <c r="W148" s="9"/>
      <c r="Y148" s="76"/>
      <c r="Z148" s="76"/>
      <c r="AA148" s="76"/>
      <c r="AB148" s="76"/>
    </row>
    <row r="149" ht="15.75" customHeight="1">
      <c r="B149" s="8"/>
      <c r="C149" s="9"/>
      <c r="D149" s="9"/>
      <c r="F149" s="8"/>
      <c r="G149" s="7"/>
      <c r="N149" s="49"/>
      <c r="O149" s="9"/>
      <c r="Q149" s="76"/>
      <c r="R149" s="49"/>
      <c r="S149" s="9"/>
      <c r="U149" s="76"/>
      <c r="V149" s="49"/>
      <c r="W149" s="9"/>
      <c r="Y149" s="76"/>
      <c r="Z149" s="76"/>
      <c r="AA149" s="76"/>
      <c r="AB149" s="76"/>
    </row>
    <row r="150" ht="15.75" customHeight="1">
      <c r="B150" s="8"/>
      <c r="C150" s="9"/>
      <c r="D150" s="9"/>
      <c r="F150" s="8"/>
      <c r="G150" s="7"/>
      <c r="N150" s="49"/>
      <c r="O150" s="9"/>
      <c r="Q150" s="76"/>
      <c r="R150" s="49"/>
      <c r="S150" s="9"/>
      <c r="U150" s="76"/>
      <c r="V150" s="49"/>
      <c r="W150" s="9"/>
      <c r="Y150" s="76"/>
      <c r="Z150" s="76"/>
      <c r="AA150" s="76"/>
      <c r="AB150" s="76"/>
    </row>
    <row r="151" ht="15.75" customHeight="1">
      <c r="B151" s="8"/>
      <c r="C151" s="9"/>
      <c r="D151" s="9"/>
      <c r="F151" s="16"/>
      <c r="G151" s="7"/>
      <c r="N151" s="49"/>
      <c r="O151" s="9"/>
      <c r="Q151" s="76"/>
      <c r="R151" s="49"/>
      <c r="S151" s="9"/>
      <c r="U151" s="76"/>
      <c r="V151" s="49"/>
      <c r="W151" s="9"/>
      <c r="Y151" s="76"/>
      <c r="Z151" s="76"/>
      <c r="AA151" s="76"/>
      <c r="AB151" s="76"/>
    </row>
    <row r="152" ht="15.75" customHeight="1">
      <c r="B152" s="8"/>
      <c r="C152" s="9"/>
      <c r="D152" s="9"/>
      <c r="F152" s="16"/>
      <c r="G152" s="7"/>
      <c r="N152" s="49"/>
      <c r="O152" s="9"/>
      <c r="Q152" s="76"/>
      <c r="R152" s="49"/>
      <c r="S152" s="9"/>
      <c r="U152" s="76"/>
      <c r="V152" s="49"/>
      <c r="W152" s="9"/>
      <c r="Y152" s="76"/>
      <c r="Z152" s="76"/>
      <c r="AA152" s="76"/>
      <c r="AB152" s="76"/>
    </row>
    <row r="153" ht="15.75" customHeight="1">
      <c r="B153" s="18"/>
      <c r="C153" s="9"/>
      <c r="D153" s="9"/>
      <c r="F153" s="16"/>
      <c r="G153" s="7"/>
      <c r="N153" s="49"/>
      <c r="O153" s="9"/>
      <c r="Q153" s="76"/>
      <c r="R153" s="49"/>
      <c r="S153" s="9"/>
      <c r="U153" s="76"/>
      <c r="V153" s="49"/>
      <c r="W153" s="9"/>
      <c r="Y153" s="76"/>
      <c r="Z153" s="76"/>
      <c r="AA153" s="76"/>
      <c r="AB153" s="76"/>
    </row>
    <row r="154" ht="15.75" customHeight="1">
      <c r="B154" s="78"/>
      <c r="C154" s="9"/>
      <c r="D154" s="9"/>
      <c r="F154" s="16"/>
      <c r="G154" s="7"/>
      <c r="N154" s="49"/>
      <c r="O154" s="9"/>
      <c r="Q154" s="76"/>
      <c r="R154" s="49"/>
      <c r="S154" s="9"/>
      <c r="U154" s="76"/>
      <c r="V154" s="49"/>
      <c r="W154" s="9"/>
      <c r="Y154" s="76"/>
      <c r="Z154" s="76"/>
      <c r="AA154" s="76"/>
      <c r="AB154" s="76"/>
    </row>
    <row r="155" ht="15.75" customHeight="1">
      <c r="B155" s="78"/>
      <c r="C155" s="9"/>
      <c r="D155" s="9"/>
      <c r="F155" s="16"/>
      <c r="G155" s="7"/>
      <c r="N155" s="49"/>
      <c r="O155" s="9"/>
      <c r="Q155" s="76"/>
      <c r="R155" s="49"/>
      <c r="S155" s="9"/>
      <c r="U155" s="76"/>
      <c r="V155" s="49"/>
      <c r="W155" s="9"/>
      <c r="Y155" s="76"/>
      <c r="Z155" s="76"/>
      <c r="AA155" s="76"/>
      <c r="AB155" s="76"/>
    </row>
    <row r="156" ht="15.75" customHeight="1">
      <c r="B156" s="77"/>
      <c r="C156" s="9"/>
      <c r="D156" s="9"/>
      <c r="F156" s="16"/>
      <c r="G156" s="7"/>
      <c r="N156" s="49"/>
      <c r="O156" s="9"/>
      <c r="Q156" s="76"/>
      <c r="R156" s="49"/>
      <c r="S156" s="9"/>
      <c r="U156" s="76"/>
      <c r="V156" s="49"/>
      <c r="W156" s="9"/>
      <c r="Y156" s="76"/>
      <c r="Z156" s="76"/>
      <c r="AA156" s="76"/>
      <c r="AB156" s="76"/>
    </row>
    <row r="157" ht="15.75" customHeight="1">
      <c r="B157" s="77"/>
      <c r="C157" s="9"/>
      <c r="D157" s="9"/>
      <c r="F157" s="8"/>
      <c r="G157" s="7"/>
      <c r="N157" s="49"/>
      <c r="O157" s="9"/>
      <c r="Q157" s="76"/>
      <c r="R157" s="49"/>
      <c r="S157" s="9"/>
      <c r="U157" s="76"/>
      <c r="V157" s="49"/>
      <c r="W157" s="9"/>
      <c r="Y157" s="76"/>
      <c r="Z157" s="76"/>
      <c r="AA157" s="76"/>
      <c r="AB157" s="76"/>
    </row>
    <row r="158" ht="15.75" customHeight="1">
      <c r="B158" s="77"/>
      <c r="C158" s="9"/>
      <c r="D158" s="9"/>
      <c r="F158" s="8"/>
      <c r="G158" s="7"/>
      <c r="N158" s="49"/>
      <c r="O158" s="9"/>
      <c r="Q158" s="76"/>
      <c r="R158" s="49"/>
      <c r="S158" s="9"/>
      <c r="U158" s="76"/>
      <c r="V158" s="49"/>
      <c r="W158" s="9"/>
      <c r="Y158" s="76"/>
      <c r="Z158" s="76"/>
      <c r="AA158" s="76"/>
      <c r="AB158" s="76"/>
    </row>
    <row r="159" ht="15.75" customHeight="1">
      <c r="B159" s="78"/>
      <c r="C159" s="9"/>
      <c r="D159" s="9"/>
      <c r="F159" s="16"/>
      <c r="G159" s="7"/>
      <c r="N159" s="49"/>
      <c r="O159" s="9"/>
      <c r="Q159" s="76"/>
      <c r="R159" s="49"/>
      <c r="S159" s="9"/>
      <c r="U159" s="76"/>
      <c r="V159" s="49"/>
      <c r="W159" s="9"/>
      <c r="Y159" s="76"/>
      <c r="Z159" s="76"/>
      <c r="AA159" s="76"/>
      <c r="AB159" s="76"/>
    </row>
    <row r="160" ht="15.75" customHeight="1">
      <c r="A160" s="76"/>
      <c r="B160" s="78"/>
      <c r="C160" s="9"/>
      <c r="D160" s="9"/>
      <c r="F160" s="8"/>
      <c r="G160" s="7"/>
      <c r="N160" s="49"/>
      <c r="O160" s="9"/>
      <c r="Q160" s="76"/>
      <c r="R160" s="49"/>
      <c r="S160" s="9"/>
      <c r="U160" s="76"/>
      <c r="V160" s="49"/>
      <c r="W160" s="9"/>
      <c r="Y160" s="76"/>
      <c r="Z160" s="76"/>
      <c r="AA160" s="76"/>
      <c r="AB160" s="76"/>
    </row>
    <row r="161" ht="15.75" customHeight="1">
      <c r="B161" s="77"/>
      <c r="C161" s="9"/>
      <c r="D161" s="9"/>
      <c r="F161" s="8"/>
      <c r="G161" s="7"/>
      <c r="N161" s="49"/>
      <c r="O161" s="9"/>
      <c r="Q161" s="76"/>
      <c r="R161" s="49"/>
      <c r="S161" s="9"/>
      <c r="U161" s="76"/>
      <c r="V161" s="49"/>
      <c r="W161" s="9"/>
      <c r="Y161" s="76"/>
      <c r="Z161" s="76"/>
      <c r="AA161" s="76"/>
      <c r="AB161" s="76"/>
    </row>
    <row r="162" ht="15.75" customHeight="1">
      <c r="B162" s="77"/>
      <c r="C162" s="9"/>
      <c r="D162" s="9"/>
      <c r="F162" s="8"/>
      <c r="G162" s="7"/>
      <c r="O162" s="9"/>
      <c r="Q162" s="76"/>
      <c r="S162" s="9"/>
      <c r="U162" s="76"/>
      <c r="W162" s="9"/>
      <c r="Y162" s="76"/>
      <c r="Z162" s="76"/>
      <c r="AA162" s="76"/>
      <c r="AB162" s="76"/>
    </row>
    <row r="163" ht="15.75" customHeight="1">
      <c r="B163" s="77"/>
      <c r="C163" s="9"/>
      <c r="D163" s="9"/>
      <c r="F163" s="8"/>
      <c r="G163" s="7"/>
      <c r="O163" s="9"/>
      <c r="Q163" s="76"/>
      <c r="S163" s="9"/>
      <c r="U163" s="76"/>
      <c r="W163" s="9"/>
      <c r="Y163" s="76"/>
      <c r="Z163" s="76"/>
      <c r="AA163" s="76"/>
      <c r="AB163" s="76"/>
    </row>
    <row r="164" ht="15.75" customHeight="1">
      <c r="B164" s="78"/>
      <c r="C164" s="9"/>
      <c r="D164" s="9"/>
      <c r="F164" s="8"/>
      <c r="G164" s="7"/>
      <c r="O164" s="9"/>
      <c r="Q164" s="76"/>
      <c r="S164" s="9"/>
      <c r="U164" s="76"/>
      <c r="W164" s="9"/>
      <c r="Y164" s="76"/>
      <c r="Z164" s="76"/>
      <c r="AA164" s="76"/>
      <c r="AB164" s="76"/>
    </row>
    <row r="165" ht="15.75" customHeight="1">
      <c r="B165" s="78"/>
      <c r="C165" s="9"/>
      <c r="D165" s="9"/>
      <c r="F165" s="8"/>
      <c r="G165" s="7"/>
      <c r="O165" s="9"/>
      <c r="Q165" s="76"/>
      <c r="S165" s="9"/>
      <c r="U165" s="76"/>
      <c r="W165" s="9"/>
      <c r="Y165" s="76"/>
      <c r="Z165" s="76"/>
      <c r="AA165" s="76"/>
      <c r="AB165" s="76"/>
    </row>
    <row r="166" ht="15.75" customHeight="1">
      <c r="B166" s="8"/>
      <c r="C166" s="9"/>
      <c r="D166" s="9"/>
      <c r="F166" s="8"/>
      <c r="G166" s="7"/>
      <c r="O166" s="9"/>
      <c r="Q166" s="76"/>
      <c r="S166" s="9"/>
      <c r="U166" s="76"/>
      <c r="W166" s="9"/>
      <c r="Y166" s="76"/>
      <c r="Z166" s="76"/>
      <c r="AA166" s="76"/>
      <c r="AB166" s="76"/>
    </row>
    <row r="167" ht="15.75" customHeight="1">
      <c r="B167" s="8"/>
      <c r="C167" s="9"/>
      <c r="D167" s="9"/>
      <c r="F167" s="8"/>
      <c r="G167" s="7"/>
      <c r="O167" s="9"/>
      <c r="Q167" s="76"/>
      <c r="S167" s="9"/>
      <c r="U167" s="76"/>
      <c r="W167" s="9"/>
      <c r="Y167" s="76"/>
      <c r="Z167" s="76"/>
      <c r="AA167" s="76"/>
      <c r="AB167" s="76"/>
    </row>
    <row r="168" ht="15.75" customHeight="1">
      <c r="B168" s="8"/>
      <c r="C168" s="9"/>
      <c r="D168" s="9"/>
      <c r="F168" s="8"/>
      <c r="G168" s="7"/>
      <c r="N168" s="49"/>
      <c r="O168" s="9"/>
      <c r="Q168" s="76"/>
      <c r="R168" s="49"/>
      <c r="S168" s="9"/>
      <c r="U168" s="76"/>
      <c r="V168" s="49"/>
      <c r="W168" s="9"/>
      <c r="Y168" s="76"/>
      <c r="Z168" s="76"/>
      <c r="AA168" s="76"/>
      <c r="AB168" s="76"/>
    </row>
    <row r="169" ht="15.75" customHeight="1">
      <c r="B169" s="8"/>
      <c r="C169" s="9"/>
      <c r="D169" s="9"/>
      <c r="F169" s="8"/>
      <c r="G169" s="7"/>
      <c r="N169" s="57"/>
      <c r="O169" s="9"/>
      <c r="Q169" s="76"/>
      <c r="R169" s="57"/>
      <c r="S169" s="9"/>
      <c r="U169" s="76"/>
      <c r="V169" s="57"/>
      <c r="W169" s="9"/>
      <c r="Y169" s="76"/>
      <c r="Z169" s="76"/>
      <c r="AA169" s="76"/>
      <c r="AB169" s="76"/>
    </row>
    <row r="170" ht="15.75" customHeight="1">
      <c r="B170" s="18"/>
      <c r="C170" s="9"/>
      <c r="D170" s="9"/>
      <c r="F170" s="8"/>
      <c r="G170" s="9"/>
      <c r="Q170" s="76"/>
      <c r="U170" s="76"/>
      <c r="Y170" s="76"/>
      <c r="Z170" s="76"/>
      <c r="AA170" s="76"/>
      <c r="AB170" s="76"/>
    </row>
    <row r="171" ht="15.75" customHeight="1">
      <c r="B171" s="8"/>
      <c r="C171" s="9"/>
      <c r="D171" s="9"/>
      <c r="F171" s="8"/>
      <c r="G171" s="9"/>
      <c r="Q171" s="76"/>
      <c r="U171" s="76"/>
      <c r="Y171" s="76"/>
      <c r="Z171" s="76"/>
      <c r="AA171" s="76"/>
      <c r="AB171" s="76"/>
    </row>
    <row r="172" ht="15.75" customHeight="1">
      <c r="B172" s="8"/>
      <c r="C172" s="9"/>
      <c r="D172" s="9"/>
      <c r="F172" s="8"/>
      <c r="G172" s="9"/>
      <c r="Q172" s="76"/>
      <c r="U172" s="76"/>
      <c r="Y172" s="76"/>
      <c r="Z172" s="76"/>
      <c r="AA172" s="76"/>
      <c r="AB172" s="76"/>
    </row>
    <row r="173" ht="15.75" customHeight="1">
      <c r="B173" s="8"/>
      <c r="C173" s="9"/>
      <c r="D173" s="9"/>
      <c r="F173" s="8"/>
      <c r="G173" s="9"/>
      <c r="Q173" s="76"/>
      <c r="U173" s="76"/>
      <c r="Y173" s="76"/>
      <c r="Z173" s="76"/>
      <c r="AA173" s="76"/>
      <c r="AB173" s="76"/>
    </row>
    <row r="174" ht="15.75" customHeight="1">
      <c r="B174" s="18"/>
      <c r="C174" s="9"/>
      <c r="D174" s="9"/>
      <c r="F174" s="8"/>
      <c r="G174" s="9"/>
      <c r="Q174" s="76"/>
      <c r="U174" s="76"/>
      <c r="Y174" s="76"/>
      <c r="Z174" s="76"/>
      <c r="AA174" s="76"/>
      <c r="AB174" s="76"/>
    </row>
    <row r="175" ht="15.75" customHeight="1">
      <c r="B175" s="18"/>
      <c r="C175" s="9"/>
      <c r="D175" s="9"/>
      <c r="F175" s="8"/>
      <c r="G175" s="9"/>
      <c r="Q175" s="76"/>
      <c r="U175" s="76"/>
      <c r="Y175" s="76"/>
      <c r="Z175" s="76"/>
      <c r="AA175" s="76"/>
      <c r="AB175" s="76"/>
    </row>
    <row r="176" ht="15.75" customHeight="1">
      <c r="B176" s="18"/>
      <c r="C176" s="9"/>
      <c r="D176" s="9"/>
      <c r="F176" s="8"/>
      <c r="G176" s="9"/>
      <c r="Q176" s="76"/>
      <c r="U176" s="76"/>
      <c r="Y176" s="76"/>
      <c r="Z176" s="76"/>
      <c r="AA176" s="76"/>
      <c r="AB176" s="76"/>
    </row>
    <row r="177" ht="15.75" customHeight="1">
      <c r="B177" s="18"/>
      <c r="C177" s="9"/>
      <c r="D177" s="9"/>
      <c r="F177" s="8"/>
      <c r="G177" s="9"/>
      <c r="Q177" s="76"/>
      <c r="U177" s="76"/>
      <c r="Y177" s="76"/>
      <c r="Z177" s="76"/>
      <c r="AA177" s="76"/>
      <c r="AB177" s="76"/>
    </row>
    <row r="178" ht="15.75" customHeight="1">
      <c r="B178" s="18"/>
      <c r="C178" s="9"/>
      <c r="D178" s="9"/>
      <c r="F178" s="8"/>
      <c r="G178" s="9"/>
      <c r="Q178" s="76"/>
      <c r="U178" s="76"/>
      <c r="Y178" s="76"/>
      <c r="Z178" s="76"/>
      <c r="AA178" s="76"/>
      <c r="AB178" s="76"/>
    </row>
    <row r="179" ht="15.75" customHeight="1">
      <c r="B179" s="18"/>
      <c r="C179" s="9"/>
      <c r="D179" s="9"/>
      <c r="F179" s="8"/>
      <c r="G179" s="9"/>
      <c r="Q179" s="76"/>
      <c r="U179" s="76"/>
      <c r="Y179" s="76"/>
      <c r="Z179" s="76"/>
      <c r="AA179" s="76"/>
      <c r="AB179" s="76"/>
    </row>
    <row r="180" ht="15.75" customHeight="1">
      <c r="B180" s="18"/>
      <c r="C180" s="9"/>
      <c r="D180" s="9"/>
      <c r="F180" s="8"/>
      <c r="G180" s="9"/>
      <c r="Q180" s="76"/>
      <c r="U180" s="76"/>
      <c r="Y180" s="76"/>
      <c r="Z180" s="76"/>
      <c r="AA180" s="76"/>
      <c r="AB180" s="76"/>
    </row>
    <row r="181" ht="15.75" customHeight="1">
      <c r="B181" s="18"/>
      <c r="C181" s="9"/>
      <c r="D181" s="9"/>
      <c r="F181" s="8"/>
      <c r="G181" s="9"/>
      <c r="Q181" s="76"/>
      <c r="U181" s="76"/>
      <c r="Y181" s="76"/>
      <c r="Z181" s="76"/>
      <c r="AA181" s="76"/>
      <c r="AB181" s="76"/>
    </row>
    <row r="182" ht="15.75" customHeight="1">
      <c r="B182" s="18"/>
      <c r="C182" s="9"/>
      <c r="D182" s="9"/>
      <c r="F182" s="8"/>
      <c r="G182" s="9"/>
      <c r="Q182" s="76"/>
      <c r="U182" s="76"/>
      <c r="Y182" s="76"/>
      <c r="Z182" s="76"/>
      <c r="AA182" s="76"/>
      <c r="AB182" s="76"/>
    </row>
    <row r="183" ht="15.75" customHeight="1">
      <c r="B183" s="18"/>
      <c r="C183" s="9"/>
      <c r="D183" s="9"/>
      <c r="F183" s="8"/>
      <c r="G183" s="9"/>
      <c r="Q183" s="76"/>
      <c r="U183" s="76"/>
      <c r="Y183" s="76"/>
      <c r="Z183" s="76"/>
      <c r="AA183" s="76"/>
      <c r="AB183" s="76"/>
    </row>
    <row r="184" ht="15.75" customHeight="1">
      <c r="B184" s="18"/>
      <c r="C184" s="9"/>
      <c r="D184" s="9"/>
      <c r="F184" s="8"/>
      <c r="G184" s="9"/>
      <c r="Q184" s="76"/>
      <c r="U184" s="76"/>
      <c r="Y184" s="76"/>
      <c r="Z184" s="76"/>
      <c r="AA184" s="76"/>
      <c r="AB184" s="76"/>
    </row>
    <row r="185" ht="15.75" customHeight="1">
      <c r="B185" s="18"/>
      <c r="C185" s="9"/>
      <c r="D185" s="9"/>
      <c r="F185" s="8"/>
      <c r="G185" s="9"/>
      <c r="Q185" s="76"/>
      <c r="U185" s="76"/>
      <c r="Y185" s="76"/>
      <c r="Z185" s="76"/>
      <c r="AA185" s="76"/>
      <c r="AB185" s="76"/>
    </row>
    <row r="186" ht="15.75" customHeight="1">
      <c r="B186" s="18"/>
      <c r="C186" s="9"/>
      <c r="D186" s="9"/>
      <c r="F186" s="8"/>
      <c r="G186" s="9"/>
      <c r="Q186" s="76"/>
      <c r="U186" s="76"/>
      <c r="Y186" s="76"/>
      <c r="Z186" s="76"/>
      <c r="AA186" s="76"/>
      <c r="AB186" s="76"/>
    </row>
    <row r="187" ht="15.75" customHeight="1">
      <c r="B187" s="18"/>
      <c r="C187" s="9"/>
      <c r="D187" s="9"/>
      <c r="F187" s="8"/>
      <c r="G187" s="9"/>
      <c r="Q187" s="76"/>
      <c r="U187" s="76"/>
      <c r="Y187" s="76"/>
      <c r="Z187" s="76"/>
      <c r="AA187" s="76"/>
      <c r="AB187" s="76"/>
    </row>
    <row r="188" ht="15.75" customHeight="1">
      <c r="B188" s="18"/>
      <c r="C188" s="9"/>
      <c r="D188" s="9"/>
      <c r="F188" s="8"/>
      <c r="G188" s="9"/>
      <c r="Q188" s="76"/>
      <c r="U188" s="76"/>
      <c r="Y188" s="76"/>
      <c r="Z188" s="76"/>
      <c r="AA188" s="76"/>
      <c r="AB188" s="76"/>
    </row>
    <row r="189" ht="15.75" customHeight="1">
      <c r="B189" s="18"/>
      <c r="C189" s="9"/>
      <c r="D189" s="9"/>
      <c r="F189" s="8"/>
      <c r="G189" s="9"/>
      <c r="Q189" s="76"/>
      <c r="U189" s="76"/>
      <c r="Y189" s="76"/>
      <c r="Z189" s="76"/>
      <c r="AA189" s="76"/>
      <c r="AB189" s="76"/>
    </row>
    <row r="190" ht="15.75" customHeight="1">
      <c r="B190" s="18"/>
      <c r="C190" s="9"/>
      <c r="D190" s="9"/>
      <c r="F190" s="8"/>
      <c r="G190" s="9"/>
      <c r="Q190" s="76"/>
      <c r="U190" s="76"/>
      <c r="Y190" s="76"/>
      <c r="Z190" s="76"/>
      <c r="AA190" s="76"/>
      <c r="AB190" s="76"/>
    </row>
    <row r="191" ht="15.75" customHeight="1">
      <c r="B191" s="18"/>
      <c r="C191" s="9"/>
      <c r="D191" s="9"/>
      <c r="F191" s="8"/>
      <c r="G191" s="9"/>
      <c r="Q191" s="76"/>
      <c r="U191" s="76"/>
      <c r="Y191" s="76"/>
      <c r="Z191" s="76"/>
      <c r="AA191" s="76"/>
      <c r="AB191" s="76"/>
    </row>
    <row r="192" ht="15.75" customHeight="1">
      <c r="B192" s="18"/>
      <c r="C192" s="9"/>
      <c r="D192" s="9"/>
      <c r="F192" s="8"/>
      <c r="G192" s="9"/>
      <c r="Q192" s="76"/>
      <c r="U192" s="76"/>
      <c r="Y192" s="76"/>
      <c r="Z192" s="76"/>
      <c r="AA192" s="76"/>
      <c r="AB192" s="76"/>
    </row>
    <row r="193" ht="15.75" customHeight="1">
      <c r="B193" s="18"/>
      <c r="C193" s="9"/>
      <c r="D193" s="9"/>
      <c r="F193" s="8"/>
      <c r="G193" s="9"/>
      <c r="Q193" s="76"/>
      <c r="U193" s="76"/>
      <c r="Y193" s="76"/>
      <c r="Z193" s="76"/>
      <c r="AA193" s="76"/>
      <c r="AB193" s="76"/>
    </row>
    <row r="194" ht="15.75" customHeight="1">
      <c r="B194" s="18"/>
      <c r="C194" s="9"/>
      <c r="D194" s="9"/>
      <c r="F194" s="8"/>
      <c r="G194" s="9"/>
      <c r="Q194" s="76"/>
      <c r="U194" s="76"/>
      <c r="Y194" s="76"/>
      <c r="Z194" s="76"/>
      <c r="AA194" s="76"/>
      <c r="AB194" s="76"/>
    </row>
    <row r="195" ht="15.75" customHeight="1">
      <c r="C195" s="9"/>
      <c r="F195" s="8"/>
      <c r="G195" s="9"/>
      <c r="Q195" s="76"/>
      <c r="U195" s="76"/>
      <c r="Y195" s="76"/>
      <c r="Z195" s="76"/>
      <c r="AA195" s="76"/>
      <c r="AB195" s="76"/>
    </row>
    <row r="196" ht="15.75" customHeight="1">
      <c r="B196" s="18"/>
      <c r="F196" s="8"/>
      <c r="G196" s="9"/>
      <c r="Q196" s="76"/>
      <c r="U196" s="76"/>
      <c r="Y196" s="76"/>
      <c r="Z196" s="76"/>
      <c r="AA196" s="76"/>
      <c r="AB196" s="76"/>
    </row>
    <row r="197" ht="15.75" customHeight="1">
      <c r="B197" s="18"/>
      <c r="F197" s="8"/>
      <c r="G197" s="9"/>
      <c r="Q197" s="76"/>
      <c r="U197" s="76"/>
      <c r="Y197" s="76"/>
      <c r="Z197" s="76"/>
      <c r="AA197" s="76"/>
      <c r="AB197" s="76"/>
    </row>
    <row r="198" ht="15.75" customHeight="1">
      <c r="B198" s="18"/>
      <c r="F198" s="8"/>
      <c r="G198" s="9"/>
      <c r="Q198" s="76"/>
      <c r="U198" s="76"/>
      <c r="Y198" s="76"/>
      <c r="Z198" s="76"/>
      <c r="AA198" s="76"/>
      <c r="AB198" s="76"/>
    </row>
    <row r="199" ht="15.75" customHeight="1">
      <c r="B199" s="18"/>
      <c r="F199" s="8"/>
      <c r="G199" s="9"/>
      <c r="Q199" s="76"/>
      <c r="U199" s="76"/>
      <c r="Y199" s="76"/>
      <c r="Z199" s="76"/>
      <c r="AA199" s="76"/>
      <c r="AB199" s="76"/>
    </row>
    <row r="200" ht="15.75" customHeight="1">
      <c r="B200" s="18"/>
      <c r="F200" s="8"/>
      <c r="G200" s="9"/>
      <c r="Q200" s="76"/>
      <c r="U200" s="76"/>
      <c r="Y200" s="76"/>
      <c r="Z200" s="76"/>
      <c r="AA200" s="76"/>
      <c r="AB200" s="76"/>
    </row>
    <row r="201" ht="15.75" customHeight="1">
      <c r="B201" s="18"/>
      <c r="F201" s="8"/>
      <c r="G201" s="9"/>
      <c r="Q201" s="76"/>
      <c r="U201" s="76"/>
      <c r="Y201" s="76"/>
      <c r="Z201" s="76"/>
      <c r="AA201" s="76"/>
      <c r="AB201" s="76"/>
    </row>
    <row r="202" ht="15.75" customHeight="1">
      <c r="B202" s="18"/>
      <c r="F202" s="8"/>
      <c r="G202" s="9"/>
      <c r="Q202" s="76"/>
      <c r="U202" s="76"/>
      <c r="Y202" s="76"/>
      <c r="Z202" s="76"/>
      <c r="AA202" s="76"/>
      <c r="AB202" s="76"/>
    </row>
    <row r="203" ht="15.75" customHeight="1">
      <c r="B203" s="18"/>
      <c r="F203" s="8"/>
      <c r="G203" s="9"/>
      <c r="Q203" s="76"/>
      <c r="U203" s="76"/>
      <c r="Y203" s="76"/>
      <c r="Z203" s="76"/>
      <c r="AA203" s="76"/>
      <c r="AB203" s="76"/>
    </row>
    <row r="204" ht="15.75" customHeight="1">
      <c r="B204" s="18"/>
      <c r="F204" s="8"/>
      <c r="G204" s="9"/>
      <c r="Q204" s="76"/>
      <c r="U204" s="76"/>
      <c r="Y204" s="76"/>
      <c r="Z204" s="76"/>
      <c r="AA204" s="76"/>
      <c r="AB204" s="76"/>
    </row>
    <row r="205" ht="15.75" customHeight="1">
      <c r="B205" s="18"/>
      <c r="F205" s="8"/>
      <c r="G205" s="9"/>
      <c r="Q205" s="76"/>
      <c r="U205" s="76"/>
      <c r="Y205" s="76"/>
      <c r="Z205" s="76"/>
      <c r="AA205" s="76"/>
      <c r="AB205" s="76"/>
    </row>
    <row r="206" ht="15.75" customHeight="1">
      <c r="B206" s="18"/>
      <c r="F206" s="8"/>
      <c r="G206" s="9"/>
      <c r="Q206" s="76"/>
      <c r="U206" s="76"/>
      <c r="Y206" s="76"/>
      <c r="Z206" s="76"/>
      <c r="AA206" s="76"/>
      <c r="AB206" s="76"/>
    </row>
    <row r="207" ht="15.75" customHeight="1">
      <c r="B207" s="18"/>
      <c r="F207" s="8"/>
      <c r="G207" s="9"/>
      <c r="Q207" s="76"/>
      <c r="U207" s="76"/>
      <c r="Y207" s="76"/>
      <c r="Z207" s="76"/>
      <c r="AA207" s="76"/>
      <c r="AB207" s="76"/>
    </row>
    <row r="208" ht="15.75" customHeight="1">
      <c r="B208" s="78"/>
      <c r="F208" s="8"/>
      <c r="G208" s="9"/>
      <c r="Q208" s="76"/>
      <c r="U208" s="76"/>
      <c r="Y208" s="76"/>
      <c r="Z208" s="76"/>
      <c r="AA208" s="76"/>
      <c r="AB208" s="76"/>
    </row>
    <row r="209" ht="15.75" customHeight="1">
      <c r="B209" s="78"/>
      <c r="F209" s="8"/>
      <c r="G209" s="9"/>
      <c r="Q209" s="76"/>
      <c r="U209" s="76"/>
      <c r="Y209" s="76"/>
      <c r="Z209" s="76"/>
      <c r="AA209" s="76"/>
      <c r="AB209" s="76"/>
    </row>
    <row r="210" ht="15.75" customHeight="1">
      <c r="B210" s="78"/>
      <c r="F210" s="8"/>
      <c r="G210" s="9"/>
      <c r="Q210" s="76"/>
      <c r="U210" s="76"/>
      <c r="Y210" s="76"/>
      <c r="Z210" s="76"/>
      <c r="AA210" s="76"/>
      <c r="AB210" s="76"/>
    </row>
    <row r="211" ht="15.75" customHeight="1">
      <c r="B211" s="78"/>
      <c r="F211" s="8"/>
      <c r="G211" s="9"/>
      <c r="Q211" s="76"/>
      <c r="U211" s="76"/>
      <c r="Y211" s="76"/>
      <c r="Z211" s="76"/>
      <c r="AA211" s="76"/>
      <c r="AB211" s="76"/>
    </row>
    <row r="212" ht="15.75" customHeight="1">
      <c r="F212" s="8"/>
      <c r="G212" s="9"/>
      <c r="Q212" s="76"/>
      <c r="U212" s="76"/>
      <c r="Y212" s="76"/>
      <c r="Z212" s="76"/>
      <c r="AA212" s="76"/>
      <c r="AB212" s="76"/>
    </row>
    <row r="213" ht="15.75" customHeight="1">
      <c r="F213" s="8"/>
      <c r="G213" s="9"/>
      <c r="Q213" s="76"/>
      <c r="U213" s="76"/>
      <c r="Y213" s="76"/>
      <c r="Z213" s="76"/>
      <c r="AA213" s="76"/>
      <c r="AB213" s="76"/>
    </row>
    <row r="214" ht="15.75" customHeight="1">
      <c r="F214" s="8"/>
      <c r="G214" s="9"/>
      <c r="Q214" s="76"/>
      <c r="U214" s="76"/>
      <c r="Y214" s="76"/>
      <c r="Z214" s="76"/>
      <c r="AA214" s="76"/>
      <c r="AB214" s="76"/>
    </row>
    <row r="215" ht="15.75" customHeight="1">
      <c r="F215" s="8"/>
      <c r="G215" s="9"/>
      <c r="Q215" s="76"/>
      <c r="U215" s="76"/>
      <c r="Y215" s="76"/>
      <c r="Z215" s="76"/>
      <c r="AA215" s="76"/>
      <c r="AB215" s="76"/>
    </row>
    <row r="216" ht="15.75" customHeight="1">
      <c r="F216" s="8"/>
      <c r="G216" s="9"/>
      <c r="Q216" s="76"/>
      <c r="U216" s="76"/>
      <c r="Y216" s="76"/>
      <c r="Z216" s="76"/>
      <c r="AA216" s="76"/>
      <c r="AB216" s="76"/>
    </row>
    <row r="217" ht="15.75" customHeight="1">
      <c r="F217" s="8"/>
      <c r="G217" s="9"/>
      <c r="Q217" s="76"/>
      <c r="U217" s="76"/>
      <c r="Y217" s="76"/>
      <c r="Z217" s="76"/>
      <c r="AA217" s="76"/>
      <c r="AB217" s="76"/>
    </row>
    <row r="218" ht="15.75" customHeight="1">
      <c r="F218" s="8"/>
      <c r="G218" s="9"/>
      <c r="Q218" s="76"/>
      <c r="U218" s="76"/>
      <c r="Y218" s="76"/>
      <c r="Z218" s="76"/>
      <c r="AA218" s="76"/>
      <c r="AB218" s="76"/>
    </row>
    <row r="219" ht="15.75" customHeight="1">
      <c r="F219" s="8"/>
      <c r="G219" s="9"/>
      <c r="Q219" s="76"/>
      <c r="U219" s="76"/>
      <c r="Y219" s="76"/>
      <c r="Z219" s="76"/>
      <c r="AA219" s="76"/>
      <c r="AB219" s="76"/>
    </row>
    <row r="220" ht="15.75" customHeight="1">
      <c r="F220" s="8"/>
      <c r="G220" s="9"/>
      <c r="Q220" s="76"/>
      <c r="U220" s="76"/>
      <c r="Y220" s="76"/>
      <c r="Z220" s="76"/>
      <c r="AA220" s="76"/>
      <c r="AB220" s="76"/>
    </row>
    <row r="221" ht="15.75" customHeight="1">
      <c r="F221" s="8"/>
      <c r="G221" s="9"/>
      <c r="Q221" s="76"/>
      <c r="U221" s="76"/>
      <c r="Y221" s="76"/>
      <c r="Z221" s="76"/>
      <c r="AA221" s="76"/>
      <c r="AB221" s="76"/>
    </row>
    <row r="222" ht="15.75" customHeight="1">
      <c r="F222" s="8"/>
      <c r="G222" s="9"/>
      <c r="Q222" s="76"/>
      <c r="U222" s="76"/>
      <c r="Y222" s="76"/>
      <c r="Z222" s="76"/>
      <c r="AA222" s="76"/>
      <c r="AB222" s="76"/>
    </row>
    <row r="223" ht="15.75" customHeight="1">
      <c r="F223" s="8"/>
      <c r="G223" s="9"/>
      <c r="Q223" s="76"/>
      <c r="U223" s="76"/>
      <c r="Y223" s="76"/>
      <c r="Z223" s="76"/>
      <c r="AA223" s="76"/>
      <c r="AB223" s="76"/>
    </row>
    <row r="224" ht="15.75" customHeight="1">
      <c r="F224" s="8"/>
      <c r="G224" s="9"/>
      <c r="Q224" s="76"/>
      <c r="U224" s="76"/>
      <c r="Y224" s="76"/>
      <c r="Z224" s="76"/>
      <c r="AA224" s="76"/>
      <c r="AB224" s="76"/>
    </row>
    <row r="225" ht="15.75" customHeight="1">
      <c r="F225" s="8"/>
      <c r="G225" s="9"/>
      <c r="Q225" s="76"/>
      <c r="U225" s="76"/>
      <c r="Y225" s="76"/>
      <c r="Z225" s="76"/>
      <c r="AA225" s="76"/>
      <c r="AB225" s="76"/>
    </row>
    <row r="226" ht="15.75" customHeight="1">
      <c r="F226" s="8"/>
      <c r="G226" s="9"/>
      <c r="Q226" s="76"/>
      <c r="U226" s="76"/>
      <c r="Y226" s="76"/>
      <c r="Z226" s="76"/>
      <c r="AA226" s="76"/>
      <c r="AB226" s="76"/>
    </row>
    <row r="227" ht="15.75" customHeight="1">
      <c r="F227" s="8"/>
      <c r="G227" s="9"/>
      <c r="Q227" s="76"/>
      <c r="U227" s="76"/>
      <c r="Y227" s="76"/>
      <c r="Z227" s="76"/>
      <c r="AA227" s="76"/>
      <c r="AB227" s="76"/>
    </row>
    <row r="228" ht="15.75" customHeight="1">
      <c r="F228" s="8"/>
      <c r="G228" s="9"/>
      <c r="Q228" s="76"/>
      <c r="U228" s="76"/>
      <c r="Y228" s="76"/>
      <c r="Z228" s="76"/>
      <c r="AA228" s="76"/>
      <c r="AB228" s="76"/>
    </row>
    <row r="229" ht="15.75" customHeight="1">
      <c r="F229" s="8"/>
      <c r="G229" s="9"/>
      <c r="Q229" s="76"/>
      <c r="U229" s="76"/>
      <c r="Y229" s="76"/>
      <c r="Z229" s="76"/>
      <c r="AA229" s="76"/>
      <c r="AB229" s="76"/>
    </row>
    <row r="230" ht="15.75" customHeight="1">
      <c r="F230" s="8"/>
      <c r="G230" s="9"/>
      <c r="Q230" s="76"/>
      <c r="U230" s="76"/>
      <c r="Y230" s="76"/>
      <c r="Z230" s="76"/>
      <c r="AA230" s="76"/>
      <c r="AB230" s="76"/>
    </row>
    <row r="231" ht="15.75" customHeight="1">
      <c r="F231" s="8"/>
      <c r="G231" s="9"/>
      <c r="Q231" s="76"/>
      <c r="U231" s="76"/>
      <c r="Y231" s="76"/>
      <c r="Z231" s="76"/>
      <c r="AA231" s="76"/>
      <c r="AB231" s="76"/>
    </row>
    <row r="232" ht="15.75" customHeight="1">
      <c r="F232" s="8"/>
      <c r="G232" s="9"/>
      <c r="Q232" s="76"/>
      <c r="U232" s="76"/>
      <c r="Y232" s="76"/>
      <c r="Z232" s="76"/>
      <c r="AA232" s="76"/>
      <c r="AB232" s="76"/>
    </row>
    <row r="233" ht="15.75" customHeight="1">
      <c r="F233" s="8"/>
      <c r="G233" s="9"/>
      <c r="Q233" s="76"/>
      <c r="U233" s="76"/>
      <c r="Y233" s="76"/>
      <c r="Z233" s="76"/>
      <c r="AA233" s="76"/>
      <c r="AB233" s="76"/>
    </row>
    <row r="234" ht="15.75" customHeight="1">
      <c r="F234" s="8"/>
      <c r="G234" s="9"/>
      <c r="Q234" s="76"/>
      <c r="U234" s="76"/>
      <c r="Y234" s="76"/>
      <c r="Z234" s="76"/>
      <c r="AA234" s="76"/>
      <c r="AB234" s="76"/>
    </row>
    <row r="235" ht="15.75" customHeight="1">
      <c r="F235" s="8"/>
      <c r="G235" s="9"/>
      <c r="Q235" s="76"/>
      <c r="U235" s="76"/>
      <c r="Y235" s="76"/>
      <c r="Z235" s="76"/>
      <c r="AA235" s="76"/>
      <c r="AB235" s="76"/>
    </row>
    <row r="236" ht="15.75" customHeight="1">
      <c r="F236" s="8"/>
      <c r="G236" s="9"/>
      <c r="Q236" s="76"/>
      <c r="U236" s="76"/>
      <c r="Y236" s="76"/>
      <c r="Z236" s="76"/>
      <c r="AA236" s="76"/>
      <c r="AB236" s="76"/>
    </row>
    <row r="237" ht="15.75" customHeight="1">
      <c r="F237" s="8"/>
      <c r="G237" s="9"/>
      <c r="Q237" s="76"/>
      <c r="U237" s="76"/>
      <c r="Y237" s="76"/>
      <c r="Z237" s="76"/>
      <c r="AA237" s="76"/>
      <c r="AB237" s="76"/>
    </row>
    <row r="238" ht="15.75" customHeight="1">
      <c r="F238" s="8"/>
      <c r="G238" s="9"/>
      <c r="Q238" s="76"/>
      <c r="U238" s="76"/>
      <c r="Y238" s="76"/>
      <c r="Z238" s="76"/>
      <c r="AA238" s="76"/>
      <c r="AB238" s="76"/>
    </row>
    <row r="239" ht="15.75" customHeight="1">
      <c r="F239" s="8"/>
      <c r="G239" s="9"/>
      <c r="Q239" s="76"/>
      <c r="U239" s="76"/>
      <c r="Y239" s="76"/>
      <c r="Z239" s="76"/>
      <c r="AA239" s="76"/>
      <c r="AB239" s="76"/>
    </row>
    <row r="240" ht="15.75" customHeight="1">
      <c r="F240" s="8"/>
      <c r="G240" s="9"/>
      <c r="Q240" s="76"/>
      <c r="U240" s="76"/>
      <c r="Y240" s="76"/>
      <c r="Z240" s="76"/>
      <c r="AA240" s="76"/>
      <c r="AB240" s="76"/>
    </row>
    <row r="241" ht="15.75" customHeight="1">
      <c r="F241" s="8"/>
      <c r="G241" s="9"/>
      <c r="Q241" s="76"/>
      <c r="U241" s="76"/>
      <c r="Y241" s="76"/>
      <c r="Z241" s="76"/>
      <c r="AA241" s="76"/>
      <c r="AB241" s="76"/>
    </row>
    <row r="242" ht="15.75" customHeight="1">
      <c r="F242" s="8"/>
      <c r="G242" s="9"/>
      <c r="Q242" s="76"/>
      <c r="U242" s="76"/>
      <c r="Y242" s="76"/>
      <c r="Z242" s="76"/>
      <c r="AA242" s="76"/>
      <c r="AB242" s="76"/>
    </row>
    <row r="243" ht="15.75" customHeight="1">
      <c r="F243" s="8"/>
      <c r="G243" s="9"/>
      <c r="Q243" s="76"/>
      <c r="U243" s="76"/>
      <c r="Y243" s="76"/>
      <c r="Z243" s="76"/>
      <c r="AA243" s="76"/>
      <c r="AB243" s="76"/>
    </row>
    <row r="244" ht="15.75" customHeight="1">
      <c r="F244" s="8"/>
      <c r="G244" s="9"/>
      <c r="Q244" s="76"/>
      <c r="U244" s="76"/>
      <c r="Y244" s="76"/>
      <c r="Z244" s="76"/>
      <c r="AA244" s="76"/>
      <c r="AB244" s="76"/>
    </row>
    <row r="245" ht="15.75" customHeight="1">
      <c r="F245" s="8"/>
      <c r="G245" s="9"/>
      <c r="Q245" s="76"/>
      <c r="U245" s="76"/>
      <c r="Y245" s="76"/>
      <c r="Z245" s="76"/>
      <c r="AA245" s="76"/>
      <c r="AB245" s="76"/>
    </row>
    <row r="246" ht="15.75" customHeight="1">
      <c r="F246" s="8"/>
      <c r="G246" s="9"/>
      <c r="Q246" s="76"/>
      <c r="U246" s="76"/>
      <c r="Y246" s="76"/>
      <c r="Z246" s="76"/>
      <c r="AA246" s="76"/>
      <c r="AB246" s="76"/>
    </row>
    <row r="247" ht="15.75" customHeight="1">
      <c r="F247" s="8"/>
      <c r="G247" s="9"/>
      <c r="Q247" s="76"/>
      <c r="U247" s="76"/>
      <c r="Y247" s="76"/>
      <c r="Z247" s="76"/>
      <c r="AA247" s="76"/>
      <c r="AB247" s="76"/>
    </row>
    <row r="248" ht="15.75" customHeight="1">
      <c r="F248" s="8"/>
      <c r="G248" s="9"/>
      <c r="Q248" s="76"/>
      <c r="U248" s="76"/>
      <c r="Y248" s="76"/>
      <c r="Z248" s="76"/>
      <c r="AA248" s="76"/>
      <c r="AB248" s="76"/>
    </row>
    <row r="249" ht="15.75" customHeight="1">
      <c r="F249" s="8"/>
      <c r="G249" s="9"/>
      <c r="Q249" s="76"/>
      <c r="U249" s="76"/>
      <c r="Y249" s="76"/>
      <c r="Z249" s="76"/>
      <c r="AA249" s="76"/>
      <c r="AB249" s="76"/>
    </row>
    <row r="250" ht="15.75" customHeight="1">
      <c r="F250" s="8"/>
      <c r="G250" s="9"/>
      <c r="Q250" s="76"/>
      <c r="U250" s="76"/>
      <c r="Y250" s="76"/>
      <c r="Z250" s="76"/>
      <c r="AA250" s="76"/>
      <c r="AB250" s="76"/>
    </row>
    <row r="251" ht="15.75" customHeight="1">
      <c r="F251" s="8"/>
      <c r="G251" s="9"/>
      <c r="Q251" s="76"/>
      <c r="U251" s="76"/>
      <c r="Y251" s="76"/>
      <c r="Z251" s="76"/>
      <c r="AA251" s="76"/>
      <c r="AB251" s="76"/>
    </row>
    <row r="252" ht="15.75" customHeight="1">
      <c r="F252" s="8"/>
      <c r="G252" s="9"/>
      <c r="Q252" s="76"/>
      <c r="U252" s="76"/>
      <c r="Y252" s="76"/>
      <c r="Z252" s="76"/>
      <c r="AA252" s="76"/>
      <c r="AB252" s="76"/>
    </row>
    <row r="253" ht="15.75" customHeight="1">
      <c r="F253" s="8"/>
      <c r="G253" s="9"/>
      <c r="Q253" s="76"/>
      <c r="U253" s="76"/>
      <c r="Y253" s="76"/>
      <c r="Z253" s="76"/>
      <c r="AA253" s="76"/>
      <c r="AB253" s="76"/>
    </row>
    <row r="254" ht="15.75" customHeight="1">
      <c r="F254" s="8"/>
      <c r="G254" s="9"/>
      <c r="Q254" s="76"/>
      <c r="U254" s="76"/>
      <c r="Y254" s="76"/>
      <c r="Z254" s="76"/>
      <c r="AA254" s="76"/>
      <c r="AB254" s="76"/>
    </row>
    <row r="255" ht="15.75" customHeight="1">
      <c r="F255" s="8"/>
      <c r="G255" s="9"/>
      <c r="Q255" s="76"/>
      <c r="U255" s="76"/>
      <c r="Y255" s="76"/>
      <c r="Z255" s="76"/>
      <c r="AA255" s="76"/>
      <c r="AB255" s="76"/>
    </row>
    <row r="256" ht="15.75" customHeight="1">
      <c r="F256" s="8"/>
      <c r="G256" s="9"/>
      <c r="Q256" s="76"/>
      <c r="U256" s="76"/>
      <c r="Y256" s="76"/>
      <c r="Z256" s="76"/>
      <c r="AA256" s="76"/>
      <c r="AB256" s="76"/>
    </row>
    <row r="257" ht="15.75" customHeight="1">
      <c r="F257" s="8"/>
      <c r="G257" s="9"/>
      <c r="Q257" s="76"/>
      <c r="U257" s="76"/>
      <c r="Y257" s="76"/>
      <c r="Z257" s="76"/>
      <c r="AA257" s="76"/>
      <c r="AB257" s="76"/>
    </row>
    <row r="258" ht="15.75" customHeight="1">
      <c r="F258" s="8"/>
      <c r="G258" s="9"/>
      <c r="Q258" s="76"/>
      <c r="U258" s="76"/>
      <c r="Y258" s="76"/>
      <c r="Z258" s="76"/>
      <c r="AA258" s="76"/>
      <c r="AB258" s="76"/>
    </row>
    <row r="259" ht="15.75" customHeight="1">
      <c r="F259" s="8"/>
      <c r="G259" s="9"/>
      <c r="Q259" s="76"/>
      <c r="U259" s="76"/>
      <c r="Y259" s="76"/>
      <c r="Z259" s="76"/>
      <c r="AA259" s="76"/>
      <c r="AB259" s="76"/>
    </row>
    <row r="260" ht="15.75" customHeight="1">
      <c r="F260" s="8"/>
      <c r="G260" s="9"/>
      <c r="Q260" s="76"/>
      <c r="U260" s="76"/>
      <c r="Y260" s="76"/>
      <c r="Z260" s="76"/>
      <c r="AA260" s="76"/>
      <c r="AB260" s="76"/>
    </row>
    <row r="261" ht="15.75" customHeight="1">
      <c r="F261" s="8"/>
      <c r="G261" s="9"/>
      <c r="Q261" s="76"/>
      <c r="U261" s="76"/>
      <c r="Y261" s="76"/>
      <c r="Z261" s="76"/>
      <c r="AA261" s="76"/>
      <c r="AB261" s="76"/>
    </row>
    <row r="262" ht="15.75" customHeight="1">
      <c r="F262" s="8"/>
      <c r="G262" s="9"/>
      <c r="Q262" s="76"/>
      <c r="U262" s="76"/>
      <c r="Y262" s="76"/>
      <c r="Z262" s="76"/>
      <c r="AA262" s="76"/>
      <c r="AB262" s="76"/>
    </row>
    <row r="263" ht="15.75" customHeight="1">
      <c r="F263" s="8"/>
      <c r="G263" s="9"/>
      <c r="Q263" s="76"/>
      <c r="U263" s="76"/>
      <c r="Y263" s="76"/>
      <c r="Z263" s="76"/>
      <c r="AA263" s="76"/>
      <c r="AB263" s="76"/>
    </row>
    <row r="264" ht="15.75" customHeight="1">
      <c r="F264" s="8"/>
      <c r="G264" s="9"/>
      <c r="Q264" s="76"/>
      <c r="U264" s="76"/>
      <c r="Y264" s="76"/>
      <c r="Z264" s="76"/>
      <c r="AA264" s="76"/>
      <c r="AB264" s="76"/>
    </row>
    <row r="265" ht="15.75" customHeight="1">
      <c r="F265" s="8"/>
      <c r="G265" s="9"/>
      <c r="Q265" s="76"/>
      <c r="U265" s="76"/>
      <c r="Y265" s="76"/>
      <c r="Z265" s="76"/>
      <c r="AA265" s="76"/>
      <c r="AB265" s="76"/>
    </row>
    <row r="266" ht="15.75" customHeight="1">
      <c r="F266" s="8"/>
      <c r="G266" s="9"/>
      <c r="Q266" s="76"/>
      <c r="U266" s="76"/>
      <c r="Y266" s="76"/>
      <c r="Z266" s="76"/>
      <c r="AA266" s="76"/>
      <c r="AB266" s="76"/>
    </row>
    <row r="267" ht="15.75" customHeight="1">
      <c r="F267" s="8"/>
      <c r="G267" s="9"/>
      <c r="Q267" s="76"/>
      <c r="U267" s="76"/>
      <c r="Y267" s="76"/>
      <c r="Z267" s="76"/>
      <c r="AA267" s="76"/>
      <c r="AB267" s="76"/>
    </row>
    <row r="268" ht="15.75" customHeight="1">
      <c r="F268" s="8"/>
      <c r="G268" s="9"/>
      <c r="Q268" s="76"/>
      <c r="U268" s="76"/>
      <c r="Y268" s="76"/>
      <c r="Z268" s="76"/>
      <c r="AA268" s="76"/>
      <c r="AB268" s="76"/>
    </row>
    <row r="269" ht="15.75" customHeight="1">
      <c r="F269" s="8"/>
      <c r="G269" s="9"/>
      <c r="Q269" s="76"/>
      <c r="U269" s="76"/>
      <c r="Y269" s="76"/>
      <c r="Z269" s="76"/>
      <c r="AA269" s="76"/>
      <c r="AB269" s="76"/>
    </row>
    <row r="270" ht="15.75" customHeight="1">
      <c r="F270" s="8"/>
      <c r="G270" s="9"/>
      <c r="Q270" s="76"/>
      <c r="U270" s="76"/>
      <c r="Y270" s="76"/>
      <c r="Z270" s="76"/>
      <c r="AA270" s="76"/>
      <c r="AB270" s="76"/>
    </row>
    <row r="271" ht="15.75" customHeight="1">
      <c r="F271" s="8"/>
      <c r="G271" s="9"/>
      <c r="Q271" s="76"/>
      <c r="U271" s="76"/>
      <c r="Y271" s="76"/>
      <c r="Z271" s="76"/>
      <c r="AA271" s="76"/>
      <c r="AB271" s="76"/>
    </row>
    <row r="272" ht="15.75" customHeight="1">
      <c r="F272" s="8"/>
      <c r="G272" s="9"/>
      <c r="Q272" s="76"/>
      <c r="U272" s="76"/>
      <c r="Y272" s="76"/>
      <c r="Z272" s="76"/>
      <c r="AA272" s="76"/>
      <c r="AB272" s="76"/>
    </row>
    <row r="273" ht="15.75" customHeight="1">
      <c r="F273" s="8"/>
      <c r="G273" s="9"/>
      <c r="Q273" s="76"/>
      <c r="U273" s="76"/>
      <c r="Y273" s="76"/>
      <c r="Z273" s="76"/>
      <c r="AA273" s="76"/>
      <c r="AB273" s="76"/>
    </row>
    <row r="274" ht="15.75" customHeight="1">
      <c r="F274" s="8"/>
      <c r="G274" s="9"/>
      <c r="Q274" s="76"/>
      <c r="U274" s="76"/>
      <c r="Y274" s="76"/>
      <c r="Z274" s="76"/>
      <c r="AA274" s="76"/>
      <c r="AB274" s="76"/>
    </row>
    <row r="275" ht="15.75" customHeight="1">
      <c r="F275" s="8"/>
      <c r="G275" s="9"/>
      <c r="Q275" s="76"/>
      <c r="U275" s="76"/>
      <c r="Y275" s="76"/>
      <c r="Z275" s="76"/>
      <c r="AA275" s="76"/>
      <c r="AB275" s="76"/>
    </row>
    <row r="276" ht="15.75" customHeight="1">
      <c r="F276" s="8"/>
      <c r="G276" s="9"/>
      <c r="Q276" s="76"/>
      <c r="U276" s="76"/>
      <c r="Y276" s="76"/>
      <c r="Z276" s="76"/>
      <c r="AA276" s="76"/>
      <c r="AB276" s="76"/>
    </row>
    <row r="277" ht="15.75" customHeight="1">
      <c r="F277" s="8"/>
      <c r="G277" s="9"/>
      <c r="Q277" s="76"/>
      <c r="U277" s="76"/>
      <c r="Y277" s="76"/>
      <c r="Z277" s="76"/>
      <c r="AA277" s="76"/>
      <c r="AB277" s="76"/>
    </row>
    <row r="278" ht="15.75" customHeight="1">
      <c r="F278" s="8"/>
      <c r="G278" s="9"/>
      <c r="Q278" s="76"/>
      <c r="U278" s="76"/>
      <c r="Y278" s="76"/>
      <c r="Z278" s="76"/>
      <c r="AA278" s="76"/>
      <c r="AB278" s="76"/>
    </row>
    <row r="279" ht="15.75" customHeight="1">
      <c r="F279" s="8"/>
      <c r="G279" s="9"/>
      <c r="Q279" s="76"/>
      <c r="U279" s="76"/>
      <c r="Y279" s="76"/>
      <c r="Z279" s="76"/>
      <c r="AA279" s="76"/>
      <c r="AB279" s="76"/>
    </row>
    <row r="280" ht="15.75" customHeight="1">
      <c r="F280" s="8"/>
      <c r="G280" s="9"/>
      <c r="Q280" s="76"/>
      <c r="U280" s="76"/>
      <c r="Y280" s="76"/>
      <c r="Z280" s="76"/>
      <c r="AA280" s="76"/>
      <c r="AB280" s="76"/>
    </row>
    <row r="281" ht="15.75" customHeight="1">
      <c r="G281" s="9"/>
      <c r="Q281" s="76"/>
      <c r="U281" s="76"/>
      <c r="Y281" s="76"/>
      <c r="Z281" s="76"/>
      <c r="AA281" s="76"/>
      <c r="AB281" s="76"/>
    </row>
    <row r="282" ht="15.75" customHeight="1">
      <c r="G282" s="9"/>
      <c r="Q282" s="76"/>
      <c r="U282" s="76"/>
      <c r="Y282" s="76"/>
      <c r="Z282" s="76"/>
      <c r="AA282" s="76"/>
      <c r="AB282" s="76"/>
    </row>
    <row r="283" ht="15.75" customHeight="1">
      <c r="G283" s="9"/>
      <c r="Q283" s="76"/>
      <c r="U283" s="76"/>
      <c r="Y283" s="76"/>
      <c r="Z283" s="76"/>
      <c r="AA283" s="76"/>
      <c r="AB283" s="76"/>
    </row>
    <row r="284" ht="15.75" customHeight="1">
      <c r="G284" s="9"/>
      <c r="Q284" s="76"/>
      <c r="U284" s="76"/>
      <c r="Y284" s="76"/>
      <c r="Z284" s="76"/>
      <c r="AA284" s="76"/>
      <c r="AB284" s="76"/>
    </row>
    <row r="285" ht="15.75" customHeight="1">
      <c r="G285" s="9"/>
      <c r="Q285" s="76"/>
      <c r="U285" s="76"/>
      <c r="Y285" s="76"/>
      <c r="Z285" s="76"/>
      <c r="AA285" s="76"/>
      <c r="AB285" s="76"/>
    </row>
    <row r="286" ht="15.75" customHeight="1">
      <c r="G286" s="9"/>
      <c r="Q286" s="76"/>
      <c r="U286" s="76"/>
      <c r="Y286" s="76"/>
      <c r="Z286" s="76"/>
      <c r="AA286" s="76"/>
      <c r="AB286" s="76"/>
    </row>
    <row r="287" ht="15.75" customHeight="1">
      <c r="G287" s="9"/>
      <c r="Q287" s="76"/>
      <c r="U287" s="76"/>
      <c r="Y287" s="76"/>
      <c r="Z287" s="76"/>
      <c r="AA287" s="76"/>
      <c r="AB287" s="76"/>
    </row>
    <row r="288" ht="15.75" customHeight="1">
      <c r="G288" s="9"/>
      <c r="Q288" s="76"/>
      <c r="U288" s="76"/>
      <c r="Y288" s="76"/>
      <c r="Z288" s="76"/>
      <c r="AA288" s="76"/>
      <c r="AB288" s="76"/>
    </row>
    <row r="289" ht="15.75" customHeight="1">
      <c r="G289" s="9"/>
      <c r="Q289" s="76"/>
      <c r="U289" s="76"/>
      <c r="Y289" s="76"/>
      <c r="Z289" s="76"/>
      <c r="AA289" s="76"/>
      <c r="AB289" s="76"/>
    </row>
    <row r="290" ht="15.75" customHeight="1">
      <c r="G290" s="9"/>
      <c r="Q290" s="76"/>
      <c r="U290" s="76"/>
      <c r="Y290" s="76"/>
      <c r="Z290" s="76"/>
      <c r="AA290" s="76"/>
      <c r="AB290" s="76"/>
    </row>
    <row r="291" ht="15.75" customHeight="1">
      <c r="G291" s="9"/>
      <c r="Q291" s="76"/>
      <c r="U291" s="76"/>
      <c r="Y291" s="76"/>
      <c r="Z291" s="76"/>
      <c r="AA291" s="76"/>
      <c r="AB291" s="76"/>
    </row>
    <row r="292" ht="15.75" customHeight="1">
      <c r="G292" s="9"/>
      <c r="Q292" s="76"/>
      <c r="U292" s="76"/>
      <c r="Y292" s="76"/>
      <c r="Z292" s="76"/>
      <c r="AA292" s="76"/>
      <c r="AB292" s="76"/>
    </row>
    <row r="293" ht="15.75" customHeight="1">
      <c r="G293" s="9"/>
      <c r="Q293" s="76"/>
      <c r="U293" s="76"/>
      <c r="Y293" s="76"/>
      <c r="Z293" s="76"/>
      <c r="AA293" s="76"/>
      <c r="AB293" s="76"/>
    </row>
    <row r="294" ht="15.75" customHeight="1">
      <c r="G294" s="9"/>
      <c r="Q294" s="76"/>
      <c r="U294" s="76"/>
      <c r="Y294" s="76"/>
      <c r="Z294" s="76"/>
      <c r="AA294" s="76"/>
      <c r="AB294" s="76"/>
    </row>
    <row r="295" ht="15.75" customHeight="1">
      <c r="G295" s="9"/>
      <c r="Q295" s="76"/>
      <c r="U295" s="76"/>
      <c r="Y295" s="76"/>
      <c r="Z295" s="76"/>
      <c r="AA295" s="76"/>
      <c r="AB295" s="76"/>
    </row>
    <row r="296" ht="15.75" customHeight="1">
      <c r="G296" s="9"/>
      <c r="Q296" s="76"/>
      <c r="U296" s="76"/>
      <c r="Y296" s="76"/>
      <c r="Z296" s="76"/>
      <c r="AA296" s="76"/>
      <c r="AB296" s="76"/>
    </row>
    <row r="297" ht="15.75" customHeight="1">
      <c r="G297" s="9"/>
      <c r="Q297" s="76"/>
      <c r="U297" s="76"/>
      <c r="Y297" s="76"/>
      <c r="Z297" s="76"/>
      <c r="AA297" s="76"/>
      <c r="AB297" s="76"/>
    </row>
    <row r="298" ht="15.75" customHeight="1">
      <c r="G298" s="9"/>
      <c r="Q298" s="76"/>
      <c r="U298" s="76"/>
      <c r="Y298" s="76"/>
      <c r="Z298" s="76"/>
      <c r="AA298" s="76"/>
      <c r="AB298" s="76"/>
    </row>
    <row r="299" ht="15.75" customHeight="1">
      <c r="G299" s="9"/>
      <c r="Q299" s="76"/>
      <c r="U299" s="76"/>
      <c r="Y299" s="76"/>
      <c r="Z299" s="76"/>
      <c r="AA299" s="76"/>
      <c r="AB299" s="76"/>
    </row>
    <row r="300" ht="15.75" customHeight="1">
      <c r="G300" s="9"/>
      <c r="Q300" s="76"/>
      <c r="U300" s="76"/>
      <c r="Y300" s="76"/>
      <c r="Z300" s="76"/>
      <c r="AA300" s="76"/>
      <c r="AB300" s="76"/>
    </row>
    <row r="301" ht="15.75" customHeight="1">
      <c r="G301" s="7"/>
      <c r="Q301" s="76"/>
      <c r="U301" s="76"/>
      <c r="Y301" s="76"/>
      <c r="Z301" s="76"/>
      <c r="AA301" s="76"/>
      <c r="AB301" s="76"/>
    </row>
    <row r="302" ht="15.75" customHeight="1">
      <c r="G302" s="7"/>
      <c r="Q302" s="76"/>
      <c r="U302" s="76"/>
      <c r="Y302" s="76"/>
      <c r="Z302" s="76"/>
      <c r="AA302" s="76"/>
      <c r="AB302" s="76"/>
    </row>
    <row r="303" ht="15.75" customHeight="1">
      <c r="G303" s="7"/>
      <c r="Q303" s="76"/>
      <c r="U303" s="76"/>
      <c r="Y303" s="76"/>
      <c r="Z303" s="76"/>
      <c r="AA303" s="76"/>
      <c r="AB303" s="76"/>
    </row>
    <row r="304" ht="15.75" customHeight="1">
      <c r="G304" s="7"/>
      <c r="Q304" s="76"/>
      <c r="U304" s="76"/>
      <c r="Y304" s="76"/>
      <c r="Z304" s="76"/>
      <c r="AA304" s="76"/>
      <c r="AB304" s="76"/>
    </row>
    <row r="305" ht="15.75" customHeight="1">
      <c r="G305" s="7"/>
      <c r="Q305" s="76"/>
      <c r="U305" s="76"/>
      <c r="Y305" s="76"/>
      <c r="Z305" s="76"/>
      <c r="AA305" s="76"/>
      <c r="AB305" s="76"/>
    </row>
    <row r="306" ht="15.75" customHeight="1">
      <c r="G306" s="7"/>
      <c r="Q306" s="76"/>
      <c r="U306" s="76"/>
      <c r="Y306" s="76"/>
      <c r="Z306" s="76"/>
      <c r="AA306" s="76"/>
      <c r="AB306" s="76"/>
    </row>
    <row r="307" ht="15.75" customHeight="1">
      <c r="G307" s="7"/>
      <c r="Q307" s="76"/>
      <c r="U307" s="76"/>
      <c r="Y307" s="76"/>
      <c r="Z307" s="76"/>
      <c r="AA307" s="76"/>
      <c r="AB307" s="76"/>
    </row>
    <row r="308" ht="15.75" customHeight="1">
      <c r="G308" s="7"/>
      <c r="Q308" s="76"/>
      <c r="U308" s="76"/>
      <c r="Y308" s="76"/>
      <c r="Z308" s="76"/>
      <c r="AA308" s="76"/>
      <c r="AB308" s="76"/>
    </row>
    <row r="309" ht="15.75" customHeight="1">
      <c r="G309" s="7"/>
      <c r="Q309" s="76"/>
      <c r="U309" s="76"/>
      <c r="Y309" s="76"/>
      <c r="Z309" s="76"/>
      <c r="AA309" s="76"/>
      <c r="AB309" s="76"/>
    </row>
    <row r="310" ht="15.75" customHeight="1">
      <c r="G310" s="7"/>
      <c r="Q310" s="76"/>
      <c r="U310" s="76"/>
      <c r="Y310" s="76"/>
      <c r="Z310" s="76"/>
      <c r="AA310" s="76"/>
      <c r="AB310" s="76"/>
    </row>
    <row r="311" ht="15.75" customHeight="1">
      <c r="G311" s="7"/>
      <c r="Q311" s="76"/>
      <c r="U311" s="76"/>
      <c r="Y311" s="76"/>
      <c r="Z311" s="76"/>
      <c r="AA311" s="76"/>
      <c r="AB311" s="76"/>
    </row>
    <row r="312" ht="15.75" customHeight="1">
      <c r="G312" s="7"/>
      <c r="Q312" s="76"/>
      <c r="U312" s="76"/>
      <c r="Y312" s="76"/>
      <c r="Z312" s="76"/>
      <c r="AA312" s="76"/>
      <c r="AB312" s="76"/>
    </row>
    <row r="313" ht="15.75" customHeight="1">
      <c r="G313" s="7"/>
      <c r="Q313" s="76"/>
      <c r="U313" s="76"/>
      <c r="Y313" s="76"/>
      <c r="Z313" s="76"/>
      <c r="AA313" s="76"/>
      <c r="AB313" s="76"/>
    </row>
    <row r="314" ht="15.75" customHeight="1">
      <c r="G314" s="7"/>
      <c r="Q314" s="76"/>
      <c r="U314" s="76"/>
      <c r="Y314" s="76"/>
      <c r="Z314" s="76"/>
      <c r="AA314" s="76"/>
      <c r="AB314" s="76"/>
    </row>
    <row r="315" ht="15.75" customHeight="1">
      <c r="G315" s="7"/>
      <c r="Q315" s="76"/>
      <c r="U315" s="76"/>
      <c r="Y315" s="76"/>
      <c r="Z315" s="76"/>
      <c r="AA315" s="76"/>
      <c r="AB315" s="76"/>
    </row>
    <row r="316" ht="15.75" customHeight="1">
      <c r="G316" s="7"/>
      <c r="Q316" s="76"/>
      <c r="U316" s="76"/>
      <c r="Y316" s="76"/>
      <c r="Z316" s="76"/>
      <c r="AA316" s="76"/>
      <c r="AB316" s="76"/>
    </row>
    <row r="317" ht="15.75" customHeight="1">
      <c r="G317" s="7"/>
      <c r="Q317" s="76"/>
      <c r="U317" s="76"/>
      <c r="Y317" s="76"/>
      <c r="Z317" s="76"/>
      <c r="AA317" s="76"/>
      <c r="AB317" s="76"/>
    </row>
    <row r="318" ht="15.75" customHeight="1">
      <c r="G318" s="7"/>
      <c r="Q318" s="76"/>
      <c r="U318" s="76"/>
      <c r="Y318" s="76"/>
      <c r="Z318" s="76"/>
      <c r="AA318" s="76"/>
      <c r="AB318" s="76"/>
    </row>
    <row r="319" ht="15.75" customHeight="1">
      <c r="G319" s="7"/>
      <c r="Q319" s="76"/>
      <c r="U319" s="76"/>
      <c r="Y319" s="76"/>
      <c r="Z319" s="76"/>
      <c r="AA319" s="76"/>
      <c r="AB319" s="76"/>
    </row>
    <row r="320" ht="15.75" customHeight="1">
      <c r="G320" s="7"/>
      <c r="Q320" s="76"/>
      <c r="U320" s="76"/>
      <c r="Y320" s="76"/>
      <c r="Z320" s="76"/>
      <c r="AA320" s="76"/>
      <c r="AB320" s="76"/>
    </row>
    <row r="321" ht="15.75" customHeight="1">
      <c r="G321" s="7"/>
      <c r="Q321" s="76"/>
      <c r="U321" s="76"/>
      <c r="Y321" s="76"/>
      <c r="Z321" s="76"/>
      <c r="AA321" s="76"/>
      <c r="AB321" s="76"/>
    </row>
    <row r="322" ht="15.75" customHeight="1">
      <c r="G322" s="7"/>
      <c r="Q322" s="76"/>
      <c r="U322" s="76"/>
      <c r="Y322" s="76"/>
      <c r="Z322" s="76"/>
      <c r="AA322" s="76"/>
      <c r="AB322" s="76"/>
    </row>
    <row r="323" ht="15.75" customHeight="1">
      <c r="G323" s="7"/>
      <c r="Q323" s="76"/>
      <c r="U323" s="76"/>
      <c r="Y323" s="76"/>
      <c r="Z323" s="76"/>
      <c r="AA323" s="76"/>
      <c r="AB323" s="76"/>
    </row>
    <row r="324" ht="15.75" customHeight="1">
      <c r="G324" s="7"/>
      <c r="Q324" s="76"/>
      <c r="U324" s="76"/>
      <c r="Y324" s="76"/>
      <c r="Z324" s="76"/>
      <c r="AA324" s="76"/>
      <c r="AB324" s="76"/>
    </row>
    <row r="325" ht="15.75" customHeight="1">
      <c r="G325" s="7"/>
      <c r="Q325" s="76"/>
      <c r="U325" s="76"/>
      <c r="Y325" s="76"/>
      <c r="Z325" s="76"/>
      <c r="AA325" s="76"/>
      <c r="AB325" s="76"/>
    </row>
    <row r="326" ht="15.75" customHeight="1">
      <c r="G326" s="7"/>
      <c r="Q326" s="76"/>
      <c r="U326" s="76"/>
      <c r="Y326" s="76"/>
      <c r="Z326" s="76"/>
      <c r="AA326" s="76"/>
      <c r="AB326" s="76"/>
    </row>
    <row r="327" ht="15.75" customHeight="1">
      <c r="G327" s="7"/>
      <c r="Q327" s="76"/>
      <c r="U327" s="76"/>
      <c r="Y327" s="76"/>
      <c r="Z327" s="76"/>
      <c r="AA327" s="76"/>
      <c r="AB327" s="76"/>
    </row>
    <row r="328" ht="15.75" customHeight="1">
      <c r="G328" s="7"/>
      <c r="Q328" s="76"/>
      <c r="U328" s="76"/>
      <c r="Y328" s="76"/>
      <c r="Z328" s="76"/>
      <c r="AA328" s="76"/>
      <c r="AB328" s="76"/>
    </row>
    <row r="329" ht="15.75" customHeight="1">
      <c r="G329" s="7"/>
      <c r="Q329" s="76"/>
      <c r="U329" s="76"/>
      <c r="Y329" s="76"/>
      <c r="Z329" s="76"/>
      <c r="AA329" s="76"/>
      <c r="AB329" s="76"/>
    </row>
    <row r="330" ht="15.75" customHeight="1">
      <c r="G330" s="7"/>
      <c r="Q330" s="76"/>
      <c r="U330" s="76"/>
      <c r="Y330" s="76"/>
      <c r="Z330" s="76"/>
      <c r="AA330" s="76"/>
      <c r="AB330" s="76"/>
    </row>
    <row r="331" ht="15.75" customHeight="1">
      <c r="G331" s="7"/>
      <c r="Q331" s="76"/>
      <c r="U331" s="76"/>
      <c r="Y331" s="76"/>
      <c r="Z331" s="76"/>
      <c r="AA331" s="76"/>
      <c r="AB331" s="76"/>
    </row>
    <row r="332" ht="15.75" customHeight="1">
      <c r="G332" s="7"/>
      <c r="Q332" s="76"/>
      <c r="U332" s="76"/>
      <c r="Y332" s="76"/>
      <c r="Z332" s="76"/>
      <c r="AA332" s="76"/>
      <c r="AB332" s="76"/>
    </row>
    <row r="333" ht="15.75" customHeight="1">
      <c r="G333" s="7"/>
      <c r="Q333" s="76"/>
      <c r="U333" s="76"/>
      <c r="Y333" s="76"/>
      <c r="Z333" s="76"/>
      <c r="AA333" s="76"/>
      <c r="AB333" s="76"/>
    </row>
    <row r="334" ht="15.75" customHeight="1">
      <c r="G334" s="7"/>
      <c r="Q334" s="76"/>
      <c r="U334" s="76"/>
      <c r="Y334" s="76"/>
      <c r="Z334" s="76"/>
      <c r="AA334" s="76"/>
      <c r="AB334" s="76"/>
    </row>
    <row r="335" ht="15.75" customHeight="1">
      <c r="G335" s="7"/>
      <c r="Q335" s="76"/>
      <c r="U335" s="76"/>
      <c r="Y335" s="76"/>
      <c r="Z335" s="76"/>
      <c r="AA335" s="76"/>
      <c r="AB335" s="76"/>
    </row>
    <row r="336" ht="15.75" customHeight="1">
      <c r="G336" s="7"/>
      <c r="Q336" s="76"/>
      <c r="U336" s="76"/>
      <c r="Y336" s="76"/>
      <c r="Z336" s="76"/>
      <c r="AA336" s="76"/>
      <c r="AB336" s="76"/>
    </row>
    <row r="337" ht="15.75" customHeight="1">
      <c r="G337" s="7"/>
      <c r="Q337" s="76"/>
      <c r="U337" s="76"/>
      <c r="Y337" s="76"/>
      <c r="Z337" s="76"/>
      <c r="AA337" s="76"/>
      <c r="AB337" s="76"/>
    </row>
    <row r="338" ht="15.75" customHeight="1">
      <c r="G338" s="7"/>
      <c r="Q338" s="76"/>
      <c r="U338" s="76"/>
      <c r="Y338" s="76"/>
      <c r="Z338" s="76"/>
      <c r="AA338" s="76"/>
      <c r="AB338" s="76"/>
    </row>
    <row r="339" ht="15.75" customHeight="1">
      <c r="G339" s="7"/>
      <c r="Q339" s="76"/>
      <c r="U339" s="76"/>
      <c r="Y339" s="76"/>
      <c r="Z339" s="76"/>
      <c r="AA339" s="76"/>
      <c r="AB339" s="76"/>
    </row>
    <row r="340" ht="15.75" customHeight="1">
      <c r="G340" s="7"/>
      <c r="Q340" s="76"/>
      <c r="U340" s="76"/>
      <c r="Y340" s="76"/>
      <c r="Z340" s="76"/>
      <c r="AA340" s="76"/>
      <c r="AB340" s="76"/>
    </row>
    <row r="341" ht="15.75" customHeight="1">
      <c r="G341" s="7"/>
      <c r="Q341" s="76"/>
      <c r="U341" s="76"/>
      <c r="Y341" s="76"/>
      <c r="Z341" s="76"/>
      <c r="AA341" s="76"/>
      <c r="AB341" s="76"/>
    </row>
    <row r="342" ht="15.75" customHeight="1">
      <c r="G342" s="7"/>
      <c r="Q342" s="76"/>
      <c r="U342" s="76"/>
      <c r="Y342" s="76"/>
      <c r="Z342" s="76"/>
      <c r="AA342" s="76"/>
      <c r="AB342" s="76"/>
    </row>
    <row r="343" ht="15.75" customHeight="1">
      <c r="G343" s="7"/>
      <c r="Q343" s="76"/>
      <c r="U343" s="76"/>
      <c r="Y343" s="76"/>
      <c r="Z343" s="76"/>
      <c r="AA343" s="76"/>
      <c r="AB343" s="76"/>
    </row>
    <row r="344" ht="15.75" customHeight="1">
      <c r="G344" s="7"/>
      <c r="Q344" s="76"/>
      <c r="U344" s="76"/>
      <c r="Y344" s="76"/>
      <c r="Z344" s="76"/>
      <c r="AA344" s="76"/>
      <c r="AB344" s="76"/>
    </row>
    <row r="345" ht="15.75" customHeight="1">
      <c r="G345" s="7"/>
      <c r="Q345" s="76"/>
      <c r="U345" s="76"/>
      <c r="Y345" s="76"/>
      <c r="Z345" s="76"/>
      <c r="AA345" s="76"/>
      <c r="AB345" s="76"/>
    </row>
    <row r="346" ht="15.75" customHeight="1">
      <c r="G346" s="7"/>
      <c r="Q346" s="76"/>
      <c r="U346" s="76"/>
      <c r="Y346" s="76"/>
      <c r="Z346" s="76"/>
      <c r="AA346" s="76"/>
      <c r="AB346" s="76"/>
    </row>
    <row r="347" ht="15.75" customHeight="1">
      <c r="G347" s="7"/>
      <c r="Q347" s="76"/>
      <c r="U347" s="76"/>
      <c r="Y347" s="76"/>
      <c r="Z347" s="76"/>
      <c r="AA347" s="76"/>
      <c r="AB347" s="76"/>
    </row>
    <row r="348" ht="15.75" customHeight="1">
      <c r="G348" s="7"/>
      <c r="Q348" s="76"/>
      <c r="U348" s="76"/>
      <c r="Y348" s="76"/>
      <c r="Z348" s="76"/>
      <c r="AA348" s="76"/>
      <c r="AB348" s="76"/>
    </row>
    <row r="349" ht="15.75" customHeight="1">
      <c r="G349" s="7"/>
      <c r="Q349" s="76"/>
      <c r="U349" s="76"/>
      <c r="Y349" s="76"/>
      <c r="Z349" s="76"/>
      <c r="AA349" s="76"/>
      <c r="AB349" s="76"/>
    </row>
    <row r="350" ht="15.75" customHeight="1">
      <c r="G350" s="7"/>
      <c r="Q350" s="76"/>
      <c r="U350" s="76"/>
      <c r="Y350" s="76"/>
      <c r="Z350" s="76"/>
      <c r="AA350" s="76"/>
      <c r="AB350" s="76"/>
    </row>
    <row r="351" ht="15.75" customHeight="1">
      <c r="G351" s="7"/>
      <c r="Q351" s="76"/>
      <c r="U351" s="76"/>
      <c r="Y351" s="76"/>
      <c r="Z351" s="76"/>
      <c r="AA351" s="76"/>
      <c r="AB351" s="76"/>
    </row>
    <row r="352" ht="15.75" customHeight="1">
      <c r="G352" s="7"/>
      <c r="Q352" s="76"/>
      <c r="U352" s="76"/>
      <c r="Y352" s="76"/>
      <c r="Z352" s="76"/>
      <c r="AA352" s="76"/>
      <c r="AB352" s="76"/>
    </row>
    <row r="353" ht="15.75" customHeight="1">
      <c r="G353" s="7"/>
      <c r="Q353" s="76"/>
      <c r="U353" s="76"/>
      <c r="Y353" s="76"/>
      <c r="Z353" s="76"/>
      <c r="AA353" s="76"/>
      <c r="AB353" s="76"/>
    </row>
    <row r="354" ht="15.75" customHeight="1">
      <c r="G354" s="7"/>
      <c r="Q354" s="76"/>
      <c r="U354" s="76"/>
      <c r="Y354" s="76"/>
      <c r="Z354" s="76"/>
      <c r="AA354" s="76"/>
      <c r="AB354" s="76"/>
    </row>
    <row r="355" ht="15.75" customHeight="1">
      <c r="G355" s="7"/>
      <c r="Q355" s="76"/>
      <c r="U355" s="76"/>
      <c r="Y355" s="76"/>
      <c r="Z355" s="76"/>
      <c r="AA355" s="76"/>
      <c r="AB355" s="76"/>
    </row>
    <row r="356" ht="15.75" customHeight="1">
      <c r="G356" s="7"/>
      <c r="Q356" s="76"/>
      <c r="U356" s="76"/>
      <c r="Y356" s="76"/>
      <c r="Z356" s="76"/>
      <c r="AA356" s="76"/>
      <c r="AB356" s="76"/>
    </row>
    <row r="357" ht="15.75" customHeight="1">
      <c r="G357" s="7"/>
      <c r="Q357" s="76"/>
      <c r="U357" s="76"/>
      <c r="Y357" s="76"/>
      <c r="Z357" s="76"/>
      <c r="AA357" s="76"/>
      <c r="AB357" s="76"/>
    </row>
    <row r="358" ht="15.75" customHeight="1">
      <c r="G358" s="7"/>
      <c r="Q358" s="76"/>
      <c r="U358" s="76"/>
      <c r="Y358" s="76"/>
      <c r="Z358" s="76"/>
      <c r="AA358" s="76"/>
      <c r="AB358" s="76"/>
    </row>
    <row r="359" ht="15.75" customHeight="1">
      <c r="G359" s="7"/>
      <c r="Q359" s="76"/>
      <c r="U359" s="76"/>
      <c r="Y359" s="76"/>
      <c r="Z359" s="76"/>
      <c r="AA359" s="76"/>
      <c r="AB359" s="76"/>
    </row>
    <row r="360" ht="15.75" customHeight="1">
      <c r="G360" s="7"/>
      <c r="Q360" s="76"/>
      <c r="U360" s="76"/>
      <c r="Y360" s="76"/>
      <c r="Z360" s="76"/>
      <c r="AA360" s="76"/>
      <c r="AB360" s="76"/>
    </row>
    <row r="361" ht="15.75" customHeight="1">
      <c r="G361" s="7"/>
      <c r="Q361" s="76"/>
      <c r="U361" s="76"/>
      <c r="Y361" s="76"/>
      <c r="Z361" s="76"/>
      <c r="AA361" s="76"/>
      <c r="AB361" s="76"/>
    </row>
    <row r="362" ht="15.75" customHeight="1">
      <c r="G362" s="7"/>
      <c r="Q362" s="76"/>
      <c r="U362" s="76"/>
      <c r="Y362" s="76"/>
      <c r="Z362" s="76"/>
      <c r="AA362" s="76"/>
      <c r="AB362" s="76"/>
    </row>
    <row r="363" ht="15.75" customHeight="1">
      <c r="G363" s="7"/>
      <c r="Q363" s="76"/>
      <c r="U363" s="76"/>
      <c r="Y363" s="76"/>
      <c r="Z363" s="76"/>
      <c r="AA363" s="76"/>
      <c r="AB363" s="76"/>
    </row>
    <row r="364" ht="15.75" customHeight="1">
      <c r="G364" s="7"/>
      <c r="Q364" s="76"/>
      <c r="U364" s="76"/>
      <c r="Y364" s="76"/>
      <c r="Z364" s="76"/>
      <c r="AA364" s="76"/>
      <c r="AB364" s="76"/>
    </row>
    <row r="365" ht="15.75" customHeight="1">
      <c r="G365" s="7"/>
      <c r="Q365" s="76"/>
      <c r="U365" s="76"/>
      <c r="Y365" s="76"/>
      <c r="Z365" s="76"/>
      <c r="AA365" s="76"/>
      <c r="AB365" s="76"/>
    </row>
    <row r="366" ht="15.75" customHeight="1">
      <c r="G366" s="7"/>
      <c r="Q366" s="76"/>
      <c r="U366" s="76"/>
      <c r="Y366" s="76"/>
      <c r="Z366" s="76"/>
      <c r="AA366" s="76"/>
      <c r="AB366" s="76"/>
    </row>
    <row r="367" ht="15.75" customHeight="1">
      <c r="G367" s="7"/>
      <c r="Q367" s="76"/>
      <c r="U367" s="76"/>
      <c r="Y367" s="76"/>
      <c r="Z367" s="76"/>
      <c r="AA367" s="76"/>
      <c r="AB367" s="76"/>
    </row>
    <row r="368" ht="15.75" customHeight="1">
      <c r="G368" s="7"/>
      <c r="Q368" s="76"/>
      <c r="U368" s="76"/>
      <c r="Y368" s="76"/>
      <c r="Z368" s="76"/>
      <c r="AA368" s="76"/>
      <c r="AB368" s="76"/>
    </row>
    <row r="369" ht="15.75" customHeight="1">
      <c r="G369" s="7"/>
      <c r="Q369" s="76"/>
      <c r="U369" s="76"/>
      <c r="Y369" s="76"/>
      <c r="Z369" s="76"/>
      <c r="AA369" s="76"/>
      <c r="AB369" s="76"/>
    </row>
    <row r="370" ht="15.75" customHeight="1">
      <c r="G370" s="7"/>
      <c r="Q370" s="76"/>
      <c r="U370" s="76"/>
      <c r="Y370" s="76"/>
      <c r="Z370" s="76"/>
      <c r="AA370" s="76"/>
      <c r="AB370" s="76"/>
    </row>
    <row r="371" ht="15.75" customHeight="1">
      <c r="G371" s="7"/>
      <c r="Q371" s="76"/>
      <c r="U371" s="76"/>
      <c r="Y371" s="76"/>
      <c r="Z371" s="76"/>
      <c r="AA371" s="76"/>
      <c r="AB371" s="76"/>
    </row>
    <row r="372" ht="15.75" customHeight="1">
      <c r="G372" s="7"/>
      <c r="Q372" s="76"/>
      <c r="U372" s="76"/>
      <c r="Y372" s="76"/>
      <c r="Z372" s="76"/>
      <c r="AA372" s="76"/>
      <c r="AB372" s="76"/>
    </row>
    <row r="373" ht="15.75" customHeight="1">
      <c r="G373" s="7"/>
      <c r="Q373" s="76"/>
      <c r="U373" s="76"/>
      <c r="Y373" s="76"/>
      <c r="Z373" s="76"/>
      <c r="AA373" s="76"/>
      <c r="AB373" s="76"/>
    </row>
    <row r="374" ht="15.75" customHeight="1">
      <c r="G374" s="7"/>
      <c r="Q374" s="76"/>
      <c r="U374" s="76"/>
      <c r="Y374" s="76"/>
      <c r="Z374" s="76"/>
      <c r="AA374" s="76"/>
      <c r="AB374" s="76"/>
    </row>
    <row r="375" ht="15.75" customHeight="1">
      <c r="G375" s="7"/>
      <c r="Q375" s="76"/>
      <c r="U375" s="76"/>
      <c r="Y375" s="76"/>
      <c r="Z375" s="76"/>
      <c r="AA375" s="76"/>
      <c r="AB375" s="76"/>
    </row>
    <row r="376" ht="15.75" customHeight="1">
      <c r="G376" s="7"/>
      <c r="Q376" s="76"/>
      <c r="U376" s="76"/>
      <c r="Y376" s="76"/>
      <c r="Z376" s="76"/>
      <c r="AA376" s="76"/>
      <c r="AB376" s="76"/>
    </row>
    <row r="377" ht="15.75" customHeight="1">
      <c r="G377" s="7"/>
      <c r="Q377" s="76"/>
      <c r="U377" s="76"/>
      <c r="Y377" s="76"/>
      <c r="Z377" s="76"/>
      <c r="AA377" s="76"/>
      <c r="AB377" s="76"/>
    </row>
    <row r="378" ht="15.75" customHeight="1">
      <c r="G378" s="7"/>
      <c r="Q378" s="76"/>
      <c r="U378" s="76"/>
      <c r="Y378" s="76"/>
      <c r="Z378" s="76"/>
      <c r="AA378" s="76"/>
      <c r="AB378" s="76"/>
    </row>
    <row r="379" ht="15.75" customHeight="1">
      <c r="G379" s="7"/>
      <c r="Q379" s="76"/>
      <c r="U379" s="76"/>
      <c r="Y379" s="76"/>
      <c r="Z379" s="76"/>
      <c r="AA379" s="76"/>
      <c r="AB379" s="76"/>
    </row>
    <row r="380" ht="15.75" customHeight="1">
      <c r="G380" s="7"/>
      <c r="Q380" s="76"/>
      <c r="U380" s="76"/>
      <c r="Y380" s="76"/>
      <c r="Z380" s="76"/>
      <c r="AA380" s="76"/>
      <c r="AB380" s="76"/>
    </row>
    <row r="381" ht="15.75" customHeight="1">
      <c r="G381" s="7"/>
      <c r="Q381" s="76"/>
      <c r="U381" s="76"/>
      <c r="Y381" s="76"/>
      <c r="Z381" s="76"/>
      <c r="AA381" s="76"/>
      <c r="AB381" s="76"/>
    </row>
    <row r="382" ht="15.75" customHeight="1">
      <c r="G382" s="7"/>
      <c r="Q382" s="76"/>
      <c r="U382" s="76"/>
      <c r="Y382" s="76"/>
      <c r="Z382" s="76"/>
      <c r="AA382" s="76"/>
      <c r="AB382" s="76"/>
    </row>
    <row r="383" ht="15.75" customHeight="1">
      <c r="G383" s="7"/>
      <c r="Q383" s="76"/>
      <c r="U383" s="76"/>
      <c r="Y383" s="76"/>
      <c r="Z383" s="76"/>
      <c r="AA383" s="76"/>
      <c r="AB383" s="76"/>
    </row>
    <row r="384" ht="15.75" customHeight="1">
      <c r="G384" s="7"/>
      <c r="Q384" s="76"/>
      <c r="U384" s="76"/>
      <c r="Y384" s="76"/>
      <c r="Z384" s="76"/>
      <c r="AA384" s="76"/>
      <c r="AB384" s="76"/>
    </row>
    <row r="385" ht="15.75" customHeight="1">
      <c r="G385" s="7"/>
      <c r="Q385" s="76"/>
      <c r="U385" s="76"/>
      <c r="Y385" s="76"/>
      <c r="Z385" s="76"/>
      <c r="AA385" s="76"/>
      <c r="AB385" s="76"/>
    </row>
    <row r="386" ht="15.75" customHeight="1">
      <c r="G386" s="7"/>
      <c r="Q386" s="76"/>
      <c r="U386" s="76"/>
      <c r="Y386" s="76"/>
      <c r="Z386" s="76"/>
      <c r="AA386" s="76"/>
      <c r="AB386" s="76"/>
    </row>
    <row r="387" ht="15.75" customHeight="1">
      <c r="G387" s="7"/>
      <c r="Q387" s="76"/>
      <c r="U387" s="76"/>
      <c r="Y387" s="76"/>
      <c r="Z387" s="76"/>
      <c r="AA387" s="76"/>
      <c r="AB387" s="76"/>
    </row>
    <row r="388" ht="15.75" customHeight="1">
      <c r="G388" s="7"/>
      <c r="Q388" s="76"/>
      <c r="U388" s="76"/>
      <c r="Y388" s="76"/>
      <c r="Z388" s="76"/>
      <c r="AA388" s="76"/>
      <c r="AB388" s="76"/>
    </row>
    <row r="389" ht="15.75" customHeight="1">
      <c r="G389" s="7"/>
      <c r="Q389" s="76"/>
      <c r="U389" s="76"/>
      <c r="Y389" s="76"/>
      <c r="Z389" s="76"/>
      <c r="AA389" s="76"/>
      <c r="AB389" s="76"/>
    </row>
    <row r="390" ht="15.75" customHeight="1">
      <c r="G390" s="7"/>
      <c r="Q390" s="76"/>
      <c r="U390" s="76"/>
      <c r="Y390" s="76"/>
      <c r="Z390" s="76"/>
      <c r="AA390" s="76"/>
      <c r="AB390" s="76"/>
    </row>
    <row r="391" ht="15.75" customHeight="1">
      <c r="G391" s="7"/>
      <c r="Q391" s="76"/>
      <c r="U391" s="76"/>
      <c r="Y391" s="76"/>
      <c r="Z391" s="76"/>
      <c r="AA391" s="76"/>
      <c r="AB391" s="76"/>
    </row>
    <row r="392" ht="15.75" customHeight="1">
      <c r="G392" s="7"/>
      <c r="Q392" s="76"/>
      <c r="U392" s="76"/>
      <c r="Y392" s="76"/>
      <c r="Z392" s="76"/>
      <c r="AA392" s="76"/>
      <c r="AB392" s="76"/>
    </row>
    <row r="393" ht="15.75" customHeight="1">
      <c r="G393" s="7"/>
      <c r="Q393" s="76"/>
      <c r="U393" s="76"/>
      <c r="Y393" s="76"/>
      <c r="Z393" s="76"/>
      <c r="AA393" s="76"/>
      <c r="AB393" s="76"/>
    </row>
    <row r="394" ht="15.75" customHeight="1">
      <c r="G394" s="7"/>
      <c r="Q394" s="76"/>
      <c r="U394" s="76"/>
      <c r="Y394" s="76"/>
      <c r="Z394" s="76"/>
      <c r="AA394" s="76"/>
      <c r="AB394" s="76"/>
    </row>
    <row r="395" ht="15.75" customHeight="1">
      <c r="G395" s="7"/>
      <c r="Q395" s="76"/>
      <c r="U395" s="76"/>
      <c r="Y395" s="76"/>
      <c r="Z395" s="76"/>
      <c r="AA395" s="76"/>
      <c r="AB395" s="76"/>
    </row>
    <row r="396" ht="15.75" customHeight="1">
      <c r="G396" s="7"/>
      <c r="Q396" s="76"/>
      <c r="U396" s="76"/>
      <c r="Y396" s="76"/>
      <c r="Z396" s="76"/>
      <c r="AA396" s="76"/>
      <c r="AB396" s="76"/>
    </row>
    <row r="397" ht="15.75" customHeight="1">
      <c r="G397" s="7"/>
      <c r="Q397" s="76"/>
      <c r="U397" s="76"/>
      <c r="Y397" s="76"/>
      <c r="Z397" s="76"/>
      <c r="AA397" s="76"/>
      <c r="AB397" s="76"/>
    </row>
    <row r="398" ht="15.75" customHeight="1">
      <c r="G398" s="7"/>
      <c r="Q398" s="76"/>
      <c r="U398" s="76"/>
      <c r="Y398" s="76"/>
      <c r="Z398" s="76"/>
      <c r="AA398" s="76"/>
      <c r="AB398" s="76"/>
    </row>
    <row r="399" ht="15.75" customHeight="1">
      <c r="G399" s="7"/>
      <c r="Q399" s="76"/>
      <c r="U399" s="76"/>
      <c r="Y399" s="76"/>
      <c r="Z399" s="76"/>
      <c r="AA399" s="76"/>
      <c r="AB399" s="76"/>
    </row>
    <row r="400" ht="15.75" customHeight="1">
      <c r="G400" s="7"/>
      <c r="Q400" s="76"/>
      <c r="U400" s="76"/>
      <c r="Y400" s="76"/>
      <c r="Z400" s="76"/>
      <c r="AA400" s="76"/>
      <c r="AB400" s="76"/>
    </row>
    <row r="401" ht="15.75" customHeight="1">
      <c r="G401" s="7"/>
      <c r="Q401" s="76"/>
      <c r="U401" s="76"/>
      <c r="Y401" s="76"/>
      <c r="Z401" s="76"/>
      <c r="AA401" s="76"/>
      <c r="AB401" s="76"/>
    </row>
    <row r="402" ht="15.75" customHeight="1">
      <c r="G402" s="7"/>
      <c r="Q402" s="76"/>
      <c r="U402" s="76"/>
      <c r="Y402" s="76"/>
      <c r="Z402" s="76"/>
      <c r="AA402" s="76"/>
      <c r="AB402" s="76"/>
    </row>
    <row r="403" ht="15.75" customHeight="1">
      <c r="G403" s="7"/>
      <c r="Q403" s="76"/>
      <c r="U403" s="76"/>
      <c r="Y403" s="76"/>
      <c r="Z403" s="76"/>
      <c r="AA403" s="76"/>
      <c r="AB403" s="76"/>
    </row>
    <row r="404" ht="15.75" customHeight="1">
      <c r="G404" s="7"/>
      <c r="Q404" s="76"/>
      <c r="U404" s="76"/>
      <c r="Y404" s="76"/>
      <c r="Z404" s="76"/>
      <c r="AA404" s="76"/>
      <c r="AB404" s="76"/>
    </row>
    <row r="405" ht="15.75" customHeight="1">
      <c r="G405" s="7"/>
      <c r="Q405" s="76"/>
      <c r="U405" s="76"/>
      <c r="Y405" s="76"/>
      <c r="Z405" s="76"/>
      <c r="AA405" s="76"/>
      <c r="AB405" s="76"/>
    </row>
    <row r="406" ht="15.75" customHeight="1">
      <c r="G406" s="7"/>
      <c r="Q406" s="76"/>
      <c r="U406" s="76"/>
      <c r="Y406" s="76"/>
      <c r="Z406" s="76"/>
      <c r="AA406" s="76"/>
      <c r="AB406" s="76"/>
    </row>
    <row r="407" ht="15.75" customHeight="1">
      <c r="G407" s="7"/>
      <c r="Q407" s="76"/>
      <c r="U407" s="76"/>
      <c r="Y407" s="76"/>
      <c r="Z407" s="76"/>
      <c r="AA407" s="76"/>
      <c r="AB407" s="76"/>
    </row>
    <row r="408" ht="15.75" customHeight="1">
      <c r="G408" s="7"/>
      <c r="Q408" s="76"/>
      <c r="U408" s="76"/>
      <c r="Y408" s="76"/>
      <c r="Z408" s="76"/>
      <c r="AA408" s="76"/>
      <c r="AB408" s="76"/>
    </row>
    <row r="409" ht="15.75" customHeight="1">
      <c r="G409" s="7"/>
      <c r="Q409" s="76"/>
      <c r="U409" s="76"/>
      <c r="Y409" s="76"/>
      <c r="Z409" s="76"/>
      <c r="AA409" s="76"/>
      <c r="AB409" s="76"/>
    </row>
    <row r="410" ht="15.75" customHeight="1">
      <c r="G410" s="7"/>
      <c r="Q410" s="76"/>
      <c r="U410" s="76"/>
      <c r="Y410" s="76"/>
      <c r="Z410" s="76"/>
      <c r="AA410" s="76"/>
      <c r="AB410" s="76"/>
    </row>
    <row r="411" ht="15.75" customHeight="1">
      <c r="G411" s="7"/>
      <c r="Q411" s="76"/>
      <c r="U411" s="76"/>
      <c r="Y411" s="76"/>
      <c r="Z411" s="76"/>
      <c r="AA411" s="76"/>
      <c r="AB411" s="76"/>
    </row>
    <row r="412" ht="15.75" customHeight="1">
      <c r="G412" s="7"/>
      <c r="Q412" s="76"/>
      <c r="U412" s="76"/>
      <c r="Y412" s="76"/>
      <c r="Z412" s="76"/>
      <c r="AA412" s="76"/>
      <c r="AB412" s="76"/>
    </row>
    <row r="413" ht="15.75" customHeight="1">
      <c r="G413" s="7"/>
      <c r="Q413" s="76"/>
      <c r="U413" s="76"/>
      <c r="Y413" s="76"/>
      <c r="Z413" s="76"/>
      <c r="AA413" s="76"/>
      <c r="AB413" s="76"/>
    </row>
    <row r="414" ht="15.75" customHeight="1">
      <c r="G414" s="7"/>
      <c r="Q414" s="76"/>
      <c r="U414" s="76"/>
      <c r="Y414" s="76"/>
      <c r="Z414" s="76"/>
      <c r="AA414" s="76"/>
      <c r="AB414" s="76"/>
    </row>
    <row r="415" ht="15.75" customHeight="1">
      <c r="G415" s="7"/>
      <c r="Q415" s="76"/>
      <c r="U415" s="76"/>
      <c r="Y415" s="76"/>
      <c r="Z415" s="76"/>
      <c r="AA415" s="76"/>
      <c r="AB415" s="76"/>
    </row>
    <row r="416" ht="15.75" customHeight="1">
      <c r="G416" s="7"/>
      <c r="Q416" s="76"/>
      <c r="U416" s="76"/>
      <c r="Y416" s="76"/>
      <c r="Z416" s="76"/>
      <c r="AA416" s="76"/>
      <c r="AB416" s="76"/>
    </row>
    <row r="417" ht="15.75" customHeight="1">
      <c r="G417" s="7"/>
      <c r="Q417" s="76"/>
      <c r="U417" s="76"/>
      <c r="Y417" s="76"/>
      <c r="Z417" s="76"/>
      <c r="AA417" s="76"/>
      <c r="AB417" s="76"/>
    </row>
    <row r="418" ht="15.75" customHeight="1">
      <c r="G418" s="7"/>
      <c r="Q418" s="76"/>
      <c r="U418" s="76"/>
      <c r="Y418" s="76"/>
      <c r="Z418" s="76"/>
      <c r="AA418" s="76"/>
      <c r="AB418" s="76"/>
    </row>
    <row r="419" ht="15.75" customHeight="1">
      <c r="G419" s="7"/>
      <c r="Q419" s="76"/>
      <c r="U419" s="76"/>
      <c r="Y419" s="76"/>
      <c r="Z419" s="76"/>
      <c r="AA419" s="76"/>
      <c r="AB419" s="76"/>
    </row>
    <row r="420" ht="15.75" customHeight="1">
      <c r="G420" s="7"/>
      <c r="Q420" s="76"/>
      <c r="U420" s="76"/>
      <c r="Y420" s="76"/>
      <c r="Z420" s="76"/>
      <c r="AA420" s="76"/>
      <c r="AB420" s="76"/>
    </row>
    <row r="421" ht="15.75" customHeight="1">
      <c r="G421" s="7"/>
      <c r="Q421" s="76"/>
      <c r="U421" s="76"/>
      <c r="Y421" s="76"/>
      <c r="Z421" s="76"/>
      <c r="AA421" s="76"/>
      <c r="AB421" s="76"/>
    </row>
    <row r="422" ht="15.75" customHeight="1">
      <c r="G422" s="7"/>
      <c r="Q422" s="76"/>
      <c r="U422" s="76"/>
      <c r="Y422" s="76"/>
      <c r="Z422" s="76"/>
      <c r="AA422" s="76"/>
      <c r="AB422" s="76"/>
    </row>
    <row r="423" ht="15.75" customHeight="1">
      <c r="G423" s="7"/>
      <c r="Q423" s="76"/>
      <c r="U423" s="76"/>
      <c r="Y423" s="76"/>
      <c r="Z423" s="76"/>
      <c r="AA423" s="76"/>
      <c r="AB423" s="76"/>
    </row>
    <row r="424" ht="15.75" customHeight="1">
      <c r="G424" s="7"/>
      <c r="Q424" s="76"/>
      <c r="U424" s="76"/>
      <c r="Y424" s="76"/>
      <c r="Z424" s="76"/>
      <c r="AA424" s="76"/>
      <c r="AB424" s="76"/>
    </row>
    <row r="425" ht="15.75" customHeight="1">
      <c r="G425" s="7"/>
      <c r="Q425" s="76"/>
      <c r="U425" s="76"/>
      <c r="Y425" s="76"/>
      <c r="Z425" s="76"/>
      <c r="AA425" s="76"/>
      <c r="AB425" s="76"/>
    </row>
    <row r="426" ht="15.75" customHeight="1">
      <c r="G426" s="7"/>
      <c r="Q426" s="76"/>
      <c r="U426" s="76"/>
      <c r="Y426" s="76"/>
      <c r="Z426" s="76"/>
      <c r="AA426" s="76"/>
      <c r="AB426" s="76"/>
    </row>
    <row r="427" ht="15.75" customHeight="1">
      <c r="G427" s="7"/>
      <c r="Q427" s="76"/>
      <c r="U427" s="76"/>
      <c r="Y427" s="76"/>
      <c r="Z427" s="76"/>
      <c r="AA427" s="76"/>
      <c r="AB427" s="76"/>
    </row>
    <row r="428" ht="15.75" customHeight="1">
      <c r="G428" s="7"/>
      <c r="Q428" s="76"/>
      <c r="U428" s="76"/>
      <c r="Y428" s="76"/>
      <c r="Z428" s="76"/>
      <c r="AA428" s="76"/>
      <c r="AB428" s="76"/>
    </row>
    <row r="429" ht="15.75" customHeight="1">
      <c r="G429" s="7"/>
      <c r="Q429" s="76"/>
      <c r="U429" s="76"/>
      <c r="Y429" s="76"/>
      <c r="Z429" s="76"/>
      <c r="AA429" s="76"/>
      <c r="AB429" s="76"/>
    </row>
    <row r="430" ht="15.75" customHeight="1">
      <c r="G430" s="7"/>
      <c r="Q430" s="76"/>
      <c r="U430" s="76"/>
      <c r="Y430" s="76"/>
      <c r="Z430" s="76"/>
      <c r="AA430" s="76"/>
      <c r="AB430" s="76"/>
    </row>
    <row r="431" ht="15.75" customHeight="1">
      <c r="G431" s="7"/>
      <c r="Q431" s="76"/>
      <c r="U431" s="76"/>
      <c r="Y431" s="76"/>
      <c r="Z431" s="76"/>
      <c r="AA431" s="76"/>
      <c r="AB431" s="76"/>
    </row>
    <row r="432" ht="15.75" customHeight="1">
      <c r="G432" s="7"/>
      <c r="Q432" s="76"/>
      <c r="U432" s="76"/>
      <c r="Y432" s="76"/>
      <c r="Z432" s="76"/>
      <c r="AA432" s="76"/>
      <c r="AB432" s="76"/>
    </row>
    <row r="433" ht="15.75" customHeight="1">
      <c r="G433" s="7"/>
      <c r="Q433" s="76"/>
      <c r="U433" s="76"/>
      <c r="Y433" s="76"/>
      <c r="Z433" s="76"/>
      <c r="AA433" s="76"/>
      <c r="AB433" s="76"/>
    </row>
    <row r="434" ht="15.75" customHeight="1">
      <c r="G434" s="7"/>
      <c r="Q434" s="76"/>
      <c r="U434" s="76"/>
      <c r="Y434" s="76"/>
      <c r="Z434" s="76"/>
      <c r="AA434" s="76"/>
      <c r="AB434" s="76"/>
    </row>
    <row r="435" ht="15.75" customHeight="1">
      <c r="G435" s="7"/>
      <c r="Q435" s="76"/>
      <c r="U435" s="76"/>
      <c r="Y435" s="76"/>
      <c r="Z435" s="76"/>
      <c r="AA435" s="76"/>
      <c r="AB435" s="76"/>
    </row>
    <row r="436" ht="15.75" customHeight="1">
      <c r="G436" s="7"/>
      <c r="Q436" s="76"/>
      <c r="U436" s="76"/>
      <c r="Y436" s="76"/>
      <c r="Z436" s="76"/>
      <c r="AA436" s="76"/>
      <c r="AB436" s="76"/>
    </row>
    <row r="437" ht="15.75" customHeight="1">
      <c r="G437" s="7"/>
      <c r="Q437" s="76"/>
      <c r="U437" s="76"/>
      <c r="Y437" s="76"/>
      <c r="Z437" s="76"/>
      <c r="AA437" s="76"/>
      <c r="AB437" s="76"/>
    </row>
    <row r="438" ht="15.75" customHeight="1">
      <c r="G438" s="7"/>
      <c r="Q438" s="76"/>
      <c r="U438" s="76"/>
      <c r="Y438" s="76"/>
      <c r="Z438" s="76"/>
      <c r="AA438" s="76"/>
      <c r="AB438" s="76"/>
    </row>
    <row r="439" ht="15.75" customHeight="1">
      <c r="G439" s="7"/>
      <c r="Q439" s="76"/>
      <c r="U439" s="76"/>
      <c r="Y439" s="76"/>
      <c r="Z439" s="76"/>
      <c r="AA439" s="76"/>
      <c r="AB439" s="76"/>
    </row>
    <row r="440" ht="15.75" customHeight="1">
      <c r="G440" s="7"/>
      <c r="Q440" s="76"/>
      <c r="U440" s="76"/>
      <c r="Y440" s="76"/>
      <c r="Z440" s="76"/>
      <c r="AA440" s="76"/>
      <c r="AB440" s="76"/>
    </row>
    <row r="441" ht="15.75" customHeight="1">
      <c r="G441" s="7"/>
      <c r="Q441" s="76"/>
      <c r="U441" s="76"/>
      <c r="Y441" s="76"/>
      <c r="Z441" s="76"/>
      <c r="AA441" s="76"/>
      <c r="AB441" s="76"/>
    </row>
    <row r="442" ht="15.75" customHeight="1">
      <c r="G442" s="7"/>
      <c r="Q442" s="76"/>
      <c r="U442" s="76"/>
      <c r="Y442" s="76"/>
      <c r="Z442" s="76"/>
      <c r="AA442" s="76"/>
      <c r="AB442" s="76"/>
    </row>
    <row r="443" ht="15.75" customHeight="1">
      <c r="G443" s="7"/>
      <c r="Q443" s="76"/>
      <c r="U443" s="76"/>
      <c r="Y443" s="76"/>
      <c r="Z443" s="76"/>
      <c r="AA443" s="76"/>
      <c r="AB443" s="76"/>
    </row>
    <row r="444" ht="15.75" customHeight="1">
      <c r="G444" s="7"/>
      <c r="Q444" s="76"/>
      <c r="U444" s="76"/>
      <c r="Y444" s="76"/>
      <c r="Z444" s="76"/>
      <c r="AA444" s="76"/>
      <c r="AB444" s="76"/>
    </row>
    <row r="445" ht="15.75" customHeight="1">
      <c r="G445" s="7"/>
      <c r="Q445" s="76"/>
      <c r="U445" s="76"/>
      <c r="Y445" s="76"/>
      <c r="Z445" s="76"/>
      <c r="AA445" s="76"/>
      <c r="AB445" s="76"/>
    </row>
    <row r="446" ht="15.75" customHeight="1">
      <c r="G446" s="7"/>
      <c r="Q446" s="76"/>
      <c r="U446" s="76"/>
      <c r="Y446" s="76"/>
      <c r="Z446" s="76"/>
      <c r="AA446" s="76"/>
      <c r="AB446" s="76"/>
    </row>
    <row r="447" ht="15.75" customHeight="1">
      <c r="G447" s="7"/>
      <c r="Q447" s="76"/>
      <c r="U447" s="76"/>
      <c r="Y447" s="76"/>
      <c r="Z447" s="76"/>
      <c r="AA447" s="76"/>
      <c r="AB447" s="76"/>
    </row>
    <row r="448" ht="15.75" customHeight="1">
      <c r="G448" s="7"/>
      <c r="Q448" s="76"/>
      <c r="U448" s="76"/>
      <c r="Y448" s="76"/>
      <c r="Z448" s="76"/>
      <c r="AA448" s="76"/>
      <c r="AB448" s="76"/>
    </row>
    <row r="449" ht="15.75" customHeight="1">
      <c r="G449" s="7"/>
      <c r="Q449" s="76"/>
      <c r="U449" s="76"/>
      <c r="Y449" s="76"/>
      <c r="Z449" s="76"/>
      <c r="AA449" s="76"/>
      <c r="AB449" s="76"/>
    </row>
    <row r="450" ht="15.75" customHeight="1">
      <c r="G450" s="7"/>
      <c r="Q450" s="76"/>
      <c r="U450" s="76"/>
      <c r="Y450" s="76"/>
      <c r="Z450" s="76"/>
      <c r="AA450" s="76"/>
      <c r="AB450" s="76"/>
    </row>
    <row r="451" ht="15.75" customHeight="1">
      <c r="G451" s="7"/>
      <c r="Q451" s="76"/>
      <c r="U451" s="76"/>
      <c r="Y451" s="76"/>
      <c r="Z451" s="76"/>
      <c r="AA451" s="76"/>
      <c r="AB451" s="76"/>
    </row>
    <row r="452" ht="15.75" customHeight="1">
      <c r="G452" s="7"/>
      <c r="Q452" s="76"/>
      <c r="U452" s="76"/>
      <c r="Y452" s="76"/>
      <c r="Z452" s="76"/>
      <c r="AA452" s="76"/>
      <c r="AB452" s="76"/>
    </row>
    <row r="453" ht="15.75" customHeight="1">
      <c r="G453" s="7"/>
      <c r="Q453" s="76"/>
      <c r="U453" s="76"/>
      <c r="Y453" s="76"/>
      <c r="Z453" s="76"/>
      <c r="AA453" s="76"/>
      <c r="AB453" s="76"/>
    </row>
    <row r="454" ht="15.75" customHeight="1">
      <c r="G454" s="7"/>
      <c r="Q454" s="76"/>
      <c r="U454" s="76"/>
      <c r="Y454" s="76"/>
      <c r="Z454" s="76"/>
      <c r="AA454" s="76"/>
      <c r="AB454" s="76"/>
    </row>
    <row r="455" ht="15.75" customHeight="1">
      <c r="G455" s="7"/>
      <c r="Q455" s="76"/>
      <c r="U455" s="76"/>
      <c r="Y455" s="76"/>
      <c r="Z455" s="76"/>
      <c r="AA455" s="76"/>
      <c r="AB455" s="76"/>
    </row>
    <row r="456" ht="15.75" customHeight="1">
      <c r="G456" s="7"/>
      <c r="Q456" s="76"/>
      <c r="U456" s="76"/>
      <c r="Y456" s="76"/>
      <c r="Z456" s="76"/>
      <c r="AA456" s="76"/>
      <c r="AB456" s="76"/>
    </row>
    <row r="457" ht="15.75" customHeight="1">
      <c r="G457" s="7"/>
      <c r="Q457" s="76"/>
      <c r="U457" s="76"/>
      <c r="Y457" s="76"/>
      <c r="Z457" s="76"/>
      <c r="AA457" s="76"/>
      <c r="AB457" s="76"/>
    </row>
    <row r="458" ht="15.75" customHeight="1">
      <c r="G458" s="7"/>
      <c r="Q458" s="76"/>
      <c r="U458" s="76"/>
      <c r="Y458" s="76"/>
      <c r="Z458" s="76"/>
      <c r="AA458" s="76"/>
      <c r="AB458" s="76"/>
    </row>
    <row r="459" ht="15.75" customHeight="1">
      <c r="G459" s="7"/>
      <c r="Q459" s="76"/>
      <c r="U459" s="76"/>
      <c r="Y459" s="76"/>
      <c r="Z459" s="76"/>
      <c r="AA459" s="76"/>
      <c r="AB459" s="76"/>
    </row>
    <row r="460" ht="15.75" customHeight="1">
      <c r="G460" s="7"/>
      <c r="Q460" s="76"/>
      <c r="U460" s="76"/>
      <c r="Y460" s="76"/>
      <c r="Z460" s="76"/>
      <c r="AA460" s="76"/>
      <c r="AB460" s="76"/>
    </row>
    <row r="461" ht="15.75" customHeight="1">
      <c r="G461" s="7"/>
      <c r="Q461" s="76"/>
      <c r="U461" s="76"/>
      <c r="Y461" s="76"/>
      <c r="Z461" s="76"/>
      <c r="AA461" s="76"/>
      <c r="AB461" s="76"/>
    </row>
    <row r="462" ht="15.75" customHeight="1">
      <c r="G462" s="7"/>
      <c r="Q462" s="76"/>
      <c r="U462" s="76"/>
      <c r="Y462" s="76"/>
      <c r="Z462" s="76"/>
      <c r="AA462" s="76"/>
      <c r="AB462" s="76"/>
    </row>
    <row r="463" ht="15.75" customHeight="1">
      <c r="G463" s="7"/>
      <c r="Q463" s="76"/>
      <c r="U463" s="76"/>
      <c r="Y463" s="76"/>
      <c r="Z463" s="76"/>
      <c r="AA463" s="76"/>
      <c r="AB463" s="76"/>
    </row>
    <row r="464" ht="15.75" customHeight="1">
      <c r="G464" s="7"/>
      <c r="Q464" s="76"/>
      <c r="U464" s="76"/>
      <c r="Y464" s="76"/>
      <c r="Z464" s="76"/>
      <c r="AA464" s="76"/>
      <c r="AB464" s="76"/>
    </row>
    <row r="465" ht="15.75" customHeight="1">
      <c r="G465" s="7"/>
      <c r="Q465" s="76"/>
      <c r="U465" s="76"/>
      <c r="Y465" s="76"/>
      <c r="Z465" s="76"/>
      <c r="AA465" s="76"/>
      <c r="AB465" s="76"/>
    </row>
    <row r="466" ht="15.75" customHeight="1">
      <c r="G466" s="7"/>
      <c r="Q466" s="76"/>
      <c r="U466" s="76"/>
      <c r="Y466" s="76"/>
      <c r="Z466" s="76"/>
      <c r="AA466" s="76"/>
      <c r="AB466" s="76"/>
    </row>
    <row r="467" ht="15.75" customHeight="1">
      <c r="G467" s="7"/>
      <c r="Q467" s="76"/>
      <c r="U467" s="76"/>
      <c r="Y467" s="76"/>
      <c r="Z467" s="76"/>
      <c r="AA467" s="76"/>
      <c r="AB467" s="76"/>
    </row>
    <row r="468" ht="15.75" customHeight="1">
      <c r="G468" s="7"/>
      <c r="Q468" s="76"/>
      <c r="U468" s="76"/>
      <c r="Y468" s="76"/>
      <c r="Z468" s="76"/>
      <c r="AA468" s="76"/>
      <c r="AB468" s="76"/>
    </row>
    <row r="469" ht="15.75" customHeight="1">
      <c r="G469" s="7"/>
      <c r="Q469" s="76"/>
      <c r="U469" s="76"/>
      <c r="Y469" s="76"/>
      <c r="Z469" s="76"/>
      <c r="AA469" s="76"/>
      <c r="AB469" s="76"/>
    </row>
    <row r="470" ht="15.75" customHeight="1">
      <c r="G470" s="7"/>
      <c r="Q470" s="76"/>
      <c r="U470" s="76"/>
      <c r="Y470" s="76"/>
      <c r="Z470" s="76"/>
      <c r="AA470" s="76"/>
      <c r="AB470" s="76"/>
    </row>
    <row r="471" ht="15.75" customHeight="1">
      <c r="G471" s="7"/>
      <c r="Q471" s="76"/>
      <c r="U471" s="76"/>
      <c r="Y471" s="76"/>
      <c r="Z471" s="76"/>
      <c r="AA471" s="76"/>
      <c r="AB471" s="76"/>
    </row>
    <row r="472" ht="15.75" customHeight="1">
      <c r="G472" s="7"/>
      <c r="Q472" s="76"/>
      <c r="U472" s="76"/>
      <c r="Y472" s="76"/>
      <c r="Z472" s="76"/>
      <c r="AA472" s="76"/>
      <c r="AB472" s="76"/>
    </row>
    <row r="473" ht="15.75" customHeight="1">
      <c r="G473" s="7"/>
      <c r="Q473" s="76"/>
      <c r="U473" s="76"/>
      <c r="Y473" s="76"/>
      <c r="Z473" s="76"/>
      <c r="AA473" s="76"/>
      <c r="AB473" s="76"/>
    </row>
    <row r="474" ht="15.75" customHeight="1">
      <c r="G474" s="7"/>
      <c r="Q474" s="76"/>
      <c r="U474" s="76"/>
      <c r="Y474" s="76"/>
      <c r="Z474" s="76"/>
      <c r="AA474" s="76"/>
      <c r="AB474" s="76"/>
    </row>
    <row r="475" ht="15.75" customHeight="1">
      <c r="G475" s="7"/>
      <c r="Q475" s="76"/>
      <c r="U475" s="76"/>
      <c r="Y475" s="76"/>
      <c r="Z475" s="76"/>
      <c r="AA475" s="76"/>
      <c r="AB475" s="76"/>
    </row>
    <row r="476" ht="15.75" customHeight="1">
      <c r="G476" s="7"/>
      <c r="Q476" s="76"/>
      <c r="U476" s="76"/>
      <c r="Y476" s="76"/>
      <c r="Z476" s="76"/>
      <c r="AA476" s="76"/>
      <c r="AB476" s="76"/>
    </row>
    <row r="477" ht="15.75" customHeight="1">
      <c r="G477" s="7"/>
      <c r="Q477" s="76"/>
      <c r="U477" s="76"/>
      <c r="Y477" s="76"/>
      <c r="Z477" s="76"/>
      <c r="AA477" s="76"/>
      <c r="AB477" s="76"/>
    </row>
    <row r="478" ht="15.75" customHeight="1">
      <c r="G478" s="7"/>
      <c r="Q478" s="76"/>
      <c r="U478" s="76"/>
      <c r="Y478" s="76"/>
      <c r="Z478" s="76"/>
      <c r="AA478" s="76"/>
      <c r="AB478" s="76"/>
    </row>
    <row r="479" ht="15.75" customHeight="1">
      <c r="G479" s="7"/>
      <c r="Q479" s="76"/>
      <c r="U479" s="76"/>
      <c r="Y479" s="76"/>
      <c r="Z479" s="76"/>
      <c r="AA479" s="76"/>
      <c r="AB479" s="76"/>
    </row>
    <row r="480" ht="15.75" customHeight="1">
      <c r="G480" s="7"/>
      <c r="Q480" s="76"/>
      <c r="U480" s="76"/>
      <c r="Y480" s="76"/>
      <c r="Z480" s="76"/>
      <c r="AA480" s="76"/>
      <c r="AB480" s="76"/>
    </row>
    <row r="481" ht="15.75" customHeight="1">
      <c r="G481" s="7"/>
      <c r="Q481" s="76"/>
      <c r="U481" s="76"/>
      <c r="Y481" s="76"/>
      <c r="Z481" s="76"/>
      <c r="AA481" s="76"/>
      <c r="AB481" s="76"/>
    </row>
    <row r="482" ht="15.75" customHeight="1">
      <c r="G482" s="7"/>
      <c r="Q482" s="76"/>
      <c r="U482" s="76"/>
      <c r="Y482" s="76"/>
      <c r="Z482" s="76"/>
      <c r="AA482" s="76"/>
      <c r="AB482" s="76"/>
    </row>
    <row r="483" ht="15.75" customHeight="1">
      <c r="G483" s="7"/>
      <c r="Q483" s="76"/>
      <c r="U483" s="76"/>
      <c r="Y483" s="76"/>
      <c r="Z483" s="76"/>
      <c r="AA483" s="76"/>
      <c r="AB483" s="76"/>
    </row>
    <row r="484" ht="15.75" customHeight="1">
      <c r="G484" s="7"/>
      <c r="Q484" s="76"/>
      <c r="U484" s="76"/>
      <c r="Y484" s="76"/>
      <c r="Z484" s="76"/>
      <c r="AA484" s="76"/>
      <c r="AB484" s="76"/>
    </row>
    <row r="485" ht="15.75" customHeight="1">
      <c r="G485" s="7"/>
      <c r="Q485" s="76"/>
      <c r="U485" s="76"/>
      <c r="Y485" s="76"/>
      <c r="Z485" s="76"/>
      <c r="AA485" s="76"/>
      <c r="AB485" s="76"/>
    </row>
    <row r="486" ht="15.75" customHeight="1">
      <c r="G486" s="7"/>
      <c r="Q486" s="76"/>
      <c r="U486" s="76"/>
      <c r="Y486" s="76"/>
      <c r="Z486" s="76"/>
      <c r="AA486" s="76"/>
      <c r="AB486" s="76"/>
    </row>
    <row r="487" ht="15.75" customHeight="1">
      <c r="G487" s="7"/>
      <c r="Q487" s="76"/>
      <c r="U487" s="76"/>
      <c r="Y487" s="76"/>
      <c r="Z487" s="76"/>
      <c r="AA487" s="76"/>
      <c r="AB487" s="76"/>
    </row>
    <row r="488" ht="15.75" customHeight="1">
      <c r="G488" s="7"/>
      <c r="Q488" s="76"/>
      <c r="U488" s="76"/>
      <c r="Y488" s="76"/>
      <c r="Z488" s="76"/>
      <c r="AA488" s="76"/>
      <c r="AB488" s="76"/>
    </row>
    <row r="489" ht="15.75" customHeight="1">
      <c r="G489" s="7"/>
      <c r="Q489" s="76"/>
      <c r="U489" s="76"/>
      <c r="Y489" s="76"/>
      <c r="Z489" s="76"/>
      <c r="AA489" s="76"/>
      <c r="AB489" s="76"/>
    </row>
    <row r="490" ht="15.75" customHeight="1">
      <c r="G490" s="7"/>
      <c r="Q490" s="76"/>
      <c r="U490" s="76"/>
      <c r="Y490" s="76"/>
      <c r="Z490" s="76"/>
      <c r="AA490" s="76"/>
      <c r="AB490" s="76"/>
    </row>
    <row r="491" ht="15.75" customHeight="1">
      <c r="G491" s="7"/>
      <c r="Q491" s="76"/>
      <c r="U491" s="76"/>
      <c r="Y491" s="76"/>
      <c r="Z491" s="76"/>
      <c r="AA491" s="76"/>
      <c r="AB491" s="76"/>
    </row>
    <row r="492" ht="15.75" customHeight="1">
      <c r="G492" s="7"/>
      <c r="Q492" s="76"/>
      <c r="U492" s="76"/>
      <c r="Y492" s="76"/>
      <c r="Z492" s="76"/>
      <c r="AA492" s="76"/>
      <c r="AB492" s="76"/>
    </row>
    <row r="493" ht="15.75" customHeight="1">
      <c r="G493" s="7"/>
      <c r="Q493" s="76"/>
      <c r="U493" s="76"/>
      <c r="Y493" s="76"/>
      <c r="Z493" s="76"/>
      <c r="AA493" s="76"/>
      <c r="AB493" s="76"/>
    </row>
    <row r="494" ht="15.75" customHeight="1">
      <c r="G494" s="7"/>
      <c r="Q494" s="76"/>
      <c r="U494" s="76"/>
      <c r="Y494" s="76"/>
      <c r="Z494" s="76"/>
      <c r="AA494" s="76"/>
      <c r="AB494" s="76"/>
    </row>
    <row r="495" ht="15.75" customHeight="1">
      <c r="G495" s="7"/>
      <c r="Q495" s="76"/>
      <c r="U495" s="76"/>
      <c r="Y495" s="76"/>
      <c r="Z495" s="76"/>
      <c r="AA495" s="76"/>
      <c r="AB495" s="76"/>
    </row>
    <row r="496" ht="15.75" customHeight="1">
      <c r="G496" s="7"/>
      <c r="Q496" s="76"/>
      <c r="U496" s="76"/>
      <c r="Y496" s="76"/>
      <c r="Z496" s="76"/>
      <c r="AA496" s="76"/>
      <c r="AB496" s="76"/>
    </row>
    <row r="497" ht="15.75" customHeight="1">
      <c r="G497" s="7"/>
      <c r="Q497" s="76"/>
      <c r="U497" s="76"/>
      <c r="Y497" s="76"/>
      <c r="Z497" s="76"/>
      <c r="AA497" s="76"/>
      <c r="AB497" s="76"/>
    </row>
    <row r="498" ht="15.75" customHeight="1">
      <c r="G498" s="7"/>
      <c r="Q498" s="76"/>
      <c r="U498" s="76"/>
      <c r="Y498" s="76"/>
      <c r="Z498" s="76"/>
      <c r="AA498" s="76"/>
      <c r="AB498" s="76"/>
    </row>
    <row r="499" ht="15.75" customHeight="1">
      <c r="G499" s="7"/>
      <c r="Q499" s="76"/>
      <c r="U499" s="76"/>
      <c r="Y499" s="76"/>
      <c r="Z499" s="76"/>
      <c r="AA499" s="76"/>
      <c r="AB499" s="76"/>
    </row>
    <row r="500" ht="15.75" customHeight="1">
      <c r="G500" s="7"/>
      <c r="Q500" s="76"/>
      <c r="U500" s="76"/>
      <c r="Y500" s="76"/>
      <c r="Z500" s="76"/>
      <c r="AA500" s="76"/>
      <c r="AB500" s="76"/>
    </row>
    <row r="501" ht="15.75" customHeight="1">
      <c r="G501" s="7"/>
      <c r="Q501" s="76"/>
      <c r="U501" s="76"/>
      <c r="Y501" s="76"/>
      <c r="Z501" s="76"/>
      <c r="AA501" s="76"/>
      <c r="AB501" s="76"/>
    </row>
    <row r="502" ht="15.75" customHeight="1">
      <c r="G502" s="7"/>
      <c r="Q502" s="76"/>
      <c r="U502" s="76"/>
      <c r="Y502" s="76"/>
      <c r="Z502" s="76"/>
      <c r="AA502" s="76"/>
      <c r="AB502" s="76"/>
    </row>
    <row r="503" ht="15.75" customHeight="1">
      <c r="G503" s="7"/>
      <c r="Q503" s="76"/>
      <c r="U503" s="76"/>
      <c r="Y503" s="76"/>
      <c r="Z503" s="76"/>
      <c r="AA503" s="76"/>
      <c r="AB503" s="76"/>
    </row>
    <row r="504" ht="15.75" customHeight="1">
      <c r="G504" s="7"/>
      <c r="Q504" s="76"/>
      <c r="U504" s="76"/>
      <c r="Y504" s="76"/>
      <c r="Z504" s="76"/>
      <c r="AA504" s="76"/>
      <c r="AB504" s="76"/>
    </row>
    <row r="505" ht="15.75" customHeight="1">
      <c r="G505" s="7"/>
      <c r="Q505" s="76"/>
      <c r="U505" s="76"/>
      <c r="Y505" s="76"/>
      <c r="Z505" s="76"/>
      <c r="AA505" s="76"/>
      <c r="AB505" s="76"/>
    </row>
    <row r="506" ht="15.75" customHeight="1">
      <c r="G506" s="7"/>
      <c r="Q506" s="76"/>
      <c r="U506" s="76"/>
      <c r="Y506" s="76"/>
      <c r="Z506" s="76"/>
      <c r="AA506" s="76"/>
      <c r="AB506" s="76"/>
    </row>
    <row r="507" ht="15.75" customHeight="1">
      <c r="G507" s="7"/>
      <c r="Q507" s="76"/>
      <c r="U507" s="76"/>
      <c r="Y507" s="76"/>
      <c r="Z507" s="76"/>
      <c r="AA507" s="76"/>
      <c r="AB507" s="76"/>
    </row>
    <row r="508" ht="15.75" customHeight="1">
      <c r="G508" s="7"/>
      <c r="Q508" s="76"/>
      <c r="U508" s="76"/>
      <c r="Y508" s="76"/>
      <c r="Z508" s="76"/>
      <c r="AA508" s="76"/>
      <c r="AB508" s="76"/>
    </row>
    <row r="509" ht="15.75" customHeight="1">
      <c r="G509" s="7"/>
      <c r="Q509" s="76"/>
      <c r="U509" s="76"/>
      <c r="Y509" s="76"/>
      <c r="Z509" s="76"/>
      <c r="AA509" s="76"/>
      <c r="AB509" s="76"/>
    </row>
    <row r="510" ht="15.75" customHeight="1">
      <c r="G510" s="7"/>
      <c r="Q510" s="76"/>
      <c r="U510" s="76"/>
      <c r="Y510" s="76"/>
      <c r="Z510" s="76"/>
      <c r="AA510" s="76"/>
      <c r="AB510" s="76"/>
    </row>
    <row r="511" ht="15.75" customHeight="1">
      <c r="G511" s="7"/>
      <c r="Q511" s="76"/>
      <c r="U511" s="76"/>
      <c r="Y511" s="76"/>
      <c r="Z511" s="76"/>
      <c r="AA511" s="76"/>
      <c r="AB511" s="76"/>
    </row>
    <row r="512" ht="15.75" customHeight="1">
      <c r="G512" s="7"/>
      <c r="Q512" s="76"/>
      <c r="U512" s="76"/>
      <c r="Y512" s="76"/>
      <c r="Z512" s="76"/>
      <c r="AA512" s="76"/>
      <c r="AB512" s="76"/>
    </row>
    <row r="513" ht="15.75" customHeight="1">
      <c r="G513" s="7"/>
      <c r="Q513" s="76"/>
      <c r="U513" s="76"/>
      <c r="Y513" s="76"/>
      <c r="Z513" s="76"/>
      <c r="AA513" s="76"/>
      <c r="AB513" s="76"/>
    </row>
    <row r="514" ht="15.75" customHeight="1">
      <c r="G514" s="7"/>
      <c r="Q514" s="76"/>
      <c r="U514" s="76"/>
      <c r="Y514" s="76"/>
      <c r="Z514" s="76"/>
      <c r="AA514" s="76"/>
      <c r="AB514" s="76"/>
    </row>
    <row r="515" ht="15.75" customHeight="1">
      <c r="G515" s="7"/>
      <c r="Q515" s="76"/>
      <c r="U515" s="76"/>
      <c r="Y515" s="76"/>
      <c r="Z515" s="76"/>
      <c r="AA515" s="76"/>
      <c r="AB515" s="76"/>
    </row>
    <row r="516" ht="15.75" customHeight="1">
      <c r="G516" s="7"/>
      <c r="Q516" s="76"/>
      <c r="U516" s="76"/>
      <c r="Y516" s="76"/>
      <c r="Z516" s="76"/>
      <c r="AA516" s="76"/>
      <c r="AB516" s="76"/>
    </row>
    <row r="517" ht="15.75" customHeight="1">
      <c r="G517" s="7"/>
      <c r="Q517" s="76"/>
      <c r="U517" s="76"/>
      <c r="Y517" s="76"/>
      <c r="Z517" s="76"/>
      <c r="AA517" s="76"/>
      <c r="AB517" s="76"/>
    </row>
    <row r="518" ht="15.75" customHeight="1">
      <c r="G518" s="7"/>
      <c r="Q518" s="76"/>
      <c r="U518" s="76"/>
      <c r="Y518" s="76"/>
      <c r="Z518" s="76"/>
      <c r="AA518" s="76"/>
      <c r="AB518" s="76"/>
    </row>
    <row r="519" ht="15.75" customHeight="1">
      <c r="G519" s="7"/>
      <c r="Q519" s="76"/>
      <c r="U519" s="76"/>
      <c r="Y519" s="76"/>
      <c r="Z519" s="76"/>
      <c r="AA519" s="76"/>
      <c r="AB519" s="76"/>
    </row>
    <row r="520" ht="15.75" customHeight="1">
      <c r="G520" s="7"/>
      <c r="Q520" s="76"/>
      <c r="U520" s="76"/>
      <c r="Y520" s="76"/>
      <c r="Z520" s="76"/>
      <c r="AA520" s="76"/>
      <c r="AB520" s="76"/>
    </row>
    <row r="521" ht="15.75" customHeight="1">
      <c r="G521" s="7"/>
      <c r="Q521" s="76"/>
      <c r="U521" s="76"/>
      <c r="Y521" s="76"/>
      <c r="Z521" s="76"/>
      <c r="AA521" s="76"/>
      <c r="AB521" s="76"/>
    </row>
    <row r="522" ht="15.75" customHeight="1">
      <c r="G522" s="7"/>
      <c r="Q522" s="76"/>
      <c r="U522" s="76"/>
      <c r="Y522" s="76"/>
      <c r="Z522" s="76"/>
      <c r="AA522" s="76"/>
      <c r="AB522" s="76"/>
    </row>
    <row r="523" ht="15.75" customHeight="1">
      <c r="G523" s="7"/>
      <c r="Q523" s="76"/>
      <c r="U523" s="76"/>
      <c r="Y523" s="76"/>
      <c r="Z523" s="76"/>
      <c r="AA523" s="76"/>
      <c r="AB523" s="76"/>
    </row>
    <row r="524" ht="15.75" customHeight="1">
      <c r="G524" s="7"/>
      <c r="Q524" s="76"/>
      <c r="U524" s="76"/>
      <c r="Y524" s="76"/>
      <c r="Z524" s="76"/>
      <c r="AA524" s="76"/>
      <c r="AB524" s="76"/>
    </row>
    <row r="525" ht="15.75" customHeight="1">
      <c r="G525" s="7"/>
      <c r="Q525" s="76"/>
      <c r="U525" s="76"/>
      <c r="Y525" s="76"/>
      <c r="Z525" s="76"/>
      <c r="AA525" s="76"/>
      <c r="AB525" s="76"/>
    </row>
    <row r="526" ht="15.75" customHeight="1">
      <c r="G526" s="7"/>
      <c r="Q526" s="76"/>
      <c r="U526" s="76"/>
      <c r="Y526" s="76"/>
      <c r="Z526" s="76"/>
      <c r="AA526" s="76"/>
      <c r="AB526" s="76"/>
    </row>
    <row r="527" ht="15.75" customHeight="1">
      <c r="G527" s="7"/>
      <c r="Q527" s="76"/>
      <c r="U527" s="76"/>
      <c r="Y527" s="76"/>
      <c r="Z527" s="76"/>
      <c r="AA527" s="76"/>
      <c r="AB527" s="76"/>
    </row>
    <row r="528" ht="15.75" customHeight="1">
      <c r="G528" s="7"/>
      <c r="Q528" s="76"/>
      <c r="U528" s="76"/>
      <c r="Y528" s="76"/>
      <c r="Z528" s="76"/>
      <c r="AA528" s="76"/>
      <c r="AB528" s="76"/>
    </row>
    <row r="529" ht="15.75" customHeight="1">
      <c r="G529" s="7"/>
      <c r="Q529" s="76"/>
      <c r="U529" s="76"/>
      <c r="Y529" s="76"/>
      <c r="Z529" s="76"/>
      <c r="AA529" s="76"/>
      <c r="AB529" s="76"/>
    </row>
    <row r="530" ht="15.75" customHeight="1">
      <c r="G530" s="7"/>
      <c r="Q530" s="76"/>
      <c r="U530" s="76"/>
      <c r="Y530" s="76"/>
      <c r="Z530" s="76"/>
      <c r="AA530" s="76"/>
      <c r="AB530" s="76"/>
    </row>
    <row r="531" ht="15.75" customHeight="1">
      <c r="G531" s="7"/>
      <c r="Q531" s="76"/>
      <c r="U531" s="76"/>
      <c r="Y531" s="76"/>
      <c r="Z531" s="76"/>
      <c r="AA531" s="76"/>
      <c r="AB531" s="76"/>
    </row>
    <row r="532" ht="15.75" customHeight="1">
      <c r="G532" s="7"/>
      <c r="Q532" s="76"/>
      <c r="U532" s="76"/>
      <c r="Y532" s="76"/>
      <c r="Z532" s="76"/>
      <c r="AA532" s="76"/>
      <c r="AB532" s="76"/>
    </row>
    <row r="533" ht="15.75" customHeight="1">
      <c r="G533" s="7"/>
      <c r="Q533" s="76"/>
      <c r="U533" s="76"/>
      <c r="Y533" s="76"/>
      <c r="Z533" s="76"/>
      <c r="AA533" s="76"/>
      <c r="AB533" s="76"/>
    </row>
    <row r="534" ht="15.75" customHeight="1">
      <c r="G534" s="7"/>
      <c r="Q534" s="76"/>
      <c r="U534" s="76"/>
      <c r="Y534" s="76"/>
      <c r="Z534" s="76"/>
      <c r="AA534" s="76"/>
      <c r="AB534" s="76"/>
    </row>
    <row r="535" ht="15.75" customHeight="1">
      <c r="G535" s="7"/>
      <c r="Q535" s="76"/>
      <c r="U535" s="76"/>
      <c r="Y535" s="76"/>
      <c r="Z535" s="76"/>
      <c r="AA535" s="76"/>
      <c r="AB535" s="76"/>
    </row>
    <row r="536" ht="15.75" customHeight="1">
      <c r="G536" s="7"/>
      <c r="Q536" s="76"/>
      <c r="U536" s="76"/>
      <c r="Y536" s="76"/>
      <c r="Z536" s="76"/>
      <c r="AA536" s="76"/>
      <c r="AB536" s="76"/>
    </row>
    <row r="537" ht="15.75" customHeight="1">
      <c r="G537" s="7"/>
      <c r="Q537" s="76"/>
      <c r="U537" s="76"/>
      <c r="Y537" s="76"/>
      <c r="Z537" s="76"/>
      <c r="AA537" s="76"/>
      <c r="AB537" s="76"/>
    </row>
    <row r="538" ht="15.75" customHeight="1">
      <c r="G538" s="7"/>
      <c r="Q538" s="76"/>
      <c r="U538" s="76"/>
      <c r="Y538" s="76"/>
      <c r="Z538" s="76"/>
      <c r="AA538" s="76"/>
      <c r="AB538" s="76"/>
    </row>
    <row r="539" ht="15.75" customHeight="1">
      <c r="G539" s="7"/>
      <c r="Q539" s="76"/>
      <c r="U539" s="76"/>
      <c r="Y539" s="76"/>
      <c r="Z539" s="76"/>
      <c r="AA539" s="76"/>
      <c r="AB539" s="76"/>
    </row>
    <row r="540" ht="15.75" customHeight="1">
      <c r="G540" s="7"/>
      <c r="Q540" s="76"/>
      <c r="U540" s="76"/>
      <c r="Y540" s="76"/>
      <c r="Z540" s="76"/>
      <c r="AA540" s="76"/>
      <c r="AB540" s="76"/>
    </row>
    <row r="541" ht="15.75" customHeight="1">
      <c r="G541" s="7"/>
      <c r="Q541" s="76"/>
      <c r="U541" s="76"/>
      <c r="Y541" s="76"/>
      <c r="Z541" s="76"/>
      <c r="AA541" s="76"/>
      <c r="AB541" s="76"/>
    </row>
    <row r="542" ht="15.75" customHeight="1">
      <c r="G542" s="7"/>
      <c r="Q542" s="76"/>
      <c r="U542" s="76"/>
      <c r="Y542" s="76"/>
      <c r="Z542" s="76"/>
      <c r="AA542" s="76"/>
      <c r="AB542" s="76"/>
    </row>
    <row r="543" ht="15.75" customHeight="1">
      <c r="G543" s="7"/>
      <c r="Q543" s="76"/>
      <c r="U543" s="76"/>
      <c r="Y543" s="76"/>
      <c r="Z543" s="76"/>
      <c r="AA543" s="76"/>
      <c r="AB543" s="76"/>
    </row>
    <row r="544" ht="15.75" customHeight="1">
      <c r="G544" s="7"/>
      <c r="Q544" s="76"/>
      <c r="U544" s="76"/>
      <c r="Y544" s="76"/>
      <c r="Z544" s="76"/>
      <c r="AA544" s="76"/>
      <c r="AB544" s="76"/>
    </row>
    <row r="545" ht="15.75" customHeight="1">
      <c r="G545" s="7"/>
      <c r="Q545" s="76"/>
      <c r="U545" s="76"/>
      <c r="Y545" s="76"/>
      <c r="Z545" s="76"/>
      <c r="AA545" s="76"/>
      <c r="AB545" s="76"/>
    </row>
    <row r="546" ht="15.75" customHeight="1">
      <c r="G546" s="7"/>
      <c r="Q546" s="76"/>
      <c r="U546" s="76"/>
      <c r="Y546" s="76"/>
      <c r="Z546" s="76"/>
      <c r="AA546" s="76"/>
      <c r="AB546" s="76"/>
    </row>
    <row r="547" ht="15.75" customHeight="1">
      <c r="G547" s="7"/>
      <c r="Q547" s="76"/>
      <c r="U547" s="76"/>
      <c r="Y547" s="76"/>
      <c r="Z547" s="76"/>
      <c r="AA547" s="76"/>
      <c r="AB547" s="76"/>
    </row>
    <row r="548" ht="15.75" customHeight="1">
      <c r="G548" s="7"/>
      <c r="Q548" s="76"/>
      <c r="U548" s="76"/>
      <c r="Y548" s="76"/>
      <c r="Z548" s="76"/>
      <c r="AA548" s="76"/>
      <c r="AB548" s="76"/>
    </row>
    <row r="549" ht="15.75" customHeight="1">
      <c r="G549" s="7"/>
      <c r="Q549" s="76"/>
      <c r="U549" s="76"/>
      <c r="Y549" s="76"/>
      <c r="Z549" s="76"/>
      <c r="AA549" s="76"/>
      <c r="AB549" s="76"/>
    </row>
    <row r="550" ht="15.75" customHeight="1">
      <c r="G550" s="7"/>
      <c r="Q550" s="76"/>
      <c r="U550" s="76"/>
      <c r="Y550" s="76"/>
      <c r="Z550" s="76"/>
      <c r="AA550" s="76"/>
      <c r="AB550" s="76"/>
    </row>
    <row r="551" ht="15.75" customHeight="1">
      <c r="G551" s="7"/>
      <c r="Q551" s="76"/>
      <c r="U551" s="76"/>
      <c r="Y551" s="76"/>
      <c r="Z551" s="76"/>
      <c r="AA551" s="76"/>
      <c r="AB551" s="76"/>
    </row>
    <row r="552" ht="15.75" customHeight="1">
      <c r="G552" s="7"/>
      <c r="Q552" s="76"/>
      <c r="U552" s="76"/>
      <c r="Y552" s="76"/>
      <c r="Z552" s="76"/>
      <c r="AA552" s="76"/>
      <c r="AB552" s="76"/>
    </row>
    <row r="553" ht="15.75" customHeight="1">
      <c r="G553" s="7"/>
      <c r="Q553" s="76"/>
      <c r="U553" s="76"/>
      <c r="Y553" s="76"/>
      <c r="Z553" s="76"/>
      <c r="AA553" s="76"/>
      <c r="AB553" s="76"/>
    </row>
    <row r="554" ht="15.75" customHeight="1">
      <c r="G554" s="7"/>
      <c r="Q554" s="76"/>
      <c r="U554" s="76"/>
      <c r="Y554" s="76"/>
      <c r="Z554" s="76"/>
      <c r="AA554" s="76"/>
      <c r="AB554" s="76"/>
    </row>
    <row r="555" ht="15.75" customHeight="1">
      <c r="G555" s="7"/>
      <c r="Q555" s="76"/>
      <c r="U555" s="76"/>
      <c r="Y555" s="76"/>
      <c r="Z555" s="76"/>
      <c r="AA555" s="76"/>
      <c r="AB555" s="76"/>
    </row>
    <row r="556" ht="15.75" customHeight="1">
      <c r="G556" s="7"/>
      <c r="Q556" s="76"/>
      <c r="U556" s="76"/>
      <c r="Y556" s="76"/>
      <c r="Z556" s="76"/>
      <c r="AA556" s="76"/>
      <c r="AB556" s="76"/>
    </row>
    <row r="557" ht="15.75" customHeight="1">
      <c r="G557" s="7"/>
      <c r="Q557" s="76"/>
      <c r="U557" s="76"/>
      <c r="Y557" s="76"/>
      <c r="Z557" s="76"/>
      <c r="AA557" s="76"/>
      <c r="AB557" s="76"/>
    </row>
    <row r="558" ht="15.75" customHeight="1">
      <c r="G558" s="7"/>
      <c r="Q558" s="76"/>
      <c r="U558" s="76"/>
      <c r="Y558" s="76"/>
      <c r="Z558" s="76"/>
      <c r="AA558" s="76"/>
      <c r="AB558" s="76"/>
    </row>
    <row r="559" ht="15.75" customHeight="1">
      <c r="G559" s="7"/>
      <c r="Q559" s="76"/>
      <c r="U559" s="76"/>
      <c r="Y559" s="76"/>
      <c r="Z559" s="76"/>
      <c r="AA559" s="76"/>
      <c r="AB559" s="76"/>
    </row>
    <row r="560" ht="15.75" customHeight="1">
      <c r="G560" s="7"/>
      <c r="Q560" s="76"/>
      <c r="U560" s="76"/>
      <c r="Y560" s="76"/>
      <c r="Z560" s="76"/>
      <c r="AA560" s="76"/>
      <c r="AB560" s="76"/>
    </row>
    <row r="561" ht="15.75" customHeight="1">
      <c r="G561" s="7"/>
      <c r="Q561" s="76"/>
      <c r="U561" s="76"/>
      <c r="Y561" s="76"/>
      <c r="Z561" s="76"/>
      <c r="AA561" s="76"/>
      <c r="AB561" s="76"/>
    </row>
    <row r="562" ht="15.75" customHeight="1">
      <c r="G562" s="7"/>
      <c r="Q562" s="76"/>
      <c r="U562" s="76"/>
      <c r="Y562" s="76"/>
      <c r="Z562" s="76"/>
      <c r="AA562" s="76"/>
      <c r="AB562" s="76"/>
    </row>
    <row r="563" ht="15.75" customHeight="1">
      <c r="G563" s="7"/>
      <c r="Q563" s="76"/>
      <c r="U563" s="76"/>
      <c r="Y563" s="76"/>
      <c r="Z563" s="76"/>
      <c r="AA563" s="76"/>
      <c r="AB563" s="76"/>
    </row>
    <row r="564" ht="15.75" customHeight="1">
      <c r="G564" s="7"/>
      <c r="Q564" s="76"/>
      <c r="U564" s="76"/>
      <c r="Y564" s="76"/>
      <c r="Z564" s="76"/>
      <c r="AA564" s="76"/>
      <c r="AB564" s="76"/>
    </row>
    <row r="565" ht="15.75" customHeight="1">
      <c r="G565" s="7"/>
      <c r="Q565" s="76"/>
      <c r="U565" s="76"/>
      <c r="Y565" s="76"/>
      <c r="Z565" s="76"/>
      <c r="AA565" s="76"/>
      <c r="AB565" s="76"/>
    </row>
    <row r="566" ht="15.75" customHeight="1">
      <c r="G566" s="7"/>
      <c r="Q566" s="76"/>
      <c r="U566" s="76"/>
      <c r="Y566" s="76"/>
      <c r="Z566" s="76"/>
      <c r="AA566" s="76"/>
      <c r="AB566" s="76"/>
    </row>
    <row r="567" ht="15.75" customHeight="1">
      <c r="G567" s="7"/>
      <c r="Q567" s="76"/>
      <c r="U567" s="76"/>
      <c r="Y567" s="76"/>
      <c r="Z567" s="76"/>
      <c r="AA567" s="76"/>
      <c r="AB567" s="76"/>
    </row>
    <row r="568" ht="15.75" customHeight="1">
      <c r="G568" s="7"/>
      <c r="Q568" s="76"/>
      <c r="U568" s="76"/>
      <c r="Y568" s="76"/>
      <c r="Z568" s="76"/>
      <c r="AA568" s="76"/>
      <c r="AB568" s="76"/>
    </row>
    <row r="569" ht="15.75" customHeight="1">
      <c r="G569" s="7"/>
      <c r="Q569" s="76"/>
      <c r="U569" s="76"/>
      <c r="Y569" s="76"/>
      <c r="Z569" s="76"/>
      <c r="AA569" s="76"/>
      <c r="AB569" s="76"/>
    </row>
    <row r="570" ht="15.75" customHeight="1">
      <c r="G570" s="7"/>
      <c r="Q570" s="76"/>
      <c r="U570" s="76"/>
      <c r="Y570" s="76"/>
      <c r="Z570" s="76"/>
      <c r="AA570" s="76"/>
      <c r="AB570" s="76"/>
    </row>
    <row r="571" ht="15.75" customHeight="1">
      <c r="G571" s="7"/>
      <c r="Q571" s="76"/>
      <c r="U571" s="76"/>
      <c r="Y571" s="76"/>
      <c r="Z571" s="76"/>
      <c r="AA571" s="76"/>
      <c r="AB571" s="76"/>
    </row>
    <row r="572" ht="15.75" customHeight="1">
      <c r="G572" s="7"/>
      <c r="Q572" s="76"/>
      <c r="U572" s="76"/>
      <c r="Y572" s="76"/>
      <c r="Z572" s="76"/>
      <c r="AA572" s="76"/>
      <c r="AB572" s="76"/>
    </row>
    <row r="573" ht="15.75" customHeight="1">
      <c r="G573" s="7"/>
      <c r="Q573" s="76"/>
      <c r="U573" s="76"/>
      <c r="Y573" s="76"/>
      <c r="Z573" s="76"/>
      <c r="AA573" s="76"/>
      <c r="AB573" s="76"/>
    </row>
    <row r="574" ht="15.75" customHeight="1">
      <c r="G574" s="7"/>
      <c r="Q574" s="76"/>
      <c r="U574" s="76"/>
      <c r="Y574" s="76"/>
      <c r="Z574" s="76"/>
      <c r="AA574" s="76"/>
      <c r="AB574" s="76"/>
    </row>
    <row r="575" ht="15.75" customHeight="1">
      <c r="G575" s="7"/>
      <c r="Q575" s="76"/>
      <c r="U575" s="76"/>
      <c r="Y575" s="76"/>
      <c r="Z575" s="76"/>
      <c r="AA575" s="76"/>
      <c r="AB575" s="76"/>
    </row>
    <row r="576" ht="15.75" customHeight="1">
      <c r="G576" s="7"/>
      <c r="Q576" s="76"/>
      <c r="U576" s="76"/>
      <c r="Y576" s="76"/>
      <c r="Z576" s="76"/>
      <c r="AA576" s="76"/>
      <c r="AB576" s="76"/>
    </row>
    <row r="577" ht="15.75" customHeight="1">
      <c r="G577" s="7"/>
      <c r="Q577" s="76"/>
      <c r="U577" s="76"/>
      <c r="Y577" s="76"/>
      <c r="Z577" s="76"/>
      <c r="AA577" s="76"/>
      <c r="AB577" s="76"/>
    </row>
    <row r="578" ht="15.75" customHeight="1">
      <c r="G578" s="7"/>
      <c r="Q578" s="76"/>
      <c r="U578" s="76"/>
      <c r="Y578" s="76"/>
      <c r="Z578" s="76"/>
      <c r="AA578" s="76"/>
      <c r="AB578" s="76"/>
    </row>
    <row r="579" ht="15.75" customHeight="1">
      <c r="G579" s="7"/>
      <c r="Q579" s="76"/>
      <c r="U579" s="76"/>
      <c r="Y579" s="76"/>
      <c r="Z579" s="76"/>
      <c r="AA579" s="76"/>
      <c r="AB579" s="76"/>
    </row>
    <row r="580" ht="15.75" customHeight="1">
      <c r="G580" s="7"/>
      <c r="Q580" s="76"/>
      <c r="U580" s="76"/>
      <c r="Y580" s="76"/>
      <c r="Z580" s="76"/>
      <c r="AA580" s="76"/>
      <c r="AB580" s="76"/>
    </row>
    <row r="581" ht="15.75" customHeight="1">
      <c r="G581" s="7"/>
      <c r="Q581" s="76"/>
      <c r="U581" s="76"/>
      <c r="Y581" s="76"/>
      <c r="Z581" s="76"/>
      <c r="AA581" s="76"/>
      <c r="AB581" s="76"/>
    </row>
    <row r="582" ht="15.75" customHeight="1">
      <c r="G582" s="7"/>
      <c r="Q582" s="76"/>
      <c r="U582" s="76"/>
      <c r="Y582" s="76"/>
      <c r="Z582" s="76"/>
      <c r="AA582" s="76"/>
      <c r="AB582" s="76"/>
    </row>
    <row r="583" ht="15.75" customHeight="1">
      <c r="G583" s="7"/>
      <c r="Q583" s="76"/>
      <c r="U583" s="76"/>
      <c r="Y583" s="76"/>
      <c r="Z583" s="76"/>
      <c r="AA583" s="76"/>
      <c r="AB583" s="76"/>
    </row>
    <row r="584" ht="15.75" customHeight="1">
      <c r="G584" s="7"/>
      <c r="Q584" s="76"/>
      <c r="U584" s="76"/>
      <c r="Y584" s="76"/>
      <c r="Z584" s="76"/>
      <c r="AA584" s="76"/>
      <c r="AB584" s="76"/>
    </row>
    <row r="585" ht="15.75" customHeight="1">
      <c r="G585" s="7"/>
      <c r="Q585" s="76"/>
      <c r="U585" s="76"/>
      <c r="Y585" s="76"/>
      <c r="Z585" s="76"/>
      <c r="AA585" s="76"/>
      <c r="AB585" s="76"/>
    </row>
    <row r="586" ht="15.75" customHeight="1">
      <c r="G586" s="7"/>
      <c r="Q586" s="76"/>
      <c r="U586" s="76"/>
      <c r="Y586" s="76"/>
      <c r="Z586" s="76"/>
      <c r="AA586" s="76"/>
      <c r="AB586" s="76"/>
    </row>
    <row r="587" ht="15.75" customHeight="1">
      <c r="G587" s="7"/>
      <c r="Q587" s="76"/>
      <c r="U587" s="76"/>
      <c r="Y587" s="76"/>
      <c r="Z587" s="76"/>
      <c r="AA587" s="76"/>
      <c r="AB587" s="76"/>
    </row>
    <row r="588" ht="15.75" customHeight="1">
      <c r="G588" s="7"/>
      <c r="Q588" s="76"/>
      <c r="U588" s="76"/>
      <c r="Y588" s="76"/>
      <c r="Z588" s="76"/>
      <c r="AA588" s="76"/>
      <c r="AB588" s="76"/>
    </row>
    <row r="589" ht="15.75" customHeight="1">
      <c r="G589" s="7"/>
      <c r="Q589" s="76"/>
      <c r="U589" s="76"/>
      <c r="Y589" s="76"/>
      <c r="Z589" s="76"/>
      <c r="AA589" s="76"/>
      <c r="AB589" s="76"/>
    </row>
    <row r="590" ht="15.75" customHeight="1">
      <c r="G590" s="7"/>
      <c r="Q590" s="76"/>
      <c r="U590" s="76"/>
      <c r="Y590" s="76"/>
      <c r="Z590" s="76"/>
      <c r="AA590" s="76"/>
      <c r="AB590" s="76"/>
    </row>
    <row r="591" ht="15.75" customHeight="1">
      <c r="G591" s="7"/>
      <c r="Q591" s="76"/>
      <c r="U591" s="76"/>
      <c r="Y591" s="76"/>
      <c r="Z591" s="76"/>
      <c r="AA591" s="76"/>
      <c r="AB591" s="76"/>
    </row>
    <row r="592" ht="15.75" customHeight="1">
      <c r="G592" s="7"/>
      <c r="Q592" s="76"/>
      <c r="U592" s="76"/>
      <c r="Y592" s="76"/>
      <c r="Z592" s="76"/>
      <c r="AA592" s="76"/>
      <c r="AB592" s="76"/>
    </row>
    <row r="593" ht="15.75" customHeight="1">
      <c r="G593" s="7"/>
      <c r="Q593" s="76"/>
      <c r="U593" s="76"/>
      <c r="Y593" s="76"/>
      <c r="Z593" s="76"/>
      <c r="AA593" s="76"/>
      <c r="AB593" s="76"/>
    </row>
    <row r="594" ht="15.75" customHeight="1">
      <c r="G594" s="7"/>
      <c r="Q594" s="76"/>
      <c r="U594" s="76"/>
      <c r="Y594" s="76"/>
      <c r="Z594" s="76"/>
      <c r="AA594" s="76"/>
      <c r="AB594" s="76"/>
    </row>
    <row r="595" ht="15.75" customHeight="1">
      <c r="G595" s="7"/>
      <c r="Q595" s="76"/>
      <c r="U595" s="76"/>
      <c r="Y595" s="76"/>
      <c r="Z595" s="76"/>
      <c r="AA595" s="76"/>
      <c r="AB595" s="76"/>
    </row>
    <row r="596" ht="15.75" customHeight="1">
      <c r="G596" s="7"/>
      <c r="Q596" s="76"/>
      <c r="U596" s="76"/>
      <c r="Y596" s="76"/>
      <c r="Z596" s="76"/>
      <c r="AA596" s="76"/>
      <c r="AB596" s="76"/>
    </row>
    <row r="597" ht="15.75" customHeight="1">
      <c r="G597" s="7"/>
      <c r="Q597" s="76"/>
      <c r="U597" s="76"/>
      <c r="Y597" s="76"/>
      <c r="Z597" s="76"/>
      <c r="AA597" s="76"/>
      <c r="AB597" s="76"/>
    </row>
    <row r="598" ht="15.75" customHeight="1">
      <c r="G598" s="7"/>
      <c r="Q598" s="76"/>
      <c r="U598" s="76"/>
      <c r="Y598" s="76"/>
      <c r="Z598" s="76"/>
      <c r="AA598" s="76"/>
      <c r="AB598" s="76"/>
    </row>
    <row r="599" ht="15.75" customHeight="1">
      <c r="G599" s="7"/>
      <c r="Q599" s="76"/>
      <c r="U599" s="76"/>
      <c r="Y599" s="76"/>
      <c r="Z599" s="76"/>
      <c r="AA599" s="76"/>
      <c r="AB599" s="76"/>
    </row>
    <row r="600" ht="15.75" customHeight="1">
      <c r="G600" s="7"/>
      <c r="Q600" s="76"/>
      <c r="U600" s="76"/>
      <c r="Y600" s="76"/>
      <c r="Z600" s="76"/>
      <c r="AA600" s="76"/>
      <c r="AB600" s="76"/>
    </row>
    <row r="601" ht="15.75" customHeight="1">
      <c r="G601" s="7"/>
      <c r="Q601" s="76"/>
      <c r="U601" s="76"/>
      <c r="Y601" s="76"/>
      <c r="Z601" s="76"/>
      <c r="AA601" s="76"/>
      <c r="AB601" s="76"/>
    </row>
    <row r="602" ht="15.75" customHeight="1">
      <c r="G602" s="7"/>
      <c r="Q602" s="76"/>
      <c r="U602" s="76"/>
      <c r="Y602" s="76"/>
      <c r="Z602" s="76"/>
      <c r="AA602" s="76"/>
      <c r="AB602" s="76"/>
    </row>
    <row r="603" ht="15.75" customHeight="1">
      <c r="G603" s="7"/>
      <c r="Q603" s="76"/>
      <c r="U603" s="76"/>
      <c r="Y603" s="76"/>
      <c r="Z603" s="76"/>
      <c r="AA603" s="76"/>
      <c r="AB603" s="76"/>
    </row>
    <row r="604" ht="15.75" customHeight="1">
      <c r="G604" s="7"/>
      <c r="Q604" s="76"/>
      <c r="U604" s="76"/>
      <c r="Y604" s="76"/>
      <c r="Z604" s="76"/>
      <c r="AA604" s="76"/>
      <c r="AB604" s="76"/>
    </row>
    <row r="605" ht="15.75" customHeight="1">
      <c r="G605" s="7"/>
      <c r="Q605" s="76"/>
      <c r="U605" s="76"/>
      <c r="Y605" s="76"/>
      <c r="Z605" s="76"/>
      <c r="AA605" s="76"/>
      <c r="AB605" s="76"/>
    </row>
    <row r="606" ht="15.75" customHeight="1">
      <c r="G606" s="7"/>
      <c r="Q606" s="76"/>
      <c r="U606" s="76"/>
      <c r="Y606" s="76"/>
      <c r="Z606" s="76"/>
      <c r="AA606" s="76"/>
      <c r="AB606" s="76"/>
    </row>
    <row r="607" ht="15.75" customHeight="1">
      <c r="G607" s="7"/>
      <c r="Q607" s="76"/>
      <c r="U607" s="76"/>
      <c r="Y607" s="76"/>
      <c r="Z607" s="76"/>
      <c r="AA607" s="76"/>
      <c r="AB607" s="76"/>
    </row>
    <row r="608" ht="15.75" customHeight="1">
      <c r="G608" s="7"/>
      <c r="Q608" s="76"/>
      <c r="U608" s="76"/>
      <c r="Y608" s="76"/>
      <c r="Z608" s="76"/>
      <c r="AA608" s="76"/>
      <c r="AB608" s="76"/>
    </row>
    <row r="609" ht="15.75" customHeight="1">
      <c r="G609" s="7"/>
      <c r="Q609" s="76"/>
      <c r="U609" s="76"/>
      <c r="Y609" s="76"/>
      <c r="Z609" s="76"/>
      <c r="AA609" s="76"/>
      <c r="AB609" s="76"/>
    </row>
    <row r="610" ht="15.75" customHeight="1">
      <c r="G610" s="7"/>
      <c r="Q610" s="76"/>
      <c r="U610" s="76"/>
      <c r="Y610" s="76"/>
      <c r="Z610" s="76"/>
      <c r="AA610" s="76"/>
      <c r="AB610" s="76"/>
    </row>
    <row r="611" ht="15.75" customHeight="1">
      <c r="G611" s="7"/>
      <c r="Q611" s="76"/>
      <c r="U611" s="76"/>
      <c r="Y611" s="76"/>
      <c r="Z611" s="76"/>
      <c r="AA611" s="76"/>
      <c r="AB611" s="76"/>
    </row>
    <row r="612" ht="15.75" customHeight="1">
      <c r="G612" s="7"/>
      <c r="Q612" s="76"/>
      <c r="U612" s="76"/>
      <c r="Y612" s="76"/>
      <c r="Z612" s="76"/>
      <c r="AA612" s="76"/>
      <c r="AB612" s="76"/>
    </row>
    <row r="613" ht="15.75" customHeight="1">
      <c r="G613" s="7"/>
      <c r="Q613" s="76"/>
      <c r="U613" s="76"/>
      <c r="Y613" s="76"/>
      <c r="Z613" s="76"/>
      <c r="AA613" s="76"/>
      <c r="AB613" s="76"/>
    </row>
    <row r="614" ht="15.75" customHeight="1">
      <c r="G614" s="7"/>
      <c r="Q614" s="76"/>
      <c r="U614" s="76"/>
      <c r="Y614" s="76"/>
      <c r="Z614" s="76"/>
      <c r="AA614" s="76"/>
      <c r="AB614" s="76"/>
    </row>
    <row r="615" ht="15.75" customHeight="1">
      <c r="G615" s="7"/>
      <c r="Q615" s="76"/>
      <c r="U615" s="76"/>
      <c r="Y615" s="76"/>
      <c r="Z615" s="76"/>
      <c r="AA615" s="76"/>
      <c r="AB615" s="76"/>
    </row>
    <row r="616" ht="15.75" customHeight="1">
      <c r="G616" s="7"/>
      <c r="Q616" s="76"/>
      <c r="U616" s="76"/>
      <c r="Y616" s="76"/>
      <c r="Z616" s="76"/>
      <c r="AA616" s="76"/>
      <c r="AB616" s="76"/>
    </row>
    <row r="617" ht="15.75" customHeight="1">
      <c r="G617" s="7"/>
      <c r="Q617" s="76"/>
      <c r="U617" s="76"/>
      <c r="Y617" s="76"/>
      <c r="Z617" s="76"/>
      <c r="AA617" s="76"/>
      <c r="AB617" s="76"/>
    </row>
    <row r="618" ht="15.75" customHeight="1">
      <c r="G618" s="7"/>
      <c r="Q618" s="76"/>
      <c r="U618" s="76"/>
      <c r="Y618" s="76"/>
      <c r="Z618" s="76"/>
      <c r="AA618" s="76"/>
      <c r="AB618" s="76"/>
    </row>
    <row r="619" ht="15.75" customHeight="1">
      <c r="G619" s="7"/>
      <c r="Q619" s="76"/>
      <c r="U619" s="76"/>
      <c r="Y619" s="76"/>
      <c r="Z619" s="76"/>
      <c r="AA619" s="76"/>
      <c r="AB619" s="76"/>
    </row>
    <row r="620" ht="15.75" customHeight="1">
      <c r="G620" s="7"/>
      <c r="Q620" s="76"/>
      <c r="U620" s="76"/>
      <c r="Y620" s="76"/>
      <c r="Z620" s="76"/>
      <c r="AA620" s="76"/>
      <c r="AB620" s="76"/>
    </row>
    <row r="621" ht="15.75" customHeight="1">
      <c r="G621" s="7"/>
      <c r="Q621" s="76"/>
      <c r="U621" s="76"/>
      <c r="Y621" s="76"/>
      <c r="Z621" s="76"/>
      <c r="AA621" s="76"/>
      <c r="AB621" s="76"/>
    </row>
    <row r="622" ht="15.75" customHeight="1">
      <c r="G622" s="7"/>
      <c r="Q622" s="76"/>
      <c r="U622" s="76"/>
      <c r="Y622" s="76"/>
      <c r="Z622" s="76"/>
      <c r="AA622" s="76"/>
      <c r="AB622" s="76"/>
    </row>
    <row r="623" ht="15.75" customHeight="1">
      <c r="G623" s="7"/>
      <c r="Q623" s="76"/>
      <c r="U623" s="76"/>
      <c r="Y623" s="76"/>
      <c r="Z623" s="76"/>
      <c r="AA623" s="76"/>
      <c r="AB623" s="76"/>
    </row>
    <row r="624" ht="15.75" customHeight="1">
      <c r="G624" s="7"/>
      <c r="Q624" s="76"/>
      <c r="U624" s="76"/>
      <c r="Y624" s="76"/>
      <c r="Z624" s="76"/>
      <c r="AA624" s="76"/>
      <c r="AB624" s="76"/>
    </row>
    <row r="625" ht="15.75" customHeight="1">
      <c r="G625" s="7"/>
      <c r="Q625" s="76"/>
      <c r="U625" s="76"/>
      <c r="Y625" s="76"/>
      <c r="Z625" s="76"/>
      <c r="AA625" s="76"/>
      <c r="AB625" s="76"/>
    </row>
    <row r="626" ht="15.75" customHeight="1">
      <c r="G626" s="7"/>
      <c r="Q626" s="76"/>
      <c r="U626" s="76"/>
      <c r="Y626" s="76"/>
      <c r="Z626" s="76"/>
      <c r="AA626" s="76"/>
      <c r="AB626" s="76"/>
    </row>
    <row r="627" ht="15.75" customHeight="1">
      <c r="G627" s="7"/>
      <c r="Q627" s="76"/>
      <c r="U627" s="76"/>
      <c r="Y627" s="76"/>
      <c r="Z627" s="76"/>
      <c r="AA627" s="76"/>
      <c r="AB627" s="76"/>
    </row>
    <row r="628" ht="15.75" customHeight="1">
      <c r="G628" s="7"/>
      <c r="Q628" s="76"/>
      <c r="U628" s="76"/>
      <c r="Y628" s="76"/>
      <c r="Z628" s="76"/>
      <c r="AA628" s="76"/>
      <c r="AB628" s="76"/>
    </row>
    <row r="629" ht="15.75" customHeight="1">
      <c r="G629" s="7"/>
      <c r="Q629" s="76"/>
      <c r="U629" s="76"/>
      <c r="Y629" s="76"/>
      <c r="Z629" s="76"/>
      <c r="AA629" s="76"/>
      <c r="AB629" s="76"/>
    </row>
    <row r="630" ht="15.75" customHeight="1">
      <c r="G630" s="7"/>
      <c r="Q630" s="76"/>
      <c r="U630" s="76"/>
      <c r="Y630" s="76"/>
      <c r="Z630" s="76"/>
      <c r="AA630" s="76"/>
      <c r="AB630" s="76"/>
    </row>
    <row r="631" ht="15.75" customHeight="1">
      <c r="G631" s="7"/>
      <c r="Q631" s="76"/>
      <c r="U631" s="76"/>
      <c r="Y631" s="76"/>
      <c r="Z631" s="76"/>
      <c r="AA631" s="76"/>
      <c r="AB631" s="76"/>
    </row>
    <row r="632" ht="15.75" customHeight="1">
      <c r="G632" s="7"/>
      <c r="Q632" s="76"/>
      <c r="U632" s="76"/>
      <c r="Y632" s="76"/>
      <c r="Z632" s="76"/>
      <c r="AA632" s="76"/>
      <c r="AB632" s="76"/>
    </row>
    <row r="633" ht="15.75" customHeight="1">
      <c r="G633" s="7"/>
      <c r="Q633" s="76"/>
      <c r="U633" s="76"/>
      <c r="Y633" s="76"/>
      <c r="Z633" s="76"/>
      <c r="AA633" s="76"/>
      <c r="AB633" s="76"/>
    </row>
    <row r="634" ht="15.75" customHeight="1">
      <c r="G634" s="7"/>
      <c r="Q634" s="76"/>
      <c r="U634" s="76"/>
      <c r="Y634" s="76"/>
      <c r="Z634" s="76"/>
      <c r="AA634" s="76"/>
      <c r="AB634" s="76"/>
    </row>
    <row r="635" ht="15.75" customHeight="1">
      <c r="G635" s="7"/>
      <c r="Q635" s="76"/>
      <c r="U635" s="76"/>
      <c r="Y635" s="76"/>
      <c r="Z635" s="76"/>
      <c r="AA635" s="76"/>
      <c r="AB635" s="76"/>
    </row>
    <row r="636" ht="15.75" customHeight="1">
      <c r="G636" s="7"/>
      <c r="Q636" s="76"/>
      <c r="U636" s="76"/>
      <c r="Y636" s="76"/>
      <c r="Z636" s="76"/>
      <c r="AA636" s="76"/>
      <c r="AB636" s="76"/>
    </row>
    <row r="637" ht="15.75" customHeight="1">
      <c r="G637" s="7"/>
      <c r="Q637" s="76"/>
      <c r="U637" s="76"/>
      <c r="Y637" s="76"/>
      <c r="Z637" s="76"/>
      <c r="AA637" s="76"/>
      <c r="AB637" s="76"/>
    </row>
    <row r="638" ht="15.75" customHeight="1">
      <c r="G638" s="7"/>
      <c r="Q638" s="76"/>
      <c r="U638" s="76"/>
      <c r="Y638" s="76"/>
      <c r="Z638" s="76"/>
      <c r="AA638" s="76"/>
      <c r="AB638" s="76"/>
    </row>
    <row r="639" ht="15.75" customHeight="1">
      <c r="G639" s="7"/>
      <c r="Q639" s="76"/>
      <c r="U639" s="76"/>
      <c r="Y639" s="76"/>
      <c r="Z639" s="76"/>
      <c r="AA639" s="76"/>
      <c r="AB639" s="76"/>
    </row>
    <row r="640" ht="15.75" customHeight="1">
      <c r="G640" s="7"/>
      <c r="Q640" s="76"/>
      <c r="U640" s="76"/>
      <c r="Y640" s="76"/>
      <c r="Z640" s="76"/>
      <c r="AA640" s="76"/>
      <c r="AB640" s="76"/>
    </row>
    <row r="641" ht="15.75" customHeight="1">
      <c r="G641" s="7"/>
      <c r="Q641" s="76"/>
      <c r="U641" s="76"/>
      <c r="Y641" s="76"/>
      <c r="Z641" s="76"/>
      <c r="AA641" s="76"/>
      <c r="AB641" s="76"/>
    </row>
    <row r="642" ht="15.75" customHeight="1">
      <c r="G642" s="7"/>
      <c r="Q642" s="76"/>
      <c r="U642" s="76"/>
      <c r="Y642" s="76"/>
      <c r="Z642" s="76"/>
      <c r="AA642" s="76"/>
      <c r="AB642" s="76"/>
    </row>
    <row r="643" ht="15.75" customHeight="1">
      <c r="G643" s="7"/>
      <c r="Q643" s="76"/>
      <c r="U643" s="76"/>
      <c r="Y643" s="76"/>
      <c r="Z643" s="76"/>
      <c r="AA643" s="76"/>
      <c r="AB643" s="76"/>
    </row>
    <row r="644" ht="15.75" customHeight="1">
      <c r="G644" s="7"/>
      <c r="Q644" s="76"/>
      <c r="U644" s="76"/>
      <c r="Y644" s="76"/>
      <c r="Z644" s="76"/>
      <c r="AA644" s="76"/>
      <c r="AB644" s="76"/>
    </row>
    <row r="645" ht="15.75" customHeight="1">
      <c r="G645" s="7"/>
      <c r="Q645" s="76"/>
      <c r="U645" s="76"/>
      <c r="Y645" s="76"/>
      <c r="Z645" s="76"/>
      <c r="AA645" s="76"/>
      <c r="AB645" s="76"/>
    </row>
    <row r="646" ht="15.75" customHeight="1">
      <c r="G646" s="7"/>
      <c r="Q646" s="76"/>
      <c r="U646" s="76"/>
      <c r="Y646" s="76"/>
      <c r="Z646" s="76"/>
      <c r="AA646" s="76"/>
      <c r="AB646" s="76"/>
    </row>
    <row r="647" ht="15.75" customHeight="1">
      <c r="G647" s="7"/>
      <c r="Q647" s="76"/>
      <c r="U647" s="76"/>
      <c r="Y647" s="76"/>
      <c r="Z647" s="76"/>
      <c r="AA647" s="76"/>
      <c r="AB647" s="76"/>
    </row>
    <row r="648" ht="15.75" customHeight="1">
      <c r="G648" s="7"/>
      <c r="Q648" s="76"/>
      <c r="U648" s="76"/>
      <c r="Y648" s="76"/>
      <c r="Z648" s="76"/>
      <c r="AA648" s="76"/>
      <c r="AB648" s="76"/>
    </row>
    <row r="649" ht="15.75" customHeight="1">
      <c r="G649" s="7"/>
      <c r="Q649" s="76"/>
      <c r="U649" s="76"/>
      <c r="Y649" s="76"/>
      <c r="Z649" s="76"/>
      <c r="AA649" s="76"/>
      <c r="AB649" s="76"/>
    </row>
    <row r="650" ht="15.75" customHeight="1">
      <c r="G650" s="7"/>
      <c r="Q650" s="76"/>
      <c r="U650" s="76"/>
      <c r="Y650" s="76"/>
      <c r="Z650" s="76"/>
      <c r="AA650" s="76"/>
      <c r="AB650" s="76"/>
    </row>
    <row r="651" ht="15.75" customHeight="1">
      <c r="G651" s="7"/>
      <c r="Q651" s="76"/>
      <c r="U651" s="76"/>
      <c r="Y651" s="76"/>
      <c r="Z651" s="76"/>
      <c r="AA651" s="76"/>
      <c r="AB651" s="76"/>
    </row>
    <row r="652" ht="15.75" customHeight="1">
      <c r="G652" s="7"/>
      <c r="Q652" s="76"/>
      <c r="U652" s="76"/>
      <c r="Y652" s="76"/>
      <c r="Z652" s="76"/>
      <c r="AA652" s="76"/>
      <c r="AB652" s="76"/>
    </row>
    <row r="653" ht="15.75" customHeight="1">
      <c r="G653" s="7"/>
      <c r="Q653" s="76"/>
      <c r="U653" s="76"/>
      <c r="Y653" s="76"/>
      <c r="Z653" s="76"/>
      <c r="AA653" s="76"/>
      <c r="AB653" s="76"/>
    </row>
    <row r="654" ht="15.75" customHeight="1">
      <c r="G654" s="7"/>
      <c r="Q654" s="76"/>
      <c r="U654" s="76"/>
      <c r="Y654" s="76"/>
      <c r="Z654" s="76"/>
      <c r="AA654" s="76"/>
      <c r="AB654" s="76"/>
    </row>
    <row r="655" ht="15.75" customHeight="1">
      <c r="G655" s="7"/>
      <c r="Q655" s="76"/>
      <c r="U655" s="76"/>
      <c r="Y655" s="76"/>
      <c r="Z655" s="76"/>
      <c r="AA655" s="76"/>
      <c r="AB655" s="76"/>
    </row>
    <row r="656" ht="15.75" customHeight="1">
      <c r="G656" s="7"/>
      <c r="Q656" s="76"/>
      <c r="U656" s="76"/>
      <c r="Y656" s="76"/>
      <c r="Z656" s="76"/>
      <c r="AA656" s="76"/>
      <c r="AB656" s="76"/>
    </row>
    <row r="657" ht="15.75" customHeight="1">
      <c r="G657" s="7"/>
      <c r="Q657" s="76"/>
      <c r="U657" s="76"/>
      <c r="Y657" s="76"/>
      <c r="Z657" s="76"/>
      <c r="AA657" s="76"/>
      <c r="AB657" s="76"/>
    </row>
    <row r="658" ht="15.75" customHeight="1">
      <c r="G658" s="7"/>
      <c r="Q658" s="76"/>
      <c r="U658" s="76"/>
      <c r="Y658" s="76"/>
      <c r="Z658" s="76"/>
      <c r="AA658" s="76"/>
      <c r="AB658" s="76"/>
    </row>
    <row r="659" ht="15.75" customHeight="1">
      <c r="G659" s="7"/>
      <c r="Q659" s="76"/>
      <c r="U659" s="76"/>
      <c r="Y659" s="76"/>
      <c r="Z659" s="76"/>
      <c r="AA659" s="76"/>
      <c r="AB659" s="76"/>
    </row>
    <row r="660" ht="15.75" customHeight="1">
      <c r="G660" s="7"/>
      <c r="Q660" s="76"/>
      <c r="U660" s="76"/>
      <c r="Y660" s="76"/>
      <c r="Z660" s="76"/>
      <c r="AA660" s="76"/>
      <c r="AB660" s="76"/>
    </row>
    <row r="661" ht="15.75" customHeight="1">
      <c r="G661" s="7"/>
      <c r="Q661" s="76"/>
      <c r="U661" s="76"/>
      <c r="Y661" s="76"/>
      <c r="Z661" s="76"/>
      <c r="AA661" s="76"/>
      <c r="AB661" s="76"/>
    </row>
    <row r="662" ht="15.75" customHeight="1">
      <c r="G662" s="7"/>
      <c r="Q662" s="76"/>
      <c r="U662" s="76"/>
      <c r="Y662" s="76"/>
      <c r="Z662" s="76"/>
      <c r="AA662" s="76"/>
      <c r="AB662" s="76"/>
    </row>
    <row r="663" ht="15.75" customHeight="1">
      <c r="G663" s="7"/>
      <c r="Q663" s="76"/>
      <c r="U663" s="76"/>
      <c r="Y663" s="76"/>
      <c r="Z663" s="76"/>
      <c r="AA663" s="76"/>
      <c r="AB663" s="76"/>
    </row>
    <row r="664" ht="15.75" customHeight="1">
      <c r="G664" s="7"/>
      <c r="Q664" s="76"/>
      <c r="U664" s="76"/>
      <c r="Y664" s="76"/>
      <c r="Z664" s="76"/>
      <c r="AA664" s="76"/>
      <c r="AB664" s="76"/>
    </row>
    <row r="665" ht="15.75" customHeight="1">
      <c r="G665" s="7"/>
      <c r="Q665" s="76"/>
      <c r="U665" s="76"/>
      <c r="Y665" s="76"/>
      <c r="Z665" s="76"/>
      <c r="AA665" s="76"/>
      <c r="AB665" s="76"/>
    </row>
    <row r="666" ht="15.75" customHeight="1">
      <c r="G666" s="7"/>
      <c r="Q666" s="76"/>
      <c r="U666" s="76"/>
      <c r="Y666" s="76"/>
      <c r="Z666" s="76"/>
      <c r="AA666" s="76"/>
      <c r="AB666" s="76"/>
    </row>
    <row r="667" ht="15.75" customHeight="1">
      <c r="G667" s="7"/>
      <c r="Q667" s="76"/>
      <c r="U667" s="76"/>
      <c r="Y667" s="76"/>
      <c r="Z667" s="76"/>
      <c r="AA667" s="76"/>
      <c r="AB667" s="76"/>
    </row>
    <row r="668" ht="15.75" customHeight="1">
      <c r="G668" s="7"/>
      <c r="Q668" s="76"/>
      <c r="U668" s="76"/>
      <c r="Y668" s="76"/>
      <c r="Z668" s="76"/>
      <c r="AA668" s="76"/>
      <c r="AB668" s="76"/>
    </row>
    <row r="669" ht="15.75" customHeight="1">
      <c r="G669" s="7"/>
      <c r="Q669" s="76"/>
      <c r="U669" s="76"/>
      <c r="Y669" s="76"/>
      <c r="Z669" s="76"/>
      <c r="AA669" s="76"/>
      <c r="AB669" s="76"/>
    </row>
    <row r="670" ht="15.75" customHeight="1">
      <c r="G670" s="7"/>
      <c r="Q670" s="76"/>
      <c r="U670" s="76"/>
      <c r="Y670" s="76"/>
      <c r="Z670" s="76"/>
      <c r="AA670" s="76"/>
      <c r="AB670" s="76"/>
    </row>
    <row r="671" ht="15.75" customHeight="1">
      <c r="G671" s="7"/>
      <c r="Q671" s="76"/>
      <c r="U671" s="76"/>
      <c r="Y671" s="76"/>
      <c r="Z671" s="76"/>
      <c r="AA671" s="76"/>
      <c r="AB671" s="76"/>
    </row>
    <row r="672" ht="15.75" customHeight="1">
      <c r="G672" s="7"/>
      <c r="Q672" s="76"/>
      <c r="U672" s="76"/>
      <c r="Y672" s="76"/>
      <c r="Z672" s="76"/>
      <c r="AA672" s="76"/>
      <c r="AB672" s="76"/>
    </row>
    <row r="673" ht="15.75" customHeight="1">
      <c r="G673" s="7"/>
      <c r="Q673" s="76"/>
      <c r="U673" s="76"/>
      <c r="Y673" s="76"/>
      <c r="Z673" s="76"/>
      <c r="AA673" s="76"/>
      <c r="AB673" s="76"/>
    </row>
    <row r="674" ht="15.75" customHeight="1">
      <c r="G674" s="7"/>
      <c r="Q674" s="76"/>
      <c r="U674" s="76"/>
      <c r="Y674" s="76"/>
      <c r="Z674" s="76"/>
      <c r="AA674" s="76"/>
      <c r="AB674" s="76"/>
    </row>
    <row r="675" ht="15.75" customHeight="1">
      <c r="G675" s="7"/>
      <c r="Q675" s="76"/>
      <c r="U675" s="76"/>
      <c r="Y675" s="76"/>
      <c r="Z675" s="76"/>
      <c r="AA675" s="76"/>
      <c r="AB675" s="76"/>
    </row>
    <row r="676" ht="15.75" customHeight="1">
      <c r="G676" s="7"/>
      <c r="Q676" s="76"/>
      <c r="U676" s="76"/>
      <c r="Y676" s="76"/>
      <c r="Z676" s="76"/>
      <c r="AA676" s="76"/>
      <c r="AB676" s="76"/>
    </row>
    <row r="677" ht="15.75" customHeight="1">
      <c r="G677" s="7"/>
      <c r="Q677" s="76"/>
      <c r="U677" s="76"/>
      <c r="Y677" s="76"/>
      <c r="Z677" s="76"/>
      <c r="AA677" s="76"/>
      <c r="AB677" s="76"/>
    </row>
    <row r="678" ht="15.75" customHeight="1">
      <c r="G678" s="7"/>
      <c r="Q678" s="76"/>
      <c r="U678" s="76"/>
      <c r="Y678" s="76"/>
      <c r="Z678" s="76"/>
      <c r="AA678" s="76"/>
      <c r="AB678" s="76"/>
    </row>
    <row r="679" ht="15.75" customHeight="1">
      <c r="G679" s="7"/>
      <c r="Q679" s="76"/>
      <c r="U679" s="76"/>
      <c r="Y679" s="76"/>
      <c r="Z679" s="76"/>
      <c r="AA679" s="76"/>
      <c r="AB679" s="76"/>
    </row>
    <row r="680" ht="15.75" customHeight="1">
      <c r="G680" s="7"/>
      <c r="Q680" s="76"/>
      <c r="U680" s="76"/>
      <c r="Y680" s="76"/>
      <c r="Z680" s="76"/>
      <c r="AA680" s="76"/>
      <c r="AB680" s="76"/>
    </row>
    <row r="681" ht="15.75" customHeight="1">
      <c r="G681" s="7"/>
      <c r="Q681" s="76"/>
      <c r="U681" s="76"/>
      <c r="Y681" s="76"/>
      <c r="Z681" s="76"/>
      <c r="AA681" s="76"/>
      <c r="AB681" s="76"/>
    </row>
    <row r="682" ht="15.75" customHeight="1">
      <c r="G682" s="7"/>
      <c r="Q682" s="76"/>
      <c r="U682" s="76"/>
      <c r="Y682" s="76"/>
      <c r="Z682" s="76"/>
      <c r="AA682" s="76"/>
      <c r="AB682" s="76"/>
    </row>
    <row r="683" ht="15.75" customHeight="1">
      <c r="G683" s="7"/>
      <c r="Q683" s="76"/>
      <c r="U683" s="76"/>
      <c r="Y683" s="76"/>
      <c r="Z683" s="76"/>
      <c r="AA683" s="76"/>
      <c r="AB683" s="76"/>
    </row>
    <row r="684" ht="15.75" customHeight="1">
      <c r="G684" s="7"/>
      <c r="Q684" s="76"/>
      <c r="U684" s="76"/>
      <c r="Y684" s="76"/>
      <c r="Z684" s="76"/>
      <c r="AA684" s="76"/>
      <c r="AB684" s="76"/>
    </row>
    <row r="685" ht="15.75" customHeight="1">
      <c r="G685" s="7"/>
      <c r="Q685" s="76"/>
      <c r="U685" s="76"/>
      <c r="Y685" s="76"/>
      <c r="Z685" s="76"/>
      <c r="AA685" s="76"/>
      <c r="AB685" s="76"/>
    </row>
    <row r="686" ht="15.75" customHeight="1">
      <c r="G686" s="7"/>
      <c r="Q686" s="76"/>
      <c r="U686" s="76"/>
      <c r="Y686" s="76"/>
      <c r="Z686" s="76"/>
      <c r="AA686" s="76"/>
      <c r="AB686" s="76"/>
    </row>
    <row r="687" ht="15.75" customHeight="1">
      <c r="G687" s="7"/>
      <c r="Q687" s="76"/>
      <c r="U687" s="76"/>
      <c r="Y687" s="76"/>
      <c r="Z687" s="76"/>
      <c r="AA687" s="76"/>
      <c r="AB687" s="76"/>
    </row>
    <row r="688" ht="15.75" customHeight="1">
      <c r="G688" s="7"/>
      <c r="Q688" s="76"/>
      <c r="U688" s="76"/>
      <c r="Y688" s="76"/>
      <c r="Z688" s="76"/>
      <c r="AA688" s="76"/>
      <c r="AB688" s="76"/>
    </row>
    <row r="689" ht="15.75" customHeight="1">
      <c r="G689" s="7"/>
      <c r="Q689" s="76"/>
      <c r="U689" s="76"/>
      <c r="Y689" s="76"/>
      <c r="Z689" s="76"/>
      <c r="AA689" s="76"/>
      <c r="AB689" s="76"/>
    </row>
    <row r="690" ht="15.75" customHeight="1">
      <c r="G690" s="7"/>
      <c r="Q690" s="76"/>
      <c r="U690" s="76"/>
      <c r="Y690" s="76"/>
      <c r="Z690" s="76"/>
      <c r="AA690" s="76"/>
      <c r="AB690" s="76"/>
    </row>
    <row r="691" ht="15.75" customHeight="1">
      <c r="G691" s="7"/>
      <c r="Q691" s="76"/>
      <c r="U691" s="76"/>
      <c r="Y691" s="76"/>
      <c r="Z691" s="76"/>
      <c r="AA691" s="76"/>
      <c r="AB691" s="76"/>
    </row>
    <row r="692" ht="15.75" customHeight="1">
      <c r="G692" s="7"/>
      <c r="Q692" s="76"/>
      <c r="U692" s="76"/>
      <c r="Y692" s="76"/>
      <c r="Z692" s="76"/>
      <c r="AA692" s="76"/>
      <c r="AB692" s="76"/>
    </row>
    <row r="693" ht="15.75" customHeight="1">
      <c r="G693" s="7"/>
      <c r="Q693" s="76"/>
      <c r="U693" s="76"/>
      <c r="Y693" s="76"/>
      <c r="Z693" s="76"/>
      <c r="AA693" s="76"/>
      <c r="AB693" s="76"/>
    </row>
    <row r="694" ht="15.75" customHeight="1">
      <c r="G694" s="7"/>
      <c r="Q694" s="76"/>
      <c r="U694" s="76"/>
      <c r="Y694" s="76"/>
      <c r="Z694" s="76"/>
      <c r="AA694" s="76"/>
      <c r="AB694" s="76"/>
    </row>
    <row r="695" ht="15.75" customHeight="1">
      <c r="G695" s="7"/>
      <c r="Q695" s="76"/>
      <c r="U695" s="76"/>
      <c r="Y695" s="76"/>
      <c r="Z695" s="76"/>
      <c r="AA695" s="76"/>
      <c r="AB695" s="76"/>
    </row>
    <row r="696" ht="15.75" customHeight="1">
      <c r="G696" s="7"/>
      <c r="Q696" s="76"/>
      <c r="U696" s="76"/>
      <c r="Y696" s="76"/>
      <c r="Z696" s="76"/>
      <c r="AA696" s="76"/>
      <c r="AB696" s="76"/>
    </row>
    <row r="697" ht="15.75" customHeight="1">
      <c r="G697" s="7"/>
      <c r="Q697" s="76"/>
      <c r="U697" s="76"/>
      <c r="Y697" s="76"/>
      <c r="Z697" s="76"/>
      <c r="AA697" s="76"/>
      <c r="AB697" s="76"/>
    </row>
    <row r="698" ht="15.75" customHeight="1">
      <c r="G698" s="7"/>
      <c r="Q698" s="76"/>
      <c r="U698" s="76"/>
      <c r="Y698" s="76"/>
      <c r="Z698" s="76"/>
      <c r="AA698" s="76"/>
      <c r="AB698" s="76"/>
    </row>
    <row r="699" ht="15.75" customHeight="1">
      <c r="G699" s="7"/>
      <c r="Q699" s="76"/>
      <c r="U699" s="76"/>
      <c r="Y699" s="76"/>
      <c r="Z699" s="76"/>
      <c r="AA699" s="76"/>
      <c r="AB699" s="76"/>
    </row>
    <row r="700" ht="15.75" customHeight="1">
      <c r="G700" s="7"/>
      <c r="Q700" s="76"/>
      <c r="U700" s="76"/>
      <c r="Y700" s="76"/>
      <c r="Z700" s="76"/>
      <c r="AA700" s="76"/>
      <c r="AB700" s="76"/>
    </row>
    <row r="701" ht="15.75" customHeight="1">
      <c r="G701" s="7"/>
      <c r="Q701" s="76"/>
      <c r="U701" s="76"/>
      <c r="Y701" s="76"/>
      <c r="Z701" s="76"/>
      <c r="AA701" s="76"/>
      <c r="AB701" s="76"/>
    </row>
    <row r="702" ht="15.75" customHeight="1">
      <c r="G702" s="7"/>
      <c r="Q702" s="76"/>
      <c r="U702" s="76"/>
      <c r="Y702" s="76"/>
      <c r="Z702" s="76"/>
      <c r="AA702" s="76"/>
      <c r="AB702" s="76"/>
    </row>
    <row r="703" ht="15.75" customHeight="1">
      <c r="G703" s="7"/>
      <c r="Q703" s="76"/>
      <c r="U703" s="76"/>
      <c r="Y703" s="76"/>
      <c r="Z703" s="76"/>
      <c r="AA703" s="76"/>
      <c r="AB703" s="76"/>
    </row>
    <row r="704" ht="15.75" customHeight="1">
      <c r="G704" s="7"/>
      <c r="Q704" s="76"/>
      <c r="U704" s="76"/>
      <c r="Y704" s="76"/>
      <c r="Z704" s="76"/>
      <c r="AA704" s="76"/>
      <c r="AB704" s="76"/>
    </row>
    <row r="705" ht="15.75" customHeight="1">
      <c r="G705" s="7"/>
      <c r="Q705" s="76"/>
      <c r="U705" s="76"/>
      <c r="Y705" s="76"/>
      <c r="Z705" s="76"/>
      <c r="AA705" s="76"/>
      <c r="AB705" s="76"/>
    </row>
    <row r="706" ht="15.75" customHeight="1">
      <c r="G706" s="7"/>
      <c r="Q706" s="76"/>
      <c r="U706" s="76"/>
      <c r="Y706" s="76"/>
      <c r="Z706" s="76"/>
      <c r="AA706" s="76"/>
      <c r="AB706" s="76"/>
    </row>
    <row r="707" ht="15.75" customHeight="1">
      <c r="G707" s="7"/>
      <c r="Q707" s="76"/>
      <c r="U707" s="76"/>
      <c r="Y707" s="76"/>
      <c r="Z707" s="76"/>
      <c r="AA707" s="76"/>
      <c r="AB707" s="76"/>
    </row>
    <row r="708" ht="15.75" customHeight="1">
      <c r="G708" s="7"/>
      <c r="Q708" s="76"/>
      <c r="U708" s="76"/>
      <c r="Y708" s="76"/>
      <c r="Z708" s="76"/>
      <c r="AA708" s="76"/>
      <c r="AB708" s="76"/>
    </row>
    <row r="709" ht="15.75" customHeight="1">
      <c r="G709" s="7"/>
      <c r="Q709" s="76"/>
      <c r="U709" s="76"/>
      <c r="Y709" s="76"/>
      <c r="Z709" s="76"/>
      <c r="AA709" s="76"/>
      <c r="AB709" s="76"/>
    </row>
    <row r="710" ht="15.75" customHeight="1">
      <c r="G710" s="7"/>
      <c r="Q710" s="76"/>
      <c r="U710" s="76"/>
      <c r="Y710" s="76"/>
      <c r="Z710" s="76"/>
      <c r="AA710" s="76"/>
      <c r="AB710" s="76"/>
    </row>
    <row r="711" ht="15.75" customHeight="1">
      <c r="G711" s="7"/>
      <c r="Q711" s="76"/>
      <c r="U711" s="76"/>
      <c r="Y711" s="76"/>
      <c r="Z711" s="76"/>
      <c r="AA711" s="76"/>
      <c r="AB711" s="76"/>
    </row>
    <row r="712" ht="15.75" customHeight="1">
      <c r="G712" s="7"/>
      <c r="Q712" s="76"/>
      <c r="U712" s="76"/>
      <c r="Y712" s="76"/>
      <c r="Z712" s="76"/>
      <c r="AA712" s="76"/>
      <c r="AB712" s="76"/>
    </row>
    <row r="713" ht="15.75" customHeight="1">
      <c r="G713" s="7"/>
      <c r="Q713" s="76"/>
      <c r="U713" s="76"/>
      <c r="Y713" s="76"/>
      <c r="Z713" s="76"/>
      <c r="AA713" s="76"/>
      <c r="AB713" s="76"/>
    </row>
    <row r="714" ht="15.75" customHeight="1">
      <c r="G714" s="7"/>
      <c r="Q714" s="76"/>
      <c r="U714" s="76"/>
      <c r="Y714" s="76"/>
      <c r="Z714" s="76"/>
      <c r="AA714" s="76"/>
      <c r="AB714" s="76"/>
    </row>
    <row r="715" ht="15.75" customHeight="1">
      <c r="G715" s="7"/>
      <c r="Q715" s="76"/>
      <c r="U715" s="76"/>
      <c r="Y715" s="76"/>
      <c r="Z715" s="76"/>
      <c r="AA715" s="76"/>
      <c r="AB715" s="76"/>
    </row>
    <row r="716" ht="15.75" customHeight="1">
      <c r="G716" s="7"/>
      <c r="Q716" s="76"/>
      <c r="U716" s="76"/>
      <c r="Y716" s="76"/>
      <c r="Z716" s="76"/>
      <c r="AA716" s="76"/>
      <c r="AB716" s="76"/>
    </row>
    <row r="717" ht="15.75" customHeight="1">
      <c r="G717" s="7"/>
      <c r="Q717" s="76"/>
      <c r="U717" s="76"/>
      <c r="Y717" s="76"/>
      <c r="Z717" s="76"/>
      <c r="AA717" s="76"/>
      <c r="AB717" s="76"/>
    </row>
    <row r="718" ht="15.75" customHeight="1">
      <c r="G718" s="7"/>
      <c r="Q718" s="76"/>
      <c r="U718" s="76"/>
      <c r="Y718" s="76"/>
      <c r="Z718" s="76"/>
      <c r="AA718" s="76"/>
      <c r="AB718" s="76"/>
    </row>
    <row r="719" ht="15.75" customHeight="1">
      <c r="G719" s="7"/>
      <c r="Q719" s="76"/>
      <c r="U719" s="76"/>
      <c r="Y719" s="76"/>
      <c r="Z719" s="76"/>
      <c r="AA719" s="76"/>
      <c r="AB719" s="76"/>
    </row>
    <row r="720" ht="15.75" customHeight="1">
      <c r="G720" s="7"/>
      <c r="Q720" s="76"/>
      <c r="U720" s="76"/>
      <c r="Y720" s="76"/>
      <c r="Z720" s="76"/>
      <c r="AA720" s="76"/>
      <c r="AB720" s="76"/>
    </row>
    <row r="721" ht="15.75" customHeight="1">
      <c r="G721" s="7"/>
      <c r="Q721" s="76"/>
      <c r="U721" s="76"/>
      <c r="Y721" s="76"/>
      <c r="Z721" s="76"/>
      <c r="AA721" s="76"/>
      <c r="AB721" s="76"/>
    </row>
    <row r="722" ht="15.75" customHeight="1">
      <c r="G722" s="7"/>
      <c r="Q722" s="76"/>
      <c r="U722" s="76"/>
      <c r="Y722" s="76"/>
      <c r="Z722" s="76"/>
      <c r="AA722" s="76"/>
      <c r="AB722" s="76"/>
    </row>
    <row r="723" ht="15.75" customHeight="1">
      <c r="G723" s="7"/>
      <c r="Q723" s="76"/>
      <c r="U723" s="76"/>
      <c r="Y723" s="76"/>
      <c r="Z723" s="76"/>
      <c r="AA723" s="76"/>
      <c r="AB723" s="76"/>
    </row>
    <row r="724" ht="15.75" customHeight="1">
      <c r="G724" s="7"/>
      <c r="Q724" s="76"/>
      <c r="U724" s="76"/>
      <c r="Y724" s="76"/>
      <c r="Z724" s="76"/>
      <c r="AA724" s="76"/>
      <c r="AB724" s="76"/>
    </row>
    <row r="725" ht="15.75" customHeight="1">
      <c r="G725" s="7"/>
      <c r="Q725" s="76"/>
      <c r="U725" s="76"/>
      <c r="Y725" s="76"/>
      <c r="Z725" s="76"/>
      <c r="AA725" s="76"/>
      <c r="AB725" s="76"/>
    </row>
    <row r="726" ht="15.75" customHeight="1">
      <c r="G726" s="7"/>
      <c r="Q726" s="76"/>
      <c r="U726" s="76"/>
      <c r="Y726" s="76"/>
      <c r="Z726" s="76"/>
      <c r="AA726" s="76"/>
      <c r="AB726" s="76"/>
    </row>
    <row r="727" ht="15.75" customHeight="1">
      <c r="G727" s="7"/>
      <c r="Q727" s="76"/>
      <c r="U727" s="76"/>
      <c r="Y727" s="76"/>
      <c r="Z727" s="76"/>
      <c r="AA727" s="76"/>
      <c r="AB727" s="76"/>
    </row>
    <row r="728" ht="15.75" customHeight="1">
      <c r="G728" s="7"/>
      <c r="Q728" s="76"/>
      <c r="U728" s="76"/>
      <c r="Y728" s="76"/>
      <c r="Z728" s="76"/>
      <c r="AA728" s="76"/>
      <c r="AB728" s="76"/>
    </row>
    <row r="729" ht="15.75" customHeight="1">
      <c r="G729" s="7"/>
      <c r="Q729" s="76"/>
      <c r="U729" s="76"/>
      <c r="Y729" s="76"/>
      <c r="Z729" s="76"/>
      <c r="AA729" s="76"/>
      <c r="AB729" s="76"/>
    </row>
    <row r="730" ht="15.75" customHeight="1">
      <c r="G730" s="7"/>
      <c r="Q730" s="76"/>
      <c r="U730" s="76"/>
      <c r="Y730" s="76"/>
      <c r="Z730" s="76"/>
      <c r="AA730" s="76"/>
      <c r="AB730" s="76"/>
    </row>
    <row r="731" ht="15.75" customHeight="1">
      <c r="G731" s="7"/>
      <c r="Q731" s="76"/>
      <c r="U731" s="76"/>
      <c r="Y731" s="76"/>
      <c r="Z731" s="76"/>
      <c r="AA731" s="76"/>
      <c r="AB731" s="76"/>
    </row>
    <row r="732" ht="15.75" customHeight="1">
      <c r="G732" s="7"/>
      <c r="Q732" s="76"/>
      <c r="U732" s="76"/>
      <c r="Y732" s="76"/>
      <c r="Z732" s="76"/>
      <c r="AA732" s="76"/>
      <c r="AB732" s="76"/>
    </row>
    <row r="733" ht="15.75" customHeight="1">
      <c r="G733" s="7"/>
      <c r="Q733" s="76"/>
      <c r="U733" s="76"/>
      <c r="Y733" s="76"/>
      <c r="Z733" s="76"/>
      <c r="AA733" s="76"/>
      <c r="AB733" s="76"/>
    </row>
    <row r="734" ht="15.75" customHeight="1">
      <c r="G734" s="7"/>
      <c r="Q734" s="76"/>
      <c r="U734" s="76"/>
      <c r="Y734" s="76"/>
      <c r="Z734" s="76"/>
      <c r="AA734" s="76"/>
      <c r="AB734" s="76"/>
    </row>
    <row r="735" ht="15.75" customHeight="1">
      <c r="G735" s="7"/>
      <c r="Q735" s="76"/>
      <c r="U735" s="76"/>
      <c r="Y735" s="76"/>
      <c r="Z735" s="76"/>
      <c r="AA735" s="76"/>
      <c r="AB735" s="76"/>
    </row>
    <row r="736" ht="15.75" customHeight="1">
      <c r="G736" s="7"/>
      <c r="Q736" s="76"/>
      <c r="U736" s="76"/>
      <c r="Y736" s="76"/>
      <c r="Z736" s="76"/>
      <c r="AA736" s="76"/>
      <c r="AB736" s="76"/>
    </row>
    <row r="737" ht="15.75" customHeight="1">
      <c r="G737" s="7"/>
      <c r="Q737" s="76"/>
      <c r="U737" s="76"/>
      <c r="Y737" s="76"/>
      <c r="Z737" s="76"/>
      <c r="AA737" s="76"/>
      <c r="AB737" s="76"/>
    </row>
    <row r="738" ht="15.75" customHeight="1">
      <c r="G738" s="7"/>
      <c r="Q738" s="76"/>
      <c r="U738" s="76"/>
      <c r="Y738" s="76"/>
      <c r="Z738" s="76"/>
      <c r="AA738" s="76"/>
      <c r="AB738" s="76"/>
    </row>
    <row r="739" ht="15.75" customHeight="1">
      <c r="G739" s="7"/>
      <c r="Q739" s="76"/>
      <c r="U739" s="76"/>
      <c r="Y739" s="76"/>
      <c r="Z739" s="76"/>
      <c r="AA739" s="76"/>
      <c r="AB739" s="76"/>
    </row>
    <row r="740" ht="15.75" customHeight="1">
      <c r="G740" s="7"/>
      <c r="Q740" s="76"/>
      <c r="U740" s="76"/>
      <c r="Y740" s="76"/>
      <c r="Z740" s="76"/>
      <c r="AA740" s="76"/>
      <c r="AB740" s="76"/>
    </row>
    <row r="741" ht="15.75" customHeight="1">
      <c r="G741" s="7"/>
      <c r="Q741" s="76"/>
      <c r="U741" s="76"/>
      <c r="Y741" s="76"/>
      <c r="Z741" s="76"/>
      <c r="AA741" s="76"/>
      <c r="AB741" s="76"/>
    </row>
    <row r="742" ht="15.75" customHeight="1">
      <c r="G742" s="7"/>
      <c r="Q742" s="76"/>
      <c r="U742" s="76"/>
      <c r="Y742" s="76"/>
      <c r="Z742" s="76"/>
      <c r="AA742" s="76"/>
      <c r="AB742" s="76"/>
    </row>
    <row r="743" ht="15.75" customHeight="1">
      <c r="G743" s="7"/>
      <c r="Q743" s="76"/>
      <c r="U743" s="76"/>
      <c r="Y743" s="76"/>
      <c r="Z743" s="76"/>
      <c r="AA743" s="76"/>
      <c r="AB743" s="76"/>
    </row>
    <row r="744" ht="15.75" customHeight="1">
      <c r="G744" s="7"/>
      <c r="Q744" s="76"/>
      <c r="U744" s="76"/>
      <c r="Y744" s="76"/>
      <c r="Z744" s="76"/>
      <c r="AA744" s="76"/>
      <c r="AB744" s="76"/>
    </row>
    <row r="745" ht="15.75" customHeight="1">
      <c r="G745" s="7"/>
      <c r="Q745" s="76"/>
      <c r="U745" s="76"/>
      <c r="Y745" s="76"/>
      <c r="Z745" s="76"/>
      <c r="AA745" s="76"/>
      <c r="AB745" s="76"/>
    </row>
    <row r="746" ht="15.75" customHeight="1">
      <c r="G746" s="7"/>
      <c r="Q746" s="76"/>
      <c r="U746" s="76"/>
      <c r="Y746" s="76"/>
      <c r="Z746" s="76"/>
      <c r="AA746" s="76"/>
      <c r="AB746" s="76"/>
    </row>
    <row r="747" ht="15.75" customHeight="1">
      <c r="G747" s="7"/>
      <c r="Q747" s="76"/>
      <c r="U747" s="76"/>
      <c r="Y747" s="76"/>
      <c r="Z747" s="76"/>
      <c r="AA747" s="76"/>
      <c r="AB747" s="76"/>
    </row>
    <row r="748" ht="15.75" customHeight="1">
      <c r="G748" s="7"/>
      <c r="Q748" s="76"/>
      <c r="U748" s="76"/>
      <c r="Y748" s="76"/>
      <c r="Z748" s="76"/>
      <c r="AA748" s="76"/>
      <c r="AB748" s="76"/>
    </row>
    <row r="749" ht="15.75" customHeight="1">
      <c r="G749" s="7"/>
      <c r="Q749" s="76"/>
      <c r="U749" s="76"/>
      <c r="Y749" s="76"/>
      <c r="Z749" s="76"/>
      <c r="AA749" s="76"/>
      <c r="AB749" s="76"/>
    </row>
    <row r="750" ht="15.75" customHeight="1">
      <c r="G750" s="7"/>
      <c r="Q750" s="76"/>
      <c r="U750" s="76"/>
      <c r="Y750" s="76"/>
      <c r="Z750" s="76"/>
      <c r="AA750" s="76"/>
      <c r="AB750" s="76"/>
    </row>
    <row r="751" ht="15.75" customHeight="1">
      <c r="G751" s="7"/>
      <c r="Q751" s="76"/>
      <c r="U751" s="76"/>
      <c r="Y751" s="76"/>
      <c r="Z751" s="76"/>
      <c r="AA751" s="76"/>
      <c r="AB751" s="76"/>
    </row>
    <row r="752" ht="15.75" customHeight="1">
      <c r="G752" s="7"/>
      <c r="Q752" s="76"/>
      <c r="U752" s="76"/>
      <c r="Y752" s="76"/>
      <c r="Z752" s="76"/>
      <c r="AA752" s="76"/>
      <c r="AB752" s="76"/>
    </row>
    <row r="753" ht="15.75" customHeight="1">
      <c r="G753" s="7"/>
      <c r="Q753" s="76"/>
      <c r="U753" s="76"/>
      <c r="Y753" s="76"/>
      <c r="Z753" s="76"/>
      <c r="AA753" s="76"/>
      <c r="AB753" s="76"/>
    </row>
    <row r="754" ht="15.75" customHeight="1">
      <c r="G754" s="7"/>
      <c r="Q754" s="76"/>
      <c r="U754" s="76"/>
      <c r="Y754" s="76"/>
      <c r="Z754" s="76"/>
      <c r="AA754" s="76"/>
      <c r="AB754" s="76"/>
    </row>
    <row r="755" ht="15.75" customHeight="1">
      <c r="G755" s="7"/>
      <c r="Q755" s="76"/>
      <c r="U755" s="76"/>
      <c r="Y755" s="76"/>
      <c r="Z755" s="76"/>
      <c r="AA755" s="76"/>
      <c r="AB755" s="76"/>
    </row>
    <row r="756" ht="15.75" customHeight="1">
      <c r="G756" s="7"/>
      <c r="Q756" s="76"/>
      <c r="U756" s="76"/>
      <c r="Y756" s="76"/>
      <c r="Z756" s="76"/>
      <c r="AA756" s="76"/>
      <c r="AB756" s="76"/>
    </row>
    <row r="757" ht="15.75" customHeight="1">
      <c r="G757" s="7"/>
      <c r="Q757" s="76"/>
      <c r="U757" s="76"/>
      <c r="Y757" s="76"/>
      <c r="Z757" s="76"/>
      <c r="AA757" s="76"/>
      <c r="AB757" s="76"/>
    </row>
    <row r="758" ht="15.75" customHeight="1">
      <c r="G758" s="7"/>
      <c r="Q758" s="76"/>
      <c r="U758" s="76"/>
      <c r="Y758" s="76"/>
      <c r="Z758" s="76"/>
      <c r="AA758" s="76"/>
      <c r="AB758" s="76"/>
    </row>
    <row r="759" ht="15.75" customHeight="1">
      <c r="G759" s="7"/>
      <c r="Q759" s="76"/>
      <c r="U759" s="76"/>
      <c r="Y759" s="76"/>
      <c r="Z759" s="76"/>
      <c r="AA759" s="76"/>
      <c r="AB759" s="76"/>
    </row>
    <row r="760" ht="15.75" customHeight="1">
      <c r="G760" s="7"/>
      <c r="Q760" s="76"/>
      <c r="U760" s="76"/>
      <c r="Y760" s="76"/>
      <c r="Z760" s="76"/>
      <c r="AA760" s="76"/>
      <c r="AB760" s="76"/>
    </row>
    <row r="761" ht="15.75" customHeight="1">
      <c r="G761" s="7"/>
      <c r="Q761" s="76"/>
      <c r="U761" s="76"/>
      <c r="Y761" s="76"/>
      <c r="Z761" s="76"/>
      <c r="AA761" s="76"/>
      <c r="AB761" s="76"/>
    </row>
    <row r="762" ht="15.75" customHeight="1">
      <c r="G762" s="7"/>
      <c r="Q762" s="76"/>
      <c r="U762" s="76"/>
      <c r="Y762" s="76"/>
      <c r="Z762" s="76"/>
      <c r="AA762" s="76"/>
      <c r="AB762" s="76"/>
    </row>
    <row r="763" ht="15.75" customHeight="1">
      <c r="G763" s="7"/>
      <c r="Q763" s="76"/>
      <c r="U763" s="76"/>
      <c r="Y763" s="76"/>
      <c r="Z763" s="76"/>
      <c r="AA763" s="76"/>
      <c r="AB763" s="76"/>
    </row>
    <row r="764" ht="15.75" customHeight="1">
      <c r="G764" s="7"/>
      <c r="Q764" s="76"/>
      <c r="U764" s="76"/>
      <c r="Y764" s="76"/>
      <c r="Z764" s="76"/>
      <c r="AA764" s="76"/>
      <c r="AB764" s="76"/>
    </row>
    <row r="765" ht="15.75" customHeight="1">
      <c r="G765" s="7"/>
      <c r="Q765" s="76"/>
      <c r="U765" s="76"/>
      <c r="Y765" s="76"/>
      <c r="Z765" s="76"/>
      <c r="AA765" s="76"/>
      <c r="AB765" s="76"/>
    </row>
    <row r="766" ht="15.75" customHeight="1">
      <c r="G766" s="7"/>
      <c r="Q766" s="76"/>
      <c r="U766" s="76"/>
      <c r="Y766" s="76"/>
      <c r="Z766" s="76"/>
      <c r="AA766" s="76"/>
      <c r="AB766" s="76"/>
    </row>
    <row r="767" ht="15.75" customHeight="1">
      <c r="G767" s="7"/>
      <c r="Q767" s="76"/>
      <c r="U767" s="76"/>
      <c r="Y767" s="76"/>
      <c r="Z767" s="76"/>
      <c r="AA767" s="76"/>
      <c r="AB767" s="76"/>
    </row>
    <row r="768" ht="15.75" customHeight="1">
      <c r="G768" s="7"/>
      <c r="Q768" s="76"/>
      <c r="U768" s="76"/>
      <c r="Y768" s="76"/>
      <c r="Z768" s="76"/>
      <c r="AA768" s="76"/>
      <c r="AB768" s="76"/>
    </row>
    <row r="769" ht="15.75" customHeight="1">
      <c r="G769" s="7"/>
      <c r="Q769" s="76"/>
      <c r="U769" s="76"/>
      <c r="Y769" s="76"/>
      <c r="Z769" s="76"/>
      <c r="AA769" s="76"/>
      <c r="AB769" s="76"/>
    </row>
    <row r="770" ht="15.75" customHeight="1">
      <c r="G770" s="7"/>
      <c r="Q770" s="76"/>
      <c r="U770" s="76"/>
      <c r="Y770" s="76"/>
      <c r="Z770" s="76"/>
      <c r="AA770" s="76"/>
      <c r="AB770" s="76"/>
    </row>
    <row r="771" ht="15.75" customHeight="1">
      <c r="G771" s="7"/>
      <c r="Q771" s="76"/>
      <c r="U771" s="76"/>
      <c r="Y771" s="76"/>
      <c r="Z771" s="76"/>
      <c r="AA771" s="76"/>
      <c r="AB771" s="76"/>
    </row>
    <row r="772" ht="15.75" customHeight="1">
      <c r="G772" s="7"/>
      <c r="Q772" s="76"/>
      <c r="U772" s="76"/>
      <c r="Y772" s="76"/>
      <c r="Z772" s="76"/>
      <c r="AA772" s="76"/>
      <c r="AB772" s="76"/>
    </row>
    <row r="773" ht="15.75" customHeight="1">
      <c r="G773" s="7"/>
      <c r="Q773" s="76"/>
      <c r="U773" s="76"/>
      <c r="Y773" s="76"/>
      <c r="Z773" s="76"/>
      <c r="AA773" s="76"/>
      <c r="AB773" s="76"/>
    </row>
    <row r="774" ht="15.75" customHeight="1">
      <c r="G774" s="7"/>
      <c r="Q774" s="76"/>
      <c r="U774" s="76"/>
      <c r="Y774" s="76"/>
      <c r="Z774" s="76"/>
      <c r="AA774" s="76"/>
      <c r="AB774" s="76"/>
    </row>
    <row r="775" ht="15.75" customHeight="1">
      <c r="G775" s="7"/>
      <c r="Q775" s="76"/>
      <c r="U775" s="76"/>
      <c r="Y775" s="76"/>
      <c r="Z775" s="76"/>
      <c r="AA775" s="76"/>
      <c r="AB775" s="76"/>
    </row>
    <row r="776" ht="15.75" customHeight="1">
      <c r="G776" s="7"/>
      <c r="Q776" s="76"/>
      <c r="U776" s="76"/>
      <c r="Y776" s="76"/>
      <c r="Z776" s="76"/>
      <c r="AA776" s="76"/>
      <c r="AB776" s="76"/>
    </row>
    <row r="777" ht="15.75" customHeight="1">
      <c r="G777" s="7"/>
      <c r="Q777" s="76"/>
      <c r="U777" s="76"/>
      <c r="Y777" s="76"/>
      <c r="Z777" s="76"/>
      <c r="AA777" s="76"/>
      <c r="AB777" s="76"/>
    </row>
    <row r="778" ht="15.75" customHeight="1">
      <c r="G778" s="7"/>
      <c r="Q778" s="76"/>
      <c r="U778" s="76"/>
      <c r="Y778" s="76"/>
      <c r="Z778" s="76"/>
      <c r="AA778" s="76"/>
      <c r="AB778" s="76"/>
    </row>
    <row r="779" ht="15.75" customHeight="1">
      <c r="G779" s="7"/>
      <c r="Q779" s="76"/>
      <c r="U779" s="76"/>
      <c r="Y779" s="76"/>
      <c r="Z779" s="76"/>
      <c r="AA779" s="76"/>
      <c r="AB779" s="76"/>
    </row>
    <row r="780" ht="15.75" customHeight="1">
      <c r="G780" s="7"/>
      <c r="Q780" s="76"/>
      <c r="U780" s="76"/>
      <c r="Y780" s="76"/>
      <c r="Z780" s="76"/>
      <c r="AA780" s="76"/>
      <c r="AB780" s="76"/>
    </row>
    <row r="781" ht="15.75" customHeight="1">
      <c r="G781" s="7"/>
      <c r="Q781" s="76"/>
      <c r="U781" s="76"/>
      <c r="Y781" s="76"/>
      <c r="Z781" s="76"/>
      <c r="AA781" s="76"/>
      <c r="AB781" s="76"/>
    </row>
    <row r="782" ht="15.75" customHeight="1">
      <c r="G782" s="7"/>
      <c r="Q782" s="76"/>
      <c r="U782" s="76"/>
      <c r="Y782" s="76"/>
      <c r="Z782" s="76"/>
      <c r="AA782" s="76"/>
      <c r="AB782" s="76"/>
    </row>
    <row r="783" ht="15.75" customHeight="1">
      <c r="G783" s="7"/>
      <c r="Q783" s="76"/>
      <c r="U783" s="76"/>
      <c r="Y783" s="76"/>
      <c r="Z783" s="76"/>
      <c r="AA783" s="76"/>
      <c r="AB783" s="76"/>
    </row>
    <row r="784" ht="15.75" customHeight="1">
      <c r="G784" s="7"/>
      <c r="Q784" s="76"/>
      <c r="U784" s="76"/>
      <c r="Y784" s="76"/>
      <c r="Z784" s="76"/>
      <c r="AA784" s="76"/>
      <c r="AB784" s="76"/>
    </row>
    <row r="785" ht="15.75" customHeight="1">
      <c r="G785" s="7"/>
      <c r="Q785" s="76"/>
      <c r="U785" s="76"/>
      <c r="Y785" s="76"/>
      <c r="Z785" s="76"/>
      <c r="AA785" s="76"/>
      <c r="AB785" s="76"/>
    </row>
    <row r="786" ht="15.75" customHeight="1">
      <c r="G786" s="7"/>
      <c r="Q786" s="76"/>
      <c r="U786" s="76"/>
      <c r="Y786" s="76"/>
      <c r="Z786" s="76"/>
      <c r="AA786" s="76"/>
      <c r="AB786" s="76"/>
    </row>
    <row r="787" ht="15.75" customHeight="1">
      <c r="G787" s="7"/>
      <c r="Q787" s="76"/>
      <c r="U787" s="76"/>
      <c r="Y787" s="76"/>
      <c r="Z787" s="76"/>
      <c r="AA787" s="76"/>
      <c r="AB787" s="76"/>
    </row>
    <row r="788" ht="15.75" customHeight="1">
      <c r="G788" s="7"/>
      <c r="Q788" s="76"/>
      <c r="U788" s="76"/>
      <c r="Y788" s="76"/>
      <c r="Z788" s="76"/>
      <c r="AA788" s="76"/>
      <c r="AB788" s="76"/>
    </row>
    <row r="789" ht="15.75" customHeight="1">
      <c r="G789" s="7"/>
      <c r="Q789" s="76"/>
      <c r="U789" s="76"/>
      <c r="Y789" s="76"/>
      <c r="Z789" s="76"/>
      <c r="AA789" s="76"/>
      <c r="AB789" s="76"/>
    </row>
    <row r="790" ht="15.75" customHeight="1">
      <c r="G790" s="7"/>
      <c r="Q790" s="76"/>
      <c r="U790" s="76"/>
      <c r="Y790" s="76"/>
      <c r="Z790" s="76"/>
      <c r="AA790" s="76"/>
      <c r="AB790" s="76"/>
    </row>
    <row r="791" ht="15.75" customHeight="1">
      <c r="G791" s="7"/>
      <c r="Q791" s="76"/>
      <c r="U791" s="76"/>
      <c r="Y791" s="76"/>
      <c r="Z791" s="76"/>
      <c r="AA791" s="76"/>
      <c r="AB791" s="76"/>
    </row>
    <row r="792" ht="15.75" customHeight="1">
      <c r="G792" s="7"/>
      <c r="Q792" s="76"/>
      <c r="U792" s="76"/>
      <c r="Y792" s="76"/>
      <c r="Z792" s="76"/>
      <c r="AA792" s="76"/>
      <c r="AB792" s="76"/>
    </row>
    <row r="793" ht="15.75" customHeight="1">
      <c r="G793" s="7"/>
      <c r="Q793" s="76"/>
      <c r="U793" s="76"/>
      <c r="Y793" s="76"/>
      <c r="Z793" s="76"/>
      <c r="AA793" s="76"/>
      <c r="AB793" s="76"/>
    </row>
    <row r="794" ht="15.75" customHeight="1">
      <c r="G794" s="7"/>
      <c r="Q794" s="76"/>
      <c r="U794" s="76"/>
      <c r="Y794" s="76"/>
      <c r="Z794" s="76"/>
      <c r="AA794" s="76"/>
      <c r="AB794" s="76"/>
    </row>
    <row r="795" ht="15.75" customHeight="1">
      <c r="G795" s="7"/>
      <c r="Q795" s="76"/>
      <c r="U795" s="76"/>
      <c r="Y795" s="76"/>
      <c r="Z795" s="76"/>
      <c r="AA795" s="76"/>
      <c r="AB795" s="76"/>
    </row>
    <row r="796" ht="15.75" customHeight="1">
      <c r="G796" s="7"/>
      <c r="Q796" s="76"/>
      <c r="U796" s="76"/>
      <c r="Y796" s="76"/>
      <c r="Z796" s="76"/>
      <c r="AA796" s="76"/>
      <c r="AB796" s="76"/>
    </row>
    <row r="797" ht="15.75" customHeight="1">
      <c r="G797" s="7"/>
      <c r="Q797" s="76"/>
      <c r="U797" s="76"/>
      <c r="Y797" s="76"/>
      <c r="Z797" s="76"/>
      <c r="AA797" s="76"/>
      <c r="AB797" s="76"/>
    </row>
    <row r="798" ht="15.75" customHeight="1">
      <c r="G798" s="7"/>
      <c r="Q798" s="76"/>
      <c r="U798" s="76"/>
      <c r="Y798" s="76"/>
      <c r="Z798" s="76"/>
      <c r="AA798" s="76"/>
      <c r="AB798" s="76"/>
    </row>
    <row r="799" ht="15.75" customHeight="1">
      <c r="G799" s="7"/>
      <c r="Q799" s="76"/>
      <c r="U799" s="76"/>
      <c r="Y799" s="76"/>
      <c r="Z799" s="76"/>
      <c r="AA799" s="76"/>
      <c r="AB799" s="76"/>
    </row>
    <row r="800" ht="15.75" customHeight="1">
      <c r="G800" s="7"/>
      <c r="Q800" s="76"/>
      <c r="U800" s="76"/>
      <c r="Y800" s="76"/>
      <c r="Z800" s="76"/>
      <c r="AA800" s="76"/>
      <c r="AB800" s="76"/>
    </row>
    <row r="801" ht="15.75" customHeight="1">
      <c r="G801" s="7"/>
      <c r="Q801" s="76"/>
      <c r="U801" s="76"/>
      <c r="Y801" s="76"/>
      <c r="Z801" s="76"/>
      <c r="AA801" s="76"/>
      <c r="AB801" s="76"/>
    </row>
    <row r="802" ht="15.75" customHeight="1">
      <c r="G802" s="7"/>
      <c r="Q802" s="76"/>
      <c r="U802" s="76"/>
      <c r="Y802" s="76"/>
      <c r="Z802" s="76"/>
      <c r="AA802" s="76"/>
      <c r="AB802" s="76"/>
    </row>
    <row r="803" ht="15.75" customHeight="1">
      <c r="G803" s="7"/>
      <c r="Q803" s="76"/>
      <c r="U803" s="76"/>
      <c r="Y803" s="76"/>
      <c r="Z803" s="76"/>
      <c r="AA803" s="76"/>
      <c r="AB803" s="76"/>
    </row>
    <row r="804" ht="15.75" customHeight="1">
      <c r="G804" s="7"/>
      <c r="Q804" s="76"/>
      <c r="U804" s="76"/>
      <c r="Y804" s="76"/>
      <c r="Z804" s="76"/>
      <c r="AA804" s="76"/>
      <c r="AB804" s="76"/>
    </row>
    <row r="805" ht="15.75" customHeight="1">
      <c r="G805" s="7"/>
      <c r="Q805" s="76"/>
      <c r="U805" s="76"/>
      <c r="Y805" s="76"/>
      <c r="Z805" s="76"/>
      <c r="AA805" s="76"/>
      <c r="AB805" s="76"/>
    </row>
    <row r="806" ht="15.75" customHeight="1">
      <c r="G806" s="7"/>
      <c r="Q806" s="76"/>
      <c r="U806" s="76"/>
      <c r="Y806" s="76"/>
      <c r="Z806" s="76"/>
      <c r="AA806" s="76"/>
      <c r="AB806" s="76"/>
    </row>
    <row r="807" ht="15.75" customHeight="1">
      <c r="G807" s="7"/>
      <c r="Q807" s="76"/>
      <c r="U807" s="76"/>
      <c r="Y807" s="76"/>
      <c r="Z807" s="76"/>
      <c r="AA807" s="76"/>
      <c r="AB807" s="76"/>
    </row>
    <row r="808" ht="15.75" customHeight="1">
      <c r="G808" s="7"/>
      <c r="Q808" s="76"/>
      <c r="U808" s="76"/>
      <c r="Y808" s="76"/>
      <c r="Z808" s="76"/>
      <c r="AA808" s="76"/>
      <c r="AB808" s="76"/>
    </row>
    <row r="809" ht="15.75" customHeight="1">
      <c r="G809" s="7"/>
      <c r="Q809" s="76"/>
      <c r="U809" s="76"/>
      <c r="Y809" s="76"/>
      <c r="Z809" s="76"/>
      <c r="AA809" s="76"/>
      <c r="AB809" s="76"/>
    </row>
    <row r="810" ht="15.75" customHeight="1">
      <c r="G810" s="7"/>
      <c r="Q810" s="76"/>
      <c r="U810" s="76"/>
      <c r="Y810" s="76"/>
      <c r="Z810" s="76"/>
      <c r="AA810" s="76"/>
      <c r="AB810" s="76"/>
    </row>
    <row r="811" ht="15.75" customHeight="1">
      <c r="G811" s="7"/>
      <c r="Q811" s="76"/>
      <c r="U811" s="76"/>
      <c r="Y811" s="76"/>
      <c r="Z811" s="76"/>
      <c r="AA811" s="76"/>
      <c r="AB811" s="76"/>
    </row>
    <row r="812" ht="15.75" customHeight="1">
      <c r="G812" s="7"/>
      <c r="Q812" s="76"/>
      <c r="U812" s="76"/>
      <c r="Y812" s="76"/>
      <c r="Z812" s="76"/>
      <c r="AA812" s="76"/>
      <c r="AB812" s="76"/>
    </row>
    <row r="813" ht="15.75" customHeight="1">
      <c r="G813" s="7"/>
      <c r="Q813" s="76"/>
      <c r="U813" s="76"/>
      <c r="Y813" s="76"/>
      <c r="Z813" s="76"/>
      <c r="AA813" s="76"/>
      <c r="AB813" s="76"/>
    </row>
    <row r="814" ht="15.75" customHeight="1">
      <c r="G814" s="7"/>
      <c r="Q814" s="76"/>
      <c r="U814" s="76"/>
      <c r="Y814" s="76"/>
      <c r="Z814" s="76"/>
      <c r="AA814" s="76"/>
      <c r="AB814" s="76"/>
    </row>
    <row r="815" ht="15.75" customHeight="1">
      <c r="G815" s="7"/>
      <c r="Q815" s="76"/>
      <c r="U815" s="76"/>
      <c r="Y815" s="76"/>
      <c r="Z815" s="76"/>
      <c r="AA815" s="76"/>
      <c r="AB815" s="76"/>
    </row>
    <row r="816" ht="15.75" customHeight="1">
      <c r="G816" s="7"/>
      <c r="Q816" s="76"/>
      <c r="U816" s="76"/>
      <c r="Y816" s="76"/>
      <c r="Z816" s="76"/>
      <c r="AA816" s="76"/>
      <c r="AB816" s="76"/>
    </row>
    <row r="817" ht="15.75" customHeight="1">
      <c r="G817" s="7"/>
      <c r="Q817" s="76"/>
      <c r="U817" s="76"/>
      <c r="Y817" s="76"/>
      <c r="Z817" s="76"/>
      <c r="AA817" s="76"/>
      <c r="AB817" s="76"/>
    </row>
    <row r="818" ht="15.75" customHeight="1">
      <c r="G818" s="7"/>
      <c r="Q818" s="76"/>
      <c r="U818" s="76"/>
      <c r="Y818" s="76"/>
      <c r="Z818" s="76"/>
      <c r="AA818" s="76"/>
      <c r="AB818" s="76"/>
    </row>
    <row r="819" ht="15.75" customHeight="1">
      <c r="G819" s="7"/>
      <c r="Q819" s="76"/>
      <c r="U819" s="76"/>
      <c r="Y819" s="76"/>
      <c r="Z819" s="76"/>
      <c r="AA819" s="76"/>
      <c r="AB819" s="76"/>
    </row>
    <row r="820" ht="15.75" customHeight="1">
      <c r="G820" s="7"/>
      <c r="Q820" s="76"/>
      <c r="U820" s="76"/>
      <c r="Y820" s="76"/>
      <c r="Z820" s="76"/>
      <c r="AA820" s="76"/>
      <c r="AB820" s="76"/>
    </row>
    <row r="821" ht="15.75" customHeight="1">
      <c r="G821" s="7"/>
      <c r="Q821" s="76"/>
      <c r="U821" s="76"/>
      <c r="Y821" s="76"/>
      <c r="Z821" s="76"/>
      <c r="AA821" s="76"/>
      <c r="AB821" s="76"/>
    </row>
    <row r="822" ht="15.75" customHeight="1">
      <c r="G822" s="7"/>
      <c r="Q822" s="76"/>
      <c r="U822" s="76"/>
      <c r="Y822" s="76"/>
      <c r="Z822" s="76"/>
      <c r="AA822" s="76"/>
      <c r="AB822" s="76"/>
    </row>
    <row r="823" ht="15.75" customHeight="1">
      <c r="G823" s="7"/>
      <c r="Q823" s="76"/>
      <c r="U823" s="76"/>
      <c r="Y823" s="76"/>
      <c r="Z823" s="76"/>
      <c r="AA823" s="76"/>
      <c r="AB823" s="76"/>
    </row>
    <row r="824" ht="15.75" customHeight="1">
      <c r="G824" s="7"/>
      <c r="Q824" s="76"/>
      <c r="U824" s="76"/>
      <c r="Y824" s="76"/>
      <c r="Z824" s="76"/>
      <c r="AA824" s="76"/>
      <c r="AB824" s="76"/>
    </row>
    <row r="825" ht="15.75" customHeight="1">
      <c r="G825" s="7"/>
      <c r="Q825" s="76"/>
      <c r="U825" s="76"/>
      <c r="Y825" s="76"/>
      <c r="Z825" s="76"/>
      <c r="AA825" s="76"/>
      <c r="AB825" s="76"/>
    </row>
    <row r="826" ht="15.75" customHeight="1">
      <c r="G826" s="7"/>
      <c r="Q826" s="76"/>
      <c r="U826" s="76"/>
      <c r="Y826" s="76"/>
      <c r="Z826" s="76"/>
      <c r="AA826" s="76"/>
      <c r="AB826" s="76"/>
    </row>
    <row r="827" ht="15.75" customHeight="1">
      <c r="G827" s="7"/>
      <c r="Q827" s="76"/>
      <c r="U827" s="76"/>
      <c r="Y827" s="76"/>
      <c r="Z827" s="76"/>
      <c r="AA827" s="76"/>
      <c r="AB827" s="76"/>
    </row>
    <row r="828" ht="15.75" customHeight="1">
      <c r="G828" s="7"/>
      <c r="Q828" s="76"/>
      <c r="U828" s="76"/>
      <c r="Y828" s="76"/>
      <c r="Z828" s="76"/>
      <c r="AA828" s="76"/>
      <c r="AB828" s="76"/>
    </row>
    <row r="829" ht="15.75" customHeight="1">
      <c r="G829" s="7"/>
      <c r="Q829" s="76"/>
      <c r="U829" s="76"/>
      <c r="Y829" s="76"/>
      <c r="Z829" s="76"/>
      <c r="AA829" s="76"/>
      <c r="AB829" s="76"/>
    </row>
    <row r="830" ht="15.75" customHeight="1">
      <c r="G830" s="7"/>
      <c r="Q830" s="76"/>
      <c r="U830" s="76"/>
      <c r="Y830" s="76"/>
      <c r="Z830" s="76"/>
      <c r="AA830" s="76"/>
      <c r="AB830" s="76"/>
    </row>
    <row r="831" ht="15.75" customHeight="1">
      <c r="G831" s="7"/>
      <c r="Q831" s="76"/>
      <c r="U831" s="76"/>
      <c r="Y831" s="76"/>
      <c r="Z831" s="76"/>
      <c r="AA831" s="76"/>
      <c r="AB831" s="76"/>
    </row>
    <row r="832" ht="15.75" customHeight="1">
      <c r="G832" s="7"/>
      <c r="Q832" s="76"/>
      <c r="U832" s="76"/>
      <c r="Y832" s="76"/>
      <c r="Z832" s="76"/>
      <c r="AA832" s="76"/>
      <c r="AB832" s="76"/>
    </row>
    <row r="833" ht="15.75" customHeight="1">
      <c r="G833" s="7"/>
      <c r="Q833" s="76"/>
      <c r="U833" s="76"/>
      <c r="Y833" s="76"/>
      <c r="Z833" s="76"/>
      <c r="AA833" s="76"/>
      <c r="AB833" s="76"/>
    </row>
    <row r="834" ht="15.75" customHeight="1">
      <c r="G834" s="7"/>
      <c r="Q834" s="76"/>
      <c r="U834" s="76"/>
      <c r="Y834" s="76"/>
      <c r="Z834" s="76"/>
      <c r="AA834" s="76"/>
      <c r="AB834" s="76"/>
    </row>
    <row r="835" ht="15.75" customHeight="1">
      <c r="G835" s="7"/>
      <c r="Q835" s="76"/>
      <c r="U835" s="76"/>
      <c r="Y835" s="76"/>
      <c r="Z835" s="76"/>
      <c r="AA835" s="76"/>
      <c r="AB835" s="76"/>
    </row>
    <row r="836" ht="15.75" customHeight="1">
      <c r="G836" s="7"/>
      <c r="Q836" s="76"/>
      <c r="U836" s="76"/>
      <c r="Y836" s="76"/>
      <c r="Z836" s="76"/>
      <c r="AA836" s="76"/>
      <c r="AB836" s="76"/>
    </row>
    <row r="837" ht="15.75" customHeight="1">
      <c r="G837" s="7"/>
      <c r="Q837" s="76"/>
      <c r="U837" s="76"/>
      <c r="Y837" s="76"/>
      <c r="Z837" s="76"/>
      <c r="AA837" s="76"/>
      <c r="AB837" s="76"/>
    </row>
    <row r="838" ht="15.75" customHeight="1">
      <c r="G838" s="7"/>
      <c r="Q838" s="76"/>
      <c r="U838" s="76"/>
      <c r="Y838" s="76"/>
      <c r="Z838" s="76"/>
      <c r="AA838" s="76"/>
      <c r="AB838" s="76"/>
    </row>
    <row r="839" ht="15.75" customHeight="1">
      <c r="G839" s="7"/>
      <c r="Q839" s="76"/>
      <c r="U839" s="76"/>
      <c r="Y839" s="76"/>
      <c r="Z839" s="76"/>
      <c r="AA839" s="76"/>
      <c r="AB839" s="76"/>
    </row>
    <row r="840" ht="15.75" customHeight="1">
      <c r="G840" s="7"/>
      <c r="Q840" s="76"/>
      <c r="U840" s="76"/>
      <c r="Y840" s="76"/>
      <c r="Z840" s="76"/>
      <c r="AA840" s="76"/>
      <c r="AB840" s="76"/>
    </row>
    <row r="841" ht="15.75" customHeight="1">
      <c r="G841" s="7"/>
      <c r="Q841" s="76"/>
      <c r="U841" s="76"/>
      <c r="Y841" s="76"/>
      <c r="Z841" s="76"/>
      <c r="AA841" s="76"/>
      <c r="AB841" s="76"/>
    </row>
    <row r="842" ht="15.75" customHeight="1">
      <c r="G842" s="7"/>
      <c r="Q842" s="76"/>
      <c r="U842" s="76"/>
      <c r="Y842" s="76"/>
      <c r="Z842" s="76"/>
      <c r="AA842" s="76"/>
      <c r="AB842" s="76"/>
    </row>
    <row r="843" ht="15.75" customHeight="1">
      <c r="G843" s="7"/>
      <c r="Q843" s="76"/>
      <c r="U843" s="76"/>
      <c r="Y843" s="76"/>
      <c r="Z843" s="76"/>
      <c r="AA843" s="76"/>
      <c r="AB843" s="76"/>
    </row>
    <row r="844" ht="15.75" customHeight="1">
      <c r="G844" s="7"/>
      <c r="Q844" s="76"/>
      <c r="U844" s="76"/>
      <c r="Y844" s="76"/>
      <c r="Z844" s="76"/>
      <c r="AA844" s="76"/>
      <c r="AB844" s="76"/>
    </row>
    <row r="845" ht="15.75" customHeight="1">
      <c r="G845" s="7"/>
      <c r="Q845" s="76"/>
      <c r="U845" s="76"/>
      <c r="Y845" s="76"/>
      <c r="Z845" s="76"/>
      <c r="AA845" s="76"/>
      <c r="AB845" s="76"/>
    </row>
    <row r="846" ht="15.75" customHeight="1">
      <c r="G846" s="7"/>
      <c r="Q846" s="76"/>
      <c r="U846" s="76"/>
      <c r="Y846" s="76"/>
      <c r="Z846" s="76"/>
      <c r="AA846" s="76"/>
      <c r="AB846" s="76"/>
    </row>
    <row r="847" ht="15.75" customHeight="1">
      <c r="G847" s="7"/>
      <c r="Q847" s="76"/>
      <c r="U847" s="76"/>
      <c r="Y847" s="76"/>
      <c r="Z847" s="76"/>
      <c r="AA847" s="76"/>
      <c r="AB847" s="76"/>
    </row>
    <row r="848" ht="15.75" customHeight="1">
      <c r="G848" s="7"/>
      <c r="Q848" s="76"/>
      <c r="U848" s="76"/>
      <c r="Y848" s="76"/>
      <c r="Z848" s="76"/>
      <c r="AA848" s="76"/>
      <c r="AB848" s="76"/>
    </row>
    <row r="849" ht="15.75" customHeight="1">
      <c r="G849" s="7"/>
      <c r="Q849" s="76"/>
      <c r="U849" s="76"/>
      <c r="Y849" s="76"/>
      <c r="Z849" s="76"/>
      <c r="AA849" s="76"/>
      <c r="AB849" s="76"/>
    </row>
    <row r="850" ht="15.75" customHeight="1">
      <c r="G850" s="7"/>
      <c r="Q850" s="76"/>
      <c r="U850" s="76"/>
      <c r="Y850" s="76"/>
      <c r="Z850" s="76"/>
      <c r="AA850" s="76"/>
      <c r="AB850" s="76"/>
    </row>
    <row r="851" ht="15.75" customHeight="1">
      <c r="G851" s="7"/>
      <c r="Q851" s="76"/>
      <c r="U851" s="76"/>
      <c r="Y851" s="76"/>
      <c r="Z851" s="76"/>
      <c r="AA851" s="76"/>
      <c r="AB851" s="76"/>
    </row>
    <row r="852" ht="15.75" customHeight="1">
      <c r="G852" s="7"/>
      <c r="Q852" s="76"/>
      <c r="U852" s="76"/>
      <c r="Y852" s="76"/>
      <c r="Z852" s="76"/>
      <c r="AA852" s="76"/>
      <c r="AB852" s="76"/>
    </row>
    <row r="853" ht="15.75" customHeight="1">
      <c r="G853" s="7"/>
      <c r="Q853" s="76"/>
      <c r="U853" s="76"/>
      <c r="Y853" s="76"/>
      <c r="Z853" s="76"/>
      <c r="AA853" s="76"/>
      <c r="AB853" s="76"/>
    </row>
    <row r="854" ht="15.75" customHeight="1">
      <c r="G854" s="7"/>
      <c r="Q854" s="76"/>
      <c r="U854" s="76"/>
      <c r="Y854" s="76"/>
      <c r="Z854" s="76"/>
      <c r="AA854" s="76"/>
      <c r="AB854" s="76"/>
    </row>
    <row r="855" ht="15.75" customHeight="1">
      <c r="G855" s="7"/>
      <c r="Q855" s="76"/>
      <c r="U855" s="76"/>
      <c r="Y855" s="76"/>
      <c r="Z855" s="76"/>
      <c r="AA855" s="76"/>
      <c r="AB855" s="76"/>
    </row>
    <row r="856" ht="15.75" customHeight="1">
      <c r="G856" s="7"/>
      <c r="Q856" s="76"/>
      <c r="U856" s="76"/>
      <c r="Y856" s="76"/>
      <c r="Z856" s="76"/>
      <c r="AA856" s="76"/>
      <c r="AB856" s="76"/>
    </row>
    <row r="857" ht="15.75" customHeight="1">
      <c r="G857" s="7"/>
      <c r="Q857" s="76"/>
      <c r="U857" s="76"/>
      <c r="Y857" s="76"/>
      <c r="Z857" s="76"/>
      <c r="AA857" s="76"/>
      <c r="AB857" s="76"/>
    </row>
    <row r="858" ht="15.75" customHeight="1">
      <c r="G858" s="7"/>
      <c r="Q858" s="76"/>
      <c r="U858" s="76"/>
      <c r="Y858" s="76"/>
      <c r="Z858" s="76"/>
      <c r="AA858" s="76"/>
      <c r="AB858" s="76"/>
    </row>
    <row r="859" ht="15.75" customHeight="1">
      <c r="G859" s="7"/>
      <c r="Q859" s="76"/>
      <c r="U859" s="76"/>
      <c r="Y859" s="76"/>
      <c r="Z859" s="76"/>
      <c r="AA859" s="76"/>
      <c r="AB859" s="76"/>
    </row>
    <row r="860" ht="15.75" customHeight="1">
      <c r="G860" s="7"/>
      <c r="Q860" s="76"/>
      <c r="U860" s="76"/>
      <c r="Y860" s="76"/>
      <c r="Z860" s="76"/>
      <c r="AA860" s="76"/>
      <c r="AB860" s="76"/>
    </row>
    <row r="861" ht="15.75" customHeight="1">
      <c r="G861" s="7"/>
      <c r="Q861" s="76"/>
      <c r="U861" s="76"/>
      <c r="Y861" s="76"/>
      <c r="Z861" s="76"/>
      <c r="AA861" s="76"/>
      <c r="AB861" s="76"/>
    </row>
    <row r="862" ht="15.75" customHeight="1">
      <c r="G862" s="7"/>
      <c r="Q862" s="76"/>
      <c r="U862" s="76"/>
      <c r="Y862" s="76"/>
      <c r="Z862" s="76"/>
      <c r="AA862" s="76"/>
      <c r="AB862" s="76"/>
    </row>
    <row r="863" ht="15.75" customHeight="1">
      <c r="G863" s="7"/>
      <c r="Q863" s="76"/>
      <c r="U863" s="76"/>
      <c r="Y863" s="76"/>
      <c r="Z863" s="76"/>
      <c r="AA863" s="76"/>
      <c r="AB863" s="76"/>
    </row>
    <row r="864" ht="15.75" customHeight="1">
      <c r="G864" s="7"/>
      <c r="Q864" s="76"/>
      <c r="U864" s="76"/>
      <c r="Y864" s="76"/>
      <c r="Z864" s="76"/>
      <c r="AA864" s="76"/>
      <c r="AB864" s="76"/>
    </row>
    <row r="865" ht="15.75" customHeight="1">
      <c r="G865" s="7"/>
      <c r="Q865" s="76"/>
      <c r="U865" s="76"/>
      <c r="Y865" s="76"/>
      <c r="Z865" s="76"/>
      <c r="AA865" s="76"/>
      <c r="AB865" s="76"/>
    </row>
    <row r="866" ht="15.75" customHeight="1">
      <c r="G866" s="7"/>
      <c r="Q866" s="76"/>
      <c r="U866" s="76"/>
      <c r="Y866" s="76"/>
      <c r="Z866" s="76"/>
      <c r="AA866" s="76"/>
      <c r="AB866" s="76"/>
    </row>
    <row r="867" ht="15.75" customHeight="1">
      <c r="G867" s="7"/>
      <c r="Q867" s="76"/>
      <c r="U867" s="76"/>
      <c r="Y867" s="76"/>
      <c r="Z867" s="76"/>
      <c r="AA867" s="76"/>
      <c r="AB867" s="76"/>
    </row>
    <row r="868" ht="15.75" customHeight="1">
      <c r="G868" s="7"/>
      <c r="Q868" s="76"/>
      <c r="U868" s="76"/>
      <c r="Y868" s="76"/>
      <c r="Z868" s="76"/>
      <c r="AA868" s="76"/>
      <c r="AB868" s="76"/>
    </row>
    <row r="869" ht="15.75" customHeight="1">
      <c r="G869" s="7"/>
      <c r="Q869" s="76"/>
      <c r="U869" s="76"/>
      <c r="Y869" s="76"/>
      <c r="Z869" s="76"/>
      <c r="AA869" s="76"/>
      <c r="AB869" s="76"/>
    </row>
    <row r="870" ht="15.75" customHeight="1">
      <c r="G870" s="7"/>
      <c r="Q870" s="76"/>
      <c r="U870" s="76"/>
      <c r="Y870" s="76"/>
      <c r="Z870" s="76"/>
      <c r="AA870" s="76"/>
      <c r="AB870" s="76"/>
    </row>
    <row r="871" ht="15.75" customHeight="1">
      <c r="G871" s="7"/>
      <c r="Q871" s="76"/>
      <c r="U871" s="76"/>
      <c r="Y871" s="76"/>
      <c r="Z871" s="76"/>
      <c r="AA871" s="76"/>
      <c r="AB871" s="76"/>
    </row>
    <row r="872" ht="15.75" customHeight="1">
      <c r="G872" s="7"/>
      <c r="Q872" s="76"/>
      <c r="U872" s="76"/>
      <c r="Y872" s="76"/>
      <c r="Z872" s="76"/>
      <c r="AA872" s="76"/>
      <c r="AB872" s="76"/>
    </row>
    <row r="873" ht="15.75" customHeight="1">
      <c r="G873" s="7"/>
      <c r="Q873" s="76"/>
      <c r="U873" s="76"/>
      <c r="Y873" s="76"/>
      <c r="Z873" s="76"/>
      <c r="AA873" s="76"/>
      <c r="AB873" s="76"/>
    </row>
    <row r="874" ht="15.75" customHeight="1">
      <c r="G874" s="7"/>
      <c r="Q874" s="76"/>
      <c r="U874" s="76"/>
      <c r="Y874" s="76"/>
      <c r="Z874" s="76"/>
      <c r="AA874" s="76"/>
      <c r="AB874" s="76"/>
    </row>
    <row r="875" ht="15.75" customHeight="1">
      <c r="G875" s="7"/>
      <c r="Q875" s="76"/>
      <c r="U875" s="76"/>
      <c r="Y875" s="76"/>
      <c r="Z875" s="76"/>
      <c r="AA875" s="76"/>
      <c r="AB875" s="76"/>
    </row>
    <row r="876" ht="15.75" customHeight="1">
      <c r="G876" s="7"/>
      <c r="Q876" s="76"/>
      <c r="U876" s="76"/>
      <c r="Y876" s="76"/>
      <c r="Z876" s="76"/>
      <c r="AA876" s="76"/>
      <c r="AB876" s="76"/>
    </row>
    <row r="877" ht="15.75" customHeight="1">
      <c r="G877" s="7"/>
      <c r="Q877" s="76"/>
      <c r="U877" s="76"/>
      <c r="Y877" s="76"/>
      <c r="Z877" s="76"/>
      <c r="AA877" s="76"/>
      <c r="AB877" s="76"/>
    </row>
    <row r="878" ht="15.75" customHeight="1">
      <c r="G878" s="7"/>
      <c r="Q878" s="76"/>
      <c r="U878" s="76"/>
      <c r="Y878" s="76"/>
      <c r="Z878" s="76"/>
      <c r="AA878" s="76"/>
      <c r="AB878" s="76"/>
    </row>
    <row r="879" ht="15.75" customHeight="1">
      <c r="G879" s="7"/>
      <c r="Q879" s="76"/>
      <c r="U879" s="76"/>
      <c r="Y879" s="76"/>
      <c r="Z879" s="76"/>
      <c r="AA879" s="76"/>
      <c r="AB879" s="76"/>
    </row>
    <row r="880" ht="15.75" customHeight="1">
      <c r="G880" s="7"/>
      <c r="Q880" s="76"/>
      <c r="U880" s="76"/>
      <c r="Y880" s="76"/>
      <c r="Z880" s="76"/>
      <c r="AA880" s="76"/>
      <c r="AB880" s="76"/>
    </row>
    <row r="881" ht="15.75" customHeight="1">
      <c r="G881" s="7"/>
      <c r="Q881" s="76"/>
      <c r="U881" s="76"/>
      <c r="Y881" s="76"/>
      <c r="Z881" s="76"/>
      <c r="AA881" s="76"/>
      <c r="AB881" s="76"/>
    </row>
    <row r="882" ht="15.75" customHeight="1">
      <c r="G882" s="7"/>
      <c r="Q882" s="76"/>
      <c r="U882" s="76"/>
      <c r="Y882" s="76"/>
      <c r="Z882" s="76"/>
      <c r="AA882" s="76"/>
      <c r="AB882" s="76"/>
    </row>
    <row r="883" ht="15.75" customHeight="1">
      <c r="G883" s="7"/>
      <c r="Q883" s="76"/>
      <c r="U883" s="76"/>
      <c r="Y883" s="76"/>
      <c r="Z883" s="76"/>
      <c r="AA883" s="76"/>
      <c r="AB883" s="76"/>
    </row>
    <row r="884" ht="15.75" customHeight="1">
      <c r="G884" s="7"/>
      <c r="Q884" s="76"/>
      <c r="U884" s="76"/>
      <c r="Y884" s="76"/>
      <c r="Z884" s="76"/>
      <c r="AA884" s="76"/>
      <c r="AB884" s="76"/>
    </row>
    <row r="885" ht="15.75" customHeight="1">
      <c r="G885" s="7"/>
      <c r="Q885" s="76"/>
      <c r="U885" s="76"/>
      <c r="Y885" s="76"/>
      <c r="Z885" s="76"/>
      <c r="AA885" s="76"/>
      <c r="AB885" s="76"/>
    </row>
    <row r="886" ht="15.75" customHeight="1">
      <c r="G886" s="7"/>
      <c r="Q886" s="76"/>
      <c r="U886" s="76"/>
      <c r="Y886" s="76"/>
      <c r="Z886" s="76"/>
      <c r="AA886" s="76"/>
      <c r="AB886" s="76"/>
    </row>
    <row r="887" ht="15.75" customHeight="1">
      <c r="G887" s="7"/>
      <c r="Q887" s="76"/>
      <c r="U887" s="76"/>
      <c r="Y887" s="76"/>
      <c r="Z887" s="76"/>
      <c r="AA887" s="76"/>
      <c r="AB887" s="76"/>
    </row>
    <row r="888" ht="15.75" customHeight="1">
      <c r="G888" s="7"/>
      <c r="Q888" s="76"/>
      <c r="U888" s="76"/>
      <c r="Y888" s="76"/>
      <c r="Z888" s="76"/>
      <c r="AA888" s="76"/>
      <c r="AB888" s="76"/>
    </row>
    <row r="889" ht="15.75" customHeight="1">
      <c r="G889" s="7"/>
      <c r="Q889" s="76"/>
      <c r="U889" s="76"/>
      <c r="Y889" s="76"/>
      <c r="Z889" s="76"/>
      <c r="AA889" s="76"/>
      <c r="AB889" s="76"/>
    </row>
    <row r="890" ht="15.75" customHeight="1">
      <c r="G890" s="7"/>
      <c r="Q890" s="76"/>
      <c r="U890" s="76"/>
      <c r="Y890" s="76"/>
      <c r="Z890" s="76"/>
      <c r="AA890" s="76"/>
      <c r="AB890" s="76"/>
    </row>
    <row r="891" ht="15.75" customHeight="1">
      <c r="G891" s="7"/>
      <c r="Q891" s="76"/>
      <c r="U891" s="76"/>
      <c r="Y891" s="76"/>
      <c r="Z891" s="76"/>
      <c r="AA891" s="76"/>
      <c r="AB891" s="76"/>
    </row>
    <row r="892" ht="15.75" customHeight="1">
      <c r="G892" s="7"/>
      <c r="Q892" s="76"/>
      <c r="U892" s="76"/>
      <c r="Y892" s="76"/>
      <c r="Z892" s="76"/>
      <c r="AA892" s="76"/>
      <c r="AB892" s="76"/>
    </row>
    <row r="893" ht="15.75" customHeight="1">
      <c r="G893" s="7"/>
      <c r="Q893" s="76"/>
      <c r="U893" s="76"/>
      <c r="Y893" s="76"/>
      <c r="Z893" s="76"/>
      <c r="AA893" s="76"/>
      <c r="AB893" s="76"/>
    </row>
    <row r="894" ht="15.75" customHeight="1">
      <c r="G894" s="7"/>
      <c r="Q894" s="76"/>
      <c r="U894" s="76"/>
      <c r="Y894" s="76"/>
      <c r="Z894" s="76"/>
      <c r="AA894" s="76"/>
      <c r="AB894" s="76"/>
    </row>
    <row r="895" ht="15.75" customHeight="1">
      <c r="G895" s="7"/>
      <c r="Q895" s="76"/>
      <c r="U895" s="76"/>
      <c r="Y895" s="76"/>
      <c r="Z895" s="76"/>
      <c r="AA895" s="76"/>
      <c r="AB895" s="76"/>
    </row>
    <row r="896" ht="15.75" customHeight="1">
      <c r="G896" s="7"/>
      <c r="Q896" s="76"/>
      <c r="U896" s="76"/>
      <c r="Y896" s="76"/>
      <c r="Z896" s="76"/>
      <c r="AA896" s="76"/>
      <c r="AB896" s="76"/>
    </row>
    <row r="897" ht="15.75" customHeight="1">
      <c r="G897" s="7"/>
      <c r="Q897" s="76"/>
      <c r="U897" s="76"/>
      <c r="Y897" s="76"/>
      <c r="Z897" s="76"/>
      <c r="AA897" s="76"/>
      <c r="AB897" s="76"/>
    </row>
    <row r="898" ht="15.75" customHeight="1">
      <c r="G898" s="7"/>
      <c r="Q898" s="76"/>
      <c r="U898" s="76"/>
      <c r="Y898" s="76"/>
      <c r="Z898" s="76"/>
      <c r="AA898" s="76"/>
      <c r="AB898" s="76"/>
    </row>
    <row r="899" ht="15.75" customHeight="1">
      <c r="G899" s="7"/>
      <c r="Q899" s="76"/>
      <c r="U899" s="76"/>
      <c r="Y899" s="76"/>
      <c r="Z899" s="76"/>
      <c r="AA899" s="76"/>
      <c r="AB899" s="76"/>
    </row>
    <row r="900" ht="15.75" customHeight="1">
      <c r="G900" s="7"/>
      <c r="Q900" s="76"/>
      <c r="U900" s="76"/>
      <c r="Y900" s="76"/>
      <c r="Z900" s="76"/>
      <c r="AA900" s="76"/>
      <c r="AB900" s="76"/>
    </row>
    <row r="901" ht="15.75" customHeight="1">
      <c r="G901" s="7"/>
      <c r="Q901" s="76"/>
      <c r="U901" s="76"/>
      <c r="Y901" s="76"/>
      <c r="Z901" s="76"/>
      <c r="AA901" s="76"/>
      <c r="AB901" s="76"/>
    </row>
    <row r="902" ht="15.75" customHeight="1">
      <c r="G902" s="7"/>
      <c r="Q902" s="76"/>
      <c r="U902" s="76"/>
      <c r="Y902" s="76"/>
      <c r="Z902" s="76"/>
      <c r="AA902" s="76"/>
      <c r="AB902" s="76"/>
    </row>
    <row r="903" ht="15.75" customHeight="1">
      <c r="G903" s="7"/>
      <c r="Q903" s="76"/>
      <c r="U903" s="76"/>
      <c r="Y903" s="76"/>
      <c r="Z903" s="76"/>
      <c r="AA903" s="76"/>
      <c r="AB903" s="76"/>
    </row>
    <row r="904" ht="15.75" customHeight="1">
      <c r="G904" s="7"/>
      <c r="Q904" s="76"/>
      <c r="U904" s="76"/>
      <c r="Y904" s="76"/>
      <c r="Z904" s="76"/>
      <c r="AA904" s="76"/>
      <c r="AB904" s="76"/>
    </row>
    <row r="905" ht="15.75" customHeight="1">
      <c r="G905" s="7"/>
      <c r="Q905" s="76"/>
      <c r="U905" s="76"/>
      <c r="Y905" s="76"/>
      <c r="Z905" s="76"/>
      <c r="AA905" s="76"/>
      <c r="AB905" s="76"/>
    </row>
    <row r="906" ht="15.75" customHeight="1">
      <c r="G906" s="7"/>
      <c r="Q906" s="76"/>
      <c r="U906" s="76"/>
      <c r="Y906" s="76"/>
      <c r="Z906" s="76"/>
      <c r="AA906" s="76"/>
      <c r="AB906" s="76"/>
    </row>
    <row r="907" ht="15.75" customHeight="1">
      <c r="G907" s="7"/>
      <c r="Q907" s="76"/>
      <c r="U907" s="76"/>
      <c r="Y907" s="76"/>
      <c r="Z907" s="76"/>
      <c r="AA907" s="76"/>
      <c r="AB907" s="76"/>
    </row>
    <row r="908" ht="15.75" customHeight="1">
      <c r="G908" s="7"/>
      <c r="Q908" s="76"/>
      <c r="U908" s="76"/>
      <c r="Y908" s="76"/>
      <c r="Z908" s="76"/>
      <c r="AA908" s="76"/>
      <c r="AB908" s="76"/>
    </row>
    <row r="909" ht="15.75" customHeight="1">
      <c r="G909" s="7"/>
      <c r="Q909" s="76"/>
      <c r="U909" s="76"/>
      <c r="Y909" s="76"/>
      <c r="Z909" s="76"/>
      <c r="AA909" s="76"/>
      <c r="AB909" s="76"/>
    </row>
    <row r="910" ht="15.75" customHeight="1">
      <c r="G910" s="7"/>
      <c r="Q910" s="76"/>
      <c r="U910" s="76"/>
      <c r="Y910" s="76"/>
      <c r="Z910" s="76"/>
      <c r="AA910" s="76"/>
      <c r="AB910" s="76"/>
    </row>
    <row r="911" ht="15.75" customHeight="1">
      <c r="G911" s="7"/>
      <c r="Q911" s="76"/>
      <c r="U911" s="76"/>
      <c r="Y911" s="76"/>
      <c r="Z911" s="76"/>
      <c r="AA911" s="76"/>
      <c r="AB911" s="76"/>
    </row>
    <row r="912" ht="15.75" customHeight="1">
      <c r="G912" s="7"/>
      <c r="Q912" s="76"/>
      <c r="U912" s="76"/>
      <c r="Y912" s="76"/>
      <c r="Z912" s="76"/>
      <c r="AA912" s="76"/>
      <c r="AB912" s="76"/>
    </row>
    <row r="913" ht="15.75" customHeight="1">
      <c r="G913" s="7"/>
      <c r="Q913" s="76"/>
      <c r="U913" s="76"/>
      <c r="Y913" s="76"/>
      <c r="Z913" s="76"/>
      <c r="AA913" s="76"/>
      <c r="AB913" s="76"/>
    </row>
    <row r="914" ht="15.75" customHeight="1">
      <c r="G914" s="7"/>
      <c r="Q914" s="76"/>
      <c r="U914" s="76"/>
      <c r="Y914" s="76"/>
      <c r="Z914" s="76"/>
      <c r="AA914" s="76"/>
      <c r="AB914" s="76"/>
    </row>
    <row r="915" ht="15.75" customHeight="1">
      <c r="G915" s="7"/>
      <c r="Q915" s="76"/>
      <c r="U915" s="76"/>
      <c r="Y915" s="76"/>
      <c r="Z915" s="76"/>
      <c r="AA915" s="76"/>
      <c r="AB915" s="76"/>
    </row>
    <row r="916" ht="15.75" customHeight="1">
      <c r="G916" s="7"/>
      <c r="Q916" s="76"/>
      <c r="U916" s="76"/>
      <c r="Y916" s="76"/>
      <c r="Z916" s="76"/>
      <c r="AA916" s="76"/>
      <c r="AB916" s="76"/>
    </row>
    <row r="917" ht="15.75" customHeight="1">
      <c r="G917" s="7"/>
      <c r="Q917" s="76"/>
      <c r="U917" s="76"/>
      <c r="Y917" s="76"/>
      <c r="Z917" s="76"/>
      <c r="AA917" s="76"/>
      <c r="AB917" s="76"/>
    </row>
    <row r="918" ht="15.75" customHeight="1">
      <c r="G918" s="7"/>
      <c r="Q918" s="76"/>
      <c r="U918" s="76"/>
      <c r="Y918" s="76"/>
      <c r="Z918" s="76"/>
      <c r="AA918" s="76"/>
      <c r="AB918" s="76"/>
    </row>
    <row r="919" ht="15.75" customHeight="1">
      <c r="G919" s="7"/>
      <c r="Q919" s="76"/>
      <c r="U919" s="76"/>
      <c r="Y919" s="76"/>
      <c r="Z919" s="76"/>
      <c r="AA919" s="76"/>
      <c r="AB919" s="76"/>
    </row>
    <row r="920" ht="15.75" customHeight="1">
      <c r="G920" s="7"/>
      <c r="Q920" s="76"/>
      <c r="U920" s="76"/>
      <c r="Y920" s="76"/>
      <c r="Z920" s="76"/>
      <c r="AA920" s="76"/>
      <c r="AB920" s="76"/>
    </row>
    <row r="921" ht="15.75" customHeight="1">
      <c r="G921" s="7"/>
      <c r="Q921" s="76"/>
      <c r="U921" s="76"/>
      <c r="Y921" s="76"/>
      <c r="Z921" s="76"/>
      <c r="AA921" s="76"/>
      <c r="AB921" s="76"/>
    </row>
    <row r="922" ht="15.75" customHeight="1">
      <c r="G922" s="7"/>
      <c r="Q922" s="76"/>
      <c r="U922" s="76"/>
      <c r="Y922" s="76"/>
      <c r="Z922" s="76"/>
      <c r="AA922" s="76"/>
      <c r="AB922" s="76"/>
    </row>
    <row r="923" ht="15.75" customHeight="1">
      <c r="G923" s="7"/>
      <c r="Q923" s="76"/>
      <c r="U923" s="76"/>
      <c r="Y923" s="76"/>
      <c r="Z923" s="76"/>
      <c r="AA923" s="76"/>
      <c r="AB923" s="76"/>
    </row>
    <row r="924" ht="15.75" customHeight="1">
      <c r="G924" s="7"/>
      <c r="Q924" s="76"/>
      <c r="U924" s="76"/>
      <c r="Y924" s="76"/>
      <c r="Z924" s="76"/>
      <c r="AA924" s="76"/>
      <c r="AB924" s="76"/>
    </row>
    <row r="925" ht="15.75" customHeight="1">
      <c r="G925" s="7"/>
      <c r="Q925" s="76"/>
      <c r="U925" s="76"/>
      <c r="Y925" s="76"/>
      <c r="Z925" s="76"/>
      <c r="AA925" s="76"/>
      <c r="AB925" s="76"/>
    </row>
    <row r="926" ht="15.75" customHeight="1">
      <c r="G926" s="7"/>
      <c r="Q926" s="76"/>
      <c r="U926" s="76"/>
      <c r="Y926" s="76"/>
      <c r="Z926" s="76"/>
      <c r="AA926" s="76"/>
      <c r="AB926" s="76"/>
    </row>
    <row r="927" ht="15.75" customHeight="1">
      <c r="G927" s="7"/>
      <c r="Q927" s="76"/>
      <c r="U927" s="76"/>
      <c r="Y927" s="76"/>
      <c r="Z927" s="76"/>
      <c r="AA927" s="76"/>
      <c r="AB927" s="76"/>
    </row>
    <row r="928" ht="15.75" customHeight="1">
      <c r="G928" s="7"/>
      <c r="Q928" s="76"/>
      <c r="U928" s="76"/>
      <c r="Y928" s="76"/>
      <c r="Z928" s="76"/>
      <c r="AA928" s="76"/>
      <c r="AB928" s="76"/>
    </row>
    <row r="929" ht="15.75" customHeight="1">
      <c r="G929" s="7"/>
      <c r="Q929" s="76"/>
      <c r="U929" s="76"/>
      <c r="Y929" s="76"/>
      <c r="Z929" s="76"/>
      <c r="AA929" s="76"/>
      <c r="AB929" s="76"/>
    </row>
    <row r="930" ht="15.75" customHeight="1">
      <c r="G930" s="7"/>
      <c r="Q930" s="76"/>
      <c r="U930" s="76"/>
      <c r="Y930" s="76"/>
      <c r="Z930" s="76"/>
      <c r="AA930" s="76"/>
      <c r="AB930" s="76"/>
    </row>
    <row r="931" ht="15.75" customHeight="1">
      <c r="G931" s="7"/>
      <c r="Q931" s="76"/>
      <c r="U931" s="76"/>
      <c r="Y931" s="76"/>
      <c r="Z931" s="76"/>
      <c r="AA931" s="76"/>
      <c r="AB931" s="76"/>
    </row>
    <row r="932" ht="15.75" customHeight="1">
      <c r="G932" s="7"/>
      <c r="Q932" s="76"/>
      <c r="U932" s="76"/>
      <c r="Y932" s="76"/>
      <c r="Z932" s="76"/>
      <c r="AA932" s="76"/>
      <c r="AB932" s="76"/>
    </row>
    <row r="933" ht="15.75" customHeight="1">
      <c r="G933" s="7"/>
      <c r="Q933" s="76"/>
      <c r="U933" s="76"/>
      <c r="Y933" s="76"/>
      <c r="Z933" s="76"/>
      <c r="AA933" s="76"/>
      <c r="AB933" s="76"/>
    </row>
    <row r="934" ht="15.75" customHeight="1">
      <c r="G934" s="7"/>
      <c r="Q934" s="76"/>
      <c r="U934" s="76"/>
      <c r="Y934" s="76"/>
      <c r="Z934" s="76"/>
      <c r="AA934" s="76"/>
      <c r="AB934" s="76"/>
    </row>
    <row r="935" ht="15.75" customHeight="1">
      <c r="G935" s="7"/>
      <c r="Q935" s="76"/>
      <c r="U935" s="76"/>
      <c r="Y935" s="76"/>
      <c r="Z935" s="76"/>
      <c r="AA935" s="76"/>
      <c r="AB935" s="76"/>
    </row>
    <row r="936" ht="15.75" customHeight="1">
      <c r="G936" s="7"/>
      <c r="Q936" s="76"/>
      <c r="U936" s="76"/>
      <c r="Y936" s="76"/>
      <c r="Z936" s="76"/>
      <c r="AA936" s="76"/>
      <c r="AB936" s="76"/>
    </row>
    <row r="937" ht="15.75" customHeight="1">
      <c r="G937" s="7"/>
      <c r="Q937" s="76"/>
      <c r="U937" s="76"/>
      <c r="Y937" s="76"/>
      <c r="Z937" s="76"/>
      <c r="AA937" s="76"/>
      <c r="AB937" s="76"/>
    </row>
    <row r="938" ht="15.75" customHeight="1">
      <c r="G938" s="7"/>
      <c r="Q938" s="76"/>
      <c r="U938" s="76"/>
      <c r="Y938" s="76"/>
      <c r="Z938" s="76"/>
      <c r="AA938" s="76"/>
      <c r="AB938" s="76"/>
    </row>
    <row r="939" ht="15.75" customHeight="1">
      <c r="G939" s="7"/>
      <c r="Q939" s="76"/>
      <c r="U939" s="76"/>
      <c r="Y939" s="76"/>
      <c r="Z939" s="76"/>
      <c r="AA939" s="76"/>
      <c r="AB939" s="76"/>
    </row>
    <row r="940" ht="15.75" customHeight="1">
      <c r="G940" s="7"/>
      <c r="Q940" s="76"/>
      <c r="U940" s="76"/>
      <c r="Y940" s="76"/>
      <c r="Z940" s="76"/>
      <c r="AA940" s="76"/>
      <c r="AB940" s="76"/>
    </row>
    <row r="941" ht="15.75" customHeight="1">
      <c r="G941" s="7"/>
      <c r="Q941" s="76"/>
      <c r="U941" s="76"/>
      <c r="Y941" s="76"/>
      <c r="Z941" s="76"/>
      <c r="AA941" s="76"/>
      <c r="AB941" s="76"/>
    </row>
    <row r="942" ht="15.75" customHeight="1">
      <c r="G942" s="7"/>
      <c r="Q942" s="76"/>
      <c r="U942" s="76"/>
      <c r="Y942" s="76"/>
      <c r="Z942" s="76"/>
      <c r="AA942" s="76"/>
      <c r="AB942" s="76"/>
    </row>
    <row r="943" ht="15.75" customHeight="1">
      <c r="G943" s="7"/>
      <c r="Q943" s="76"/>
      <c r="U943" s="76"/>
      <c r="Y943" s="76"/>
      <c r="Z943" s="76"/>
      <c r="AA943" s="76"/>
      <c r="AB943" s="76"/>
    </row>
    <row r="944" ht="15.75" customHeight="1">
      <c r="G944" s="7"/>
      <c r="Q944" s="76"/>
      <c r="U944" s="76"/>
      <c r="Y944" s="76"/>
      <c r="Z944" s="76"/>
      <c r="AA944" s="76"/>
      <c r="AB944" s="76"/>
    </row>
    <row r="945" ht="15.75" customHeight="1">
      <c r="G945" s="7"/>
      <c r="Q945" s="76"/>
      <c r="U945" s="76"/>
      <c r="Y945" s="76"/>
      <c r="Z945" s="76"/>
      <c r="AA945" s="76"/>
      <c r="AB945" s="76"/>
    </row>
    <row r="946" ht="15.75" customHeight="1">
      <c r="G946" s="7"/>
      <c r="Q946" s="76"/>
      <c r="U946" s="76"/>
      <c r="Y946" s="76"/>
      <c r="Z946" s="76"/>
      <c r="AA946" s="76"/>
      <c r="AB946" s="76"/>
    </row>
    <row r="947" ht="15.75" customHeight="1">
      <c r="G947" s="7"/>
      <c r="Q947" s="76"/>
      <c r="U947" s="76"/>
      <c r="Y947" s="76"/>
      <c r="Z947" s="76"/>
      <c r="AA947" s="76"/>
      <c r="AB947" s="76"/>
    </row>
    <row r="948" ht="15.75" customHeight="1">
      <c r="G948" s="7"/>
      <c r="Q948" s="76"/>
      <c r="U948" s="76"/>
      <c r="Y948" s="76"/>
      <c r="Z948" s="76"/>
      <c r="AA948" s="76"/>
      <c r="AB948" s="76"/>
    </row>
    <row r="949" ht="15.75" customHeight="1">
      <c r="G949" s="7"/>
      <c r="Q949" s="76"/>
      <c r="U949" s="76"/>
      <c r="Y949" s="76"/>
      <c r="Z949" s="76"/>
      <c r="AA949" s="76"/>
      <c r="AB949" s="76"/>
    </row>
    <row r="950" ht="15.75" customHeight="1">
      <c r="G950" s="7"/>
      <c r="Q950" s="76"/>
      <c r="U950" s="76"/>
      <c r="Y950" s="76"/>
      <c r="Z950" s="76"/>
      <c r="AA950" s="76"/>
      <c r="AB950" s="76"/>
    </row>
    <row r="951" ht="15.75" customHeight="1">
      <c r="G951" s="7"/>
      <c r="Q951" s="76"/>
      <c r="U951" s="76"/>
      <c r="Y951" s="76"/>
      <c r="Z951" s="76"/>
      <c r="AA951" s="76"/>
      <c r="AB951" s="76"/>
    </row>
    <row r="952" ht="15.75" customHeight="1">
      <c r="G952" s="7"/>
      <c r="Q952" s="76"/>
      <c r="U952" s="76"/>
      <c r="Y952" s="76"/>
      <c r="Z952" s="76"/>
      <c r="AA952" s="76"/>
      <c r="AB952" s="76"/>
    </row>
    <row r="953" ht="15.75" customHeight="1">
      <c r="G953" s="7"/>
      <c r="Q953" s="76"/>
      <c r="U953" s="76"/>
      <c r="Y953" s="76"/>
      <c r="Z953" s="76"/>
      <c r="AA953" s="76"/>
      <c r="AB953" s="76"/>
    </row>
    <row r="954" ht="15.75" customHeight="1">
      <c r="G954" s="7"/>
      <c r="Q954" s="76"/>
      <c r="U954" s="76"/>
      <c r="Y954" s="76"/>
      <c r="Z954" s="76"/>
      <c r="AA954" s="76"/>
      <c r="AB954" s="76"/>
    </row>
    <row r="955" ht="15.75" customHeight="1">
      <c r="G955" s="7"/>
      <c r="Q955" s="76"/>
      <c r="U955" s="76"/>
      <c r="Y955" s="76"/>
      <c r="Z955" s="76"/>
      <c r="AA955" s="76"/>
      <c r="AB955" s="76"/>
    </row>
    <row r="956" ht="15.75" customHeight="1">
      <c r="G956" s="7"/>
      <c r="Q956" s="76"/>
      <c r="U956" s="76"/>
      <c r="Y956" s="76"/>
      <c r="Z956" s="76"/>
      <c r="AA956" s="76"/>
      <c r="AB956" s="76"/>
    </row>
    <row r="957" ht="15.75" customHeight="1">
      <c r="G957" s="7"/>
      <c r="Q957" s="76"/>
      <c r="U957" s="76"/>
      <c r="Y957" s="76"/>
      <c r="Z957" s="76"/>
      <c r="AA957" s="76"/>
      <c r="AB957" s="76"/>
    </row>
    <row r="958" ht="15.75" customHeight="1">
      <c r="G958" s="7"/>
      <c r="Q958" s="76"/>
      <c r="U958" s="76"/>
      <c r="Y958" s="76"/>
      <c r="Z958" s="76"/>
      <c r="AA958" s="76"/>
      <c r="AB958" s="76"/>
    </row>
    <row r="959" ht="15.75" customHeight="1">
      <c r="G959" s="7"/>
      <c r="Q959" s="76"/>
      <c r="U959" s="76"/>
      <c r="Y959" s="76"/>
      <c r="Z959" s="76"/>
      <c r="AA959" s="76"/>
      <c r="AB959" s="76"/>
    </row>
    <row r="960" ht="15.75" customHeight="1">
      <c r="G960" s="7"/>
      <c r="Q960" s="76"/>
      <c r="U960" s="76"/>
      <c r="Y960" s="76"/>
      <c r="Z960" s="76"/>
      <c r="AA960" s="76"/>
      <c r="AB960" s="76"/>
    </row>
    <row r="961" ht="15.75" customHeight="1">
      <c r="G961" s="7"/>
      <c r="Q961" s="76"/>
      <c r="U961" s="76"/>
      <c r="Y961" s="76"/>
      <c r="Z961" s="76"/>
      <c r="AA961" s="76"/>
      <c r="AB961" s="76"/>
    </row>
    <row r="962" ht="15.75" customHeight="1">
      <c r="G962" s="7"/>
      <c r="Q962" s="76"/>
      <c r="U962" s="76"/>
      <c r="Y962" s="76"/>
      <c r="Z962" s="76"/>
      <c r="AA962" s="76"/>
      <c r="AB962" s="76"/>
    </row>
    <row r="963" ht="15.75" customHeight="1">
      <c r="G963" s="7"/>
      <c r="Q963" s="76"/>
      <c r="U963" s="76"/>
      <c r="Y963" s="76"/>
      <c r="Z963" s="76"/>
      <c r="AA963" s="76"/>
      <c r="AB963" s="76"/>
    </row>
    <row r="964" ht="15.75" customHeight="1">
      <c r="G964" s="7"/>
      <c r="Q964" s="76"/>
      <c r="U964" s="76"/>
      <c r="Y964" s="76"/>
      <c r="Z964" s="76"/>
      <c r="AA964" s="76"/>
      <c r="AB964" s="76"/>
    </row>
    <row r="965" ht="15.75" customHeight="1">
      <c r="G965" s="7"/>
      <c r="Q965" s="76"/>
      <c r="U965" s="76"/>
      <c r="Y965" s="76"/>
      <c r="Z965" s="76"/>
      <c r="AA965" s="76"/>
      <c r="AB965" s="76"/>
    </row>
    <row r="966" ht="15.75" customHeight="1">
      <c r="G966" s="7"/>
      <c r="Q966" s="76"/>
      <c r="U966" s="76"/>
      <c r="Y966" s="76"/>
      <c r="Z966" s="76"/>
      <c r="AA966" s="76"/>
      <c r="AB966" s="76"/>
    </row>
    <row r="967" ht="15.75" customHeight="1">
      <c r="G967" s="7"/>
      <c r="Q967" s="76"/>
      <c r="U967" s="76"/>
      <c r="Y967" s="76"/>
      <c r="Z967" s="76"/>
      <c r="AA967" s="76"/>
      <c r="AB967" s="76"/>
    </row>
    <row r="968" ht="15.75" customHeight="1">
      <c r="G968" s="7"/>
      <c r="Q968" s="76"/>
      <c r="U968" s="76"/>
      <c r="Y968" s="76"/>
      <c r="Z968" s="76"/>
      <c r="AA968" s="76"/>
      <c r="AB968" s="76"/>
    </row>
    <row r="969" ht="15.75" customHeight="1">
      <c r="G969" s="7"/>
      <c r="Q969" s="76"/>
      <c r="U969" s="76"/>
      <c r="Y969" s="76"/>
      <c r="Z969" s="76"/>
      <c r="AA969" s="76"/>
      <c r="AB969" s="76"/>
    </row>
    <row r="970" ht="15.75" customHeight="1">
      <c r="G970" s="7"/>
      <c r="Q970" s="76"/>
      <c r="U970" s="76"/>
      <c r="Y970" s="76"/>
      <c r="Z970" s="76"/>
      <c r="AA970" s="76"/>
      <c r="AB970" s="76"/>
    </row>
    <row r="971" ht="15.75" customHeight="1">
      <c r="G971" s="7"/>
      <c r="Q971" s="76"/>
      <c r="U971" s="76"/>
      <c r="Y971" s="76"/>
      <c r="Z971" s="76"/>
      <c r="AA971" s="76"/>
      <c r="AB971" s="76"/>
    </row>
    <row r="972" ht="15.75" customHeight="1">
      <c r="G972" s="7"/>
      <c r="Q972" s="76"/>
      <c r="U972" s="76"/>
      <c r="Y972" s="76"/>
      <c r="Z972" s="76"/>
      <c r="AA972" s="76"/>
      <c r="AB972" s="76"/>
    </row>
    <row r="973" ht="15.75" customHeight="1">
      <c r="G973" s="7"/>
      <c r="Q973" s="76"/>
      <c r="U973" s="76"/>
      <c r="Y973" s="76"/>
      <c r="Z973" s="76"/>
      <c r="AA973" s="76"/>
      <c r="AB973" s="76"/>
    </row>
    <row r="974" ht="15.75" customHeight="1">
      <c r="G974" s="7"/>
      <c r="Q974" s="76"/>
      <c r="U974" s="76"/>
      <c r="Y974" s="76"/>
      <c r="Z974" s="76"/>
      <c r="AA974" s="76"/>
      <c r="AB974" s="76"/>
    </row>
    <row r="975" ht="15.75" customHeight="1">
      <c r="G975" s="7"/>
      <c r="Q975" s="76"/>
      <c r="U975" s="76"/>
      <c r="Y975" s="76"/>
      <c r="Z975" s="76"/>
      <c r="AA975" s="76"/>
      <c r="AB975" s="76"/>
    </row>
    <row r="976" ht="15.75" customHeight="1">
      <c r="G976" s="7"/>
      <c r="Q976" s="76"/>
      <c r="U976" s="76"/>
      <c r="Y976" s="76"/>
      <c r="Z976" s="76"/>
      <c r="AA976" s="76"/>
      <c r="AB976" s="76"/>
    </row>
    <row r="977" ht="15.75" customHeight="1">
      <c r="G977" s="7"/>
      <c r="Q977" s="76"/>
      <c r="U977" s="76"/>
      <c r="Y977" s="76"/>
      <c r="Z977" s="76"/>
      <c r="AA977" s="76"/>
      <c r="AB977" s="76"/>
    </row>
    <row r="978" ht="15.75" customHeight="1">
      <c r="G978" s="7"/>
      <c r="Q978" s="76"/>
      <c r="U978" s="76"/>
      <c r="Y978" s="76"/>
      <c r="Z978" s="76"/>
      <c r="AA978" s="76"/>
      <c r="AB978" s="76"/>
    </row>
    <row r="979" ht="15.75" customHeight="1">
      <c r="G979" s="7"/>
      <c r="Q979" s="76"/>
      <c r="U979" s="76"/>
      <c r="Y979" s="76"/>
      <c r="Z979" s="76"/>
      <c r="AA979" s="76"/>
      <c r="AB979" s="76"/>
    </row>
    <row r="980" ht="15.75" customHeight="1">
      <c r="G980" s="7"/>
      <c r="Q980" s="76"/>
      <c r="U980" s="76"/>
      <c r="Y980" s="76"/>
      <c r="Z980" s="76"/>
      <c r="AA980" s="76"/>
      <c r="AB980" s="76"/>
    </row>
    <row r="981" ht="15.75" customHeight="1">
      <c r="G981" s="7"/>
      <c r="Q981" s="76"/>
      <c r="U981" s="76"/>
      <c r="Y981" s="76"/>
      <c r="Z981" s="76"/>
      <c r="AA981" s="76"/>
      <c r="AB981" s="76"/>
    </row>
    <row r="982" ht="15.75" customHeight="1">
      <c r="G982" s="7"/>
      <c r="Q982" s="76"/>
      <c r="U982" s="76"/>
      <c r="Y982" s="76"/>
      <c r="Z982" s="76"/>
      <c r="AA982" s="76"/>
      <c r="AB982" s="76"/>
    </row>
    <row r="983" ht="15.75" customHeight="1">
      <c r="G983" s="7"/>
      <c r="Q983" s="76"/>
      <c r="U983" s="76"/>
      <c r="Y983" s="76"/>
      <c r="Z983" s="76"/>
      <c r="AA983" s="76"/>
      <c r="AB983" s="76"/>
    </row>
    <row r="984" ht="15.75" customHeight="1">
      <c r="G984" s="7"/>
      <c r="Q984" s="76"/>
      <c r="U984" s="76"/>
      <c r="Y984" s="76"/>
      <c r="Z984" s="76"/>
      <c r="AA984" s="76"/>
      <c r="AB984" s="76"/>
    </row>
    <row r="985" ht="15.75" customHeight="1">
      <c r="G985" s="7"/>
      <c r="Q985" s="76"/>
      <c r="U985" s="76"/>
      <c r="Y985" s="76"/>
      <c r="Z985" s="76"/>
      <c r="AA985" s="76"/>
      <c r="AB985" s="76"/>
    </row>
    <row r="986" ht="15.75" customHeight="1">
      <c r="G986" s="7"/>
      <c r="Q986" s="76"/>
      <c r="U986" s="76"/>
      <c r="Y986" s="76"/>
      <c r="Z986" s="76"/>
      <c r="AA986" s="76"/>
      <c r="AB986" s="76"/>
    </row>
    <row r="987" ht="15.75" customHeight="1">
      <c r="G987" s="7"/>
      <c r="Q987" s="76"/>
      <c r="U987" s="76"/>
      <c r="Y987" s="76"/>
      <c r="Z987" s="76"/>
      <c r="AA987" s="76"/>
      <c r="AB987" s="76"/>
    </row>
    <row r="988" ht="15.75" customHeight="1">
      <c r="G988" s="7"/>
      <c r="Q988" s="76"/>
      <c r="U988" s="76"/>
      <c r="Y988" s="76"/>
      <c r="Z988" s="76"/>
      <c r="AA988" s="76"/>
      <c r="AB988" s="76"/>
    </row>
    <row r="989" ht="15.75" customHeight="1">
      <c r="G989" s="7"/>
      <c r="Q989" s="76"/>
      <c r="U989" s="76"/>
      <c r="Y989" s="76"/>
      <c r="Z989" s="76"/>
      <c r="AA989" s="76"/>
      <c r="AB989" s="76"/>
    </row>
    <row r="990" ht="15.75" customHeight="1">
      <c r="G990" s="7"/>
      <c r="Q990" s="76"/>
      <c r="U990" s="76"/>
      <c r="Y990" s="76"/>
      <c r="Z990" s="76"/>
      <c r="AA990" s="76"/>
      <c r="AB990" s="76"/>
    </row>
    <row r="991" ht="15.75" customHeight="1">
      <c r="G991" s="7"/>
      <c r="Q991" s="76"/>
      <c r="U991" s="76"/>
      <c r="Y991" s="76"/>
      <c r="Z991" s="76"/>
      <c r="AA991" s="76"/>
      <c r="AB991" s="76"/>
    </row>
    <row r="992" ht="15.75" customHeight="1">
      <c r="G992" s="7"/>
      <c r="Q992" s="76"/>
      <c r="U992" s="76"/>
      <c r="Y992" s="76"/>
      <c r="Z992" s="76"/>
      <c r="AA992" s="76"/>
      <c r="AB992" s="76"/>
    </row>
    <row r="993" ht="15.75" customHeight="1">
      <c r="G993" s="7"/>
      <c r="Q993" s="76"/>
      <c r="U993" s="76"/>
      <c r="Y993" s="76"/>
      <c r="Z993" s="76"/>
      <c r="AA993" s="76"/>
      <c r="AB993" s="76"/>
    </row>
    <row r="994" ht="15.75" customHeight="1">
      <c r="G994" s="7"/>
      <c r="Q994" s="76"/>
      <c r="U994" s="76"/>
      <c r="Y994" s="76"/>
      <c r="Z994" s="76"/>
      <c r="AA994" s="76"/>
      <c r="AB994" s="76"/>
    </row>
    <row r="995" ht="15.75" customHeight="1">
      <c r="G995" s="7"/>
      <c r="Q995" s="76"/>
      <c r="U995" s="76"/>
      <c r="Y995" s="76"/>
      <c r="Z995" s="76"/>
      <c r="AA995" s="76"/>
      <c r="AB995" s="76"/>
    </row>
    <row r="996" ht="15.75" customHeight="1">
      <c r="G996" s="7"/>
      <c r="Q996" s="76"/>
      <c r="U996" s="76"/>
      <c r="Y996" s="76"/>
      <c r="Z996" s="76"/>
      <c r="AA996" s="76"/>
      <c r="AB996" s="76"/>
    </row>
    <row r="997" ht="15.75" customHeight="1">
      <c r="G997" s="7"/>
      <c r="Q997" s="76"/>
      <c r="U997" s="76"/>
      <c r="Y997" s="76"/>
      <c r="Z997" s="76"/>
      <c r="AA997" s="76"/>
      <c r="AB997" s="76"/>
    </row>
    <row r="998" ht="15.75" customHeight="1">
      <c r="G998" s="7"/>
      <c r="Q998" s="76"/>
      <c r="U998" s="76"/>
      <c r="Y998" s="76"/>
      <c r="Z998" s="76"/>
      <c r="AA998" s="76"/>
      <c r="AB998" s="76"/>
    </row>
    <row r="999" ht="15.75" customHeight="1">
      <c r="G999" s="7"/>
      <c r="Q999" s="76"/>
      <c r="U999" s="76"/>
      <c r="Y999" s="76"/>
      <c r="Z999" s="76"/>
      <c r="AA999" s="76"/>
      <c r="AB999" s="76"/>
    </row>
    <row r="1000" ht="15.75" customHeight="1">
      <c r="G1000" s="7"/>
      <c r="Q1000" s="76"/>
      <c r="U1000" s="76"/>
      <c r="Y1000" s="76"/>
      <c r="Z1000" s="76"/>
      <c r="AA1000" s="76"/>
      <c r="AB1000" s="76"/>
    </row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17" width="2.43"/>
    <col customWidth="1" min="18" max="18" width="8.71"/>
    <col customWidth="1" min="19" max="19" width="59.57"/>
    <col customWidth="1" min="20" max="20" width="11.57"/>
    <col customWidth="1" min="21" max="21" width="2.43"/>
    <col customWidth="1" min="22" max="22" width="8.71"/>
    <col customWidth="1" min="23" max="23" width="59.57"/>
    <col customWidth="1" min="24" max="24" width="11.57"/>
    <col customWidth="1" min="25" max="28" width="2.43"/>
  </cols>
  <sheetData>
    <row r="1">
      <c r="B1" s="1" t="s">
        <v>63</v>
      </c>
      <c r="C1" s="2"/>
      <c r="D1" s="3"/>
      <c r="F1" s="1" t="s">
        <v>59</v>
      </c>
      <c r="G1" s="2"/>
      <c r="H1" s="3"/>
      <c r="J1" s="54" t="s">
        <v>60</v>
      </c>
      <c r="K1" s="2"/>
      <c r="L1" s="3"/>
      <c r="N1" s="54" t="s">
        <v>61</v>
      </c>
      <c r="O1" s="2"/>
      <c r="P1" s="3"/>
      <c r="Q1" s="76"/>
      <c r="Y1" s="76"/>
      <c r="Z1" s="76"/>
      <c r="AA1" s="76"/>
      <c r="AB1" s="76"/>
    </row>
    <row r="2">
      <c r="B2" s="61" t="s">
        <v>6</v>
      </c>
      <c r="C2" s="62" t="s">
        <v>7</v>
      </c>
      <c r="D2" s="4" t="s">
        <v>8</v>
      </c>
      <c r="F2" s="37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4" t="s">
        <v>6</v>
      </c>
      <c r="O2" s="5" t="s">
        <v>7</v>
      </c>
      <c r="P2" s="4" t="s">
        <v>8</v>
      </c>
      <c r="Q2" s="76"/>
      <c r="Y2" s="76"/>
      <c r="Z2" s="76"/>
      <c r="AA2" s="76"/>
      <c r="AB2" s="76"/>
    </row>
    <row r="3" ht="14.25" customHeight="1">
      <c r="A3" s="89"/>
      <c r="B3" s="8">
        <v>112749.0</v>
      </c>
      <c r="C3" s="9" t="str">
        <f>VLOOKUP(B3,'FML March 2026'!E:F,2,false)</f>
        <v>ACHAR SWEET PICKLE LIME/DEEP  VV</v>
      </c>
      <c r="D3" s="9" t="str">
        <f>VLOOKUP(B3,'Unit of Measure ship March 2026'!A:C,3,false)</f>
        <v>JR500/GR</v>
      </c>
      <c r="F3" s="8">
        <v>110102.0</v>
      </c>
      <c r="G3" s="90" t="str">
        <f>VLOOKUP(F3,'FML March 2026'!E:F,2,false)</f>
        <v>AGAVE RAW AMBER MADHAVA</v>
      </c>
      <c r="H3" s="9" t="str">
        <f>VLOOKUP(F3,'Unit of Measure ship March 2026'!A:C,3,false)</f>
        <v>LBS</v>
      </c>
      <c r="J3" s="17">
        <v>14383.0</v>
      </c>
      <c r="K3" s="9" t="str">
        <f>VLOOKUP(J3,'FML March 2026'!E:F,2,false)</f>
        <v>BEEF CHUCK SHORT RIB USDA CHOICE (USA) NAMP-130</v>
      </c>
      <c r="L3" s="9" t="str">
        <f>VLOOKUP(J3,'Unit of Measure ship March 2026'!A:C,3,false)</f>
        <v>LBS</v>
      </c>
      <c r="N3" s="17">
        <v>11455.0</v>
      </c>
      <c r="O3" s="9" t="str">
        <f>VLOOKUP(N3,'FML March 2026'!E:F,2,false)</f>
        <v>CRAB MEAT LUMP, PASTEURIZED CANNED, CS12/1 TRANS GLOBAL (INDIA)</v>
      </c>
      <c r="P3" s="9" t="str">
        <f>VLOOKUP(N3,'Unit of Measure ship March 2026'!A:C,3,false)</f>
        <v>LBS</v>
      </c>
      <c r="Q3" s="76"/>
      <c r="R3" s="49"/>
      <c r="S3" s="9"/>
      <c r="T3" s="9"/>
      <c r="U3" s="76"/>
      <c r="V3" s="49"/>
      <c r="W3" s="9"/>
      <c r="X3" s="9"/>
      <c r="Y3" s="76"/>
      <c r="Z3" s="76"/>
      <c r="AA3" s="76"/>
      <c r="AB3" s="76"/>
    </row>
    <row r="4" ht="14.25" customHeight="1">
      <c r="A4" s="89"/>
      <c r="B4" s="91">
        <v>51236.0</v>
      </c>
      <c r="C4" s="9" t="str">
        <f>VLOOKUP(B4,'FML March 2026'!E:F,2,false)</f>
        <v>ACID CITRIC  1 KG L. FRANCOIS CUISINE TECH</v>
      </c>
      <c r="D4" s="9" t="str">
        <f>VLOOKUP(B4,'Unit of Measure ship March 2026'!A:C,3,false)</f>
        <v>LBS</v>
      </c>
      <c r="F4" s="8">
        <v>53697.0</v>
      </c>
      <c r="G4" s="90" t="str">
        <f>VLOOKUP(F4,'FML March 2026'!E:F,2,false)</f>
        <v>ARTICHOKE, JERUSALEM, FRESH</v>
      </c>
      <c r="H4" s="9" t="str">
        <f>VLOOKUP(F4,'Unit of Measure ship March 2026'!A:C,3,false)</f>
        <v>LBS</v>
      </c>
      <c r="J4" s="8">
        <v>34727.0</v>
      </c>
      <c r="K4" s="9" t="str">
        <f>VLOOKUP(J4,'FML March 2026'!E:F,2,false)</f>
        <v>BEEF EXPORT RIBS, CAB CHOICE 18/DOWN 4/PC, 30D AGE,BLST/FRZN (USA) NAMP-109E</v>
      </c>
      <c r="L4" s="9" t="str">
        <f>VLOOKUP(J4,'Unit of Measure ship March 2026'!A:C,3,false)</f>
        <v>LBS</v>
      </c>
      <c r="N4" s="17">
        <v>14670.0</v>
      </c>
      <c r="O4" s="9" t="str">
        <f>VLOOKUP(N4,'FML March 2026'!E:F,2,false)</f>
        <v>RED SNAPPER FILLET SKIN-ON 1-3 LB FROZEN (IP IS FTZ) (VIETNAM)</v>
      </c>
      <c r="P4" s="9" t="str">
        <f>VLOOKUP(N4,'Unit of Measure ship March 2026'!A:C,3,false)</f>
        <v>LBS</v>
      </c>
      <c r="Q4" s="76"/>
      <c r="R4" s="49"/>
      <c r="S4" s="9"/>
      <c r="T4" s="9"/>
      <c r="U4" s="76"/>
      <c r="V4" s="49"/>
      <c r="W4" s="9"/>
      <c r="X4" s="9"/>
      <c r="Y4" s="76"/>
      <c r="Z4" s="76"/>
      <c r="AA4" s="76"/>
      <c r="AB4" s="76"/>
    </row>
    <row r="5" ht="14.25" customHeight="1">
      <c r="A5" s="89"/>
      <c r="B5" s="91">
        <v>40445.0</v>
      </c>
      <c r="C5" s="9" t="str">
        <f>VLOOKUP(B5,'FML March 2026'!E:F,2,false)</f>
        <v>ALMOND BLANCHED FLOUR (USA )</v>
      </c>
      <c r="D5" s="9" t="str">
        <f>VLOOKUP(B5,'Unit of Measure ship March 2026'!A:C,3,false)</f>
        <v>LBS</v>
      </c>
      <c r="F5" s="8">
        <v>15378.0</v>
      </c>
      <c r="G5" s="90" t="str">
        <f>VLOOKUP(F5,'FML March 2026'!E:F,2,false)</f>
        <v>AVOCADOS HASS FRESH CA-48PC FL-12/14PC 20#</v>
      </c>
      <c r="H5" s="9" t="str">
        <f>VLOOKUP(F5,'Unit of Measure ship March 2026'!A:C,3,false)</f>
        <v>LBS</v>
      </c>
      <c r="J5" s="17">
        <v>148887.0</v>
      </c>
      <c r="K5" s="9" t="str">
        <f>VLOOKUP(J5,'FML March 2026'!E:F,2,false)</f>
        <v>BEEF TENDERLOIN PEELED STRAP-ON  100 DAY GRAIN FED JBS (AUSTRALIA) NAMP-189A</v>
      </c>
      <c r="L5" s="9" t="str">
        <f>VLOOKUP(J5,'Unit of Measure ship March 2026'!A:C,3,false)</f>
        <v>LBS</v>
      </c>
      <c r="N5" s="8">
        <v>42269.0</v>
      </c>
      <c r="O5" s="9" t="str">
        <f>VLOOKUP(N5,'FML March 2026'!E:F,2,false)</f>
        <v>SHRIMP 16/20 RAW P&amp;D TAIL-ON CS10/LB SURAM ROYAL WHITE (VIETNAM)</v>
      </c>
      <c r="P5" s="9" t="str">
        <f>VLOOKUP(N5,'Unit of Measure ship March 2026'!A:C,3,false)</f>
        <v>LBS</v>
      </c>
      <c r="Q5" s="76"/>
      <c r="R5" s="49"/>
      <c r="S5" s="9"/>
      <c r="T5" s="9"/>
      <c r="U5" s="76"/>
      <c r="V5" s="49"/>
      <c r="W5" s="9"/>
      <c r="X5" s="9"/>
      <c r="Y5" s="76"/>
      <c r="Z5" s="76"/>
      <c r="AA5" s="76"/>
      <c r="AB5" s="76"/>
    </row>
    <row r="6" ht="14.25" customHeight="1">
      <c r="A6" s="89"/>
      <c r="B6" s="8">
        <v>15798.0</v>
      </c>
      <c r="C6" s="9" t="str">
        <f>VLOOKUP(B6,'FML March 2026'!E:F,2,false)</f>
        <v>ALMONDS BLANCHED SLICED</v>
      </c>
      <c r="D6" s="9" t="str">
        <f>VLOOKUP(B6,'Unit of Measure ship March 2026'!A:C,3,false)</f>
        <v>LBS</v>
      </c>
      <c r="F6" s="8">
        <v>43801.0</v>
      </c>
      <c r="G6" s="90" t="str">
        <f>VLOOKUP(F6,'FML March 2026'!E:F,2,false)</f>
        <v>BRUSSEL SPROUTS, MEDIUM, GRADE A, FRZN</v>
      </c>
      <c r="H6" s="9" t="str">
        <f>VLOOKUP(F6,'Unit of Measure ship March 2026'!A:C,3,false)</f>
        <v>LBS</v>
      </c>
      <c r="J6" s="17">
        <v>11695.0</v>
      </c>
      <c r="K6" s="9" t="str">
        <f>VLOOKUP(J6,'FML March 2026'!E:F,2,false)</f>
        <v>CHICKEN LEG/THIGH BONELESS &amp; SKINLESS FROZEN</v>
      </c>
      <c r="L6" s="9" t="str">
        <f>VLOOKUP(J6,'Unit of Measure ship March 2026'!A:C,3,false)</f>
        <v>LBS</v>
      </c>
      <c r="N6" s="8">
        <v>20913.0</v>
      </c>
      <c r="O6" s="9" t="str">
        <f>VLOOKUP(N6,'FML March 2026'!E:F,2,false)</f>
        <v>YELLOWTAIL (HAMACHI) LOIN SEIKI #1 SUSHI GRADE</v>
      </c>
      <c r="P6" s="9" t="str">
        <f>VLOOKUP(N6,'Unit of Measure ship March 2026'!A:C,3,false)</f>
        <v>LBS</v>
      </c>
      <c r="Q6" s="76"/>
      <c r="R6" s="49"/>
      <c r="S6" s="9"/>
      <c r="T6" s="9"/>
      <c r="U6" s="76"/>
      <c r="V6" s="49"/>
      <c r="W6" s="9"/>
      <c r="X6" s="9"/>
      <c r="Y6" s="76"/>
      <c r="Z6" s="76"/>
      <c r="AA6" s="76"/>
      <c r="AB6" s="76"/>
    </row>
    <row r="7" ht="14.25" customHeight="1">
      <c r="A7" s="89"/>
      <c r="B7" s="8">
        <v>110031.0</v>
      </c>
      <c r="C7" s="9" t="str">
        <f>VLOOKUP(B7,'FML March 2026'!E:F,2,false)</f>
        <v>ALMONDS MARCONA CS/11LBS SAVOR IMPORTS</v>
      </c>
      <c r="D7" s="9" t="str">
        <f>VLOOKUP(B7,'Unit of Measure ship March 2026'!A:C,3,false)</f>
        <v>LBS</v>
      </c>
      <c r="F7" s="16">
        <v>15454.0</v>
      </c>
      <c r="G7" s="90" t="str">
        <f>VLOOKUP(F7,'FML March 2026'!E:F,2,false)</f>
        <v>CABBAGE GREEN COMM MED/LG TRIMMED 50#</v>
      </c>
      <c r="H7" s="9" t="str">
        <f>VLOOKUP(F7,'Unit of Measure ship March 2026'!A:C,3,false)</f>
        <v>LBS</v>
      </c>
      <c r="J7" s="17">
        <v>14576.0</v>
      </c>
      <c r="K7" s="9" t="str">
        <f>VLOOKUP(J7,'FML March 2026'!E:F,2,false)</f>
        <v>CHICKEN, FRYER, WOG, IND WRAPPED, NON-INJECTED, 2.50-3.25 LB EA, FZN, 12/1 EA</v>
      </c>
      <c r="L7" s="9" t="str">
        <f>VLOOKUP(J7,'Unit of Measure ship March 2026'!A:C,3,false)</f>
        <v>LBS</v>
      </c>
      <c r="Q7" s="76"/>
      <c r="R7" s="49"/>
      <c r="S7" s="9"/>
      <c r="T7" s="9"/>
      <c r="U7" s="76"/>
      <c r="V7" s="49"/>
      <c r="W7" s="9"/>
      <c r="X7" s="9"/>
      <c r="Y7" s="76"/>
      <c r="Z7" s="76"/>
      <c r="AA7" s="76"/>
      <c r="AB7" s="76"/>
    </row>
    <row r="8" ht="14.25" customHeight="1">
      <c r="A8" s="89"/>
      <c r="B8" s="8">
        <v>15799.0</v>
      </c>
      <c r="C8" s="9" t="str">
        <f>VLOOKUP(B8,'FML March 2026'!E:F,2,false)</f>
        <v>ALMONDS SHELLED WHOLE</v>
      </c>
      <c r="D8" s="9" t="str">
        <f>VLOOKUP(B8,'Unit of Measure ship March 2026'!A:C,3,false)</f>
        <v>LBS</v>
      </c>
      <c r="F8" s="16">
        <v>15458.0</v>
      </c>
      <c r="G8" s="90" t="str">
        <f>VLOOKUP(F8,'FML March 2026'!E:F,2,false)</f>
        <v>CARROTS CLIP TOP 50#</v>
      </c>
      <c r="H8" s="9" t="str">
        <f>VLOOKUP(F8,'Unit of Measure ship March 2026'!A:C,3,false)</f>
        <v>LBS</v>
      </c>
      <c r="J8" s="17">
        <v>10051.0</v>
      </c>
      <c r="K8" s="9" t="str">
        <f>VLOOKUP(J8,'FML March 2026'!E:F,2,false)</f>
        <v>LAMB HIND SHANK  FROZEN 2/PK AUSTRALIA</v>
      </c>
      <c r="L8" s="9" t="str">
        <f>VLOOKUP(J8,'Unit of Measure ship March 2026'!A:C,3,false)</f>
        <v>LBS</v>
      </c>
      <c r="Q8" s="76"/>
      <c r="R8" s="49"/>
      <c r="S8" s="9"/>
      <c r="T8" s="9"/>
      <c r="U8" s="76"/>
      <c r="V8" s="49"/>
      <c r="W8" s="9"/>
      <c r="X8" s="9"/>
      <c r="Y8" s="76"/>
      <c r="Z8" s="76"/>
      <c r="AA8" s="76"/>
      <c r="AB8" s="76"/>
    </row>
    <row r="9" ht="14.25" customHeight="1">
      <c r="A9" s="89"/>
      <c r="B9" s="8">
        <v>40136.0</v>
      </c>
      <c r="C9" s="9" t="str">
        <f>VLOOKUP(B9,'FML March 2026'!E:F,2,false)</f>
        <v>ALMONDS SLIVERED BLANCHED 5 LBS</v>
      </c>
      <c r="D9" s="9" t="str">
        <f>VLOOKUP(B9,'Unit of Measure ship March 2026'!A:C,3,false)</f>
        <v>LBS</v>
      </c>
      <c r="F9" s="8">
        <v>110064.0</v>
      </c>
      <c r="G9" s="90" t="str">
        <f>VLOOKUP(F9,'FML March 2026'!E:F,2,false)</f>
        <v>CARROTS RAINBOW FRESH</v>
      </c>
      <c r="H9" s="9" t="str">
        <f>VLOOKUP(F9,'Unit of Measure ship March 2026'!A:C,3,false)</f>
        <v>LBS</v>
      </c>
      <c r="O9" s="9"/>
      <c r="P9" s="9"/>
      <c r="Q9" s="76"/>
      <c r="R9" s="49"/>
      <c r="S9" s="9"/>
      <c r="T9" s="9"/>
      <c r="U9" s="76"/>
      <c r="V9" s="49"/>
      <c r="W9" s="9"/>
      <c r="X9" s="9"/>
      <c r="Y9" s="76"/>
      <c r="Z9" s="76"/>
      <c r="AA9" s="76"/>
      <c r="AB9" s="76"/>
    </row>
    <row r="10" ht="14.25" customHeight="1">
      <c r="A10" s="89"/>
      <c r="B10" s="17">
        <v>14978.0</v>
      </c>
      <c r="C10" s="9" t="str">
        <f>VLOOKUP(B10,'FML March 2026'!E:F,2,false)</f>
        <v>AMERICAN CHEESE, YELLOW, SLICED, STACK PACK</v>
      </c>
      <c r="D10" s="9" t="str">
        <f>VLOOKUP(B10,'Unit of Measure ship March 2026'!A:C,3,false)</f>
        <v>LBS</v>
      </c>
      <c r="F10" s="8">
        <v>15459.0</v>
      </c>
      <c r="G10" s="90" t="str">
        <f>VLOOKUP(F10,'FML March 2026'!E:F,2,false)</f>
        <v>CAULIFLOWER #1 CAL. 12 CT 25#</v>
      </c>
      <c r="H10" s="9" t="str">
        <f>VLOOKUP(F10,'Unit of Measure ship March 2026'!A:C,3,false)</f>
        <v>LBS</v>
      </c>
      <c r="J10" s="17"/>
      <c r="K10" s="9"/>
      <c r="L10" s="9"/>
      <c r="O10" s="9"/>
      <c r="P10" s="9"/>
      <c r="Q10" s="76"/>
      <c r="R10" s="49"/>
      <c r="S10" s="9"/>
      <c r="T10" s="9"/>
      <c r="U10" s="76"/>
      <c r="V10" s="49"/>
      <c r="W10" s="9"/>
      <c r="X10" s="9"/>
      <c r="Y10" s="76"/>
      <c r="Z10" s="76"/>
      <c r="AA10" s="76"/>
      <c r="AB10" s="76"/>
    </row>
    <row r="11" ht="14.25" customHeight="1">
      <c r="A11" s="89"/>
      <c r="B11" s="8">
        <v>16304.0</v>
      </c>
      <c r="C11" s="9" t="str">
        <f>VLOOKUP(B11,'FML March 2026'!E:F,2,false)</f>
        <v>ANISE STAR BADIA</v>
      </c>
      <c r="D11" s="9" t="str">
        <f>VLOOKUP(B11,'Unit of Measure ship March 2026'!A:C,3,false)</f>
        <v>UNIT/8OZ</v>
      </c>
      <c r="F11" s="18">
        <v>110917.0</v>
      </c>
      <c r="G11" s="90" t="str">
        <f>VLOOKUP(F11,'FML March 2026'!E:F,2,false)</f>
        <v>CAULIFLOWER ORANGE 12CT (28LB)</v>
      </c>
      <c r="H11" s="9" t="str">
        <f>VLOOKUP(F11,'Unit of Measure ship March 2026'!A:C,3,false)</f>
        <v>LBS</v>
      </c>
      <c r="J11" s="17"/>
      <c r="K11" s="9"/>
      <c r="L11" s="9"/>
      <c r="N11" s="49"/>
      <c r="O11" s="9"/>
      <c r="P11" s="9"/>
      <c r="Q11" s="76"/>
      <c r="R11" s="49"/>
      <c r="S11" s="9"/>
      <c r="T11" s="9"/>
      <c r="U11" s="76"/>
      <c r="V11" s="49"/>
      <c r="W11" s="9"/>
      <c r="X11" s="9"/>
      <c r="Y11" s="76"/>
      <c r="Z11" s="76"/>
      <c r="AA11" s="76"/>
      <c r="AB11" s="76"/>
    </row>
    <row r="12" ht="14.25" customHeight="1">
      <c r="A12" s="89"/>
      <c r="B12" s="8">
        <v>109664.0</v>
      </c>
      <c r="C12" s="9" t="str">
        <f>VLOOKUP(B12,'FML March 2026'!E:F,2,false)</f>
        <v>APPLE CIDER VINEGAR SPARROW LANE V</v>
      </c>
      <c r="D12" s="9" t="str">
        <f>VLOOKUP(B12,'Unit of Measure ship March 2026'!A:C,3,false)</f>
        <v>GAL</v>
      </c>
      <c r="F12" s="8">
        <v>110078.0</v>
      </c>
      <c r="G12" s="90" t="str">
        <f>VLOOKUP(F12,'FML March 2026'!E:F,2,false)</f>
        <v>CAULIFLOWER PURPLR FRESH</v>
      </c>
      <c r="H12" s="9" t="str">
        <f>VLOOKUP(F12,'Unit of Measure ship March 2026'!A:C,3,false)</f>
        <v>EA</v>
      </c>
      <c r="J12" s="17"/>
      <c r="K12" s="9"/>
      <c r="L12" s="9"/>
      <c r="N12" s="49"/>
      <c r="O12" s="9"/>
      <c r="P12" s="9"/>
      <c r="Q12" s="76"/>
      <c r="R12" s="49"/>
      <c r="S12" s="9"/>
      <c r="T12" s="9"/>
      <c r="U12" s="76"/>
      <c r="V12" s="49"/>
      <c r="W12" s="9"/>
      <c r="X12" s="9"/>
      <c r="Y12" s="76"/>
      <c r="Z12" s="76"/>
      <c r="AA12" s="76"/>
      <c r="AB12" s="76"/>
    </row>
    <row r="13" ht="14.25" customHeight="1">
      <c r="A13" s="89"/>
      <c r="B13" s="8">
        <v>108988.0</v>
      </c>
      <c r="C13" s="9" t="str">
        <f>VLOOKUP(B13,'FML March 2026'!E:F,2,false)</f>
        <v>ASAFOETIDA // HING</v>
      </c>
      <c r="D13" s="35" t="s">
        <v>42</v>
      </c>
      <c r="F13" s="8">
        <v>15460.0</v>
      </c>
      <c r="G13" s="90" t="str">
        <f>VLOOKUP(F13,'FML March 2026'!E:F,2,false)</f>
        <v>CELERY #1 CAL. 36CT 60#</v>
      </c>
      <c r="H13" s="9" t="str">
        <f>VLOOKUP(F13,'Unit of Measure ship March 2026'!A:C,3,false)</f>
        <v>LBS</v>
      </c>
      <c r="J13" s="17"/>
      <c r="K13" s="9"/>
      <c r="L13" s="9"/>
      <c r="N13" s="49"/>
      <c r="O13" s="9"/>
      <c r="P13" s="9"/>
      <c r="Q13" s="76"/>
      <c r="R13" s="49"/>
      <c r="S13" s="9"/>
      <c r="T13" s="9"/>
      <c r="U13" s="76"/>
      <c r="V13" s="49"/>
      <c r="W13" s="9"/>
      <c r="X13" s="9"/>
      <c r="Y13" s="76"/>
      <c r="Z13" s="76"/>
      <c r="AA13" s="76"/>
      <c r="AB13" s="76"/>
    </row>
    <row r="14" ht="14.25" customHeight="1">
      <c r="A14" s="89"/>
      <c r="B14" s="8">
        <v>15651.0</v>
      </c>
      <c r="C14" s="9" t="str">
        <f>VLOOKUP(B14,'FML March 2026'!E:F,2,false)</f>
        <v>BAKING POWDER 50 LB</v>
      </c>
      <c r="D14" s="9" t="str">
        <f>VLOOKUP(B14,'Unit of Measure ship March 2026'!A:C,3,false)</f>
        <v>LBS</v>
      </c>
      <c r="F14" s="8">
        <v>109760.0</v>
      </c>
      <c r="G14" s="90" t="str">
        <f>VLOOKUP(F14,'FML March 2026'!E:F,2,false)</f>
        <v>CELERY MICRO HARPKE FAMILY FARM - PK/5 OZ PACKED IN 60 OZ CLAM SHELL</v>
      </c>
      <c r="H14" s="9" t="str">
        <f>VLOOKUP(F14,'Unit of Measure ship March 2026'!A:C,3,false)</f>
        <v>PK/5OZ</v>
      </c>
      <c r="J14" s="8"/>
      <c r="K14" s="9"/>
      <c r="L14" s="9"/>
      <c r="N14" s="49"/>
      <c r="O14" s="9"/>
      <c r="P14" s="9"/>
      <c r="Q14" s="76"/>
      <c r="R14" s="49"/>
      <c r="S14" s="9"/>
      <c r="T14" s="9"/>
      <c r="U14" s="76"/>
      <c r="V14" s="49"/>
      <c r="W14" s="9"/>
      <c r="X14" s="9"/>
      <c r="Y14" s="76"/>
      <c r="Z14" s="76"/>
      <c r="AA14" s="76"/>
      <c r="AB14" s="76"/>
    </row>
    <row r="15" ht="14.25" customHeight="1">
      <c r="A15" s="89"/>
      <c r="B15" s="8">
        <v>15651.0</v>
      </c>
      <c r="C15" s="9" t="str">
        <f>VLOOKUP(B15,'FML March 2026'!E:F,2,false)</f>
        <v>BAKING POWDER 50 LB</v>
      </c>
      <c r="D15" s="9" t="str">
        <f>VLOOKUP(B15,'Unit of Measure ship March 2026'!A:C,3,false)</f>
        <v>LBS</v>
      </c>
      <c r="F15" s="8">
        <v>35189.0</v>
      </c>
      <c r="G15" s="90" t="str">
        <f>VLOOKUP(F15,'FML March 2026'!E:F,2,false)</f>
        <v>CHILI PEPPERS GREEN FRESH</v>
      </c>
      <c r="H15" s="9" t="str">
        <f>VLOOKUP(F15,'Unit of Measure ship March 2026'!A:C,3,false)</f>
        <v>LBS</v>
      </c>
      <c r="K15" s="9"/>
      <c r="L15" s="9"/>
      <c r="N15" s="49"/>
      <c r="O15" s="9"/>
      <c r="P15" s="9"/>
      <c r="Q15" s="76"/>
      <c r="R15" s="49"/>
      <c r="S15" s="9"/>
      <c r="T15" s="9"/>
      <c r="U15" s="76"/>
      <c r="V15" s="49"/>
      <c r="W15" s="9"/>
      <c r="X15" s="9"/>
      <c r="Y15" s="76"/>
      <c r="Z15" s="76"/>
      <c r="AA15" s="76"/>
      <c r="AB15" s="76"/>
    </row>
    <row r="16" ht="14.25" customHeight="1">
      <c r="A16" s="89"/>
      <c r="B16" s="8">
        <v>15652.0</v>
      </c>
      <c r="C16" s="9" t="str">
        <f>VLOOKUP(B16,'FML March 2026'!E:F,2,false)</f>
        <v>BAKING SODA</v>
      </c>
      <c r="D16" s="9" t="str">
        <f>VLOOKUP(B16,'Unit of Measure ship March 2026'!A:C,3,false)</f>
        <v>LBS</v>
      </c>
      <c r="F16" s="92">
        <v>35189.0</v>
      </c>
      <c r="G16" s="90" t="str">
        <f>VLOOKUP(F16,'FML March 2026'!E:F,2,false)</f>
        <v>CHILI PEPPERS GREEN FRESH</v>
      </c>
      <c r="H16" s="9" t="str">
        <f>VLOOKUP(F16,'Unit of Measure ship March 2026'!A:C,3,false)</f>
        <v>LBS</v>
      </c>
      <c r="K16" s="9"/>
      <c r="L16" s="9"/>
      <c r="N16" s="49"/>
      <c r="O16" s="9"/>
      <c r="P16" s="9"/>
      <c r="Q16" s="76"/>
      <c r="R16" s="49"/>
      <c r="S16" s="9"/>
      <c r="T16" s="9"/>
      <c r="U16" s="76"/>
      <c r="V16" s="49"/>
      <c r="W16" s="9"/>
      <c r="X16" s="9"/>
      <c r="Y16" s="76"/>
      <c r="Z16" s="76"/>
      <c r="AA16" s="76"/>
      <c r="AB16" s="76"/>
    </row>
    <row r="17" ht="14.25" customHeight="1">
      <c r="A17" s="89"/>
      <c r="B17" s="18">
        <v>26627.0</v>
      </c>
      <c r="C17" s="9" t="str">
        <f>VLOOKUP(B17,'FML March 2026'!E:F,2,false)</f>
        <v>BEANS CHICK PEAS DRY BULK</v>
      </c>
      <c r="D17" s="9" t="str">
        <f>VLOOKUP(B17,'Unit of Measure ship March 2026'!A:C,3,false)</f>
        <v>LBS</v>
      </c>
      <c r="F17" s="8">
        <v>15431.0</v>
      </c>
      <c r="G17" s="90" t="str">
        <f>VLOOKUP(F17,'FML March 2026'!E:F,2,false)</f>
        <v>CILANTRO (12 BUNCH) 1 LB/CS DOMESTIC</v>
      </c>
      <c r="H17" s="9" t="str">
        <f>VLOOKUP(F17,'Unit of Measure ship March 2026'!A:C,3,false)</f>
        <v>LBS</v>
      </c>
      <c r="K17" s="9"/>
      <c r="L17" s="9"/>
      <c r="N17" s="49"/>
      <c r="O17" s="9"/>
      <c r="P17" s="9"/>
      <c r="Q17" s="76"/>
      <c r="R17" s="49"/>
      <c r="S17" s="9"/>
      <c r="T17" s="9"/>
      <c r="U17" s="76"/>
      <c r="V17" s="49"/>
      <c r="W17" s="9"/>
      <c r="X17" s="9"/>
      <c r="Y17" s="76"/>
      <c r="Z17" s="76"/>
      <c r="AA17" s="76"/>
      <c r="AB17" s="76"/>
    </row>
    <row r="18" ht="14.25" customHeight="1">
      <c r="A18" s="89"/>
      <c r="B18" s="8">
        <v>141634.0</v>
      </c>
      <c r="C18" s="9" t="str">
        <f>VLOOKUP(B18,'FML March 2026'!E:F,2,false)</f>
        <v>BEANS, GREEN, FINE, GRADE A, IQF, FZN, 1/10KG</v>
      </c>
      <c r="D18" s="9" t="str">
        <f>VLOOKUP(B18,'Unit of Measure ship March 2026'!A:C,3,false)</f>
        <v>LBS</v>
      </c>
      <c r="F18" s="8">
        <v>111175.0</v>
      </c>
      <c r="G18" s="90" t="str">
        <f>VLOOKUP(F18,'FML March 2026'!E:F,2,false)</f>
        <v>CILANTRO MICRO FRESH HARPKE FAMILY FARM PK/5 OZ PACKED IN 60 OZ SIZE CLAM SHELL</v>
      </c>
      <c r="H18" s="9" t="str">
        <f>VLOOKUP(F18,'Unit of Measure ship March 2026'!A:C,3,false)</f>
        <v>EA</v>
      </c>
      <c r="K18" s="9"/>
      <c r="L18" s="9"/>
      <c r="N18" s="49"/>
      <c r="O18" s="9"/>
      <c r="P18" s="9"/>
      <c r="Q18" s="76"/>
      <c r="R18" s="49"/>
      <c r="S18" s="9"/>
      <c r="T18" s="9"/>
      <c r="U18" s="76"/>
      <c r="V18" s="49"/>
      <c r="W18" s="9"/>
      <c r="X18" s="9"/>
      <c r="Y18" s="76"/>
      <c r="Z18" s="76"/>
      <c r="AA18" s="76"/>
      <c r="AB18" s="76"/>
    </row>
    <row r="19" ht="14.25" customHeight="1">
      <c r="A19" s="89"/>
      <c r="B19" s="8">
        <v>142489.0</v>
      </c>
      <c r="C19" s="9" t="str">
        <f>VLOOKUP(B19,'FML March 2026'!E:F,2,false)</f>
        <v>BHEL SNACK MIX</v>
      </c>
      <c r="D19" s="9" t="str">
        <f>VLOOKUP(B19,'Unit of Measure ship March 2026'!A:C,3,false)</f>
        <v>LBS</v>
      </c>
      <c r="F19" s="8">
        <v>109754.0</v>
      </c>
      <c r="G19" s="90" t="str">
        <f>VLOOKUP(F19,'FML March 2026'!E:F,2,false)</f>
        <v>CUCUMBER ENGLISH SEEDLESS, LARGE</v>
      </c>
      <c r="H19" s="9" t="str">
        <f>VLOOKUP(F19,'Unit of Measure ship March 2026'!A:C,3,false)</f>
        <v>LBS</v>
      </c>
      <c r="J19" s="49"/>
      <c r="K19" s="9"/>
      <c r="L19" s="9"/>
      <c r="N19" s="57"/>
      <c r="O19" s="9"/>
      <c r="P19" s="9"/>
      <c r="Q19" s="76"/>
      <c r="R19" s="57"/>
      <c r="S19" s="9"/>
      <c r="T19" s="9"/>
      <c r="U19" s="76"/>
      <c r="V19" s="57"/>
      <c r="W19" s="9"/>
      <c r="X19" s="9"/>
      <c r="Y19" s="76"/>
      <c r="Z19" s="76"/>
      <c r="AA19" s="76"/>
      <c r="AB19" s="76"/>
    </row>
    <row r="20" ht="14.25" customHeight="1">
      <c r="A20" s="89"/>
      <c r="B20" s="91">
        <v>142518.0</v>
      </c>
      <c r="C20" s="9" t="str">
        <f>VLOOKUP(B20,'FML March 2026'!E:F,2,false)</f>
        <v>BIRYANI MASALA INDIAN SPICE SHAN</v>
      </c>
      <c r="D20" s="9" t="str">
        <f>VLOOKUP(B20,'Unit of Measure ship March 2026'!A:C,3,false)</f>
        <v>LBS</v>
      </c>
      <c r="F20" s="8">
        <v>30024.0</v>
      </c>
      <c r="G20" s="90" t="str">
        <f>VLOOKUP(F20,'FML March 2026'!E:F,2,false)</f>
        <v>CURRY LEAVES</v>
      </c>
      <c r="H20" s="9" t="str">
        <f>VLOOKUP(F20,'Unit of Measure ship March 2026'!A:C,3,false)</f>
        <v>KG</v>
      </c>
      <c r="J20" s="49"/>
      <c r="K20" s="9"/>
      <c r="L20" s="9"/>
      <c r="N20" s="49"/>
      <c r="O20" s="9"/>
      <c r="P20" s="9"/>
      <c r="Q20" s="76"/>
      <c r="R20" s="49"/>
      <c r="S20" s="9"/>
      <c r="T20" s="9"/>
      <c r="U20" s="76"/>
      <c r="V20" s="49"/>
      <c r="W20" s="9"/>
      <c r="X20" s="9"/>
      <c r="Y20" s="76"/>
      <c r="Z20" s="76"/>
      <c r="AA20" s="76"/>
      <c r="AB20" s="76"/>
    </row>
    <row r="21" ht="14.25" customHeight="1">
      <c r="A21" s="89"/>
      <c r="B21" s="92">
        <v>20775.0</v>
      </c>
      <c r="C21" s="9" t="str">
        <f>VLOOKUP(B21,'FML March 2026'!E:F,2,false)</f>
        <v>BLACK SALT POWDER (KALA NAMAK)-VV ONLY</v>
      </c>
      <c r="D21" s="9" t="str">
        <f>VLOOKUP(B21,'Unit of Measure ship March 2026'!A:C,3,false)</f>
        <v>LBS</v>
      </c>
      <c r="F21" s="8">
        <v>15464.0</v>
      </c>
      <c r="G21" s="90" t="str">
        <f>VLOOKUP(F21,'FML March 2026'!E:F,2,false)</f>
        <v>EGGPLANT MEDIUM, 225 - 300 MM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  <c r="Q21" s="76"/>
      <c r="R21" s="49"/>
      <c r="S21" s="9"/>
      <c r="T21" s="9"/>
      <c r="U21" s="76"/>
      <c r="V21" s="49"/>
      <c r="W21" s="9"/>
      <c r="X21" s="9"/>
      <c r="Y21" s="76"/>
      <c r="Z21" s="76"/>
      <c r="AA21" s="76"/>
      <c r="AB21" s="76"/>
    </row>
    <row r="22" ht="14.25" customHeight="1">
      <c r="A22" s="89"/>
      <c r="B22" s="8">
        <v>20884.0</v>
      </c>
      <c r="C22" s="9" t="str">
        <f>VLOOKUP(B22,'FML March 2026'!E:F,2,false)</f>
        <v>BREAD CRUMBS PANKO 25 LB KIKKOMAN #05010 (USA)</v>
      </c>
      <c r="D22" s="9" t="str">
        <f>VLOOKUP(B22,'Unit of Measure ship March 2026'!A:C,3,false)</f>
        <v>LBS</v>
      </c>
      <c r="F22" s="8">
        <v>15508.0</v>
      </c>
      <c r="G22" s="90" t="str">
        <f>VLOOKUP(F22,'FML March 2026'!E:F,2,false)</f>
        <v>FINGERLING POTATOES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  <c r="Q22" s="76"/>
      <c r="R22" s="49"/>
      <c r="S22" s="9"/>
      <c r="T22" s="9"/>
      <c r="U22" s="76"/>
      <c r="V22" s="49"/>
      <c r="W22" s="9"/>
      <c r="X22" s="9"/>
      <c r="Y22" s="76"/>
      <c r="Z22" s="76"/>
      <c r="AA22" s="76"/>
      <c r="AB22" s="76"/>
    </row>
    <row r="23" ht="14.25" customHeight="1">
      <c r="A23" s="89"/>
      <c r="B23" s="8">
        <v>109712.0</v>
      </c>
      <c r="C23" s="9" t="str">
        <f>VLOOKUP(B23,'FML March 2026'!E:F,2,false)</f>
        <v>BREAD SOURDOUGH COUNTRY WHEAT BRD40B19  1KG LOAF  ZAK THE BAKER</v>
      </c>
      <c r="D23" s="9" t="str">
        <f>VLOOKUP(B23,'Unit of Measure ship March 2026'!A:C,3,false)</f>
        <v>LV</v>
      </c>
      <c r="F23" s="8">
        <v>15466.0</v>
      </c>
      <c r="G23" s="90" t="str">
        <f>VLOOKUP(F23,'FML March 2026'!E:F,2,false)</f>
        <v>GARLIC CRATE JUMBO 30# 8 CT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  <c r="Q23" s="76"/>
      <c r="R23" s="49"/>
      <c r="S23" s="9"/>
      <c r="T23" s="9"/>
      <c r="U23" s="76"/>
      <c r="V23" s="49"/>
      <c r="W23" s="9"/>
      <c r="X23" s="9"/>
      <c r="Y23" s="76"/>
      <c r="Z23" s="76"/>
      <c r="AA23" s="76"/>
      <c r="AB23" s="76"/>
    </row>
    <row r="24" ht="14.25" customHeight="1">
      <c r="A24" s="89"/>
      <c r="B24" s="91">
        <v>109933.0</v>
      </c>
      <c r="C24" s="9" t="str">
        <f>VLOOKUP(B24,'FML March 2026'!E:F,2,false)</f>
        <v>BUTTER ALTERNATIVE VEGAN PLANT PERFECT (USA)</v>
      </c>
      <c r="D24" s="9" t="str">
        <f>VLOOKUP(B24,'Unit of Measure ship March 2026'!A:C,3,false)</f>
        <v>LBS</v>
      </c>
      <c r="F24" s="8">
        <v>30639.0</v>
      </c>
      <c r="G24" s="90" t="str">
        <f>VLOOKUP(F24,'FML March 2026'!E:F,2,false)</f>
        <v>GARLIC PEELED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  <c r="Q24" s="76"/>
      <c r="R24" s="49"/>
      <c r="S24" s="9"/>
      <c r="T24" s="9"/>
      <c r="U24" s="76"/>
      <c r="V24" s="49"/>
      <c r="W24" s="9"/>
      <c r="X24" s="9"/>
      <c r="Y24" s="76"/>
      <c r="Z24" s="76"/>
      <c r="AA24" s="76"/>
      <c r="AB24" s="76"/>
    </row>
    <row r="25" ht="14.25" customHeight="1">
      <c r="A25" s="89"/>
      <c r="B25" s="16">
        <v>15016.0</v>
      </c>
      <c r="C25" s="9" t="str">
        <f>VLOOKUP(B25,'FML March 2026'!E:F,2,false)</f>
        <v>BUTTER, UNSALTED, 82% FAT, FZN, 50/200 G</v>
      </c>
      <c r="D25" s="9" t="str">
        <f>VLOOKUP(B25,'Unit of Measure ship March 2026'!A:C,3,false)</f>
        <v>LBS</v>
      </c>
      <c r="F25" s="8">
        <v>38392.0</v>
      </c>
      <c r="G25" s="90" t="str">
        <f>VLOOKUP(F25,'FML March 2026'!E:F,2,false)</f>
        <v>GINGER FRESH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  <c r="Q25" s="76"/>
      <c r="R25" s="49"/>
      <c r="S25" s="9"/>
      <c r="T25" s="9"/>
      <c r="U25" s="76"/>
      <c r="V25" s="49"/>
      <c r="W25" s="9"/>
      <c r="X25" s="9"/>
      <c r="Y25" s="76"/>
      <c r="Z25" s="76"/>
      <c r="AA25" s="76"/>
      <c r="AB25" s="76"/>
    </row>
    <row r="26" ht="14.25" customHeight="1">
      <c r="A26" s="89"/>
      <c r="B26" s="17">
        <v>14893.0</v>
      </c>
      <c r="C26" s="9" t="str">
        <f>VLOOKUP(B26,'FML March 2026'!E:F,2,false)</f>
        <v>BUTTERMILK LOCAL 10 DAYS CS9/HGAL</v>
      </c>
      <c r="D26" s="9" t="str">
        <f>VLOOKUP(B26,'Unit of Measure ship March 2026'!A:C,3,false)</f>
        <v>QRT</v>
      </c>
      <c r="F26" s="8">
        <v>15390.0</v>
      </c>
      <c r="G26" s="90" t="str">
        <f>VLOOKUP(F26,'FML March 2026'!E:F,2,false)</f>
        <v>GRAPEFRUITS #1 CA. 32CT HI-BRIGHT, PINK 40#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  <c r="Q26" s="76"/>
      <c r="R26" s="49"/>
      <c r="S26" s="9"/>
      <c r="T26" s="9"/>
      <c r="U26" s="76"/>
      <c r="V26" s="49"/>
      <c r="W26" s="9"/>
      <c r="X26" s="9"/>
      <c r="Y26" s="76"/>
      <c r="Z26" s="76"/>
      <c r="AA26" s="76"/>
      <c r="AB26" s="76"/>
    </row>
    <row r="27" ht="14.25" customHeight="1">
      <c r="A27" s="89"/>
      <c r="B27" s="8">
        <v>16309.0</v>
      </c>
      <c r="C27" s="9" t="str">
        <f>VLOOKUP(B27,'FML March 2026'!E:F,2,false)</f>
        <v>CARDAMOM GROUND</v>
      </c>
      <c r="D27" s="9" t="str">
        <f>VLOOKUP(B27,'Unit of Measure ship March 2026'!A:C,3,false)</f>
        <v>LBS</v>
      </c>
      <c r="F27" s="8">
        <v>61703.0</v>
      </c>
      <c r="G27" s="90" t="str">
        <f>VLOOKUP(F27,'FML March 2026'!E:F,2,false)</f>
        <v>HABANERO PEPPERS FRESH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  <c r="Q27" s="76"/>
      <c r="R27" s="49"/>
      <c r="S27" s="9"/>
      <c r="T27" s="9"/>
      <c r="U27" s="76"/>
      <c r="V27" s="49"/>
      <c r="W27" s="9"/>
      <c r="X27" s="9"/>
      <c r="Y27" s="76"/>
      <c r="Z27" s="76"/>
      <c r="AA27" s="76"/>
      <c r="AB27" s="76"/>
    </row>
    <row r="28" ht="14.25" customHeight="1">
      <c r="A28" s="89"/>
      <c r="B28" s="8">
        <v>111011.0</v>
      </c>
      <c r="C28" s="9" t="str">
        <f>VLOOKUP(B28,'FML March 2026'!E:F,2,false)</f>
        <v>CARDAMOM POD GREEN TERRA SPICE</v>
      </c>
      <c r="D28" s="9" t="str">
        <f>VLOOKUP(B28,'Unit of Measure ship March 2026'!A:C,3,false)</f>
        <v>JR32/OZ</v>
      </c>
      <c r="F28" s="8">
        <v>15397.0</v>
      </c>
      <c r="G28" s="90" t="str">
        <f>VLOOKUP(F28,'FML March 2026'!E:F,2,false)</f>
        <v>LEMONS FRESH FIRM FANCY CALIF. SUNKIST #1 200CT 40#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  <c r="Q28" s="76"/>
      <c r="R28" s="49"/>
      <c r="S28" s="9"/>
      <c r="T28" s="9"/>
      <c r="U28" s="76"/>
      <c r="V28" s="49"/>
      <c r="W28" s="9"/>
      <c r="X28" s="9"/>
      <c r="Y28" s="76"/>
      <c r="Z28" s="76"/>
      <c r="AA28" s="76"/>
      <c r="AB28" s="76"/>
    </row>
    <row r="29" ht="14.25" customHeight="1">
      <c r="A29" s="89"/>
      <c r="B29" s="8">
        <v>111026.0</v>
      </c>
      <c r="C29" s="9" t="str">
        <f>VLOOKUP(B29,'FML March 2026'!E:F,2,false)</f>
        <v>CARDAMOM WHOLE PKG1/LB FRONTIER HERB</v>
      </c>
      <c r="D29" s="9" t="str">
        <f>VLOOKUP(B29,'Unit of Measure ship March 2026'!A:C,3,false)</f>
        <v>LBS</v>
      </c>
      <c r="F29" s="8">
        <v>15399.0</v>
      </c>
      <c r="G29" s="90" t="str">
        <f>VLOOKUP(F29,'FML March 2026'!E:F,2,false)</f>
        <v>LIMES, FRESH, FIRM #1 200CT 40#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  <c r="Q29" s="76"/>
      <c r="R29" s="49"/>
      <c r="S29" s="9"/>
      <c r="T29" s="9"/>
      <c r="U29" s="76"/>
      <c r="V29" s="49"/>
      <c r="W29" s="9"/>
      <c r="X29" s="9"/>
      <c r="Y29" s="76"/>
      <c r="Z29" s="76"/>
      <c r="AA29" s="76"/>
      <c r="AB29" s="76"/>
    </row>
    <row r="30" ht="14.25" customHeight="1">
      <c r="A30" s="89"/>
      <c r="B30" s="18">
        <v>15893.0</v>
      </c>
      <c r="C30" s="9" t="str">
        <f>VLOOKUP(B30,'FML March 2026'!E:F,2,false)</f>
        <v>CASHEWS, RAW, WHOLE, #320, DRY, 1/50 LB</v>
      </c>
      <c r="D30" s="9" t="str">
        <f>VLOOKUP(B30,'Unit of Measure ship March 2026'!A:C,3,false)</f>
        <v>LBS</v>
      </c>
      <c r="F30" s="8">
        <v>15400.0</v>
      </c>
      <c r="G30" s="90" t="str">
        <f>VLOOKUP(F30,'FML March 2026'!E:F,2,false)</f>
        <v>MANGOS, RIPE 9/12 CT, 10#/CS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  <c r="Q30" s="76"/>
      <c r="R30" s="49"/>
      <c r="S30" s="9"/>
      <c r="T30" s="9"/>
      <c r="U30" s="76"/>
      <c r="V30" s="49"/>
      <c r="W30" s="9"/>
      <c r="X30" s="9"/>
      <c r="Y30" s="76"/>
      <c r="Z30" s="76"/>
      <c r="AA30" s="76"/>
      <c r="AB30" s="76"/>
    </row>
    <row r="31" ht="14.25" customHeight="1">
      <c r="A31" s="89"/>
      <c r="B31" s="8">
        <v>48393.0</v>
      </c>
      <c r="C31" s="9" t="str">
        <f>VLOOKUP(B31,'FML March 2026'!E:F,2,false)</f>
        <v>CHAAT MASALA POWDER, INDIAN SPICE 10/100 GR MDH/SHAN</v>
      </c>
      <c r="D31" s="9" t="str">
        <f>VLOOKUP(B31,'Unit of Measure ship March 2026'!A:C,3,false)</f>
        <v>LBS</v>
      </c>
      <c r="F31" s="8">
        <v>110915.0</v>
      </c>
      <c r="G31" s="90" t="str">
        <f>VLOOKUP(F31,'FML March 2026'!E:F,2,false)</f>
        <v>MICRO GREEN FLOWER BLEND PKG 8 OZ</v>
      </c>
      <c r="H31" s="35" t="s">
        <v>42</v>
      </c>
      <c r="J31" s="49"/>
      <c r="K31" s="9"/>
      <c r="L31" s="9"/>
      <c r="N31" s="49"/>
      <c r="O31" s="9"/>
      <c r="P31" s="9"/>
      <c r="Q31" s="76"/>
      <c r="R31" s="49"/>
      <c r="S31" s="9"/>
      <c r="T31" s="9"/>
      <c r="U31" s="76"/>
      <c r="V31" s="49"/>
      <c r="W31" s="9"/>
      <c r="X31" s="9"/>
      <c r="Y31" s="76"/>
      <c r="Z31" s="76"/>
      <c r="AA31" s="76"/>
      <c r="AB31" s="76"/>
    </row>
    <row r="32" ht="14.25" customHeight="1">
      <c r="A32" s="89"/>
      <c r="B32" s="91">
        <v>109925.0</v>
      </c>
      <c r="C32" s="9" t="str">
        <f>VLOOKUP(B32,'FML March 2026'!E:F,2,false)</f>
        <v>CHEESE VEGAN CREAM CHEESE</v>
      </c>
      <c r="D32" s="9" t="str">
        <f>VLOOKUP(B32,'Unit of Measure ship March 2026'!A:C,3,false)</f>
        <v>LBS</v>
      </c>
      <c r="F32" s="8">
        <v>110916.0</v>
      </c>
      <c r="G32" s="90" t="str">
        <f>VLOOKUP(F32,'FML March 2026'!E:F,2,false)</f>
        <v>MICRO GREEN MINT FRESH PKG/4OZ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  <c r="Q32" s="76"/>
      <c r="R32" s="49"/>
      <c r="S32" s="9"/>
      <c r="T32" s="9"/>
      <c r="U32" s="76"/>
      <c r="V32" s="49"/>
      <c r="W32" s="9"/>
      <c r="X32" s="9"/>
      <c r="Y32" s="76"/>
      <c r="Z32" s="76"/>
      <c r="AA32" s="76"/>
      <c r="AB32" s="76"/>
    </row>
    <row r="33" ht="14.25" customHeight="1">
      <c r="A33" s="89"/>
      <c r="B33" s="8">
        <v>27418.0</v>
      </c>
      <c r="C33" s="9" t="str">
        <f>VLOOKUP(B33,'FML March 2026'!E:F,2,false)</f>
        <v>CHEESE, PARMIGIANO REGGIANO, DOP, QUARTERS, 18-20 LB EA, CHL, 2/1 EA</v>
      </c>
      <c r="D33" s="9" t="str">
        <f>VLOOKUP(B33,'Unit of Measure ship March 2026'!A:C,3,false)</f>
        <v>LBS</v>
      </c>
      <c r="F33" s="8">
        <v>110056.0</v>
      </c>
      <c r="G33" s="90" t="str">
        <f>VLOOKUP(F33,'FML March 2026'!E:F,2,false)</f>
        <v>MICRO LEMON BALM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  <c r="Q33" s="76"/>
      <c r="R33" s="49"/>
      <c r="S33" s="9"/>
      <c r="T33" s="9"/>
      <c r="U33" s="76"/>
      <c r="V33" s="49"/>
      <c r="W33" s="9"/>
      <c r="X33" s="9"/>
      <c r="Y33" s="76"/>
      <c r="Z33" s="76"/>
      <c r="AA33" s="76"/>
      <c r="AB33" s="76"/>
    </row>
    <row r="34" ht="14.25" customHeight="1">
      <c r="A34" s="89"/>
      <c r="B34" s="91">
        <v>109681.0</v>
      </c>
      <c r="C34" s="9" t="str">
        <f>VLOOKUP(B34,'FML March 2026'!E:F,2,false)</f>
        <v>CHICKEN STOCK  CS4.5 LT SAVORY CHOICE  FLAVOR</v>
      </c>
      <c r="D34" s="9" t="str">
        <f>VLOOKUP(B34,'Unit of Measure ship March 2026'!A:C,3,false)</f>
        <v>LITER</v>
      </c>
      <c r="F34" s="8">
        <v>15436.0</v>
      </c>
      <c r="G34" s="90" t="str">
        <f>VLOOKUP(F34,'FML March 2026'!E:F,2,false)</f>
        <v>MINT (12 BUNCH), 1 LB/CS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  <c r="Q34" s="76"/>
      <c r="R34" s="49"/>
      <c r="S34" s="9"/>
      <c r="T34" s="9"/>
      <c r="U34" s="76"/>
      <c r="V34" s="49"/>
      <c r="W34" s="9"/>
      <c r="X34" s="9"/>
      <c r="Y34" s="76"/>
      <c r="Z34" s="76"/>
      <c r="AA34" s="76"/>
      <c r="AB34" s="76"/>
    </row>
    <row r="35" ht="14.25" customHeight="1">
      <c r="A35" s="89"/>
      <c r="B35" s="91">
        <v>16308.0</v>
      </c>
      <c r="C35" s="9" t="str">
        <f>VLOOKUP(B35,'FML March 2026'!E:F,2,false)</f>
        <v>CHILI PEPPER RED CRUSHED D`ALLESANDRO/ SPICECO</v>
      </c>
      <c r="D35" s="9" t="str">
        <f>VLOOKUP(B35,'Unit of Measure ship March 2026'!A:C,3,false)</f>
        <v>LBS</v>
      </c>
      <c r="F35" s="8">
        <v>110069.0</v>
      </c>
      <c r="G35" s="90" t="str">
        <f>VLOOKUP(F35,'FML March 2026'!E:F,2,false)</f>
        <v>MUSHROOM KING TRUMPET</v>
      </c>
      <c r="H35" s="9" t="str">
        <f>VLOOKUP(F35,'Unit of Measure ship March 2026'!A:C,3,false)</f>
        <v>LBS</v>
      </c>
      <c r="J35" s="49"/>
      <c r="K35" s="9"/>
      <c r="L35" s="9"/>
      <c r="N35" s="49"/>
      <c r="O35" s="9"/>
      <c r="P35" s="9"/>
      <c r="Q35" s="76"/>
      <c r="R35" s="49"/>
      <c r="S35" s="9"/>
      <c r="T35" s="9"/>
      <c r="U35" s="76"/>
      <c r="V35" s="49"/>
      <c r="W35" s="9"/>
      <c r="X35" s="9"/>
      <c r="Y35" s="76"/>
      <c r="Z35" s="76"/>
      <c r="AA35" s="76"/>
      <c r="AB35" s="76"/>
    </row>
    <row r="36" ht="14.25" customHeight="1">
      <c r="A36" s="89"/>
      <c r="B36" s="8">
        <v>16252.0</v>
      </c>
      <c r="C36" s="9" t="str">
        <f>VLOOKUP(B36,'FML March 2026'!E:F,2,false)</f>
        <v>CHILI POWDER 16 OZ D`ALLESANDRO/ SPICECO</v>
      </c>
      <c r="D36" s="9" t="str">
        <f>VLOOKUP(B36,'Unit of Measure ship March 2026'!A:C,3,false)</f>
        <v>LBS</v>
      </c>
      <c r="F36" s="91">
        <v>31638.0</v>
      </c>
      <c r="G36" s="90" t="str">
        <f>VLOOKUP(F36,'FML March 2026'!E:F,2,false)</f>
        <v>MUSHROOMS, FRESH WHITE, 8 OZ CELLO PACK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  <c r="Q36" s="76"/>
      <c r="R36" s="49"/>
      <c r="S36" s="9"/>
      <c r="T36" s="9"/>
      <c r="U36" s="76"/>
      <c r="V36" s="49"/>
      <c r="W36" s="9"/>
      <c r="X36" s="9"/>
      <c r="Y36" s="76"/>
      <c r="Z36" s="76"/>
      <c r="AA36" s="76"/>
      <c r="AB36" s="76"/>
    </row>
    <row r="37" ht="14.25" customHeight="1">
      <c r="A37" s="89"/>
      <c r="B37" s="8">
        <v>35441.0</v>
      </c>
      <c r="C37" s="9" t="str">
        <f>VLOOKUP(B37,'FML March 2026'!E:F,2,false)</f>
        <v>CHOCOLATE COUVERTURE DARK 70% CALLETS CALLEBAUT</v>
      </c>
      <c r="D37" s="9" t="str">
        <f>VLOOKUP(B37,'Unit of Measure ship March 2026'!A:C,3,false)</f>
        <v>LBS</v>
      </c>
      <c r="F37" s="8">
        <v>15496.0</v>
      </c>
      <c r="G37" s="90" t="str">
        <f>VLOOKUP(F37,'FML March 2026'!E:F,2,false)</f>
        <v>ONIONS RED, MEDIUM 25#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  <c r="Q37" s="76"/>
      <c r="R37" s="49"/>
      <c r="S37" s="9"/>
      <c r="T37" s="9"/>
      <c r="U37" s="76"/>
      <c r="V37" s="49"/>
      <c r="W37" s="9"/>
      <c r="X37" s="9"/>
      <c r="Y37" s="76"/>
      <c r="Z37" s="76"/>
      <c r="AA37" s="76"/>
      <c r="AB37" s="76"/>
    </row>
    <row r="38" ht="14.25" customHeight="1">
      <c r="A38" s="89"/>
      <c r="B38" s="8">
        <v>16253.0</v>
      </c>
      <c r="C38" s="9" t="str">
        <f>VLOOKUP(B38,'FML March 2026'!E:F,2,false)</f>
        <v>CINNAMON GROUND</v>
      </c>
      <c r="D38" s="9" t="str">
        <f>VLOOKUP(B38,'Unit of Measure ship March 2026'!A:C,3,false)</f>
        <v>LBS</v>
      </c>
      <c r="F38" s="8">
        <v>111864.0</v>
      </c>
      <c r="G38" s="90" t="str">
        <f>VLOOKUP(F38,'FML March 2026'!E:F,2,false)</f>
        <v>ONIONS, PEARL ONIONS RED FRESH 1/12PT 4#/CS</v>
      </c>
      <c r="H38" s="9" t="str">
        <f>VLOOKUP(F38,'Unit of Measure ship March 2026'!A:C,3,false)</f>
        <v>LBS</v>
      </c>
      <c r="J38" s="49"/>
      <c r="K38" s="9"/>
      <c r="L38" s="9"/>
      <c r="N38" s="49"/>
      <c r="O38" s="9"/>
      <c r="P38" s="9"/>
      <c r="Q38" s="76"/>
      <c r="R38" s="49"/>
      <c r="S38" s="9"/>
      <c r="T38" s="9"/>
      <c r="U38" s="76"/>
      <c r="V38" s="49"/>
      <c r="W38" s="9"/>
      <c r="X38" s="9"/>
      <c r="Y38" s="76"/>
      <c r="Z38" s="76"/>
      <c r="AA38" s="76"/>
      <c r="AB38" s="76"/>
    </row>
    <row r="39" ht="14.25" customHeight="1">
      <c r="A39" s="89"/>
      <c r="B39" s="91">
        <v>16254.0</v>
      </c>
      <c r="C39" s="9" t="str">
        <f>VLOOKUP(B39,'FML March 2026'!E:F,2,false)</f>
        <v>CLOVES WHOLE D`ALLESANDRO/ SPICECO</v>
      </c>
      <c r="D39" s="9" t="str">
        <f>VLOOKUP(B39,'Unit of Measure ship March 2026'!A:C,3,false)</f>
        <v>LBS</v>
      </c>
      <c r="F39" s="8">
        <v>15497.0</v>
      </c>
      <c r="G39" s="90" t="str">
        <f>VLOOKUP(F39,'FML March 2026'!E:F,2,false)</f>
        <v>ONIONS, YELLOW, MEDIUM, SPANISH #1, 50#</v>
      </c>
      <c r="H39" s="9" t="str">
        <f>VLOOKUP(F39,'Unit of Measure ship March 2026'!A:C,3,false)</f>
        <v>LBS</v>
      </c>
      <c r="J39" s="49"/>
      <c r="K39" s="9"/>
      <c r="L39" s="9"/>
      <c r="N39" s="49"/>
      <c r="O39" s="9"/>
      <c r="P39" s="9"/>
      <c r="Q39" s="76"/>
      <c r="R39" s="49"/>
      <c r="S39" s="9"/>
      <c r="T39" s="9"/>
      <c r="U39" s="76"/>
      <c r="V39" s="49"/>
      <c r="W39" s="9"/>
      <c r="X39" s="9"/>
      <c r="Y39" s="76"/>
      <c r="Z39" s="76"/>
      <c r="AA39" s="76"/>
      <c r="AB39" s="76"/>
    </row>
    <row r="40" ht="14.25" customHeight="1">
      <c r="A40" s="89"/>
      <c r="B40" s="8">
        <v>15697.0</v>
      </c>
      <c r="C40" s="9" t="str">
        <f>VLOOKUP(B40,'FML March 2026'!E:F,2,false)</f>
        <v>COCOA EXTRA BRUT 6/1 KG. RED COCOA POWDER CALLEBAUT/ COCOA BARRY</v>
      </c>
      <c r="D40" s="9" t="str">
        <f>VLOOKUP(B40,'Unit of Measure ship March 2026'!A:C,3,false)</f>
        <v>LBS</v>
      </c>
      <c r="F40" s="8">
        <v>15408.0</v>
      </c>
      <c r="G40" s="90" t="str">
        <f>VLOOKUP(F40,'FML March 2026'!E:F,2,false)</f>
        <v>ORANGES CAL. SUNKIST FANCY, VALENCIA NAVEL,88CT 40#</v>
      </c>
      <c r="H40" s="9" t="str">
        <f>VLOOKUP(F40,'Unit of Measure ship March 2026'!A:C,3,false)</f>
        <v>LBS</v>
      </c>
      <c r="J40" s="49"/>
      <c r="K40" s="9"/>
      <c r="L40" s="9"/>
      <c r="N40" s="49"/>
      <c r="O40" s="9"/>
      <c r="P40" s="9"/>
      <c r="Q40" s="76"/>
      <c r="R40" s="49"/>
      <c r="S40" s="9"/>
      <c r="T40" s="9"/>
      <c r="U40" s="76"/>
      <c r="V40" s="49"/>
      <c r="W40" s="9"/>
      <c r="X40" s="9"/>
      <c r="Y40" s="76"/>
      <c r="Z40" s="76"/>
      <c r="AA40" s="76"/>
      <c r="AB40" s="76"/>
    </row>
    <row r="41" ht="14.25" customHeight="1">
      <c r="A41" s="89"/>
      <c r="B41" s="8">
        <v>110020.0</v>
      </c>
      <c r="C41" s="9" t="str">
        <f>VLOOKUP(B41,'FML March 2026'!E:F,2,false)</f>
        <v>COCONUT FLAKES UNSWEETENED BOBS RED MILL CS4/24OZ</v>
      </c>
      <c r="D41" s="9" t="str">
        <f>VLOOKUP(B41,'Unit of Measure ship March 2026'!A:C,3,false)</f>
        <v>LBS</v>
      </c>
      <c r="F41" s="8">
        <v>105768.0</v>
      </c>
      <c r="G41" s="90" t="str">
        <f>VLOOKUP(F41,'FML March 2026'!E:F,2,false)</f>
        <v>PAPAYA (9-12CT), GREEN</v>
      </c>
      <c r="H41" s="35" t="s">
        <v>42</v>
      </c>
      <c r="J41" s="49"/>
      <c r="K41" s="9"/>
      <c r="L41" s="9"/>
      <c r="N41" s="49"/>
      <c r="O41" s="9"/>
      <c r="P41" s="9"/>
      <c r="Q41" s="76"/>
      <c r="R41" s="49"/>
      <c r="S41" s="9"/>
      <c r="T41" s="9"/>
      <c r="U41" s="76"/>
      <c r="V41" s="49"/>
      <c r="W41" s="9"/>
      <c r="X41" s="9"/>
      <c r="Y41" s="76"/>
      <c r="Z41" s="76"/>
      <c r="AA41" s="76"/>
      <c r="AB41" s="76"/>
    </row>
    <row r="42" ht="14.25" customHeight="1">
      <c r="A42" s="89"/>
      <c r="B42" s="8">
        <v>112179.0</v>
      </c>
      <c r="C42" s="9" t="str">
        <f>VLOOKUP(B42,'FML March 2026'!E:F,2,false)</f>
        <v>COCONUT MEAT FROZEN CS11/1LB EXOTIC SUPER FOODS</v>
      </c>
      <c r="D42" s="35" t="s">
        <v>42</v>
      </c>
      <c r="F42" s="16">
        <v>15500.0</v>
      </c>
      <c r="G42" s="90" t="str">
        <f>VLOOKUP(F42,'FML March 2026'!E:F,2,false)</f>
        <v>PARSLEY ITALIAN,  20#/CS</v>
      </c>
      <c r="H42" s="9" t="str">
        <f>VLOOKUP(F42,'Unit of Measure ship March 2026'!A:C,3,false)</f>
        <v>LBS</v>
      </c>
      <c r="J42" s="49"/>
      <c r="K42" s="9"/>
      <c r="L42" s="9"/>
      <c r="N42" s="49"/>
      <c r="O42" s="9"/>
      <c r="P42" s="9"/>
      <c r="Q42" s="76"/>
      <c r="R42" s="49"/>
      <c r="S42" s="9"/>
      <c r="T42" s="9"/>
      <c r="U42" s="76"/>
      <c r="V42" s="49"/>
      <c r="W42" s="9"/>
      <c r="X42" s="9"/>
      <c r="Y42" s="76"/>
      <c r="Z42" s="76"/>
      <c r="AA42" s="76"/>
      <c r="AB42" s="76"/>
    </row>
    <row r="43" ht="14.25" customHeight="1">
      <c r="A43" s="89"/>
      <c r="B43" s="8">
        <v>62920.0</v>
      </c>
      <c r="C43" s="9" t="str">
        <f>VLOOKUP(B43,'FML March 2026'!E:F,2,false)</f>
        <v>COCONUT MILK CS24/14OZ  17% TO 18%</v>
      </c>
      <c r="D43" s="9" t="str">
        <f>VLOOKUP(B43,'Unit of Measure ship March 2026'!A:C,3,false)</f>
        <v>PC/13.5Z</v>
      </c>
      <c r="F43" s="8">
        <v>109763.0</v>
      </c>
      <c r="G43" s="90" t="str">
        <f>VLOOKUP(F43,'FML March 2026'!E:F,2,false)</f>
        <v>PEA SHOOTS  FRESH</v>
      </c>
      <c r="H43" s="9" t="str">
        <f>VLOOKUP(F43,'Unit of Measure ship March 2026'!A:C,3,false)</f>
        <v>LBS</v>
      </c>
      <c r="J43" s="49"/>
      <c r="K43" s="9"/>
      <c r="L43" s="9"/>
      <c r="N43" s="49"/>
      <c r="O43" s="9"/>
      <c r="P43" s="9"/>
      <c r="Q43" s="76"/>
      <c r="R43" s="49"/>
      <c r="S43" s="9"/>
      <c r="T43" s="9"/>
      <c r="U43" s="76"/>
      <c r="V43" s="49"/>
      <c r="W43" s="9"/>
      <c r="X43" s="9"/>
      <c r="Y43" s="76"/>
      <c r="Z43" s="76"/>
      <c r="AA43" s="76"/>
      <c r="AB43" s="76"/>
    </row>
    <row r="44" ht="14.25" customHeight="1">
      <c r="A44" s="89"/>
      <c r="B44" s="8">
        <v>102793.0</v>
      </c>
      <c r="C44" s="9" t="str">
        <f>VLOOKUP(B44,'FML March 2026'!E:F,2,false)</f>
        <v>COCONUT WATER 1 LT OR 24/16.5OZ</v>
      </c>
      <c r="D44" s="9" t="str">
        <f>VLOOKUP(B44,'Unit of Measure ship March 2026'!A:C,3,false)</f>
        <v>LT</v>
      </c>
      <c r="F44" s="8">
        <v>43805.0</v>
      </c>
      <c r="G44" s="90" t="str">
        <f>VLOOKUP(F44,'FML March 2026'!E:F,2,false)</f>
        <v>PEAS, GREEN, GRADE A, IQF, FZN, 1/10 KG</v>
      </c>
      <c r="H44" s="9" t="str">
        <f>VLOOKUP(F44,'Unit of Measure ship March 2026'!A:C,3,false)</f>
        <v>LBS</v>
      </c>
      <c r="J44" s="49"/>
      <c r="K44" s="9"/>
      <c r="L44" s="9"/>
      <c r="N44" s="49"/>
      <c r="O44" s="9"/>
      <c r="P44" s="9"/>
      <c r="Q44" s="76"/>
      <c r="R44" s="49"/>
      <c r="S44" s="9"/>
      <c r="T44" s="9"/>
      <c r="U44" s="76"/>
      <c r="V44" s="49"/>
      <c r="W44" s="9"/>
      <c r="X44" s="9"/>
      <c r="Y44" s="76"/>
      <c r="Z44" s="76"/>
      <c r="AA44" s="76"/>
      <c r="AB44" s="76"/>
    </row>
    <row r="45" ht="14.25" customHeight="1">
      <c r="A45" s="89"/>
      <c r="B45" s="91">
        <v>16289.0</v>
      </c>
      <c r="C45" s="9" t="str">
        <f>VLOOKUP(B45,'FML March 2026'!E:F,2,false)</f>
        <v>CORIANDER GROUND BADIA (USA )</v>
      </c>
      <c r="D45" s="9" t="str">
        <f>VLOOKUP(B45,'Unit of Measure ship March 2026'!A:C,3,false)</f>
        <v>LBS</v>
      </c>
      <c r="F45" s="8">
        <v>33681.0</v>
      </c>
      <c r="G45" s="90" t="str">
        <f>VLOOKUP(F45,'FML March 2026'!E:F,2,false)</f>
        <v>PEPPER BLACK GROUND BADIA (USA )</v>
      </c>
      <c r="H45" s="9" t="str">
        <f>VLOOKUP(F45,'Unit of Measure ship March 2026'!A:C,3,false)</f>
        <v>LBS</v>
      </c>
      <c r="J45" s="49"/>
      <c r="K45" s="9"/>
      <c r="L45" s="9"/>
      <c r="N45" s="49"/>
      <c r="O45" s="9"/>
      <c r="P45" s="9"/>
      <c r="Q45" s="76"/>
      <c r="R45" s="49"/>
      <c r="S45" s="9"/>
      <c r="T45" s="9"/>
      <c r="U45" s="76"/>
      <c r="V45" s="49"/>
      <c r="W45" s="9"/>
      <c r="X45" s="9"/>
      <c r="Y45" s="76"/>
      <c r="Z45" s="76"/>
      <c r="AA45" s="76"/>
      <c r="AB45" s="76"/>
    </row>
    <row r="46" ht="14.25" customHeight="1">
      <c r="A46" s="89"/>
      <c r="B46" s="8">
        <v>16288.0</v>
      </c>
      <c r="C46" s="9" t="str">
        <f>VLOOKUP(B46,'FML March 2026'!E:F,2,false)</f>
        <v>CORIANDER WHOLE BADIA (USA )</v>
      </c>
      <c r="D46" s="9" t="str">
        <f>VLOOKUP(B46,'Unit of Measure ship March 2026'!A:C,3,false)</f>
        <v>LBS</v>
      </c>
      <c r="F46" s="8">
        <v>112615.0</v>
      </c>
      <c r="G46" s="90" t="str">
        <f>VLOOKUP(F46,'FML March 2026'!E:F,2,false)</f>
        <v>PEPPER JALAPENO RED FRESH</v>
      </c>
      <c r="H46" s="9" t="str">
        <f>VLOOKUP(F46,'Unit of Measure ship March 2026'!A:C,3,false)</f>
        <v>LBS</v>
      </c>
      <c r="J46" s="49"/>
      <c r="K46" s="9"/>
      <c r="L46" s="9"/>
      <c r="N46" s="49"/>
      <c r="O46" s="9"/>
      <c r="P46" s="9"/>
      <c r="Q46" s="76"/>
      <c r="R46" s="49"/>
      <c r="S46" s="9"/>
      <c r="T46" s="9"/>
      <c r="U46" s="76"/>
      <c r="V46" s="49"/>
      <c r="W46" s="9"/>
      <c r="X46" s="9"/>
      <c r="Y46" s="76"/>
      <c r="Z46" s="76"/>
      <c r="AA46" s="76"/>
      <c r="AB46" s="76"/>
    </row>
    <row r="47" ht="14.25" customHeight="1">
      <c r="A47" s="89"/>
      <c r="B47" s="8">
        <v>16184.0</v>
      </c>
      <c r="C47" s="9" t="str">
        <f>VLOOKUP(B47,'FML March 2026'!E:F,2,false)</f>
        <v>CORNSTARCH BULK</v>
      </c>
      <c r="D47" s="9" t="str">
        <f>VLOOKUP(B47,'Unit of Measure ship March 2026'!A:C,3,false)</f>
        <v>LBS</v>
      </c>
      <c r="F47" s="8">
        <v>111047.0</v>
      </c>
      <c r="G47" s="90" t="str">
        <f>VLOOKUP(F47,'FML March 2026'!E:F,2,false)</f>
        <v>PEPPER THAI LONG GREEN FRESH  CS3/LBS</v>
      </c>
      <c r="H47" s="9" t="str">
        <f>VLOOKUP(F47,'Unit of Measure ship March 2026'!A:C,3,false)</f>
        <v>LBS</v>
      </c>
      <c r="J47" s="49"/>
      <c r="K47" s="9"/>
      <c r="L47" s="9"/>
      <c r="N47" s="49"/>
      <c r="O47" s="9"/>
      <c r="P47" s="9"/>
      <c r="Q47" s="76"/>
      <c r="R47" s="49"/>
      <c r="S47" s="9"/>
      <c r="T47" s="9"/>
      <c r="U47" s="76"/>
      <c r="V47" s="49"/>
      <c r="W47" s="9"/>
      <c r="X47" s="9"/>
      <c r="Y47" s="76"/>
      <c r="Z47" s="76"/>
      <c r="AA47" s="76"/>
      <c r="AB47" s="76"/>
    </row>
    <row r="48" ht="14.25" customHeight="1">
      <c r="A48" s="89"/>
      <c r="B48" s="8">
        <v>15863.0</v>
      </c>
      <c r="C48" s="9" t="str">
        <f>VLOOKUP(B48,'FML March 2026'!E:F,2,false)</f>
        <v>CRACKER CRUMBS GRAHAM (USA)</v>
      </c>
      <c r="D48" s="9" t="str">
        <f>VLOOKUP(B48,'Unit of Measure ship March 2026'!A:C,3,false)</f>
        <v>LBS</v>
      </c>
      <c r="F48" s="8">
        <v>15504.0</v>
      </c>
      <c r="G48" s="90" t="str">
        <f>VLOOKUP(F48,'FML March 2026'!E:F,2,false)</f>
        <v>PEPPERS HOT, JALAPENOS 10#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  <c r="Q48" s="76"/>
      <c r="R48" s="49"/>
      <c r="S48" s="9"/>
      <c r="T48" s="9"/>
      <c r="U48" s="76"/>
      <c r="V48" s="49"/>
      <c r="W48" s="9"/>
      <c r="X48" s="9"/>
      <c r="Y48" s="76"/>
      <c r="Z48" s="76"/>
      <c r="AA48" s="76"/>
      <c r="AB48" s="76"/>
    </row>
    <row r="49" ht="14.25" customHeight="1">
      <c r="A49" s="89"/>
      <c r="B49" s="8">
        <v>15707.0</v>
      </c>
      <c r="C49" s="9" t="str">
        <f>VLOOKUP(B49,'FML March 2026'!E:F,2,false)</f>
        <v>CRANBERRIES DRIED 10 LB OCEAN SPRAY (USA)</v>
      </c>
      <c r="D49" s="9" t="str">
        <f>VLOOKUP(B49,'Unit of Measure ship March 2026'!A:C,3,false)</f>
        <v>LBS</v>
      </c>
      <c r="F49" s="8">
        <v>15502.0</v>
      </c>
      <c r="G49" s="90" t="str">
        <f>VLOOKUP(F49,'FML March 2026'!E:F,2,false)</f>
        <v>PEPPERS RED, MEDIUM, 88-100 MM</v>
      </c>
      <c r="H49" s="9" t="str">
        <f>VLOOKUP(F49,'Unit of Measure ship March 2026'!A:C,3,false)</f>
        <v>LBS</v>
      </c>
      <c r="J49" s="49"/>
      <c r="K49" s="9"/>
      <c r="L49" s="9"/>
      <c r="N49" s="49"/>
      <c r="O49" s="9"/>
      <c r="P49" s="9"/>
      <c r="Q49" s="76"/>
      <c r="R49" s="49"/>
      <c r="S49" s="9"/>
      <c r="T49" s="9"/>
      <c r="U49" s="76"/>
      <c r="V49" s="49"/>
      <c r="W49" s="9"/>
      <c r="X49" s="9"/>
      <c r="Y49" s="76"/>
      <c r="Z49" s="76"/>
      <c r="AA49" s="76"/>
      <c r="AB49" s="76"/>
    </row>
    <row r="50" ht="14.25" customHeight="1">
      <c r="A50" s="89"/>
      <c r="B50" s="17">
        <v>14987.0</v>
      </c>
      <c r="C50" s="9" t="str">
        <f>VLOOKUP(B50,'FML March 2026'!E:F,2,false)</f>
        <v>CREAM CHEESE QUESCREM/PHILADELPHIA FOR BAKERY</v>
      </c>
      <c r="D50" s="9" t="str">
        <f>VLOOKUP(B50,'Unit of Measure ship March 2026'!A:C,3,false)</f>
        <v>LBS</v>
      </c>
      <c r="F50" s="8">
        <v>15577.0</v>
      </c>
      <c r="G50" s="90" t="str">
        <f>VLOOKUP(F50,'FML March 2026'!E:F,2,false)</f>
        <v>PEPPERS YELLOW, MEDIUM, 88-100 MM</v>
      </c>
      <c r="H50" s="9" t="str">
        <f>VLOOKUP(F50,'Unit of Measure ship March 2026'!A:C,3,false)</f>
        <v>LBS</v>
      </c>
      <c r="J50" s="49"/>
      <c r="K50" s="9"/>
      <c r="L50" s="9"/>
      <c r="N50" s="49"/>
      <c r="O50" s="9"/>
      <c r="P50" s="9"/>
      <c r="Q50" s="76"/>
      <c r="R50" s="49"/>
      <c r="S50" s="9"/>
      <c r="T50" s="9"/>
      <c r="U50" s="76"/>
      <c r="V50" s="49"/>
      <c r="W50" s="9"/>
      <c r="X50" s="9"/>
      <c r="Y50" s="76"/>
      <c r="Z50" s="76"/>
      <c r="AA50" s="76"/>
      <c r="AB50" s="76"/>
    </row>
    <row r="51" ht="14.25" customHeight="1">
      <c r="A51" s="89"/>
      <c r="B51" s="8">
        <v>16256.0</v>
      </c>
      <c r="C51" s="9" t="str">
        <f>VLOOKUP(B51,'FML March 2026'!E:F,2,false)</f>
        <v>CUMIN GROUND D`ALLESANDRO/ SPICECO (USA )</v>
      </c>
      <c r="D51" s="9" t="str">
        <f>VLOOKUP(B51,'Unit of Measure ship March 2026'!A:C,3,false)</f>
        <v>LBS</v>
      </c>
      <c r="F51" s="8">
        <v>15506.0</v>
      </c>
      <c r="G51" s="90" t="str">
        <f>VLOOKUP(F51,'FML March 2026'!E:F,2,false)</f>
        <v>PLANTAINS, GREEN 50#</v>
      </c>
      <c r="H51" s="9" t="str">
        <f>VLOOKUP(F51,'Unit of Measure ship March 2026'!A:C,3,false)</f>
        <v>KG</v>
      </c>
      <c r="J51" s="49"/>
      <c r="K51" s="9"/>
      <c r="L51" s="9"/>
      <c r="N51" s="49"/>
      <c r="O51" s="9"/>
      <c r="P51" s="9"/>
      <c r="Q51" s="76"/>
      <c r="R51" s="49"/>
      <c r="S51" s="9"/>
      <c r="T51" s="9"/>
      <c r="U51" s="76"/>
      <c r="V51" s="49"/>
      <c r="W51" s="9"/>
      <c r="X51" s="9"/>
      <c r="Y51" s="76"/>
      <c r="Z51" s="76"/>
      <c r="AA51" s="76"/>
      <c r="AB51" s="76"/>
    </row>
    <row r="52" ht="14.25" customHeight="1">
      <c r="A52" s="89"/>
      <c r="B52" s="8">
        <v>16264.0</v>
      </c>
      <c r="C52" s="9" t="str">
        <f>VLOOKUP(B52,'FML March 2026'!E:F,2,false)</f>
        <v>CUMIN SEED WHOLE BADIA (USA )</v>
      </c>
      <c r="D52" s="9" t="str">
        <f>VLOOKUP(B52,'Unit of Measure ship March 2026'!A:C,3,false)</f>
        <v>LBS</v>
      </c>
      <c r="F52" s="8">
        <v>15316.0</v>
      </c>
      <c r="G52" s="90" t="str">
        <f>VLOOKUP(F52,'FML March 2026'!E:F,2,false)</f>
        <v>POMEGRANATE 20-35 CT. 22#</v>
      </c>
      <c r="H52" s="9" t="str">
        <f>VLOOKUP(F52,'Unit of Measure ship March 2026'!A:C,3,false)</f>
        <v>LBS</v>
      </c>
      <c r="J52" s="49"/>
      <c r="K52" s="9"/>
      <c r="L52" s="9"/>
      <c r="N52" s="49"/>
      <c r="O52" s="9"/>
      <c r="P52" s="9"/>
      <c r="Q52" s="76"/>
      <c r="R52" s="49"/>
      <c r="S52" s="9"/>
      <c r="T52" s="9"/>
      <c r="U52" s="76"/>
      <c r="V52" s="49"/>
      <c r="W52" s="9"/>
      <c r="X52" s="9"/>
      <c r="Y52" s="76"/>
      <c r="Z52" s="76"/>
      <c r="AA52" s="76"/>
      <c r="AB52" s="76"/>
    </row>
    <row r="53" ht="14.25" customHeight="1">
      <c r="A53" s="89"/>
      <c r="B53" s="91">
        <v>16264.0</v>
      </c>
      <c r="C53" s="9" t="str">
        <f>VLOOKUP(B53,'FML March 2026'!E:F,2,false)</f>
        <v>CUMIN SEED WHOLE BADIA (USA )</v>
      </c>
      <c r="D53" s="9" t="str">
        <f>VLOOKUP(B53,'Unit of Measure ship March 2026'!A:C,3,false)</f>
        <v>LBS</v>
      </c>
      <c r="F53" s="8">
        <v>109751.0</v>
      </c>
      <c r="G53" s="90" t="str">
        <f>VLOOKUP(F53,'FML March 2026'!E:F,2,false)</f>
        <v>POTATO RUSSET  110 CT</v>
      </c>
      <c r="H53" s="9" t="str">
        <f>VLOOKUP(F53,'Unit of Measure ship March 2026'!A:C,3,false)</f>
        <v>LBS</v>
      </c>
      <c r="J53" s="49"/>
      <c r="K53" s="9"/>
      <c r="L53" s="9"/>
      <c r="N53" s="49"/>
      <c r="O53" s="9"/>
      <c r="P53" s="9"/>
      <c r="Q53" s="76"/>
      <c r="R53" s="49"/>
      <c r="S53" s="9"/>
      <c r="T53" s="9"/>
      <c r="U53" s="76"/>
      <c r="V53" s="49"/>
      <c r="W53" s="9"/>
      <c r="X53" s="9"/>
      <c r="Y53" s="76"/>
      <c r="Z53" s="76"/>
      <c r="AA53" s="76"/>
      <c r="AB53" s="76"/>
    </row>
    <row r="54" ht="14.25" customHeight="1">
      <c r="A54" s="89"/>
      <c r="B54" s="8">
        <v>16257.0</v>
      </c>
      <c r="C54" s="9" t="str">
        <f>VLOOKUP(B54,'FML March 2026'!E:F,2,false)</f>
        <v>CURRY POWDER BADIA (USA )</v>
      </c>
      <c r="D54" s="9" t="str">
        <f>VLOOKUP(B54,'Unit of Measure ship March 2026'!A:C,3,false)</f>
        <v>LBS</v>
      </c>
      <c r="F54" s="92">
        <v>15513.0</v>
      </c>
      <c r="G54" s="90" t="str">
        <f>VLOOKUP(F54,'FML March 2026'!E:F,2,false)</f>
        <v>POTATOES CHEF (BAG) 50#</v>
      </c>
      <c r="H54" s="9" t="str">
        <f>VLOOKUP(F54,'Unit of Measure ship March 2026'!A:C,3,false)</f>
        <v>LBS</v>
      </c>
      <c r="J54" s="49"/>
      <c r="K54" s="9"/>
      <c r="L54" s="9"/>
      <c r="N54" s="49"/>
      <c r="O54" s="9"/>
      <c r="P54" s="9"/>
      <c r="Q54" s="76"/>
      <c r="R54" s="49"/>
      <c r="S54" s="9"/>
      <c r="T54" s="9"/>
      <c r="U54" s="76"/>
      <c r="V54" s="49"/>
      <c r="W54" s="9"/>
      <c r="X54" s="9"/>
      <c r="Y54" s="76"/>
      <c r="Z54" s="76"/>
      <c r="AA54" s="76"/>
      <c r="AB54" s="76"/>
    </row>
    <row r="55" ht="14.25" customHeight="1">
      <c r="A55" s="89"/>
      <c r="B55" s="8">
        <v>15814.0</v>
      </c>
      <c r="C55" s="9" t="str">
        <f>VLOOKUP(B55,'FML March 2026'!E:F,2,false)</f>
        <v>DATES PITTED DRIED</v>
      </c>
      <c r="D55" s="9" t="str">
        <f>VLOOKUP(B55,'Unit of Measure ship March 2026'!A:C,3,false)</f>
        <v>LBS</v>
      </c>
      <c r="F55" s="17">
        <v>11856.0</v>
      </c>
      <c r="G55" s="90" t="str">
        <f>VLOOKUP(F55,'FML March 2026'!E:F,2,false)</f>
        <v>POTATOES YUKON GOLD, LARGE, FRESH</v>
      </c>
      <c r="H55" s="9" t="str">
        <f>VLOOKUP(F55,'Unit of Measure ship March 2026'!A:C,3,false)</f>
        <v>LBS</v>
      </c>
      <c r="J55" s="49"/>
      <c r="K55" s="9"/>
      <c r="L55" s="9"/>
      <c r="N55" s="49"/>
      <c r="O55" s="9"/>
      <c r="P55" s="9"/>
      <c r="Q55" s="76"/>
      <c r="R55" s="49"/>
      <c r="S55" s="9"/>
      <c r="T55" s="9"/>
      <c r="U55" s="76"/>
      <c r="V55" s="49"/>
      <c r="W55" s="9"/>
      <c r="X55" s="9"/>
      <c r="Y55" s="76"/>
      <c r="Z55" s="76"/>
      <c r="AA55" s="76"/>
      <c r="AB55" s="76"/>
    </row>
    <row r="56" ht="14.25" customHeight="1">
      <c r="A56" s="89"/>
      <c r="B56" s="91">
        <v>109522.0</v>
      </c>
      <c r="C56" s="9" t="str">
        <f>VLOOKUP(B56,'FML March 2026'!E:F,2,false)</f>
        <v>EDIBLE CHARCOAL POWDER VEGAN PKG 2LB AMERICAN HARDWOOD (USA)</v>
      </c>
      <c r="D56" s="9" t="str">
        <f>VLOOKUP(B56,'Unit of Measure ship March 2026'!A:C,3,false)</f>
        <v>LBS</v>
      </c>
      <c r="F56" s="91">
        <v>15518.0</v>
      </c>
      <c r="G56" s="90" t="str">
        <f>VLOOKUP(F56,'FML March 2026'!E:F,2,false)</f>
        <v>RADISHES, FRESH, BULK 40#</v>
      </c>
      <c r="H56" s="9" t="str">
        <f>VLOOKUP(F56,'Unit of Measure ship March 2026'!A:C,3,false)</f>
        <v>LBS</v>
      </c>
      <c r="J56" s="49"/>
      <c r="K56" s="9"/>
      <c r="L56" s="9"/>
      <c r="N56" s="49"/>
      <c r="O56" s="9"/>
      <c r="P56" s="9"/>
      <c r="Q56" s="76"/>
      <c r="R56" s="49"/>
      <c r="S56" s="9"/>
      <c r="T56" s="9"/>
      <c r="U56" s="76"/>
      <c r="V56" s="49"/>
      <c r="W56" s="9"/>
      <c r="X56" s="9"/>
      <c r="Y56" s="76"/>
      <c r="Z56" s="76"/>
      <c r="AA56" s="76"/>
      <c r="AB56" s="76"/>
    </row>
    <row r="57" ht="14.25" customHeight="1">
      <c r="A57" s="89"/>
      <c r="B57" s="17">
        <v>15027.0</v>
      </c>
      <c r="C57" s="9" t="str">
        <f>VLOOKUP(B57,'FML March 2026'!E:F,2,false)</f>
        <v>EGG YOLKS FROZEN NO SUGAR OR SALT ADDED 6/5 LB SUNNY FRESH/ DEBEL (USA)</v>
      </c>
      <c r="D57" s="9" t="str">
        <f>VLOOKUP(B57,'Unit of Measure ship March 2026'!A:C,3,false)</f>
        <v>LBS</v>
      </c>
      <c r="F57" s="8">
        <v>24185.0</v>
      </c>
      <c r="G57" s="90" t="str">
        <f>VLOOKUP(F57,'FML March 2026'!E:F,2,false)</f>
        <v>SCALLIONS FRESH - ICELESS</v>
      </c>
      <c r="H57" s="9" t="str">
        <f>VLOOKUP(F57,'Unit of Measure ship March 2026'!A:C,3,false)</f>
        <v>LBS</v>
      </c>
      <c r="J57" s="49"/>
      <c r="K57" s="9"/>
      <c r="L57" s="9"/>
      <c r="N57" s="49"/>
      <c r="O57" s="9"/>
      <c r="P57" s="9"/>
      <c r="Q57" s="76"/>
      <c r="R57" s="49"/>
      <c r="S57" s="9"/>
      <c r="T57" s="9"/>
      <c r="U57" s="76"/>
      <c r="V57" s="49"/>
      <c r="W57" s="9"/>
      <c r="X57" s="9"/>
      <c r="Y57" s="76"/>
      <c r="Z57" s="76"/>
      <c r="AA57" s="76"/>
      <c r="AB57" s="76"/>
    </row>
    <row r="58" ht="14.25" customHeight="1">
      <c r="A58" s="89"/>
      <c r="B58" s="17">
        <v>15022.0</v>
      </c>
      <c r="C58" s="9" t="str">
        <f>VLOOKUP(B58,'FML March 2026'!E:F,2,false)</f>
        <v>EGGS-DATED, MEDIUM, REGULAR</v>
      </c>
      <c r="D58" s="9" t="str">
        <f>VLOOKUP(B58,'Unit of Measure ship March 2026'!A:C,3,false)</f>
        <v>PC</v>
      </c>
      <c r="F58" s="91">
        <v>61705.0</v>
      </c>
      <c r="G58" s="90" t="str">
        <f>VLOOKUP(F58,'FML March 2026'!E:F,2,false)</f>
        <v>SERRANO PEPPERS FRESH</v>
      </c>
      <c r="H58" s="9" t="str">
        <f>VLOOKUP(F58,'Unit of Measure ship March 2026'!A:C,3,false)</f>
        <v>LBS</v>
      </c>
      <c r="J58" s="49"/>
      <c r="K58" s="9"/>
      <c r="L58" s="9"/>
      <c r="N58" s="49"/>
      <c r="O58" s="9"/>
      <c r="P58" s="9"/>
      <c r="Q58" s="76"/>
      <c r="R58" s="49"/>
      <c r="S58" s="9"/>
      <c r="T58" s="9"/>
      <c r="U58" s="76"/>
      <c r="V58" s="49"/>
      <c r="W58" s="9"/>
      <c r="X58" s="9"/>
      <c r="Y58" s="76"/>
      <c r="Z58" s="76"/>
      <c r="AA58" s="76"/>
      <c r="AB58" s="76"/>
    </row>
    <row r="59" ht="14.25" customHeight="1">
      <c r="A59" s="89"/>
      <c r="B59" s="8">
        <v>16259.0</v>
      </c>
      <c r="C59" s="9" t="str">
        <f>VLOOKUP(B59,'FML March 2026'!E:F,2,false)</f>
        <v>FENNEL SEED WHOLE BADIA (USA )</v>
      </c>
      <c r="D59" s="9" t="str">
        <f>VLOOKUP(B59,'Unit of Measure ship March 2026'!A:C,3,false)</f>
        <v>LBS</v>
      </c>
      <c r="F59" s="17">
        <v>15145.0</v>
      </c>
      <c r="G59" s="90" t="str">
        <f>VLOOKUP(F59,'FML March 2026'!E:F,2,false)</f>
        <v>SPINACH, BABY LEAF</v>
      </c>
      <c r="H59" s="9" t="str">
        <f>VLOOKUP(F59,'Unit of Measure ship March 2026'!A:C,3,false)</f>
        <v>LBS</v>
      </c>
      <c r="J59" s="49"/>
      <c r="K59" s="9"/>
      <c r="L59" s="9"/>
      <c r="N59" s="49"/>
      <c r="O59" s="9"/>
      <c r="P59" s="9"/>
      <c r="Q59" s="76"/>
      <c r="R59" s="49"/>
      <c r="S59" s="9"/>
      <c r="T59" s="9"/>
      <c r="U59" s="76"/>
      <c r="V59" s="49"/>
      <c r="W59" s="9"/>
      <c r="X59" s="9"/>
      <c r="Y59" s="76"/>
      <c r="Z59" s="76"/>
      <c r="AA59" s="76"/>
      <c r="AB59" s="76"/>
    </row>
    <row r="60" ht="14.25" customHeight="1">
      <c r="A60" s="89"/>
      <c r="B60" s="17">
        <v>14990.0</v>
      </c>
      <c r="C60" s="9" t="str">
        <f>VLOOKUP(B60,'FML March 2026'!E:F,2,false)</f>
        <v>FETA, IN BRINE, TUB</v>
      </c>
      <c r="D60" s="9" t="str">
        <f>VLOOKUP(B60,'Unit of Measure ship March 2026'!A:C,3,false)</f>
        <v>LBS</v>
      </c>
      <c r="F60" s="17">
        <v>15157.0</v>
      </c>
      <c r="G60" s="90" t="str">
        <f>VLOOKUP(F60,'FML March 2026'!E:F,2,false)</f>
        <v>STRAWBERRIES, WHOLE, IQF, FRZN</v>
      </c>
      <c r="H60" s="9" t="str">
        <f>VLOOKUP(F60,'Unit of Measure ship March 2026'!A:C,3,false)</f>
        <v>LBS</v>
      </c>
      <c r="J60" s="49"/>
      <c r="K60" s="9"/>
      <c r="L60" s="9"/>
      <c r="N60" s="49"/>
      <c r="O60" s="9"/>
      <c r="P60" s="9"/>
      <c r="Q60" s="76"/>
      <c r="R60" s="49"/>
      <c r="S60" s="9"/>
      <c r="T60" s="9"/>
      <c r="U60" s="76"/>
      <c r="V60" s="49"/>
      <c r="W60" s="9"/>
      <c r="X60" s="9"/>
      <c r="Y60" s="76"/>
      <c r="Z60" s="76"/>
      <c r="AA60" s="76"/>
      <c r="AB60" s="76"/>
    </row>
    <row r="61" ht="14.25" customHeight="1">
      <c r="A61" s="89"/>
      <c r="B61" s="8">
        <v>16535.0</v>
      </c>
      <c r="C61" s="9" t="str">
        <f>VLOOKUP(B61,'FML March 2026'!E:F,2,false)</f>
        <v>FISH SAUCE, BTL (REQUIRES INSPECTION)</v>
      </c>
      <c r="D61" s="9" t="str">
        <f>VLOOKUP(B61,'Unit of Measure ship March 2026'!A:C,3,false)</f>
        <v>BTL/24OZ</v>
      </c>
      <c r="F61" s="8">
        <v>15537.0</v>
      </c>
      <c r="G61" s="90" t="str">
        <f>VLOOKUP(F61,'FML March 2026'!E:F,2,false)</f>
        <v>TOMATOES 6X6 #1 18# RED RIPE, FIRM (LAYERED), 55-65 MM</v>
      </c>
      <c r="H61" s="9" t="str">
        <f>VLOOKUP(F61,'Unit of Measure ship March 2026'!A:C,3,false)</f>
        <v>LBS</v>
      </c>
      <c r="J61" s="49"/>
      <c r="K61" s="9"/>
      <c r="L61" s="9"/>
      <c r="N61" s="49"/>
      <c r="O61" s="9"/>
      <c r="P61" s="9"/>
      <c r="Q61" s="76"/>
      <c r="R61" s="49"/>
      <c r="S61" s="9"/>
      <c r="T61" s="9"/>
      <c r="U61" s="76"/>
      <c r="V61" s="49"/>
      <c r="W61" s="9"/>
      <c r="X61" s="9"/>
      <c r="Y61" s="76"/>
      <c r="Z61" s="76"/>
      <c r="AA61" s="76"/>
      <c r="AB61" s="76"/>
    </row>
    <row r="62" ht="14.25" customHeight="1">
      <c r="A62" s="89"/>
      <c r="B62" s="8">
        <v>15716.0</v>
      </c>
      <c r="C62" s="9" t="str">
        <f>VLOOKUP(B62,'FML March 2026'!E:F,2,false)</f>
        <v>FLAVOR VANILLA BOURBON ROYALE FOR ICE CREAM 1 GALLON PASTRY STAR (USA)</v>
      </c>
      <c r="D62" s="9" t="str">
        <f>VLOOKUP(B62,'Unit of Measure ship March 2026'!A:C,3,false)</f>
        <v>GAL</v>
      </c>
      <c r="F62" s="8"/>
      <c r="G62" s="90"/>
      <c r="H62" s="9"/>
      <c r="J62" s="49"/>
      <c r="K62" s="9"/>
      <c r="L62" s="9"/>
      <c r="N62" s="49"/>
      <c r="O62" s="9"/>
      <c r="P62" s="9"/>
      <c r="Q62" s="76"/>
      <c r="R62" s="49"/>
      <c r="S62" s="9"/>
      <c r="T62" s="9"/>
      <c r="U62" s="76"/>
      <c r="V62" s="49"/>
      <c r="W62" s="9"/>
      <c r="X62" s="9"/>
      <c r="Y62" s="76"/>
      <c r="Z62" s="76"/>
      <c r="AA62" s="76"/>
      <c r="AB62" s="76"/>
    </row>
    <row r="63" ht="14.25" customHeight="1">
      <c r="A63" s="89"/>
      <c r="B63" s="8">
        <v>111865.0</v>
      </c>
      <c r="C63" s="9" t="str">
        <f>VLOOKUP(B63,'FML March 2026'!E:F,2,false)</f>
        <v>FLOUR ALL PURPOSE SIR GALAHAD BAG50/LBS KING ARTHUR</v>
      </c>
      <c r="D63" s="9" t="str">
        <f>VLOOKUP(B63,'Unit of Measure ship March 2026'!A:C,3,false)</f>
        <v>LBS</v>
      </c>
      <c r="F63" s="8"/>
      <c r="G63" s="9"/>
      <c r="H63" s="9"/>
      <c r="J63" s="49"/>
      <c r="K63" s="9"/>
      <c r="L63" s="9"/>
      <c r="N63" s="49"/>
      <c r="O63" s="9"/>
      <c r="P63" s="9"/>
      <c r="Q63" s="76"/>
      <c r="R63" s="49"/>
      <c r="S63" s="9"/>
      <c r="T63" s="9"/>
      <c r="U63" s="76"/>
      <c r="V63" s="49"/>
      <c r="W63" s="9"/>
      <c r="X63" s="9"/>
      <c r="Y63" s="76"/>
      <c r="Z63" s="76"/>
      <c r="AA63" s="76"/>
      <c r="AB63" s="76"/>
    </row>
    <row r="64" ht="14.25" customHeight="1">
      <c r="A64" s="89"/>
      <c r="B64" s="8">
        <v>16332.0</v>
      </c>
      <c r="C64" s="9" t="str">
        <f>VLOOKUP(B64,'FML March 2026'!E:F,2,false)</f>
        <v>FLOUR CHICK PEA FLOUR BESAN/PACKER</v>
      </c>
      <c r="D64" s="9" t="str">
        <f>VLOOKUP(B64,'Unit of Measure ship March 2026'!A:C,3,false)</f>
        <v>LBS</v>
      </c>
      <c r="F64" s="8"/>
      <c r="G64" s="9"/>
      <c r="H64" s="9"/>
      <c r="J64" s="49"/>
      <c r="K64" s="9"/>
      <c r="L64" s="9"/>
      <c r="N64" s="49"/>
      <c r="O64" s="9"/>
      <c r="P64" s="9"/>
      <c r="Q64" s="76"/>
      <c r="R64" s="49"/>
      <c r="S64" s="9"/>
      <c r="T64" s="9"/>
      <c r="U64" s="76"/>
      <c r="V64" s="49"/>
      <c r="W64" s="9"/>
      <c r="X64" s="9"/>
      <c r="Y64" s="76"/>
      <c r="Z64" s="76"/>
      <c r="AA64" s="76"/>
      <c r="AB64" s="76"/>
    </row>
    <row r="65" ht="14.25" customHeight="1">
      <c r="A65" s="89"/>
      <c r="B65" s="8">
        <v>20883.0</v>
      </c>
      <c r="C65" s="9" t="str">
        <f>VLOOKUP(B65,'FML March 2026'!E:F,2,false)</f>
        <v>FLOUR GLUTENOUS RICE FLOUR</v>
      </c>
      <c r="D65" s="9" t="str">
        <f>VLOOKUP(B65,'Unit of Measure ship March 2026'!A:C,3,false)</f>
        <v>LBS</v>
      </c>
      <c r="F65" s="8"/>
      <c r="G65" s="9"/>
      <c r="H65" s="9"/>
      <c r="J65" s="49"/>
      <c r="K65" s="9"/>
      <c r="L65" s="9"/>
      <c r="N65" s="49"/>
      <c r="O65" s="9"/>
      <c r="P65" s="9"/>
      <c r="Q65" s="76"/>
      <c r="R65" s="49"/>
      <c r="S65" s="9"/>
      <c r="T65" s="9"/>
      <c r="U65" s="76"/>
      <c r="V65" s="49"/>
      <c r="W65" s="9"/>
      <c r="X65" s="9"/>
      <c r="Y65" s="76"/>
      <c r="Z65" s="76"/>
      <c r="AA65" s="76"/>
      <c r="AB65" s="76"/>
    </row>
    <row r="66" ht="14.25" customHeight="1">
      <c r="A66" s="89"/>
      <c r="B66" s="91">
        <v>15672.0</v>
      </c>
      <c r="C66" s="9" t="str">
        <f>VLOOKUP(B66,'FML March 2026'!E:F,2,false)</f>
        <v>FOOD COLOR RED 1/10.5 OZ CHEFMASTER</v>
      </c>
      <c r="D66" s="9" t="str">
        <f>VLOOKUP(B66,'Unit of Measure ship March 2026'!A:C,3,false)</f>
        <v>BTL/10OZ</v>
      </c>
      <c r="F66" s="8"/>
      <c r="G66" s="9"/>
      <c r="H66" s="9"/>
      <c r="J66" s="49"/>
      <c r="K66" s="9"/>
      <c r="L66" s="9"/>
      <c r="N66" s="49"/>
      <c r="O66" s="9"/>
      <c r="P66" s="9"/>
      <c r="Q66" s="76"/>
      <c r="R66" s="49"/>
      <c r="S66" s="9"/>
      <c r="T66" s="9"/>
      <c r="U66" s="76"/>
      <c r="V66" s="49"/>
      <c r="W66" s="9"/>
      <c r="X66" s="9"/>
      <c r="Y66" s="76"/>
      <c r="Z66" s="76"/>
      <c r="AA66" s="76"/>
      <c r="AB66" s="76"/>
    </row>
    <row r="67" ht="14.25" customHeight="1">
      <c r="A67" s="89"/>
      <c r="B67" s="8">
        <v>16337.0</v>
      </c>
      <c r="C67" s="9" t="str">
        <f>VLOOKUP(B67,'FML March 2026'!E:F,2,false)</f>
        <v>GARAM MASALA POWDER INDIAN SPICE D`ALLESANDRO/MAYA</v>
      </c>
      <c r="D67" s="9" t="str">
        <f>VLOOKUP(B67,'Unit of Measure ship March 2026'!A:C,3,false)</f>
        <v>LBS</v>
      </c>
      <c r="F67" s="8"/>
      <c r="G67" s="9"/>
      <c r="H67" s="9"/>
      <c r="J67" s="49"/>
      <c r="K67" s="9"/>
      <c r="L67" s="9"/>
      <c r="N67" s="49"/>
      <c r="O67" s="9"/>
      <c r="P67" s="9"/>
      <c r="Q67" s="76"/>
      <c r="R67" s="49"/>
      <c r="S67" s="9"/>
      <c r="T67" s="9"/>
      <c r="U67" s="76"/>
      <c r="V67" s="49"/>
      <c r="W67" s="9"/>
      <c r="X67" s="9"/>
      <c r="Y67" s="76"/>
      <c r="Z67" s="76"/>
      <c r="AA67" s="76"/>
      <c r="AB67" s="76"/>
    </row>
    <row r="68" ht="14.25" customHeight="1">
      <c r="A68" s="89"/>
      <c r="B68" s="8">
        <v>148494.0</v>
      </c>
      <c r="C68" s="9" t="str">
        <f>VLOOKUP(B68,'FML March 2026'!E:F,2,false)</f>
        <v>GLUCOSE POWDER KITCHEN ALCHEMY</v>
      </c>
      <c r="D68" s="9" t="str">
        <f>VLOOKUP(B68,'Unit of Measure ship March 2026'!A:C,3,false)</f>
        <v>LBS</v>
      </c>
      <c r="F68" s="8"/>
      <c r="G68" s="9"/>
      <c r="H68" s="9"/>
      <c r="J68" s="49"/>
      <c r="K68" s="9"/>
      <c r="L68" s="9"/>
      <c r="N68" s="49"/>
      <c r="O68" s="9"/>
      <c r="P68" s="9"/>
      <c r="Q68" s="76"/>
      <c r="R68" s="49"/>
      <c r="S68" s="9"/>
      <c r="T68" s="9"/>
      <c r="U68" s="76"/>
      <c r="V68" s="49"/>
      <c r="W68" s="9"/>
      <c r="X68" s="9"/>
      <c r="Y68" s="76"/>
      <c r="Z68" s="76"/>
      <c r="AA68" s="76"/>
      <c r="AB68" s="76"/>
    </row>
    <row r="69" ht="14.25" customHeight="1">
      <c r="A69" s="89"/>
      <c r="B69" s="91">
        <v>12666.0</v>
      </c>
      <c r="C69" s="9" t="str">
        <f>VLOOKUP(B69,'FML March 2026'!E:F,2,false)</f>
        <v>GLUTEN FREE WHITE RICE FLOUR</v>
      </c>
      <c r="D69" s="9" t="str">
        <f>VLOOKUP(B69,'Unit of Measure ship March 2026'!A:C,3,false)</f>
        <v>LBS</v>
      </c>
      <c r="F69" s="8"/>
      <c r="G69" s="9"/>
      <c r="H69" s="9"/>
      <c r="J69" s="49"/>
      <c r="K69" s="9"/>
      <c r="L69" s="9"/>
      <c r="N69" s="49"/>
      <c r="O69" s="9"/>
      <c r="P69" s="9"/>
      <c r="Q69" s="76"/>
      <c r="R69" s="49"/>
      <c r="S69" s="9"/>
      <c r="T69" s="9"/>
      <c r="U69" s="76"/>
      <c r="V69" s="49"/>
      <c r="W69" s="9"/>
      <c r="X69" s="9"/>
      <c r="Y69" s="76"/>
      <c r="Z69" s="76"/>
      <c r="AA69" s="76"/>
      <c r="AB69" s="76"/>
    </row>
    <row r="70" ht="14.25" customHeight="1">
      <c r="A70" s="89"/>
      <c r="B70" s="8">
        <v>51163.0</v>
      </c>
      <c r="C70" s="9" t="str">
        <f>VLOOKUP(B70,'FML March 2026'!E:F,2,false)</f>
        <v>GOLD LEAVES, 23K - BOOK DECO RELIEF/SWIFT 2.75" SQUARE</v>
      </c>
      <c r="D70" s="9" t="str">
        <f>VLOOKUP(B70,'Unit of Measure ship March 2026'!A:C,3,false)</f>
        <v>PC</v>
      </c>
      <c r="F70" s="8"/>
      <c r="G70" s="9"/>
      <c r="H70" s="9"/>
      <c r="J70" s="49"/>
      <c r="K70" s="9"/>
      <c r="L70" s="9"/>
      <c r="N70" s="49"/>
      <c r="O70" s="9"/>
      <c r="P70" s="9"/>
      <c r="Q70" s="76"/>
      <c r="R70" s="49"/>
      <c r="S70" s="9"/>
      <c r="T70" s="9"/>
      <c r="U70" s="76"/>
      <c r="V70" s="49"/>
      <c r="W70" s="9"/>
      <c r="X70" s="9"/>
      <c r="Y70" s="76"/>
      <c r="Z70" s="76"/>
      <c r="AA70" s="76"/>
      <c r="AB70" s="76"/>
    </row>
    <row r="71" ht="14.25" customHeight="1">
      <c r="A71" s="89"/>
      <c r="B71" s="17">
        <v>15058.0</v>
      </c>
      <c r="C71" s="9" t="str">
        <f>VLOOKUP(B71,'FML March 2026'!E:F,2,false)</f>
        <v>GRUYERE IGP SAVOIE CHABERT 40KG / DEXPA # 8681</v>
      </c>
      <c r="D71" s="9" t="str">
        <f>VLOOKUP(B71,'Unit of Measure ship March 2026'!A:C,3,false)</f>
        <v>LBS</v>
      </c>
      <c r="F71" s="8"/>
      <c r="G71" s="9"/>
      <c r="H71" s="9"/>
      <c r="J71" s="49"/>
      <c r="K71" s="9"/>
      <c r="L71" s="9"/>
      <c r="N71" s="49"/>
      <c r="O71" s="9"/>
      <c r="P71" s="9"/>
      <c r="Q71" s="76"/>
      <c r="R71" s="49"/>
      <c r="S71" s="9"/>
      <c r="T71" s="9"/>
      <c r="U71" s="76"/>
      <c r="V71" s="49"/>
      <c r="W71" s="9"/>
      <c r="X71" s="9"/>
      <c r="Y71" s="76"/>
      <c r="Z71" s="76"/>
      <c r="AA71" s="76"/>
      <c r="AB71" s="76"/>
    </row>
    <row r="72" ht="14.25" customHeight="1">
      <c r="A72" s="89"/>
      <c r="B72" s="91">
        <v>23904.0</v>
      </c>
      <c r="C72" s="9" t="str">
        <f>VLOOKUP(B72,'FML March 2026'!E:F,2,false)</f>
        <v>HEAVENLY ORGANICS, 100% RAW ACACIA HONEY ORGANIC</v>
      </c>
      <c r="D72" s="9" t="str">
        <f>VLOOKUP(B72,'Unit of Measure ship March 2026'!A:C,3,false)</f>
        <v>PC/13OZ</v>
      </c>
      <c r="F72" s="8"/>
      <c r="G72" s="9"/>
      <c r="H72" s="9"/>
      <c r="J72" s="49"/>
      <c r="K72" s="9"/>
      <c r="L72" s="9"/>
      <c r="N72" s="49"/>
      <c r="O72" s="9"/>
      <c r="P72" s="9"/>
      <c r="Q72" s="76"/>
      <c r="R72" s="49"/>
      <c r="S72" s="9"/>
      <c r="T72" s="9"/>
      <c r="U72" s="76"/>
      <c r="V72" s="49"/>
      <c r="W72" s="9"/>
      <c r="X72" s="9"/>
      <c r="Y72" s="76"/>
      <c r="Z72" s="76"/>
      <c r="AA72" s="76"/>
      <c r="AB72" s="76"/>
    </row>
    <row r="73" ht="14.25" customHeight="1">
      <c r="A73" s="89"/>
      <c r="B73" s="17">
        <v>14907.0</v>
      </c>
      <c r="C73" s="9" t="str">
        <f>VLOOKUP(B73,'FML March 2026'!E:F,2,false)</f>
        <v>HEAVY CREAM UHT LONG LIFE 38%-40% 12/1LT</v>
      </c>
      <c r="D73" s="9" t="str">
        <f>VLOOKUP(B73,'Unit of Measure ship March 2026'!A:C,3,false)</f>
        <v>LT</v>
      </c>
      <c r="F73" s="8"/>
      <c r="G73" s="9"/>
      <c r="H73" s="9"/>
      <c r="J73" s="49"/>
      <c r="K73" s="9"/>
      <c r="L73" s="9"/>
      <c r="N73" s="49"/>
      <c r="O73" s="9"/>
      <c r="P73" s="9"/>
      <c r="Q73" s="76"/>
      <c r="R73" s="49"/>
      <c r="S73" s="9"/>
      <c r="T73" s="9"/>
      <c r="U73" s="76"/>
      <c r="V73" s="49"/>
      <c r="W73" s="9"/>
      <c r="X73" s="9"/>
      <c r="Y73" s="76"/>
      <c r="Z73" s="76"/>
      <c r="AA73" s="76"/>
      <c r="AB73" s="76"/>
    </row>
    <row r="74" ht="14.25" customHeight="1">
      <c r="A74" s="89"/>
      <c r="B74" s="8">
        <v>15658.0</v>
      </c>
      <c r="C74" s="9" t="str">
        <f>VLOOKUP(B74,'FML March 2026'!E:F,2,false)</f>
        <v>HONEY 6/5 LB GROEB/MELONIA/SWEET HARVEST</v>
      </c>
      <c r="D74" s="9" t="str">
        <f>VLOOKUP(B74,'Unit of Measure ship March 2026'!A:C,3,false)</f>
        <v>KG</v>
      </c>
      <c r="F74" s="8"/>
      <c r="G74" s="9"/>
      <c r="H74" s="9"/>
      <c r="J74" s="49"/>
      <c r="K74" s="9"/>
      <c r="L74" s="9"/>
      <c r="N74" s="49"/>
      <c r="O74" s="9"/>
      <c r="P74" s="9"/>
      <c r="Q74" s="76"/>
      <c r="R74" s="49"/>
      <c r="S74" s="9"/>
      <c r="T74" s="9"/>
      <c r="U74" s="76"/>
      <c r="V74" s="49"/>
      <c r="W74" s="9"/>
      <c r="X74" s="9"/>
      <c r="Y74" s="76"/>
      <c r="Z74" s="76"/>
      <c r="AA74" s="76"/>
      <c r="AB74" s="76"/>
    </row>
    <row r="75" ht="14.25" customHeight="1">
      <c r="A75" s="89"/>
      <c r="B75" s="8">
        <v>109517.0</v>
      </c>
      <c r="C75" s="9" t="str">
        <f>VLOOKUP(B75,'FML March 2026'!E:F,2,false)</f>
        <v>JACKFRUIT IN SYRUP CANNED</v>
      </c>
      <c r="D75" s="9" t="str">
        <f>VLOOKUP(B75,'Unit of Measure ship March 2026'!A:C,3,false)</f>
        <v>LBS</v>
      </c>
      <c r="F75" s="8"/>
      <c r="G75" s="9"/>
      <c r="H75" s="9"/>
      <c r="J75" s="49"/>
      <c r="K75" s="9"/>
      <c r="L75" s="9"/>
      <c r="N75" s="49"/>
      <c r="O75" s="9"/>
      <c r="P75" s="9"/>
      <c r="Q75" s="76"/>
      <c r="R75" s="49"/>
      <c r="S75" s="9"/>
      <c r="T75" s="9"/>
      <c r="U75" s="76"/>
      <c r="V75" s="49"/>
      <c r="W75" s="9"/>
      <c r="X75" s="9"/>
      <c r="Y75" s="76"/>
      <c r="Z75" s="76"/>
      <c r="AA75" s="76"/>
      <c r="AB75" s="76"/>
    </row>
    <row r="76" ht="14.25" customHeight="1">
      <c r="A76" s="89"/>
      <c r="B76" s="8">
        <v>142508.0</v>
      </c>
      <c r="C76" s="9" t="str">
        <f>VLOOKUP(B76,'FML March 2026'!E:F,2,false)</f>
        <v>KASHMIRI CHILLI POWDER INDIAN SPICE - SWAD  14 OZ</v>
      </c>
      <c r="D76" s="9" t="str">
        <f>VLOOKUP(B76,'Unit of Measure ship March 2026'!A:C,3,false)</f>
        <v>LBS</v>
      </c>
      <c r="F76" s="8"/>
      <c r="G76" s="9"/>
      <c r="H76" s="9"/>
      <c r="J76" s="49"/>
      <c r="K76" s="9"/>
      <c r="L76" s="9"/>
      <c r="N76" s="49"/>
      <c r="O76" s="9"/>
      <c r="P76" s="9"/>
      <c r="Q76" s="76"/>
      <c r="R76" s="49"/>
      <c r="S76" s="9"/>
      <c r="T76" s="9"/>
      <c r="U76" s="76"/>
      <c r="V76" s="49"/>
      <c r="W76" s="9"/>
      <c r="X76" s="9"/>
      <c r="Y76" s="76"/>
      <c r="Z76" s="76"/>
      <c r="AA76" s="76"/>
      <c r="AB76" s="76"/>
    </row>
    <row r="77" ht="14.25" customHeight="1">
      <c r="A77" s="89"/>
      <c r="B77" s="92">
        <v>108981.0</v>
      </c>
      <c r="C77" s="9" t="str">
        <f>VLOOKUP(B77,'FML March 2026'!E:F,2,false)</f>
        <v>LENTILS - URAD DAL VV</v>
      </c>
      <c r="D77" s="9" t="str">
        <f>VLOOKUP(B77,'Unit of Measure ship March 2026'!A:C,3,false)</f>
        <v>LBS</v>
      </c>
      <c r="F77" s="8"/>
      <c r="G77" s="9"/>
      <c r="H77" s="9"/>
      <c r="J77" s="49"/>
      <c r="K77" s="9"/>
      <c r="L77" s="9"/>
      <c r="N77" s="49"/>
      <c r="O77" s="9"/>
      <c r="P77" s="9"/>
      <c r="Q77" s="76"/>
      <c r="R77" s="49"/>
      <c r="S77" s="9"/>
      <c r="T77" s="9"/>
      <c r="U77" s="76"/>
      <c r="V77" s="49"/>
      <c r="W77" s="9"/>
      <c r="X77" s="9"/>
      <c r="Y77" s="76"/>
      <c r="Z77" s="76"/>
      <c r="AA77" s="76"/>
      <c r="AB77" s="76"/>
    </row>
    <row r="78" ht="14.25" customHeight="1">
      <c r="A78" s="89"/>
      <c r="B78" s="8">
        <v>16525.0</v>
      </c>
      <c r="C78" s="9" t="str">
        <f>VLOOKUP(B78,'FML March 2026'!E:F,2,false)</f>
        <v>LYCHEES WHOLE IN HEAVY SURUP (CHINA)</v>
      </c>
      <c r="D78" s="35" t="s">
        <v>66</v>
      </c>
      <c r="F78" s="8"/>
      <c r="G78" s="9"/>
      <c r="H78" s="9"/>
      <c r="J78" s="49"/>
      <c r="K78" s="9"/>
      <c r="L78" s="9"/>
      <c r="N78" s="49"/>
      <c r="O78" s="9"/>
      <c r="P78" s="9"/>
      <c r="Q78" s="76"/>
      <c r="R78" s="49"/>
      <c r="S78" s="9"/>
      <c r="T78" s="9"/>
      <c r="U78" s="76"/>
      <c r="V78" s="49"/>
      <c r="W78" s="9"/>
      <c r="X78" s="9"/>
      <c r="Y78" s="76"/>
      <c r="Z78" s="76"/>
      <c r="AA78" s="76"/>
      <c r="AB78" s="76"/>
    </row>
    <row r="79" ht="14.25" customHeight="1">
      <c r="A79" s="89"/>
      <c r="B79" s="8">
        <v>15661.0</v>
      </c>
      <c r="C79" s="9" t="str">
        <f>VLOOKUP(B79,'FML March 2026'!E:F,2,false)</f>
        <v>MAG 140 OZ SWTND CONDENSED MILK</v>
      </c>
      <c r="D79" s="9" t="str">
        <f>VLOOKUP(B79,'Unit of Measure ship March 2026'!A:C,3,false)</f>
        <v>C3/140OZ</v>
      </c>
      <c r="F79" s="8"/>
      <c r="G79" s="9"/>
      <c r="H79" s="9"/>
      <c r="J79" s="49"/>
      <c r="K79" s="9"/>
      <c r="L79" s="9"/>
      <c r="N79" s="49"/>
      <c r="O79" s="9"/>
      <c r="P79" s="9"/>
      <c r="Q79" s="76"/>
      <c r="R79" s="49"/>
      <c r="S79" s="9"/>
      <c r="T79" s="9"/>
      <c r="U79" s="76"/>
      <c r="V79" s="49"/>
      <c r="W79" s="9"/>
      <c r="X79" s="9"/>
      <c r="Y79" s="76"/>
      <c r="Z79" s="76"/>
      <c r="AA79" s="76"/>
      <c r="AB79" s="76"/>
    </row>
    <row r="80" ht="14.25" customHeight="1">
      <c r="A80" s="89"/>
      <c r="B80" s="91">
        <v>110969.0</v>
      </c>
      <c r="C80" s="9" t="str">
        <f>VLOOKUP(B80,'FML March 2026'!E:F,2,false)</f>
        <v>MALTODEXTRINE</v>
      </c>
      <c r="D80" s="9" t="str">
        <f>VLOOKUP(B80,'Unit of Measure ship March 2026'!A:C,3,false)</f>
        <v>LBS</v>
      </c>
      <c r="F80" s="8"/>
      <c r="G80" s="9"/>
      <c r="H80" s="9"/>
      <c r="J80" s="49"/>
      <c r="K80" s="9"/>
      <c r="L80" s="9"/>
      <c r="N80" s="49"/>
      <c r="O80" s="9"/>
      <c r="P80" s="9"/>
      <c r="Q80" s="76"/>
      <c r="R80" s="49"/>
      <c r="S80" s="9"/>
      <c r="T80" s="9"/>
      <c r="U80" s="76"/>
      <c r="V80" s="49"/>
      <c r="W80" s="9"/>
      <c r="X80" s="9"/>
      <c r="Y80" s="76"/>
      <c r="Z80" s="76"/>
      <c r="AA80" s="76"/>
      <c r="AB80" s="76"/>
    </row>
    <row r="81" ht="14.25" customHeight="1">
      <c r="A81" s="89"/>
      <c r="B81" s="91">
        <v>102749.0</v>
      </c>
      <c r="C81" s="9" t="str">
        <f>VLOOKUP(B81,'FML March 2026'!E:F,2,false)</f>
        <v>MASHED POTATO PELLET PLAIN CS 4/2.5KG LUTOSA/ WHITE TOQUE (IRELAND)</v>
      </c>
      <c r="D81" s="9" t="str">
        <f>VLOOKUP(B81,'Unit of Measure ship March 2026'!A:C,3,false)</f>
        <v>LBS</v>
      </c>
      <c r="F81" s="8"/>
      <c r="G81" s="9"/>
      <c r="H81" s="9"/>
      <c r="J81" s="49"/>
      <c r="K81" s="9"/>
      <c r="L81" s="9"/>
      <c r="N81" s="49"/>
      <c r="O81" s="9"/>
      <c r="P81" s="9"/>
      <c r="Q81" s="76"/>
      <c r="R81" s="49"/>
      <c r="S81" s="9"/>
      <c r="T81" s="9"/>
      <c r="U81" s="76"/>
      <c r="V81" s="49"/>
      <c r="W81" s="9"/>
      <c r="X81" s="9"/>
      <c r="Y81" s="76"/>
      <c r="Z81" s="76"/>
      <c r="AA81" s="76"/>
      <c r="AB81" s="76"/>
    </row>
    <row r="82" ht="14.25" customHeight="1">
      <c r="A82" s="89"/>
      <c r="B82" s="8">
        <v>109667.0</v>
      </c>
      <c r="C82" s="9" t="str">
        <f>VLOOKUP(B82,'FML March 2026'!E:F,2,false)</f>
        <v>MAYONNAISE, UNILEVER - HELLMANN'S, 4800126530, DRY, 4/1 GAL</v>
      </c>
      <c r="D82" s="9" t="str">
        <f>VLOOKUP(B82,'Unit of Measure ship March 2026'!A:C,3,false)</f>
        <v>GAL</v>
      </c>
      <c r="F82" s="8"/>
      <c r="G82" s="9"/>
      <c r="H82" s="9"/>
      <c r="J82" s="49"/>
      <c r="K82" s="9"/>
      <c r="L82" s="9"/>
      <c r="N82" s="49"/>
      <c r="O82" s="9"/>
      <c r="P82" s="9"/>
      <c r="Q82" s="76"/>
      <c r="R82" s="49"/>
      <c r="S82" s="9"/>
      <c r="T82" s="9"/>
      <c r="U82" s="76"/>
      <c r="V82" s="49"/>
      <c r="W82" s="9"/>
      <c r="X82" s="9"/>
      <c r="Y82" s="76"/>
      <c r="Z82" s="76"/>
      <c r="AA82" s="76"/>
      <c r="AB82" s="76"/>
    </row>
    <row r="83" ht="14.25" customHeight="1">
      <c r="A83" s="89"/>
      <c r="B83" s="8">
        <v>110932.0</v>
      </c>
      <c r="C83" s="9" t="str">
        <f>VLOOKUP(B83,'FML March 2026'!E:F,2,false)</f>
        <v>MILK POWDER  NON-FAT INSTANT</v>
      </c>
      <c r="D83" s="9" t="str">
        <f>VLOOKUP(B83,'Unit of Measure ship March 2026'!A:C,3,false)</f>
        <v>LBS</v>
      </c>
      <c r="F83" s="8"/>
      <c r="G83" s="9"/>
      <c r="H83" s="9"/>
      <c r="J83" s="49"/>
      <c r="K83" s="9"/>
      <c r="L83" s="9"/>
      <c r="N83" s="49"/>
      <c r="O83" s="9"/>
      <c r="P83" s="9"/>
      <c r="Q83" s="76"/>
      <c r="R83" s="49"/>
      <c r="S83" s="9"/>
      <c r="T83" s="9"/>
      <c r="U83" s="76"/>
      <c r="V83" s="49"/>
      <c r="W83" s="9"/>
      <c r="X83" s="9"/>
      <c r="Y83" s="76"/>
      <c r="Z83" s="76"/>
      <c r="AA83" s="76"/>
      <c r="AB83" s="76"/>
    </row>
    <row r="84" ht="14.25" customHeight="1">
      <c r="A84" s="89"/>
      <c r="B84" s="8">
        <v>40127.0</v>
      </c>
      <c r="C84" s="9" t="str">
        <f>VLOOKUP(B84,'FML March 2026'!E:F,2,false)</f>
        <v>MILK, EVAPORATED MILK 24/12OZ 01501</v>
      </c>
      <c r="D84" s="9" t="str">
        <f>VLOOKUP(B84,'Unit of Measure ship March 2026'!A:C,3,false)</f>
        <v>TIN/320G</v>
      </c>
      <c r="F84" s="8"/>
      <c r="G84" s="9"/>
      <c r="H84" s="9"/>
      <c r="J84" s="49"/>
      <c r="K84" s="9"/>
      <c r="L84" s="9"/>
      <c r="N84" s="49"/>
      <c r="O84" s="9"/>
      <c r="P84" s="9"/>
      <c r="Q84" s="76"/>
      <c r="R84" s="49"/>
      <c r="S84" s="9"/>
      <c r="T84" s="9"/>
      <c r="U84" s="76"/>
      <c r="V84" s="49"/>
      <c r="W84" s="9"/>
      <c r="X84" s="9"/>
      <c r="Y84" s="76"/>
      <c r="Z84" s="76"/>
      <c r="AA84" s="76"/>
      <c r="AB84" s="76"/>
    </row>
    <row r="85" ht="14.25" customHeight="1">
      <c r="A85" s="89"/>
      <c r="B85" s="17">
        <v>14869.0</v>
      </c>
      <c r="C85" s="9" t="str">
        <f>VLOOKUP(B85,'FML March 2026'!E:F,2,false)</f>
        <v>MILK, UHT, WHOLE, 3.5% FAT, DRY, 12/1 LT</v>
      </c>
      <c r="D85" s="9" t="str">
        <f>VLOOKUP(B85,'Unit of Measure ship March 2026'!A:C,3,false)</f>
        <v>LT</v>
      </c>
      <c r="F85" s="8"/>
      <c r="G85" s="9"/>
      <c r="H85" s="9"/>
      <c r="J85" s="49"/>
      <c r="K85" s="9"/>
      <c r="L85" s="9"/>
      <c r="N85" s="49"/>
      <c r="O85" s="9"/>
      <c r="P85" s="9"/>
      <c r="Q85" s="76"/>
      <c r="R85" s="49"/>
      <c r="S85" s="9"/>
      <c r="T85" s="9"/>
      <c r="U85" s="76"/>
      <c r="V85" s="49"/>
      <c r="W85" s="9"/>
      <c r="X85" s="9"/>
      <c r="Y85" s="76"/>
      <c r="Z85" s="76"/>
      <c r="AA85" s="76"/>
      <c r="AB85" s="76"/>
    </row>
    <row r="86" ht="14.25" customHeight="1">
      <c r="A86" s="89"/>
      <c r="B86" s="17">
        <v>14994.0</v>
      </c>
      <c r="C86" s="9" t="str">
        <f>VLOOKUP(B86,'FML March 2026'!E:F,2,false)</f>
        <v>MOZZARELLA, DOMESTIC, LOAF</v>
      </c>
      <c r="D86" s="9" t="str">
        <f>VLOOKUP(B86,'Unit of Measure ship March 2026'!A:C,3,false)</f>
        <v>LBS</v>
      </c>
      <c r="F86" s="8"/>
      <c r="G86" s="9"/>
      <c r="H86" s="9"/>
      <c r="J86" s="49"/>
      <c r="K86" s="9"/>
      <c r="L86" s="9"/>
      <c r="N86" s="49"/>
      <c r="O86" s="9"/>
      <c r="P86" s="9"/>
      <c r="Q86" s="76"/>
      <c r="R86" s="49"/>
      <c r="S86" s="9"/>
      <c r="T86" s="9"/>
      <c r="U86" s="76"/>
      <c r="V86" s="49"/>
      <c r="W86" s="9"/>
      <c r="X86" s="9"/>
      <c r="Y86" s="76"/>
      <c r="Z86" s="76"/>
      <c r="AA86" s="76"/>
      <c r="AB86" s="76"/>
    </row>
    <row r="87" ht="14.25" customHeight="1">
      <c r="A87" s="89"/>
      <c r="B87" s="8">
        <v>16414.0</v>
      </c>
      <c r="C87" s="9" t="str">
        <f>VLOOKUP(B87,'FML March 2026'!E:F,2,false)</f>
        <v>MUSHROOM MOREL DRY</v>
      </c>
      <c r="D87" s="9" t="str">
        <f>VLOOKUP(B87,'Unit of Measure ship March 2026'!A:C,3,false)</f>
        <v>LBS</v>
      </c>
      <c r="F87" s="8"/>
      <c r="G87" s="9"/>
      <c r="H87" s="9"/>
      <c r="J87" s="49"/>
      <c r="K87" s="9"/>
      <c r="L87" s="9"/>
      <c r="N87" s="49"/>
      <c r="O87" s="9"/>
      <c r="P87" s="9"/>
      <c r="Q87" s="76"/>
      <c r="R87" s="49"/>
      <c r="S87" s="9"/>
      <c r="T87" s="9"/>
      <c r="U87" s="76"/>
      <c r="V87" s="49"/>
      <c r="W87" s="9"/>
      <c r="X87" s="9"/>
      <c r="Y87" s="76"/>
      <c r="Z87" s="76"/>
      <c r="AA87" s="76"/>
      <c r="AB87" s="76"/>
    </row>
    <row r="88" ht="14.25" customHeight="1">
      <c r="A88" s="89"/>
      <c r="B88" s="8">
        <v>142509.0</v>
      </c>
      <c r="C88" s="9" t="str">
        <f>VLOOKUP(B88,'FML March 2026'!E:F,2,false)</f>
        <v>MUSTARD SEEDS BLACK INDIAN SPICE - SWAD 14 OZ</v>
      </c>
      <c r="D88" s="9" t="str">
        <f>VLOOKUP(B88,'Unit of Measure ship March 2026'!A:C,3,false)</f>
        <v>LBS</v>
      </c>
      <c r="F88" s="8"/>
      <c r="G88" s="9"/>
      <c r="H88" s="9"/>
      <c r="J88" s="49"/>
      <c r="K88" s="9"/>
      <c r="L88" s="9"/>
      <c r="N88" s="49"/>
      <c r="O88" s="9"/>
      <c r="P88" s="9"/>
      <c r="Q88" s="76"/>
      <c r="R88" s="49"/>
      <c r="S88" s="9"/>
      <c r="T88" s="9"/>
      <c r="U88" s="76"/>
      <c r="V88" s="49"/>
      <c r="W88" s="9"/>
      <c r="X88" s="9"/>
      <c r="Y88" s="76"/>
      <c r="Z88" s="76"/>
      <c r="AA88" s="76"/>
      <c r="AB88" s="76"/>
    </row>
    <row r="89" ht="14.25" customHeight="1">
      <c r="A89" s="89"/>
      <c r="B89" s="8">
        <v>16869.0</v>
      </c>
      <c r="C89" s="9" t="str">
        <f>VLOOKUP(B89,'FML March 2026'!E:F,2,false)</f>
        <v>NUTS PEANUTS DRY ROASTED UNSALTED PLANTERS, 6/52 OZ</v>
      </c>
      <c r="D89" s="9" t="str">
        <f>VLOOKUP(B89,'Unit of Measure ship March 2026'!A:C,3,false)</f>
        <v>PC/52OZ</v>
      </c>
      <c r="F89" s="8"/>
      <c r="G89" s="9"/>
      <c r="H89" s="9"/>
      <c r="J89" s="49"/>
      <c r="K89" s="9"/>
      <c r="L89" s="9"/>
      <c r="N89" s="49"/>
      <c r="O89" s="9"/>
      <c r="P89" s="9"/>
      <c r="Q89" s="76"/>
      <c r="R89" s="49"/>
      <c r="S89" s="9"/>
      <c r="T89" s="9"/>
      <c r="U89" s="76"/>
      <c r="V89" s="49"/>
      <c r="W89" s="9"/>
      <c r="X89" s="9"/>
      <c r="Y89" s="76"/>
      <c r="Z89" s="76"/>
      <c r="AA89" s="76"/>
      <c r="AB89" s="76"/>
    </row>
    <row r="90" ht="14.25" customHeight="1">
      <c r="A90" s="89"/>
      <c r="B90" s="8">
        <v>16420.0</v>
      </c>
      <c r="C90" s="9" t="str">
        <f>VLOOKUP(B90,'FML March 2026'!E:F,2,false)</f>
        <v>OIL GRAPESEED (USA)</v>
      </c>
      <c r="D90" s="9" t="str">
        <f>VLOOKUP(B90,'Unit of Measure ship March 2026'!A:C,3,false)</f>
        <v>BTL/17OZ</v>
      </c>
      <c r="F90" s="8"/>
      <c r="G90" s="9"/>
      <c r="H90" s="9"/>
      <c r="J90" s="49"/>
      <c r="K90" s="9"/>
      <c r="L90" s="9"/>
      <c r="N90" s="49"/>
      <c r="O90" s="9"/>
      <c r="P90" s="9"/>
      <c r="Q90" s="76"/>
      <c r="R90" s="49"/>
      <c r="S90" s="9"/>
      <c r="T90" s="9"/>
      <c r="U90" s="76"/>
      <c r="V90" s="49"/>
      <c r="W90" s="9"/>
      <c r="X90" s="9"/>
      <c r="Y90" s="76"/>
      <c r="Z90" s="76"/>
      <c r="AA90" s="76"/>
      <c r="AB90" s="76"/>
    </row>
    <row r="91" ht="14.25" customHeight="1">
      <c r="A91" s="89"/>
      <c r="B91" s="93">
        <v>110938.0</v>
      </c>
      <c r="C91" s="9" t="str">
        <f>VLOOKUP(B91,'FML March 2026'!E:F,2,false)</f>
        <v>OIL PUMPKIN SEED CS6/250 ML LA TOURANGELLE </v>
      </c>
      <c r="D91" s="9" t="str">
        <f>VLOOKUP(B91,'Unit of Measure ship March 2026'!A:C,3,false)</f>
        <v>LT</v>
      </c>
      <c r="F91" s="8"/>
      <c r="G91" s="9"/>
      <c r="H91" s="9"/>
      <c r="J91" s="49"/>
      <c r="K91" s="9"/>
      <c r="L91" s="9"/>
      <c r="N91" s="49"/>
      <c r="O91" s="9"/>
      <c r="P91" s="9"/>
      <c r="Q91" s="76"/>
      <c r="R91" s="49"/>
      <c r="S91" s="9"/>
      <c r="T91" s="9"/>
      <c r="U91" s="76"/>
      <c r="V91" s="49"/>
      <c r="W91" s="9"/>
      <c r="X91" s="9"/>
      <c r="Y91" s="76"/>
      <c r="Z91" s="76"/>
      <c r="AA91" s="76"/>
      <c r="AB91" s="76"/>
    </row>
    <row r="92" ht="14.25" customHeight="1">
      <c r="A92" s="89"/>
      <c r="B92" s="18">
        <v>52602.0</v>
      </c>
      <c r="C92" s="9" t="str">
        <f>VLOOKUP(B92,'FML March 2026'!E:F,2,false)</f>
        <v>OIL, 100% OLIVE, EXTRA VIRGIN, DRY, 4/5 LT</v>
      </c>
      <c r="D92" s="9" t="str">
        <f>VLOOKUP(B92,'Unit of Measure ship March 2026'!A:C,3,false)</f>
        <v>LT</v>
      </c>
      <c r="F92" s="8"/>
      <c r="G92" s="9"/>
      <c r="H92" s="9"/>
      <c r="J92" s="49"/>
      <c r="K92" s="9"/>
      <c r="L92" s="9"/>
      <c r="N92" s="49"/>
      <c r="O92" s="9"/>
      <c r="P92" s="9"/>
      <c r="Q92" s="76"/>
      <c r="R92" s="49"/>
      <c r="S92" s="9"/>
      <c r="T92" s="9"/>
      <c r="U92" s="76"/>
      <c r="V92" s="49"/>
      <c r="W92" s="9"/>
      <c r="X92" s="9"/>
      <c r="Y92" s="76"/>
      <c r="Z92" s="76"/>
      <c r="AA92" s="76"/>
      <c r="AB92" s="76"/>
    </row>
    <row r="93" ht="14.25" customHeight="1">
      <c r="A93" s="89"/>
      <c r="B93" s="8">
        <v>16377.0</v>
      </c>
      <c r="C93" s="9" t="str">
        <f>VLOOKUP(B93,'FML March 2026'!E:F,2,false)</f>
        <v>OIL, 100% VEGETABLE SOYBEAN, DRY, 4/5 LT</v>
      </c>
      <c r="D93" s="9" t="str">
        <f>VLOOKUP(B93,'Unit of Measure ship March 2026'!A:C,3,false)</f>
        <v>C4/5LT</v>
      </c>
      <c r="F93" s="8"/>
      <c r="G93" s="9"/>
      <c r="H93" s="9"/>
      <c r="J93" s="49"/>
      <c r="K93" s="9"/>
      <c r="L93" s="9"/>
      <c r="N93" s="49"/>
      <c r="O93" s="9"/>
      <c r="P93" s="9"/>
      <c r="Q93" s="76"/>
      <c r="R93" s="49"/>
      <c r="S93" s="9"/>
      <c r="T93" s="9"/>
      <c r="U93" s="76"/>
      <c r="V93" s="49"/>
      <c r="W93" s="9"/>
      <c r="X93" s="9"/>
      <c r="Y93" s="76"/>
      <c r="Z93" s="76"/>
      <c r="AA93" s="76"/>
      <c r="AB93" s="76"/>
    </row>
    <row r="94" ht="14.25" customHeight="1">
      <c r="A94" s="89"/>
      <c r="B94" s="17">
        <v>10265.0</v>
      </c>
      <c r="C94" s="9" t="str">
        <f>VLOOKUP(B94,'FML March 2026'!E:F,2,false)</f>
        <v>OIL, FRYING, 100% SOYBEAN, TRANS FAT FREE, FLASHPOINT &gt;600F, DRY, 4/5 LT</v>
      </c>
      <c r="D94" s="9" t="str">
        <f>VLOOKUP(B94,'Unit of Measure ship March 2026'!A:C,3,false)</f>
        <v>CS4/5LT</v>
      </c>
      <c r="F94" s="8"/>
      <c r="G94" s="9"/>
      <c r="H94" s="9"/>
      <c r="J94" s="49"/>
      <c r="K94" s="9"/>
      <c r="L94" s="9"/>
      <c r="N94" s="49"/>
      <c r="O94" s="9"/>
      <c r="P94" s="9"/>
      <c r="Q94" s="76"/>
      <c r="R94" s="49"/>
      <c r="S94" s="9"/>
      <c r="T94" s="9"/>
      <c r="U94" s="76"/>
      <c r="V94" s="49"/>
      <c r="W94" s="9"/>
      <c r="X94" s="9"/>
      <c r="Y94" s="76"/>
      <c r="Z94" s="76"/>
      <c r="AA94" s="76"/>
      <c r="AB94" s="76"/>
    </row>
    <row r="95" ht="14.25" customHeight="1">
      <c r="A95" s="89"/>
      <c r="B95" s="8">
        <v>52603.0</v>
      </c>
      <c r="C95" s="9" t="str">
        <f>VLOOKUP(B95,'FML March 2026'!E:F,2,false)</f>
        <v>OLIVE/CANOLA BLEND OIL</v>
      </c>
      <c r="D95" s="9" t="str">
        <f>VLOOKUP(B95,'Unit of Measure ship March 2026'!A:C,3,false)</f>
        <v>LT</v>
      </c>
      <c r="F95" s="8"/>
      <c r="G95" s="9"/>
      <c r="H95" s="9"/>
      <c r="J95" s="49"/>
      <c r="K95" s="9"/>
      <c r="L95" s="9"/>
      <c r="N95" s="49"/>
      <c r="O95" s="9"/>
      <c r="P95" s="9"/>
      <c r="Q95" s="76"/>
      <c r="R95" s="49"/>
      <c r="S95" s="9"/>
      <c r="T95" s="9"/>
      <c r="U95" s="76"/>
      <c r="V95" s="49"/>
      <c r="W95" s="9"/>
      <c r="X95" s="9"/>
      <c r="Y95" s="76"/>
      <c r="Z95" s="76"/>
      <c r="AA95" s="76"/>
      <c r="AB95" s="76"/>
    </row>
    <row r="96" ht="14.25" customHeight="1">
      <c r="A96" s="89"/>
      <c r="B96" s="8">
        <v>111864.0</v>
      </c>
      <c r="C96" s="9" t="str">
        <f>VLOOKUP(B96,'FML March 2026'!E:F,2,false)</f>
        <v>ONIONS, PEARL ONIONS RED FRESH 1/12PT 4#/CS</v>
      </c>
      <c r="D96" s="9" t="str">
        <f>VLOOKUP(B96,'Unit of Measure ship March 2026'!A:C,3,false)</f>
        <v>LBS</v>
      </c>
      <c r="G96" s="9"/>
      <c r="H96" s="9"/>
      <c r="K96" s="9"/>
      <c r="L96" s="9"/>
      <c r="N96" s="49"/>
      <c r="O96" s="9"/>
      <c r="P96" s="9"/>
      <c r="Q96" s="76"/>
      <c r="R96" s="49"/>
      <c r="S96" s="9"/>
      <c r="T96" s="9"/>
      <c r="U96" s="76"/>
      <c r="V96" s="49"/>
      <c r="W96" s="9"/>
      <c r="X96" s="9"/>
      <c r="Y96" s="76"/>
      <c r="Z96" s="76"/>
      <c r="AA96" s="76"/>
      <c r="AB96" s="76"/>
    </row>
    <row r="97" ht="14.25" customHeight="1">
      <c r="A97" s="89"/>
      <c r="B97" s="91">
        <v>11263.0</v>
      </c>
      <c r="C97" s="9" t="str">
        <f>VLOOKUP(B97,'FML March 2026'!E:F,2,false)</f>
        <v>PALM SUGAR PURE THAILAND DUN G JONG/ TASTY JOY (THAILAND)</v>
      </c>
      <c r="D97" s="9" t="str">
        <f>VLOOKUP(B97,'Unit of Measure ship March 2026'!A:C,3,false)</f>
        <v>LBS</v>
      </c>
      <c r="G97" s="9"/>
      <c r="H97" s="9"/>
      <c r="K97" s="9"/>
      <c r="L97" s="9"/>
      <c r="N97" s="49"/>
      <c r="O97" s="9"/>
      <c r="P97" s="9"/>
      <c r="Q97" s="76"/>
      <c r="R97" s="49"/>
      <c r="S97" s="9"/>
      <c r="T97" s="9"/>
      <c r="U97" s="76"/>
      <c r="V97" s="49"/>
      <c r="W97" s="9"/>
      <c r="X97" s="9"/>
      <c r="Y97" s="76"/>
      <c r="Z97" s="76"/>
      <c r="AA97" s="76"/>
      <c r="AB97" s="76"/>
    </row>
    <row r="98" ht="14.25" customHeight="1">
      <c r="A98" s="89"/>
      <c r="B98" s="8">
        <v>16439.0</v>
      </c>
      <c r="C98" s="9" t="str">
        <f>VLOOKUP(B98,'FML March 2026'!E:F,2,false)</f>
        <v>PAN SPRAY NON STICK (USA)</v>
      </c>
      <c r="D98" s="9" t="str">
        <f>VLOOKUP(B98,'Unit of Measure ship March 2026'!A:C,3,false)</f>
        <v>CAN/14OZ</v>
      </c>
      <c r="G98" s="9"/>
      <c r="H98" s="9"/>
      <c r="K98" s="9"/>
      <c r="L98" s="9"/>
      <c r="N98" s="49"/>
      <c r="O98" s="9"/>
      <c r="P98" s="9"/>
      <c r="Q98" s="76"/>
      <c r="R98" s="49"/>
      <c r="S98" s="9"/>
      <c r="T98" s="9"/>
      <c r="U98" s="76"/>
      <c r="V98" s="49"/>
      <c r="W98" s="9"/>
      <c r="X98" s="9"/>
      <c r="Y98" s="76"/>
      <c r="Z98" s="76"/>
      <c r="AA98" s="76"/>
      <c r="AB98" s="76"/>
    </row>
    <row r="99" ht="14.25" customHeight="1">
      <c r="A99" s="89"/>
      <c r="B99" s="8">
        <v>142507.0</v>
      </c>
      <c r="C99" s="9" t="str">
        <f>VLOOKUP(B99,'FML March 2026'!E:F,2,false)</f>
        <v>PANCH PURAN INDIAN 5 SPICE MIX WHOLE</v>
      </c>
      <c r="D99" s="9" t="str">
        <f>VLOOKUP(B99,'Unit of Measure ship March 2026'!A:C,3,false)</f>
        <v>LBS</v>
      </c>
      <c r="G99" s="9"/>
      <c r="H99" s="9"/>
      <c r="J99" s="51"/>
      <c r="K99" s="9"/>
      <c r="L99" s="9"/>
      <c r="N99" s="49"/>
      <c r="O99" s="9"/>
      <c r="P99" s="9"/>
      <c r="Q99" s="76"/>
      <c r="R99" s="49"/>
      <c r="S99" s="9"/>
      <c r="T99" s="9"/>
      <c r="U99" s="76"/>
      <c r="V99" s="49"/>
      <c r="W99" s="9"/>
      <c r="X99" s="9"/>
      <c r="Y99" s="76"/>
      <c r="Z99" s="76"/>
      <c r="AA99" s="76"/>
      <c r="AB99" s="76"/>
    </row>
    <row r="100" ht="14.25" customHeight="1">
      <c r="A100" s="89"/>
      <c r="B100" s="8">
        <v>110837.0</v>
      </c>
      <c r="C100" s="9" t="str">
        <f>VLOOKUP(B100,'FML March 2026'!E:F,2,false)</f>
        <v>PANI PURI (CR) UNCOOKED READY TO FRY 200GR</v>
      </c>
      <c r="D100" s="9" t="str">
        <f>VLOOKUP(B100,'Unit of Measure ship March 2026'!A:C,3,false)</f>
        <v>PK/200GR</v>
      </c>
      <c r="G100" s="9"/>
      <c r="H100" s="9"/>
      <c r="J100" s="51"/>
      <c r="K100" s="9"/>
      <c r="L100" s="9"/>
      <c r="N100" s="49"/>
      <c r="O100" s="9"/>
      <c r="P100" s="9"/>
      <c r="Q100" s="76"/>
      <c r="R100" s="49"/>
      <c r="S100" s="9"/>
      <c r="T100" s="9"/>
      <c r="U100" s="76"/>
      <c r="V100" s="49"/>
      <c r="W100" s="9"/>
      <c r="X100" s="9"/>
      <c r="Y100" s="76"/>
      <c r="Z100" s="76"/>
      <c r="AA100" s="76"/>
      <c r="AB100" s="76"/>
    </row>
    <row r="101" ht="14.25" customHeight="1">
      <c r="A101" s="89"/>
      <c r="B101" s="8">
        <v>16538.0</v>
      </c>
      <c r="C101" s="9" t="str">
        <f>VLOOKUP(B101,'FML March 2026'!E:F,2,false)</f>
        <v>PAPADUMS 80 CT</v>
      </c>
      <c r="D101" s="9" t="str">
        <f>VLOOKUP(B101,'Unit of Measure ship March 2026'!A:C,3,false)</f>
        <v>PK/200GR</v>
      </c>
      <c r="G101" s="9"/>
      <c r="H101" s="9"/>
      <c r="J101" s="51"/>
      <c r="K101" s="9"/>
      <c r="L101" s="9"/>
      <c r="N101" s="49"/>
      <c r="O101" s="9"/>
      <c r="P101" s="9"/>
      <c r="Q101" s="76"/>
      <c r="R101" s="49"/>
      <c r="S101" s="9"/>
      <c r="T101" s="9"/>
      <c r="U101" s="76"/>
      <c r="V101" s="49"/>
      <c r="W101" s="9"/>
      <c r="X101" s="9"/>
      <c r="Y101" s="76"/>
      <c r="Z101" s="76"/>
      <c r="AA101" s="76"/>
      <c r="AB101" s="76"/>
    </row>
    <row r="102" ht="14.25" customHeight="1">
      <c r="A102" s="89"/>
      <c r="B102" s="91">
        <v>109697.0</v>
      </c>
      <c r="C102" s="9" t="str">
        <f>VLOOKUP(B102,'FML March 2026'!E:F,2,false)</f>
        <v>PAPRIKA SMOKED PKG 26.46  OZ LA CHINATA</v>
      </c>
      <c r="D102" s="9" t="str">
        <f>VLOOKUP(B102,'Unit of Measure ship March 2026'!A:C,3,false)</f>
        <v>KG</v>
      </c>
      <c r="G102" s="9"/>
      <c r="H102" s="9"/>
      <c r="J102" s="51"/>
      <c r="K102" s="9"/>
      <c r="L102" s="9"/>
      <c r="N102" s="49"/>
      <c r="O102" s="9"/>
      <c r="P102" s="9"/>
      <c r="Q102" s="76"/>
      <c r="R102" s="49"/>
      <c r="S102" s="9"/>
      <c r="T102" s="9"/>
      <c r="U102" s="76"/>
      <c r="V102" s="49"/>
      <c r="W102" s="9"/>
      <c r="X102" s="9"/>
      <c r="Y102" s="76"/>
      <c r="Z102" s="76"/>
      <c r="AA102" s="76"/>
      <c r="AB102" s="76"/>
    </row>
    <row r="103" ht="14.25" customHeight="1">
      <c r="A103" s="89"/>
      <c r="B103" s="8">
        <v>16269.0</v>
      </c>
      <c r="C103" s="9" t="str">
        <f>VLOOKUP(B103,'FML March 2026'!E:F,2,false)</f>
        <v>PAPRIKA SPANISH MUNOZ Y PUJANTE/ D`ALLESANDRO/ SPICECO</v>
      </c>
      <c r="D103" s="9" t="str">
        <f>VLOOKUP(B103,'Unit of Measure ship March 2026'!A:C,3,false)</f>
        <v>LBS</v>
      </c>
      <c r="G103" s="9"/>
      <c r="H103" s="9"/>
      <c r="J103" s="51"/>
      <c r="K103" s="9"/>
      <c r="L103" s="9"/>
      <c r="N103" s="49"/>
      <c r="O103" s="9"/>
      <c r="P103" s="9"/>
      <c r="Q103" s="76"/>
      <c r="R103" s="49"/>
      <c r="S103" s="9"/>
      <c r="T103" s="9"/>
      <c r="U103" s="76"/>
      <c r="V103" s="49"/>
      <c r="W103" s="9"/>
      <c r="X103" s="9"/>
      <c r="Y103" s="76"/>
      <c r="Z103" s="76"/>
      <c r="AA103" s="76"/>
      <c r="AB103" s="76"/>
    </row>
    <row r="104" ht="14.25" customHeight="1">
      <c r="A104" s="89"/>
      <c r="B104" s="8">
        <v>15973.0</v>
      </c>
      <c r="C104" s="9" t="str">
        <f>VLOOKUP(B104,'FML March 2026'!E:F,2,false)</f>
        <v>PASTA ORECCHIETTE - BARILLA BR56/ DE CECCO</v>
      </c>
      <c r="D104" s="9" t="str">
        <f>VLOOKUP(B104,'Unit of Measure ship March 2026'!A:C,3,false)</f>
        <v>LBS</v>
      </c>
      <c r="G104" s="9"/>
      <c r="H104" s="9"/>
      <c r="J104" s="51"/>
      <c r="K104" s="9"/>
      <c r="L104" s="9"/>
      <c r="N104" s="49"/>
      <c r="O104" s="9"/>
      <c r="P104" s="9"/>
      <c r="Q104" s="76"/>
      <c r="R104" s="49"/>
      <c r="S104" s="9"/>
      <c r="T104" s="9"/>
      <c r="U104" s="76"/>
      <c r="V104" s="49"/>
      <c r="W104" s="9"/>
      <c r="X104" s="9"/>
      <c r="Y104" s="76"/>
      <c r="Z104" s="76"/>
      <c r="AA104" s="76"/>
      <c r="AB104" s="76"/>
    </row>
    <row r="105" ht="14.25" customHeight="1">
      <c r="A105" s="89"/>
      <c r="B105" s="8">
        <v>15726.0</v>
      </c>
      <c r="C105" s="9" t="str">
        <f>VLOOKUP(B105,'FML March 2026'!E:F,2,false)</f>
        <v>PASTE PISTACHIO PATISFRANCE/CALLEBAUT</v>
      </c>
      <c r="D105" s="9" t="str">
        <f>VLOOKUP(B105,'Unit of Measure ship March 2026'!A:C,3,false)</f>
        <v>LBS</v>
      </c>
      <c r="G105" s="9"/>
      <c r="H105" s="9"/>
      <c r="J105" s="51"/>
      <c r="K105" s="9"/>
      <c r="L105" s="9"/>
      <c r="N105" s="49"/>
      <c r="O105" s="9"/>
      <c r="P105" s="9"/>
      <c r="Q105" s="76"/>
      <c r="R105" s="49"/>
      <c r="S105" s="9"/>
      <c r="T105" s="9"/>
      <c r="U105" s="76"/>
      <c r="V105" s="49"/>
      <c r="W105" s="9"/>
      <c r="X105" s="9"/>
      <c r="Y105" s="76"/>
      <c r="Z105" s="76"/>
      <c r="AA105" s="76"/>
      <c r="AB105" s="76"/>
    </row>
    <row r="106" ht="14.25" customHeight="1">
      <c r="A106" s="89"/>
      <c r="B106" s="8">
        <v>51211.0</v>
      </c>
      <c r="C106" s="9" t="str">
        <f>VLOOKUP(B106,'FML March 2026'!E:F,2,false)</f>
        <v>PASTE VANILLA FLAVOR 35 OZ PASTRY STAR #00057</v>
      </c>
      <c r="D106" s="9" t="str">
        <f>VLOOKUP(B106,'Unit of Measure ship March 2026'!A:C,3,false)</f>
        <v>BTL/35OZ</v>
      </c>
      <c r="G106" s="9"/>
      <c r="H106" s="9"/>
      <c r="J106" s="51"/>
      <c r="K106" s="9"/>
      <c r="L106" s="9"/>
      <c r="N106" s="49"/>
      <c r="O106" s="9"/>
      <c r="P106" s="9"/>
      <c r="Q106" s="76"/>
      <c r="R106" s="49"/>
      <c r="S106" s="9"/>
      <c r="T106" s="9"/>
      <c r="U106" s="76"/>
      <c r="V106" s="49"/>
      <c r="W106" s="9"/>
      <c r="X106" s="9"/>
      <c r="Y106" s="76"/>
      <c r="Z106" s="76"/>
      <c r="AA106" s="76"/>
      <c r="AB106" s="76"/>
    </row>
    <row r="107" ht="14.25" customHeight="1">
      <c r="A107" s="89"/>
      <c r="B107" s="8">
        <v>15819.0</v>
      </c>
      <c r="C107" s="9" t="str">
        <f>VLOOKUP(B107,'FML March 2026'!E:F,2,false)</f>
        <v>PECANS, HALVES, FANCY, JUMBO, DRY, 1/30 LB</v>
      </c>
      <c r="D107" s="9" t="str">
        <f>VLOOKUP(B107,'Unit of Measure ship March 2026'!A:C,3,false)</f>
        <v>LBS</v>
      </c>
      <c r="G107" s="9"/>
      <c r="H107" s="9"/>
      <c r="J107" s="51"/>
      <c r="K107" s="9"/>
      <c r="L107" s="9"/>
      <c r="N107" s="49"/>
      <c r="O107" s="9"/>
      <c r="P107" s="9"/>
      <c r="Q107" s="76"/>
      <c r="R107" s="49"/>
      <c r="S107" s="9"/>
      <c r="T107" s="9"/>
      <c r="U107" s="76"/>
      <c r="V107" s="49"/>
      <c r="W107" s="9"/>
      <c r="X107" s="9"/>
      <c r="Y107" s="76"/>
      <c r="Z107" s="76"/>
      <c r="AA107" s="76"/>
      <c r="AB107" s="76"/>
    </row>
    <row r="108" ht="14.25" customHeight="1">
      <c r="A108" s="89"/>
      <c r="B108" s="8">
        <v>108553.0</v>
      </c>
      <c r="C108" s="9" t="str">
        <f>VLOOKUP(B108,'FML March 2026'!E:F,2,false)</f>
        <v>PEPPER ARBOL  D'ALLESANDRO CS/5LB</v>
      </c>
      <c r="D108" s="9" t="str">
        <f>VLOOKUP(B108,'Unit of Measure ship March 2026'!A:C,3,false)</f>
        <v>KG</v>
      </c>
      <c r="G108" s="9"/>
      <c r="H108" s="9"/>
      <c r="J108" s="51"/>
      <c r="K108" s="9"/>
      <c r="L108" s="9"/>
      <c r="N108" s="49"/>
      <c r="O108" s="9"/>
      <c r="P108" s="9"/>
      <c r="Q108" s="76"/>
      <c r="R108" s="49"/>
      <c r="S108" s="9"/>
      <c r="T108" s="9"/>
      <c r="U108" s="76"/>
      <c r="V108" s="49"/>
      <c r="W108" s="9"/>
      <c r="X108" s="9"/>
      <c r="Y108" s="76"/>
      <c r="Z108" s="76"/>
      <c r="AA108" s="76"/>
      <c r="AB108" s="76"/>
    </row>
    <row r="109" ht="14.25" customHeight="1">
      <c r="A109" s="89"/>
      <c r="B109" s="8">
        <v>16302.0</v>
      </c>
      <c r="C109" s="9" t="str">
        <f>VLOOKUP(B109,'FML March 2026'!E:F,2,false)</f>
        <v>PEPPER CAYENNE GROUND BADIA (USA )</v>
      </c>
      <c r="D109" s="9" t="str">
        <f>VLOOKUP(B109,'Unit of Measure ship March 2026'!A:C,3,false)</f>
        <v>LBS</v>
      </c>
      <c r="G109" s="9"/>
      <c r="H109" s="9"/>
      <c r="J109" s="51"/>
      <c r="K109" s="9"/>
      <c r="L109" s="9"/>
      <c r="N109" s="49"/>
      <c r="O109" s="9"/>
      <c r="P109" s="9"/>
      <c r="Q109" s="76"/>
      <c r="R109" s="49"/>
      <c r="S109" s="9"/>
      <c r="T109" s="9"/>
      <c r="U109" s="76"/>
      <c r="V109" s="49"/>
      <c r="W109" s="9"/>
      <c r="X109" s="9"/>
      <c r="Y109" s="76"/>
      <c r="Z109" s="76"/>
      <c r="AA109" s="76"/>
      <c r="AB109" s="76"/>
    </row>
    <row r="110" ht="14.25" customHeight="1">
      <c r="A110" s="89"/>
      <c r="B110" s="8">
        <v>111696.0</v>
      </c>
      <c r="C110" s="9" t="str">
        <f>VLOOKUP(B110,'FML March 2026'!E:F,2,false)</f>
        <v>PEPPER CHILI DRIED MORITA  PKG1/LB WOODLAND FARMS</v>
      </c>
      <c r="D110" s="9" t="str">
        <f>VLOOKUP(B110,'Unit of Measure ship March 2026'!A:C,3,false)</f>
        <v>LBS</v>
      </c>
      <c r="G110" s="9"/>
      <c r="H110" s="9"/>
      <c r="J110" s="51"/>
      <c r="K110" s="9"/>
      <c r="L110" s="9"/>
      <c r="N110" s="49"/>
      <c r="O110" s="9"/>
      <c r="P110" s="9"/>
      <c r="Q110" s="76"/>
      <c r="R110" s="49"/>
      <c r="S110" s="9"/>
      <c r="T110" s="9"/>
      <c r="U110" s="76"/>
      <c r="V110" s="49"/>
      <c r="W110" s="9"/>
      <c r="X110" s="9"/>
      <c r="Y110" s="76"/>
      <c r="Z110" s="76"/>
      <c r="AA110" s="76"/>
      <c r="AB110" s="76"/>
    </row>
    <row r="111" ht="14.25" customHeight="1">
      <c r="A111" s="89"/>
      <c r="B111" s="8">
        <v>16285.0</v>
      </c>
      <c r="C111" s="9" t="str">
        <f>VLOOKUP(B111,'FML March 2026'!E:F,2,false)</f>
        <v>PEPPERCORN, BLACK, WHOLE, DRY, 6/420 G</v>
      </c>
      <c r="D111" s="9" t="str">
        <f>VLOOKUP(B111,'Unit of Measure ship March 2026'!A:C,3,false)</f>
        <v>LBS</v>
      </c>
      <c r="G111" s="9"/>
      <c r="H111" s="9"/>
      <c r="J111" s="51"/>
      <c r="K111" s="9"/>
      <c r="L111" s="9"/>
      <c r="N111" s="49"/>
      <c r="O111" s="9"/>
      <c r="P111" s="9"/>
      <c r="Q111" s="76"/>
      <c r="R111" s="49"/>
      <c r="S111" s="9"/>
      <c r="T111" s="9"/>
      <c r="U111" s="76"/>
      <c r="V111" s="49"/>
      <c r="W111" s="9"/>
      <c r="X111" s="9"/>
      <c r="Y111" s="76"/>
      <c r="Z111" s="76"/>
      <c r="AA111" s="76"/>
      <c r="AB111" s="76"/>
    </row>
    <row r="112" ht="14.25" customHeight="1">
      <c r="A112" s="89"/>
      <c r="B112" s="91">
        <v>142523.0</v>
      </c>
      <c r="C112" s="9" t="str">
        <f>VLOOKUP(B112,'FML March 2026'!E:F,2,false)</f>
        <v>PICKLE MASALA SPICE MIX POWDER</v>
      </c>
      <c r="D112" s="9" t="str">
        <f>VLOOKUP(B112,'Unit of Measure ship March 2026'!A:C,3,false)</f>
        <v>OZ</v>
      </c>
      <c r="G112" s="9"/>
      <c r="H112" s="9"/>
      <c r="J112" s="51"/>
      <c r="K112" s="9"/>
      <c r="L112" s="9"/>
      <c r="N112" s="49"/>
      <c r="O112" s="9"/>
      <c r="Q112" s="76"/>
      <c r="R112" s="49"/>
      <c r="S112" s="9"/>
      <c r="U112" s="76"/>
      <c r="V112" s="49"/>
      <c r="W112" s="9"/>
      <c r="Y112" s="76"/>
      <c r="Z112" s="76"/>
      <c r="AA112" s="76"/>
      <c r="AB112" s="76"/>
    </row>
    <row r="113" ht="14.25" customHeight="1">
      <c r="A113" s="89"/>
      <c r="B113" s="8">
        <v>15894.0</v>
      </c>
      <c r="C113" s="9" t="str">
        <f>VLOOKUP(B113,'FML March 2026'!E:F,2,false)</f>
        <v>PISTACHIO NUTS WHOLE SHELLED RAW NUTLAND</v>
      </c>
      <c r="D113" s="9" t="str">
        <f>VLOOKUP(B113,'Unit of Measure ship March 2026'!A:C,3,false)</f>
        <v>LBS</v>
      </c>
      <c r="G113" s="9"/>
      <c r="H113" s="9"/>
      <c r="J113" s="51"/>
      <c r="K113" s="9"/>
      <c r="L113" s="9"/>
      <c r="N113" s="49"/>
      <c r="O113" s="9"/>
      <c r="Q113" s="76"/>
      <c r="R113" s="49"/>
      <c r="S113" s="9"/>
      <c r="U113" s="76"/>
      <c r="V113" s="49"/>
      <c r="W113" s="9"/>
      <c r="Y113" s="76"/>
      <c r="Z113" s="76"/>
      <c r="AA113" s="76"/>
      <c r="AB113" s="76"/>
    </row>
    <row r="114" ht="14.25" customHeight="1">
      <c r="A114" s="89"/>
      <c r="B114" s="8">
        <v>109646.0</v>
      </c>
      <c r="C114" s="9" t="str">
        <f>VLOOKUP(B114,'FML March 2026'!E:F,2,false)</f>
        <v>PISTACHIOS, IRANIAN BAZZINI</v>
      </c>
      <c r="D114" s="9" t="str">
        <f>VLOOKUP(B114,'Unit of Measure ship March 2026'!A:C,3,false)</f>
        <v>KG</v>
      </c>
      <c r="G114" s="9"/>
      <c r="H114" s="9"/>
      <c r="J114" s="51"/>
      <c r="K114" s="9"/>
      <c r="L114" s="9"/>
      <c r="N114" s="49"/>
      <c r="O114" s="9"/>
      <c r="Q114" s="76"/>
      <c r="R114" s="49"/>
      <c r="S114" s="9"/>
      <c r="U114" s="76"/>
      <c r="V114" s="49"/>
      <c r="W114" s="9"/>
      <c r="Y114" s="76"/>
      <c r="Z114" s="76"/>
      <c r="AA114" s="76"/>
      <c r="AB114" s="76"/>
    </row>
    <row r="115" ht="14.25" customHeight="1">
      <c r="A115" s="89"/>
      <c r="B115" s="91">
        <v>110935.0</v>
      </c>
      <c r="C115" s="9" t="str">
        <f>VLOOKUP(B115,'FML March 2026'!E:F,2,false)</f>
        <v>PORCINI POWDER</v>
      </c>
      <c r="D115" s="9" t="str">
        <f>VLOOKUP(B115,'Unit of Measure ship March 2026'!A:C,3,false)</f>
        <v>LBS</v>
      </c>
      <c r="G115" s="9"/>
      <c r="H115" s="9"/>
      <c r="J115" s="51"/>
      <c r="K115" s="9"/>
      <c r="L115" s="9"/>
      <c r="N115" s="49"/>
      <c r="O115" s="9"/>
      <c r="Q115" s="76"/>
      <c r="R115" s="49"/>
      <c r="S115" s="9"/>
      <c r="U115" s="76"/>
      <c r="V115" s="49"/>
      <c r="W115" s="9"/>
      <c r="Y115" s="76"/>
      <c r="Z115" s="76"/>
      <c r="AA115" s="76"/>
      <c r="AB115" s="76"/>
    </row>
    <row r="116" ht="14.25" customHeight="1">
      <c r="A116" s="89"/>
      <c r="B116" s="92">
        <v>111998.0</v>
      </c>
      <c r="C116" s="9" t="str">
        <f>VLOOKUP(B116,'FML March 2026'!E:F,2,false)</f>
        <v>PUREE TAMARIND CS6/30 OZ PERFECT PUREE</v>
      </c>
      <c r="D116" s="9" t="str">
        <f>VLOOKUP(B116,'Unit of Measure ship March 2026'!A:C,3,false)</f>
        <v>LBS</v>
      </c>
      <c r="G116" s="9"/>
      <c r="H116" s="9"/>
      <c r="J116" s="51"/>
      <c r="K116" s="9"/>
      <c r="L116" s="9"/>
      <c r="N116" s="49"/>
      <c r="O116" s="9"/>
      <c r="Q116" s="76"/>
      <c r="R116" s="49"/>
      <c r="S116" s="9"/>
      <c r="U116" s="76"/>
      <c r="V116" s="49"/>
      <c r="W116" s="9"/>
      <c r="Y116" s="76"/>
      <c r="Z116" s="76"/>
      <c r="AA116" s="76"/>
      <c r="AB116" s="76"/>
    </row>
    <row r="117" ht="14.25" customHeight="1">
      <c r="A117" s="89"/>
      <c r="B117" s="8">
        <v>15805.0</v>
      </c>
      <c r="C117" s="9" t="str">
        <f>VLOOKUP(B117,'FML March 2026'!E:F,2,false)</f>
        <v>RAISINS GOLDEN SEEDLESS</v>
      </c>
      <c r="D117" s="9" t="str">
        <f>VLOOKUP(B117,'Unit of Measure ship March 2026'!A:C,3,false)</f>
        <v>LBS</v>
      </c>
      <c r="G117" s="9"/>
      <c r="H117" s="9"/>
      <c r="J117" s="51"/>
      <c r="K117" s="9"/>
      <c r="L117" s="9"/>
      <c r="N117" s="49"/>
      <c r="O117" s="9"/>
      <c r="Q117" s="76"/>
      <c r="R117" s="49"/>
      <c r="S117" s="9"/>
      <c r="U117" s="76"/>
      <c r="V117" s="49"/>
      <c r="W117" s="9"/>
      <c r="Y117" s="76"/>
      <c r="Z117" s="76"/>
      <c r="AA117" s="76"/>
      <c r="AB117" s="76"/>
    </row>
    <row r="118" ht="14.25" customHeight="1">
      <c r="A118" s="89"/>
      <c r="B118" s="91">
        <v>15804.0</v>
      </c>
      <c r="C118" s="9" t="str">
        <f>VLOOKUP(B118,'FML March 2026'!E:F,2,false)</f>
        <v>RAISINS, THOMPSON, MEDIUM, SEEDLESS, BLACK, CHL, 1/30 LB</v>
      </c>
      <c r="D118" s="9" t="str">
        <f>VLOOKUP(B118,'Unit of Measure ship March 2026'!A:C,3,false)</f>
        <v>LBS</v>
      </c>
      <c r="G118" s="9"/>
      <c r="H118" s="9"/>
      <c r="J118" s="51"/>
      <c r="K118" s="9"/>
      <c r="L118" s="9"/>
      <c r="N118" s="49"/>
      <c r="O118" s="9"/>
      <c r="Q118" s="76"/>
      <c r="R118" s="49"/>
      <c r="S118" s="9"/>
      <c r="U118" s="76"/>
      <c r="V118" s="49"/>
      <c r="W118" s="9"/>
      <c r="Y118" s="76"/>
      <c r="Z118" s="76"/>
      <c r="AA118" s="76"/>
      <c r="AB118" s="76"/>
    </row>
    <row r="119" ht="14.25" customHeight="1">
      <c r="A119" s="89"/>
      <c r="B119" s="8">
        <v>38014.0</v>
      </c>
      <c r="C119" s="9" t="str">
        <f>VLOOKUP(B119,'FML March 2026'!E:F,2,false)</f>
        <v>RICE, BASMATI, FULL GRAIN, AGED, DRY, 1/40 LB</v>
      </c>
      <c r="D119" s="9" t="str">
        <f>VLOOKUP(B119,'Unit of Measure ship March 2026'!A:C,3,false)</f>
        <v>LBS</v>
      </c>
      <c r="G119" s="9"/>
      <c r="H119" s="9"/>
      <c r="J119" s="51"/>
      <c r="K119" s="9"/>
      <c r="L119" s="9"/>
      <c r="N119" s="49"/>
      <c r="O119" s="9"/>
      <c r="Q119" s="76"/>
      <c r="R119" s="49"/>
      <c r="S119" s="9"/>
      <c r="U119" s="76"/>
      <c r="V119" s="49"/>
      <c r="W119" s="9"/>
      <c r="Y119" s="76"/>
      <c r="Z119" s="76"/>
      <c r="AA119" s="76"/>
      <c r="AB119" s="76"/>
    </row>
    <row r="120" ht="14.25" customHeight="1">
      <c r="A120" s="89"/>
      <c r="B120" s="8">
        <v>53368.0</v>
      </c>
      <c r="C120" s="9" t="str">
        <f>VLOOKUP(B120,'FML March 2026'!E:F,2,false)</f>
        <v>ROGAN JOSH MASALA SPICE MIX POWDER</v>
      </c>
      <c r="D120" s="9" t="str">
        <f>VLOOKUP(B120,'Unit of Measure ship March 2026'!A:C,3,false)</f>
        <v>LBS</v>
      </c>
      <c r="G120" s="9"/>
      <c r="H120" s="9"/>
      <c r="N120" s="49"/>
      <c r="O120" s="9"/>
      <c r="Q120" s="76"/>
      <c r="R120" s="49"/>
      <c r="S120" s="9"/>
      <c r="U120" s="76"/>
      <c r="V120" s="49"/>
      <c r="W120" s="9"/>
      <c r="Y120" s="76"/>
      <c r="Z120" s="76"/>
      <c r="AA120" s="76"/>
      <c r="AB120" s="76"/>
    </row>
    <row r="121" ht="14.25" customHeight="1">
      <c r="A121" s="89"/>
      <c r="B121" s="91">
        <v>112618.0</v>
      </c>
      <c r="C121" s="9" t="str">
        <f>VLOOKUP(B121,'FML March 2026'!E:F,2,false)</f>
        <v>ROSE ESSENCE ANGEL BAKE VV</v>
      </c>
      <c r="D121" s="9" t="str">
        <f>VLOOKUP(B121,'Unit of Measure ship March 2026'!A:C,3,false)</f>
        <v>PKG2/OZ</v>
      </c>
      <c r="G121" s="9"/>
      <c r="H121" s="9"/>
      <c r="N121" s="49"/>
      <c r="O121" s="9"/>
      <c r="Q121" s="76"/>
      <c r="R121" s="49"/>
      <c r="S121" s="9"/>
      <c r="U121" s="76"/>
      <c r="V121" s="49"/>
      <c r="W121" s="9"/>
      <c r="Y121" s="76"/>
      <c r="Z121" s="76"/>
      <c r="AA121" s="76"/>
      <c r="AB121" s="76"/>
    </row>
    <row r="122" ht="14.25" customHeight="1">
      <c r="A122" s="89"/>
      <c r="B122" s="8">
        <v>111019.0</v>
      </c>
      <c r="C122" s="9" t="str">
        <f>VLOOKUP(B122,'FML March 2026'!E:F,2,false)</f>
        <v>ROSE PETAL DRIED CS6/1.3OZ D''ALLESANDRO</v>
      </c>
      <c r="D122" s="9" t="str">
        <f>VLOOKUP(B122,'Unit of Measure ship March 2026'!A:C,3,false)</f>
        <v>PK1.3/OZ</v>
      </c>
      <c r="G122" s="9"/>
      <c r="H122" s="9"/>
      <c r="N122" s="49"/>
      <c r="O122" s="9"/>
      <c r="Q122" s="76"/>
      <c r="R122" s="49"/>
      <c r="S122" s="9"/>
      <c r="U122" s="76"/>
      <c r="V122" s="49"/>
      <c r="W122" s="9"/>
      <c r="Y122" s="76"/>
      <c r="Z122" s="76"/>
      <c r="AA122" s="76"/>
      <c r="AB122" s="76"/>
    </row>
    <row r="123" ht="14.25" customHeight="1">
      <c r="A123" s="89"/>
      <c r="B123" s="8">
        <v>144832.0</v>
      </c>
      <c r="C123" s="9" t="str">
        <f>VLOOKUP(B123,'FML March 2026'!E:F,2,false)</f>
        <v>SABUDANA TAPIOCA PEARLS</v>
      </c>
      <c r="D123" s="9" t="str">
        <f>VLOOKUP(B123,'Unit of Measure ship March 2026'!A:C,3,false)</f>
        <v>KG</v>
      </c>
      <c r="G123" s="9"/>
      <c r="H123" s="9"/>
      <c r="N123" s="49"/>
      <c r="O123" s="9"/>
      <c r="Q123" s="76"/>
      <c r="R123" s="49"/>
      <c r="S123" s="9"/>
      <c r="U123" s="76"/>
      <c r="V123" s="49"/>
      <c r="W123" s="9"/>
      <c r="Y123" s="76"/>
      <c r="Z123" s="76"/>
      <c r="AA123" s="76"/>
      <c r="AB123" s="76"/>
    </row>
    <row r="124" ht="15.75" customHeight="1">
      <c r="A124" s="89"/>
      <c r="B124" s="91">
        <v>33324.0</v>
      </c>
      <c r="C124" s="9" t="str">
        <f>VLOOKUP(B124,'FML March 2026'!E:F,2,false)</f>
        <v>SAFFRON POWDER MANCHA 1 OZ (IRAN)</v>
      </c>
      <c r="D124" s="9" t="str">
        <f>VLOOKUP(B124,'Unit of Measure ship March 2026'!A:C,3,false)</f>
        <v>CAN/1-OZ</v>
      </c>
      <c r="N124" s="49"/>
      <c r="O124" s="9"/>
      <c r="Q124" s="76"/>
      <c r="R124" s="49"/>
      <c r="S124" s="9"/>
      <c r="U124" s="76"/>
      <c r="V124" s="49"/>
      <c r="W124" s="9"/>
      <c r="Y124" s="76"/>
      <c r="Z124" s="76"/>
      <c r="AA124" s="76"/>
      <c r="AB124" s="76"/>
    </row>
    <row r="125" ht="15.75" customHeight="1">
      <c r="A125" s="89"/>
      <c r="B125" s="8">
        <v>16307.0</v>
      </c>
      <c r="C125" s="9" t="str">
        <f>VLOOKUP(B125,'FML March 2026'!E:F,2,false)</f>
        <v>SALT KOSHER GRANULATED</v>
      </c>
      <c r="D125" s="9" t="str">
        <f>VLOOKUP(B125,'Unit of Measure ship March 2026'!A:C,3,false)</f>
        <v>LBS</v>
      </c>
      <c r="N125" s="49"/>
      <c r="O125" s="9"/>
      <c r="Q125" s="76"/>
      <c r="R125" s="49"/>
      <c r="S125" s="9"/>
      <c r="U125" s="76"/>
      <c r="V125" s="49"/>
      <c r="W125" s="9"/>
      <c r="Y125" s="76"/>
      <c r="Z125" s="76"/>
      <c r="AA125" s="76"/>
      <c r="AB125" s="76"/>
    </row>
    <row r="126" ht="15.75" customHeight="1">
      <c r="A126" s="89"/>
      <c r="B126" s="8">
        <v>20880.0</v>
      </c>
      <c r="C126" s="9" t="str">
        <f>VLOOKUP(B126,'FML March 2026'!E:F,2,false)</f>
        <v>SALT SEA MALDON</v>
      </c>
      <c r="D126" s="9" t="str">
        <f>VLOOKUP(B126,'Unit of Measure ship March 2026'!A:C,3,false)</f>
        <v>LBS</v>
      </c>
      <c r="N126" s="49"/>
      <c r="O126" s="9"/>
      <c r="Q126" s="76"/>
      <c r="R126" s="49"/>
      <c r="S126" s="9"/>
      <c r="U126" s="76"/>
      <c r="V126" s="49"/>
      <c r="W126" s="9"/>
      <c r="Y126" s="76"/>
      <c r="Z126" s="76"/>
      <c r="AA126" s="76"/>
      <c r="AB126" s="76"/>
    </row>
    <row r="127" ht="15.75" customHeight="1">
      <c r="A127" s="89"/>
      <c r="B127" s="8">
        <v>16409.0</v>
      </c>
      <c r="C127" s="9" t="str">
        <f>VLOOKUP(B127,'FML March 2026'!E:F,2,false)</f>
        <v>SAMBAL OELEK CHILI SAUCE</v>
      </c>
      <c r="D127" s="9" t="str">
        <f>VLOOKUP(B127,'Unit of Measure ship March 2026'!A:C,3,false)</f>
        <v>BT/18OZ</v>
      </c>
      <c r="N127" s="49"/>
      <c r="O127" s="9"/>
      <c r="Q127" s="76"/>
      <c r="R127" s="49"/>
      <c r="S127" s="9"/>
      <c r="U127" s="76"/>
      <c r="V127" s="49"/>
      <c r="W127" s="9"/>
      <c r="Y127" s="76"/>
      <c r="Z127" s="76"/>
      <c r="AA127" s="76"/>
      <c r="AB127" s="76"/>
    </row>
    <row r="128" ht="15.75" customHeight="1">
      <c r="A128" s="89"/>
      <c r="B128" s="8">
        <v>16595.0</v>
      </c>
      <c r="C128" s="9" t="str">
        <f>VLOOKUP(B128,'FML March 2026'!E:F,2,false)</f>
        <v>SAMBAR SPICE MIX POWDER VV ONLY</v>
      </c>
      <c r="D128" s="9" t="str">
        <f>VLOOKUP(B128,'Unit of Measure ship March 2026'!A:C,3,false)</f>
        <v>JAR/1LBS</v>
      </c>
      <c r="N128" s="49"/>
      <c r="O128" s="9"/>
      <c r="Q128" s="76"/>
      <c r="R128" s="49"/>
      <c r="S128" s="9"/>
      <c r="U128" s="76"/>
      <c r="V128" s="49"/>
      <c r="W128" s="9"/>
      <c r="Y128" s="76"/>
      <c r="Z128" s="76"/>
      <c r="AA128" s="76"/>
      <c r="AB128" s="76"/>
    </row>
    <row r="129" ht="15.75" customHeight="1">
      <c r="A129" s="89"/>
      <c r="B129" s="8">
        <v>15818.0</v>
      </c>
      <c r="C129" s="9" t="str">
        <f>VLOOKUP(B129,'FML March 2026'!E:F,2,false)</f>
        <v>SESAME SEEDS WHITE BADIA (USA )</v>
      </c>
      <c r="D129" s="9" t="str">
        <f>VLOOKUP(B129,'Unit of Measure ship March 2026'!A:C,3,false)</f>
        <v>LBS</v>
      </c>
      <c r="N129" s="49"/>
      <c r="O129" s="9"/>
      <c r="Q129" s="76"/>
      <c r="R129" s="49"/>
      <c r="S129" s="9"/>
      <c r="U129" s="76"/>
      <c r="V129" s="49"/>
      <c r="W129" s="9"/>
      <c r="Y129" s="76"/>
      <c r="Z129" s="76"/>
      <c r="AA129" s="76"/>
      <c r="AB129" s="76"/>
    </row>
    <row r="130" ht="15.75" customHeight="1">
      <c r="A130" s="89"/>
      <c r="B130" s="91">
        <v>111141.0</v>
      </c>
      <c r="C130" s="9" t="str">
        <f>VLOOKUP(B130,'FML March 2026'!E:F,2,false)</f>
        <v>SHITAKE MUSHROOM POWDER CS6/8OZ D'ALLESANDRO</v>
      </c>
      <c r="D130" s="9" t="str">
        <f>VLOOKUP(B130,'Unit of Measure ship March 2026'!A:C,3,false)</f>
        <v>LBS</v>
      </c>
      <c r="N130" s="49"/>
      <c r="O130" s="9"/>
      <c r="Q130" s="76"/>
      <c r="R130" s="49"/>
      <c r="S130" s="9"/>
      <c r="U130" s="76"/>
      <c r="V130" s="49"/>
      <c r="W130" s="9"/>
      <c r="Y130" s="76"/>
      <c r="Z130" s="76"/>
      <c r="AA130" s="76"/>
      <c r="AB130" s="76"/>
    </row>
    <row r="131" ht="15.75" customHeight="1">
      <c r="A131" s="89"/>
      <c r="B131" s="8">
        <v>102790.0</v>
      </c>
      <c r="C131" s="9" t="str">
        <f>VLOOKUP(B131,'FML March 2026'!E:F,2,false)</f>
        <v>SHREDDED COCONUT MED RAW ORGANIC 25LB</v>
      </c>
      <c r="D131" s="9" t="str">
        <f>VLOOKUP(B131,'Unit of Measure ship March 2026'!A:C,3,false)</f>
        <v>LBS</v>
      </c>
      <c r="N131" s="49"/>
      <c r="O131" s="9"/>
      <c r="Q131" s="76"/>
      <c r="R131" s="49"/>
      <c r="S131" s="9"/>
      <c r="U131" s="76"/>
      <c r="V131" s="49"/>
      <c r="W131" s="9"/>
      <c r="Y131" s="76"/>
      <c r="Z131" s="76"/>
      <c r="AA131" s="76"/>
      <c r="AB131" s="76"/>
    </row>
    <row r="132" ht="15.75" customHeight="1">
      <c r="A132" s="89"/>
      <c r="B132" s="8">
        <v>40567.0</v>
      </c>
      <c r="C132" s="9" t="str">
        <f>VLOOKUP(B132,'FML March 2026'!E:F,2,false)</f>
        <v>SOOJI WHEAT FARINA FINE</v>
      </c>
      <c r="D132" s="9" t="str">
        <f>VLOOKUP(B132,'Unit of Measure ship March 2026'!A:C,3,false)</f>
        <v>PK/250GR</v>
      </c>
      <c r="N132" s="49"/>
      <c r="O132" s="9"/>
      <c r="Q132" s="76"/>
      <c r="R132" s="49"/>
      <c r="S132" s="9"/>
      <c r="U132" s="76"/>
      <c r="V132" s="49"/>
      <c r="W132" s="9"/>
      <c r="Y132" s="76"/>
      <c r="Z132" s="76"/>
      <c r="AA132" s="76"/>
      <c r="AB132" s="76"/>
    </row>
    <row r="133" ht="15.75" customHeight="1">
      <c r="A133" s="89"/>
      <c r="B133" s="8">
        <v>111762.0</v>
      </c>
      <c r="C133" s="9" t="str">
        <f>VLOOKUP(B133,'FML March 2026'!E:F,2,false)</f>
        <v>SPICE KASOORI METHIMDH/ EVEREST</v>
      </c>
      <c r="D133" s="9" t="str">
        <f>VLOOKUP(B133,'Unit of Measure ship March 2026'!A:C,3,false)</f>
        <v>KG</v>
      </c>
      <c r="N133" s="49"/>
      <c r="O133" s="9"/>
      <c r="Q133" s="76"/>
      <c r="R133" s="49"/>
      <c r="S133" s="9"/>
      <c r="U133" s="76"/>
      <c r="V133" s="49"/>
      <c r="W133" s="9"/>
      <c r="Y133" s="76"/>
      <c r="Z133" s="76"/>
      <c r="AA133" s="76"/>
      <c r="AB133" s="76"/>
    </row>
    <row r="134" ht="15.75" customHeight="1">
      <c r="A134" s="89"/>
      <c r="B134" s="8">
        <v>107138.0</v>
      </c>
      <c r="C134" s="9" t="str">
        <f>VLOOKUP(B134,'FML March 2026'!E:F,2,false)</f>
        <v>SPICE SAFFRON THREADS SPANISH (SPAIN)</v>
      </c>
      <c r="D134" s="9" t="str">
        <f>VLOOKUP(B134,'Unit of Measure ship March 2026'!A:C,3,false)</f>
        <v>CAN/1-OZ</v>
      </c>
      <c r="G134" s="40"/>
      <c r="N134" s="49"/>
      <c r="O134" s="9"/>
      <c r="Q134" s="76"/>
      <c r="R134" s="49"/>
      <c r="S134" s="9"/>
      <c r="U134" s="76"/>
      <c r="V134" s="49"/>
      <c r="W134" s="9"/>
      <c r="Y134" s="76"/>
      <c r="Z134" s="76"/>
      <c r="AA134" s="76"/>
      <c r="AB134" s="76"/>
    </row>
    <row r="135" ht="15.75" customHeight="1">
      <c r="A135" s="89"/>
      <c r="B135" s="91">
        <v>15204.0</v>
      </c>
      <c r="C135" s="9" t="str">
        <f>VLOOKUP(B135,'FML March 2026'!E:F,2,false)</f>
        <v>SPINACH, LEAF, GRADE A, IQF, FZN, 1/10 KG</v>
      </c>
      <c r="D135" s="9" t="str">
        <f>VLOOKUP(B135,'Unit of Measure ship March 2026'!A:C,3,false)</f>
        <v>LBS</v>
      </c>
      <c r="G135" s="40"/>
      <c r="N135" s="49"/>
      <c r="O135" s="9"/>
      <c r="Q135" s="76"/>
      <c r="R135" s="49"/>
      <c r="S135" s="9"/>
      <c r="U135" s="76"/>
      <c r="V135" s="49"/>
      <c r="W135" s="9"/>
      <c r="Y135" s="76"/>
      <c r="Z135" s="76"/>
      <c r="AA135" s="76"/>
      <c r="AB135" s="76"/>
    </row>
    <row r="136" ht="15.75" customHeight="1">
      <c r="A136" s="89"/>
      <c r="B136" s="8">
        <v>15420.0</v>
      </c>
      <c r="C136" s="9" t="str">
        <f>VLOOKUP(B136,'FML March 2026'!E:F,2,false)</f>
        <v>STRAWBERRIES DRISCOL CAL. LIGHT RED, PINTS</v>
      </c>
      <c r="D136" s="9" t="str">
        <f>VLOOKUP(B136,'Unit of Measure ship March 2026'!A:C,3,false)</f>
        <v>LBS</v>
      </c>
      <c r="G136" s="40"/>
      <c r="N136" s="49"/>
      <c r="O136" s="9"/>
      <c r="Q136" s="76"/>
      <c r="R136" s="49"/>
      <c r="S136" s="9"/>
      <c r="U136" s="76"/>
      <c r="V136" s="49"/>
      <c r="W136" s="9"/>
      <c r="Y136" s="76"/>
      <c r="Z136" s="76"/>
      <c r="AA136" s="76"/>
      <c r="AB136" s="76"/>
    </row>
    <row r="137" ht="15.75" customHeight="1">
      <c r="A137" s="89"/>
      <c r="B137" s="8">
        <v>15646.0</v>
      </c>
      <c r="C137" s="9" t="str">
        <f>VLOOKUP(B137,'FML March 2026'!E:F,2,false)</f>
        <v>SUGAR BROWN DARK  24/1LB  DOMINO (404310) (USA)</v>
      </c>
      <c r="D137" s="9" t="str">
        <f>VLOOKUP(B137,'Unit of Measure ship March 2026'!A:C,3,false)</f>
        <v>LBS</v>
      </c>
      <c r="G137" s="40"/>
      <c r="N137" s="49"/>
      <c r="O137" s="9"/>
      <c r="Q137" s="76"/>
      <c r="R137" s="49"/>
      <c r="S137" s="9"/>
      <c r="U137" s="76"/>
      <c r="V137" s="49"/>
      <c r="W137" s="9"/>
      <c r="Y137" s="76"/>
      <c r="Z137" s="76"/>
      <c r="AA137" s="76"/>
      <c r="AB137" s="76"/>
    </row>
    <row r="138" ht="15.75" customHeight="1">
      <c r="A138" s="89"/>
      <c r="B138" s="8">
        <v>100872.0</v>
      </c>
      <c r="C138" s="9" t="str">
        <f>VLOOKUP(B138,'FML March 2026'!E:F,2,false)</f>
        <v>SUGAR BROWN LIGHT 24LB  DOMINO (404309)</v>
      </c>
      <c r="D138" s="9" t="str">
        <f>VLOOKUP(B138,'Unit of Measure ship March 2026'!A:C,3,false)</f>
        <v>LBS</v>
      </c>
      <c r="G138" s="40"/>
      <c r="N138" s="49"/>
      <c r="O138" s="9"/>
      <c r="Q138" s="76"/>
      <c r="R138" s="49"/>
      <c r="S138" s="9"/>
      <c r="U138" s="76"/>
      <c r="V138" s="49"/>
      <c r="W138" s="9"/>
      <c r="Y138" s="76"/>
      <c r="Z138" s="76"/>
      <c r="AA138" s="76"/>
      <c r="AB138" s="76"/>
    </row>
    <row r="139" ht="15.75" customHeight="1">
      <c r="A139" s="89"/>
      <c r="B139" s="8">
        <v>109843.0</v>
      </c>
      <c r="C139" s="9" t="str">
        <f>VLOOKUP(B139,'FML March 2026'!E:F,2,false)</f>
        <v>SUGAR IN THE RAW  CS12/2 LB</v>
      </c>
      <c r="D139" s="9" t="str">
        <f>VLOOKUP(B139,'Unit of Measure ship March 2026'!A:C,3,false)</f>
        <v>KG</v>
      </c>
      <c r="G139" s="40"/>
      <c r="N139" s="49"/>
      <c r="O139" s="9"/>
      <c r="Q139" s="76"/>
      <c r="R139" s="49"/>
      <c r="S139" s="9"/>
      <c r="U139" s="76"/>
      <c r="V139" s="49"/>
      <c r="W139" s="9"/>
      <c r="Y139" s="76"/>
      <c r="Z139" s="76"/>
      <c r="AA139" s="76"/>
      <c r="AB139" s="76"/>
    </row>
    <row r="140" ht="15.75" customHeight="1">
      <c r="A140" s="89"/>
      <c r="B140" s="8">
        <v>111178.0</v>
      </c>
      <c r="C140" s="9" t="str">
        <f>VLOOKUP(B140,'FML March 2026'!E:F,2,false)</f>
        <v>SUGAR LIGHT BROWN CS6/24 OZ WHOLESOME</v>
      </c>
      <c r="D140" s="9" t="str">
        <f>VLOOKUP(B140,'Unit of Measure ship March 2026'!A:C,3,false)</f>
        <v>LBS</v>
      </c>
      <c r="G140" s="40"/>
      <c r="N140" s="49"/>
      <c r="O140" s="9"/>
      <c r="Q140" s="76"/>
      <c r="R140" s="49"/>
      <c r="S140" s="9"/>
      <c r="U140" s="76"/>
      <c r="V140" s="49"/>
      <c r="W140" s="9"/>
      <c r="Y140" s="76"/>
      <c r="Z140" s="76"/>
      <c r="AA140" s="76"/>
      <c r="AB140" s="76"/>
    </row>
    <row r="141" ht="15.75" customHeight="1">
      <c r="A141" s="89"/>
      <c r="B141" s="8">
        <v>15642.0</v>
      </c>
      <c r="C141" s="9" t="str">
        <f>VLOOKUP(B141,'FML March 2026'!E:F,2,false)</f>
        <v>SUGAR, GRANULATED, ICUMSA 150, SUGARCANE, DRY, 1/50 LB</v>
      </c>
      <c r="D141" s="9" t="str">
        <f>VLOOKUP(B141,'Unit of Measure ship March 2026'!A:C,3,false)</f>
        <v>LBS</v>
      </c>
      <c r="G141" s="40"/>
      <c r="N141" s="49"/>
      <c r="O141" s="9"/>
      <c r="Q141" s="76"/>
      <c r="R141" s="49"/>
      <c r="S141" s="9"/>
      <c r="U141" s="76"/>
      <c r="V141" s="49"/>
      <c r="W141" s="9"/>
      <c r="Y141" s="76"/>
      <c r="Z141" s="76"/>
      <c r="AA141" s="76"/>
      <c r="AB141" s="76"/>
    </row>
    <row r="142" ht="15.75" customHeight="1">
      <c r="A142" s="89"/>
      <c r="B142" s="8">
        <v>15644.0</v>
      </c>
      <c r="C142" s="9" t="str">
        <f>VLOOKUP(B142,'FML March 2026'!E:F,2,false)</f>
        <v>SUGAR, POWDERED, W/ CORNSTARCH, DRY, 24/1 LB</v>
      </c>
      <c r="D142" s="9" t="str">
        <f>VLOOKUP(B142,'Unit of Measure ship March 2026'!A:C,3,false)</f>
        <v>LBS</v>
      </c>
      <c r="G142" s="40"/>
      <c r="N142" s="49"/>
      <c r="O142" s="9"/>
      <c r="Q142" s="76"/>
      <c r="R142" s="49"/>
      <c r="S142" s="9"/>
      <c r="U142" s="76"/>
      <c r="V142" s="49"/>
      <c r="W142" s="9"/>
      <c r="Y142" s="76"/>
      <c r="Z142" s="76"/>
      <c r="AA142" s="76"/>
      <c r="AB142" s="76"/>
    </row>
    <row r="143" ht="15.75" customHeight="1">
      <c r="A143" s="89"/>
      <c r="B143" s="8">
        <v>40230.0</v>
      </c>
      <c r="C143" s="9" t="str">
        <f>VLOOKUP(B143,'FML March 2026'!E:F,2,false)</f>
        <v>TANDOORI POWDER D`ALLESANDRO/ SPICECO (INDIA)</v>
      </c>
      <c r="D143" s="9" t="str">
        <f>VLOOKUP(B143,'Unit of Measure ship March 2026'!A:C,3,false)</f>
        <v>PK/22OZ</v>
      </c>
      <c r="G143" s="40"/>
      <c r="N143" s="49"/>
      <c r="O143" s="9"/>
      <c r="Q143" s="76"/>
      <c r="R143" s="49"/>
      <c r="S143" s="9"/>
      <c r="U143" s="76"/>
      <c r="V143" s="49"/>
      <c r="W143" s="9"/>
      <c r="Y143" s="76"/>
      <c r="Z143" s="76"/>
      <c r="AA143" s="76"/>
      <c r="AB143" s="76"/>
    </row>
    <row r="144" ht="15.75" customHeight="1">
      <c r="A144" s="89"/>
      <c r="B144" s="8">
        <v>16581.0</v>
      </c>
      <c r="C144" s="9" t="str">
        <f>VLOOKUP(B144,'FML March 2026'!E:F,2,false)</f>
        <v>TOMATO, PASTE, HEINZ, 57310, DRY, 6/#10</v>
      </c>
      <c r="D144" s="9" t="str">
        <f>VLOOKUP(B144,'Unit of Measure ship March 2026'!A:C,3,false)</f>
        <v>CN/6.5LB</v>
      </c>
      <c r="G144" s="40"/>
      <c r="N144" s="49"/>
      <c r="O144" s="9"/>
      <c r="Q144" s="76"/>
      <c r="R144" s="49"/>
      <c r="S144" s="9"/>
      <c r="U144" s="76"/>
      <c r="V144" s="49"/>
      <c r="W144" s="9"/>
      <c r="Y144" s="76"/>
      <c r="Z144" s="76"/>
      <c r="AA144" s="76"/>
      <c r="AB144" s="76"/>
    </row>
    <row r="145" ht="15.75" customHeight="1">
      <c r="A145" s="89"/>
      <c r="B145" s="8">
        <v>143140.0</v>
      </c>
      <c r="C145" s="9" t="str">
        <f>VLOOKUP(B145,'FML March 2026'!E:F,2,false)</f>
        <v>TOMATO, WHOLE, PEELED, IN JUICE, DRY, 6/#10</v>
      </c>
      <c r="D145" s="9" t="str">
        <f>VLOOKUP(B145,'Unit of Measure ship March 2026'!A:C,3,false)</f>
        <v>C6/6.5LB</v>
      </c>
      <c r="G145" s="40"/>
      <c r="N145" s="49"/>
      <c r="O145" s="9"/>
      <c r="Q145" s="76"/>
      <c r="R145" s="49"/>
      <c r="S145" s="9"/>
      <c r="U145" s="76"/>
      <c r="V145" s="49"/>
      <c r="W145" s="9"/>
      <c r="Y145" s="76"/>
      <c r="Z145" s="76"/>
      <c r="AA145" s="76"/>
      <c r="AB145" s="76"/>
    </row>
    <row r="146" ht="15.75" customHeight="1">
      <c r="A146" s="89"/>
      <c r="B146" s="8">
        <v>100775.0</v>
      </c>
      <c r="C146" s="9" t="str">
        <f>VLOOKUP(B146,'FML March 2026'!E:F,2,false)</f>
        <v>TRANSGLUTAMINASE PROTEIN GLUE</v>
      </c>
      <c r="D146" s="9" t="str">
        <f>VLOOKUP(B146,'Unit of Measure ship March 2026'!A:C,3,false)</f>
        <v>LBS</v>
      </c>
      <c r="G146" s="40"/>
      <c r="N146" s="49"/>
      <c r="O146" s="9"/>
      <c r="Q146" s="76"/>
      <c r="R146" s="49"/>
      <c r="S146" s="9"/>
      <c r="U146" s="76"/>
      <c r="V146" s="49"/>
      <c r="W146" s="9"/>
      <c r="Y146" s="76"/>
      <c r="Z146" s="76"/>
      <c r="AA146" s="76"/>
      <c r="AB146" s="76"/>
    </row>
    <row r="147" ht="15.75" customHeight="1">
      <c r="A147" s="89"/>
      <c r="B147" s="8">
        <v>16310.0</v>
      </c>
      <c r="C147" s="9" t="str">
        <f>VLOOKUP(B147,'FML March 2026'!E:F,2,false)</f>
        <v>TURMERIC GROUND</v>
      </c>
      <c r="D147" s="9" t="str">
        <f>VLOOKUP(B147,'Unit of Measure ship March 2026'!A:C,3,false)</f>
        <v>LBS</v>
      </c>
      <c r="G147" s="40"/>
      <c r="N147" s="49"/>
      <c r="O147" s="9"/>
      <c r="Q147" s="76"/>
      <c r="R147" s="49"/>
      <c r="S147" s="9"/>
      <c r="U147" s="76"/>
      <c r="V147" s="49"/>
      <c r="W147" s="9"/>
      <c r="Y147" s="76"/>
      <c r="Z147" s="76"/>
      <c r="AA147" s="76"/>
      <c r="AB147" s="76"/>
    </row>
    <row r="148" ht="15.75" customHeight="1">
      <c r="A148" s="89"/>
      <c r="B148" s="8">
        <v>20844.0</v>
      </c>
      <c r="C148" s="9" t="str">
        <f>VLOOKUP(B148,'FML March 2026'!E:F,2,false)</f>
        <v>VEAL DEMI GLACE CUISINE SOLUTIONS 1003743 (NO INSPECTION NEEDED) (NETHERLANDS)</v>
      </c>
      <c r="D148" s="9" t="str">
        <f>VLOOKUP(B148,'Unit of Measure ship March 2026'!A:C,3,false)</f>
        <v>LBS</v>
      </c>
      <c r="G148" s="40"/>
      <c r="N148" s="49"/>
      <c r="O148" s="9"/>
      <c r="Q148" s="76"/>
      <c r="R148" s="49"/>
      <c r="S148" s="9"/>
      <c r="U148" s="76"/>
      <c r="V148" s="49"/>
      <c r="W148" s="9"/>
      <c r="Y148" s="76"/>
      <c r="Z148" s="76"/>
      <c r="AA148" s="76"/>
      <c r="AB148" s="76"/>
    </row>
    <row r="149" ht="15.75" customHeight="1">
      <c r="A149" s="89"/>
      <c r="B149" s="91">
        <v>111933.0</v>
      </c>
      <c r="C149" s="9" t="str">
        <f>VLOOKUP(B149,'FML March 2026'!E:F,2,false)</f>
        <v>VEGETABLE STOCK LIQUID  CS 4.5/ LITER SAVORY CHOICE</v>
      </c>
      <c r="D149" s="9" t="str">
        <f>VLOOKUP(B149,'Unit of Measure ship March 2026'!A:C,3,false)</f>
        <v>LT</v>
      </c>
      <c r="G149" s="40"/>
      <c r="N149" s="49"/>
      <c r="O149" s="9"/>
      <c r="Q149" s="76"/>
      <c r="R149" s="49"/>
      <c r="S149" s="9"/>
      <c r="U149" s="76"/>
      <c r="V149" s="49"/>
      <c r="W149" s="9"/>
      <c r="Y149" s="76"/>
      <c r="Z149" s="76"/>
      <c r="AA149" s="76"/>
      <c r="AB149" s="76"/>
    </row>
    <row r="150" ht="15.75" customHeight="1">
      <c r="A150" s="94"/>
      <c r="B150" s="8">
        <v>109666.0</v>
      </c>
      <c r="C150" s="9" t="str">
        <f>VLOOKUP(B150,'FML March 2026'!E:F,2,false)</f>
        <v>VINEGAR CHAMPAGNE WINE SPARROW LANE/ PACKER</v>
      </c>
      <c r="D150" s="9" t="str">
        <f>VLOOKUP(B150,'Unit of Measure ship March 2026'!A:C,3,false)</f>
        <v>GAL</v>
      </c>
      <c r="G150" s="40"/>
      <c r="N150" s="49"/>
      <c r="O150" s="9"/>
      <c r="Q150" s="76"/>
      <c r="R150" s="49"/>
      <c r="S150" s="9"/>
      <c r="U150" s="76"/>
      <c r="V150" s="49"/>
      <c r="W150" s="9"/>
      <c r="Y150" s="76"/>
      <c r="Z150" s="76"/>
      <c r="AA150" s="76"/>
      <c r="AB150" s="76"/>
    </row>
    <row r="151" ht="15.75" customHeight="1">
      <c r="A151" s="89"/>
      <c r="B151" s="8">
        <v>112015.0</v>
      </c>
      <c r="C151" s="9" t="str">
        <f>VLOOKUP(B151,'FML March 2026'!E:F,2,false)</f>
        <v>VINEGAR DARK BALSAMIC CS 4/1 GAL  SPARROW LANE</v>
      </c>
      <c r="D151" s="9" t="str">
        <f>VLOOKUP(B151,'Unit of Measure ship March 2026'!A:C,3,false)</f>
        <v>GAL</v>
      </c>
      <c r="G151" s="40"/>
      <c r="N151" s="49"/>
      <c r="O151" s="9"/>
      <c r="Q151" s="76"/>
      <c r="R151" s="49"/>
      <c r="S151" s="9"/>
      <c r="U151" s="76"/>
      <c r="V151" s="49"/>
      <c r="W151" s="9"/>
      <c r="Y151" s="76"/>
      <c r="Z151" s="76"/>
      <c r="AA151" s="76"/>
      <c r="AB151" s="76"/>
    </row>
    <row r="152" ht="15.75" customHeight="1">
      <c r="A152" s="89"/>
      <c r="B152" s="8">
        <v>16374.0</v>
      </c>
      <c r="C152" s="9" t="str">
        <f>VLOOKUP(B152,'FML March 2026'!E:F,2,false)</f>
        <v>VINEGAR, WHITE DISTILLED</v>
      </c>
      <c r="D152" s="9" t="str">
        <f>VLOOKUP(B152,'Unit of Measure ship March 2026'!A:C,3,false)</f>
        <v>BTL/5LT</v>
      </c>
      <c r="G152" s="40"/>
      <c r="O152" s="9"/>
      <c r="Q152" s="76"/>
      <c r="S152" s="9"/>
      <c r="U152" s="76"/>
      <c r="W152" s="9"/>
      <c r="Y152" s="76"/>
      <c r="Z152" s="76"/>
      <c r="AA152" s="76"/>
      <c r="AB152" s="76"/>
    </row>
    <row r="153" ht="15.75" customHeight="1">
      <c r="A153" s="89"/>
      <c r="B153" s="8">
        <v>149548.0</v>
      </c>
      <c r="C153" s="9" t="str">
        <f>VLOOKUP(B153,'FML March 2026'!E:F,2,false)</f>
        <v>WRAPPERS, WONTON HONG KONG</v>
      </c>
      <c r="D153" s="9" t="str">
        <f>VLOOKUP(B153,'Unit of Measure ship March 2026'!A:C,3,false)</f>
        <v>LBS</v>
      </c>
      <c r="G153" s="40"/>
      <c r="O153" s="9"/>
      <c r="Q153" s="76"/>
      <c r="S153" s="9"/>
      <c r="U153" s="76"/>
      <c r="W153" s="9"/>
      <c r="Y153" s="76"/>
      <c r="Z153" s="76"/>
      <c r="AA153" s="76"/>
      <c r="AB153" s="76"/>
    </row>
    <row r="154" ht="15.75" customHeight="1">
      <c r="A154" s="89"/>
      <c r="B154" s="8">
        <v>102288.0</v>
      </c>
      <c r="C154" s="9" t="str">
        <f>VLOOKUP(B154,'FML March 2026'!E:F,2,false)</f>
        <v>XANTHAN GUM (AUSTRIA)</v>
      </c>
      <c r="D154" s="9" t="str">
        <f>VLOOKUP(B154,'Unit of Measure ship March 2026'!A:C,3,false)</f>
        <v>LBS</v>
      </c>
      <c r="G154" s="40"/>
      <c r="O154" s="9"/>
      <c r="Q154" s="76"/>
      <c r="S154" s="9"/>
      <c r="U154" s="76"/>
      <c r="W154" s="9"/>
      <c r="Y154" s="76"/>
      <c r="Z154" s="76"/>
      <c r="AA154" s="76"/>
      <c r="AB154" s="76"/>
    </row>
    <row r="155" ht="15.75" customHeight="1">
      <c r="A155" s="89"/>
      <c r="B155" s="8">
        <v>109846.0</v>
      </c>
      <c r="C155" s="9" t="str">
        <f>VLOOKUP(B155,'FML March 2026'!E:F,2,false)</f>
        <v>YOGURT GREEK BULK</v>
      </c>
      <c r="D155" s="9" t="str">
        <f>VLOOKUP(B155,'Unit of Measure ship March 2026'!A:C,3,false)</f>
        <v>LBS</v>
      </c>
      <c r="G155" s="40"/>
      <c r="O155" s="9"/>
      <c r="Q155" s="76"/>
      <c r="S155" s="9"/>
      <c r="U155" s="76"/>
      <c r="W155" s="9"/>
      <c r="Y155" s="76"/>
      <c r="Z155" s="76"/>
      <c r="AA155" s="76"/>
      <c r="AB155" s="76"/>
    </row>
    <row r="156" ht="15.75" customHeight="1">
      <c r="A156" s="89"/>
      <c r="B156" s="17">
        <v>14906.0</v>
      </c>
      <c r="C156" s="9" t="str">
        <f>VLOOKUP(B156,'FML March 2026'!E:F,2,false)</f>
        <v>YOGURT PLAIN BULK, UNSWEETENED,</v>
      </c>
      <c r="D156" s="9" t="str">
        <f>VLOOKUP(B156,'Unit of Measure ship March 2026'!A:C,3,false)</f>
        <v>LBS</v>
      </c>
      <c r="G156" s="40"/>
      <c r="O156" s="9"/>
      <c r="Q156" s="76"/>
      <c r="S156" s="9"/>
      <c r="U156" s="76"/>
      <c r="W156" s="9"/>
      <c r="Y156" s="76"/>
      <c r="Z156" s="76"/>
      <c r="AA156" s="76"/>
      <c r="AB156" s="76"/>
    </row>
    <row r="157" ht="15.75" customHeight="1">
      <c r="A157" s="89"/>
      <c r="B157" s="92">
        <v>14906.0</v>
      </c>
      <c r="C157" s="9" t="str">
        <f>VLOOKUP(B157,'FML March 2026'!E:F,2,false)</f>
        <v>YOGURT PLAIN BULK, UNSWEETENED,</v>
      </c>
      <c r="D157" s="9" t="str">
        <f>VLOOKUP(B157,'Unit of Measure ship March 2026'!A:C,3,false)</f>
        <v>LBS</v>
      </c>
      <c r="G157" s="40"/>
      <c r="O157" s="9"/>
      <c r="Q157" s="76"/>
      <c r="S157" s="9"/>
      <c r="U157" s="76"/>
      <c r="W157" s="9"/>
      <c r="Y157" s="76"/>
      <c r="Z157" s="76"/>
      <c r="AA157" s="76"/>
      <c r="AB157" s="76"/>
    </row>
    <row r="158" ht="15.75" customHeight="1">
      <c r="A158" s="89"/>
      <c r="B158" s="89"/>
      <c r="C158" s="40"/>
      <c r="D158" s="9"/>
      <c r="G158" s="40"/>
      <c r="N158" s="57"/>
      <c r="O158" s="9"/>
      <c r="Q158" s="76"/>
      <c r="R158" s="57"/>
      <c r="S158" s="9"/>
      <c r="U158" s="76"/>
      <c r="V158" s="57"/>
      <c r="W158" s="9"/>
      <c r="Y158" s="76"/>
      <c r="Z158" s="76"/>
      <c r="AA158" s="76"/>
      <c r="AB158" s="76"/>
    </row>
    <row r="159" ht="15.75" customHeight="1">
      <c r="A159" s="89"/>
      <c r="B159" s="89"/>
      <c r="D159" s="9"/>
      <c r="G159" s="40"/>
      <c r="Q159" s="76"/>
      <c r="U159" s="76"/>
      <c r="Y159" s="76"/>
      <c r="Z159" s="76"/>
      <c r="AA159" s="76"/>
      <c r="AB159" s="76"/>
    </row>
    <row r="160" ht="15.75" customHeight="1">
      <c r="A160" s="89"/>
      <c r="B160" s="89"/>
      <c r="D160" s="9"/>
      <c r="G160" s="40"/>
      <c r="Q160" s="76"/>
      <c r="U160" s="76"/>
      <c r="Y160" s="76"/>
      <c r="Z160" s="76"/>
      <c r="AA160" s="76"/>
      <c r="AB160" s="76"/>
    </row>
    <row r="161" ht="15.75" customHeight="1">
      <c r="A161" s="89"/>
      <c r="B161" s="89"/>
      <c r="D161" s="9"/>
      <c r="G161" s="40"/>
      <c r="Q161" s="76"/>
      <c r="U161" s="76"/>
      <c r="Y161" s="76"/>
      <c r="Z161" s="76"/>
      <c r="AA161" s="76"/>
      <c r="AB161" s="76"/>
    </row>
    <row r="162" ht="15.75" customHeight="1">
      <c r="A162" s="89"/>
      <c r="B162" s="89"/>
      <c r="D162" s="9"/>
      <c r="Q162" s="76"/>
      <c r="U162" s="76"/>
      <c r="Y162" s="76"/>
      <c r="Z162" s="76"/>
      <c r="AA162" s="76"/>
      <c r="AB162" s="76"/>
    </row>
    <row r="163" ht="15.75" customHeight="1">
      <c r="A163" s="89"/>
      <c r="B163" s="89"/>
      <c r="D163" s="9"/>
      <c r="Q163" s="76"/>
      <c r="U163" s="76"/>
      <c r="Y163" s="76"/>
      <c r="Z163" s="76"/>
      <c r="AA163" s="76"/>
      <c r="AB163" s="76"/>
    </row>
    <row r="164" ht="15.75" customHeight="1">
      <c r="A164" s="89"/>
      <c r="B164" s="89"/>
      <c r="D164" s="9"/>
      <c r="Q164" s="76"/>
      <c r="U164" s="76"/>
      <c r="Y164" s="76"/>
      <c r="Z164" s="76"/>
      <c r="AA164" s="76"/>
      <c r="AB164" s="76"/>
    </row>
    <row r="165" ht="15.75" customHeight="1">
      <c r="A165" s="89"/>
      <c r="B165" s="89"/>
      <c r="D165" s="9"/>
      <c r="Q165" s="76"/>
      <c r="U165" s="76"/>
      <c r="Y165" s="76"/>
      <c r="Z165" s="76"/>
      <c r="AA165" s="76"/>
      <c r="AB165" s="76"/>
    </row>
    <row r="166" ht="15.75" customHeight="1">
      <c r="A166" s="89"/>
      <c r="B166" s="89"/>
      <c r="D166" s="9"/>
      <c r="Q166" s="76"/>
      <c r="U166" s="76"/>
      <c r="Y166" s="76"/>
      <c r="Z166" s="76"/>
      <c r="AA166" s="76"/>
      <c r="AB166" s="76"/>
    </row>
    <row r="167" ht="15.75" customHeight="1">
      <c r="A167" s="89"/>
      <c r="B167" s="89"/>
      <c r="D167" s="9"/>
      <c r="Q167" s="76"/>
      <c r="U167" s="76"/>
      <c r="Y167" s="76"/>
      <c r="Z167" s="76"/>
      <c r="AA167" s="76"/>
      <c r="AB167" s="76"/>
    </row>
    <row r="168" ht="15.75" customHeight="1">
      <c r="A168" s="89"/>
      <c r="B168" s="89"/>
      <c r="D168" s="9"/>
      <c r="Q168" s="76"/>
      <c r="U168" s="76"/>
      <c r="Y168" s="76"/>
      <c r="Z168" s="76"/>
      <c r="AA168" s="76"/>
      <c r="AB168" s="76"/>
    </row>
    <row r="169" ht="15.75" customHeight="1">
      <c r="A169" s="89"/>
      <c r="B169" s="89"/>
      <c r="D169" s="9"/>
      <c r="Q169" s="76"/>
      <c r="U169" s="76"/>
      <c r="Y169" s="76"/>
      <c r="Z169" s="76"/>
      <c r="AA169" s="76"/>
      <c r="AB169" s="76"/>
    </row>
    <row r="170" ht="15.75" customHeight="1">
      <c r="A170" s="89"/>
      <c r="B170" s="89"/>
      <c r="D170" s="9"/>
      <c r="Q170" s="76"/>
      <c r="U170" s="76"/>
      <c r="Y170" s="76"/>
      <c r="Z170" s="76"/>
      <c r="AA170" s="76"/>
      <c r="AB170" s="76"/>
    </row>
    <row r="171" ht="15.75" customHeight="1">
      <c r="A171" s="89"/>
      <c r="B171" s="89"/>
      <c r="D171" s="9"/>
      <c r="Q171" s="76"/>
      <c r="U171" s="76"/>
      <c r="Y171" s="76"/>
      <c r="Z171" s="76"/>
      <c r="AA171" s="76"/>
      <c r="AB171" s="76"/>
    </row>
    <row r="172" ht="15.75" customHeight="1">
      <c r="A172" s="89"/>
      <c r="B172" s="89"/>
      <c r="D172" s="9"/>
      <c r="Q172" s="76"/>
      <c r="U172" s="76"/>
      <c r="Y172" s="76"/>
      <c r="Z172" s="76"/>
      <c r="AA172" s="76"/>
      <c r="AB172" s="76"/>
    </row>
    <row r="173" ht="15.75" customHeight="1">
      <c r="A173" s="89"/>
      <c r="B173" s="89"/>
      <c r="D173" s="9"/>
      <c r="Q173" s="76"/>
      <c r="U173" s="76"/>
      <c r="Y173" s="76"/>
      <c r="Z173" s="76"/>
      <c r="AA173" s="76"/>
      <c r="AB173" s="76"/>
    </row>
    <row r="174" ht="15.75" customHeight="1">
      <c r="A174" s="89"/>
      <c r="B174" s="89"/>
      <c r="D174" s="9"/>
      <c r="Q174" s="76"/>
      <c r="U174" s="76"/>
      <c r="Y174" s="76"/>
      <c r="Z174" s="76"/>
      <c r="AA174" s="76"/>
      <c r="AB174" s="76"/>
    </row>
    <row r="175" ht="15.75" customHeight="1">
      <c r="A175" s="89"/>
      <c r="B175" s="89"/>
      <c r="D175" s="9"/>
      <c r="Q175" s="76"/>
      <c r="U175" s="76"/>
      <c r="Y175" s="76"/>
      <c r="Z175" s="76"/>
      <c r="AA175" s="76"/>
      <c r="AB175" s="76"/>
    </row>
    <row r="176" ht="15.75" customHeight="1">
      <c r="A176" s="89"/>
      <c r="B176" s="89"/>
      <c r="D176" s="9"/>
      <c r="Q176" s="76"/>
      <c r="U176" s="76"/>
      <c r="Y176" s="76"/>
      <c r="Z176" s="76"/>
      <c r="AA176" s="76"/>
      <c r="AB176" s="76"/>
    </row>
    <row r="177" ht="15.75" customHeight="1">
      <c r="A177" s="89"/>
      <c r="D177" s="9"/>
      <c r="Q177" s="76"/>
      <c r="U177" s="76"/>
      <c r="Y177" s="76"/>
      <c r="Z177" s="76"/>
      <c r="AA177" s="76"/>
      <c r="AB177" s="76"/>
    </row>
    <row r="178" ht="15.75" customHeight="1">
      <c r="A178" s="89"/>
      <c r="D178" s="9"/>
      <c r="Q178" s="76"/>
      <c r="U178" s="76"/>
      <c r="Y178" s="76"/>
      <c r="Z178" s="76"/>
      <c r="AA178" s="76"/>
      <c r="AB178" s="76"/>
    </row>
    <row r="179" ht="15.75" customHeight="1">
      <c r="A179" s="89"/>
      <c r="D179" s="9"/>
      <c r="Q179" s="76"/>
      <c r="U179" s="76"/>
      <c r="Y179" s="76"/>
      <c r="Z179" s="76"/>
      <c r="AA179" s="76"/>
      <c r="AB179" s="76"/>
    </row>
    <row r="180" ht="15.75" customHeight="1">
      <c r="D180" s="9"/>
      <c r="Q180" s="76"/>
      <c r="U180" s="76"/>
      <c r="Y180" s="76"/>
      <c r="Z180" s="76"/>
      <c r="AA180" s="76"/>
      <c r="AB180" s="76"/>
    </row>
    <row r="181" ht="15.75" customHeight="1">
      <c r="D181" s="9"/>
      <c r="Q181" s="76"/>
      <c r="U181" s="76"/>
      <c r="Y181" s="76"/>
      <c r="Z181" s="76"/>
      <c r="AA181" s="76"/>
      <c r="AB181" s="76"/>
    </row>
    <row r="182" ht="15.75" customHeight="1">
      <c r="Q182" s="76"/>
      <c r="U182" s="76"/>
      <c r="Y182" s="76"/>
      <c r="Z182" s="76"/>
      <c r="AA182" s="76"/>
      <c r="AB182" s="76"/>
    </row>
    <row r="183" ht="15.75" customHeight="1">
      <c r="D183" s="9"/>
      <c r="Q183" s="76"/>
      <c r="U183" s="76"/>
      <c r="Y183" s="76"/>
      <c r="Z183" s="76"/>
      <c r="AA183" s="76"/>
      <c r="AB183" s="76"/>
    </row>
    <row r="184" ht="15.75" customHeight="1">
      <c r="D184" s="9"/>
      <c r="Q184" s="76"/>
      <c r="U184" s="76"/>
      <c r="Y184" s="76"/>
      <c r="Z184" s="76"/>
      <c r="AA184" s="76"/>
      <c r="AB184" s="76"/>
    </row>
    <row r="185" ht="15.75" customHeight="1">
      <c r="D185" s="9"/>
      <c r="Q185" s="76"/>
      <c r="U185" s="76"/>
      <c r="Y185" s="76"/>
      <c r="Z185" s="76"/>
      <c r="AA185" s="76"/>
      <c r="AB185" s="76"/>
    </row>
    <row r="186" ht="15.75" customHeight="1">
      <c r="Q186" s="76"/>
      <c r="U186" s="76"/>
      <c r="Y186" s="76"/>
      <c r="Z186" s="76"/>
      <c r="AA186" s="76"/>
      <c r="AB186" s="76"/>
    </row>
    <row r="187" ht="15.75" customHeight="1">
      <c r="Q187" s="76"/>
      <c r="U187" s="76"/>
      <c r="Y187" s="76"/>
      <c r="Z187" s="76"/>
      <c r="AA187" s="76"/>
      <c r="AB187" s="76"/>
    </row>
    <row r="188" ht="15.75" customHeight="1">
      <c r="Q188" s="76"/>
      <c r="U188" s="76"/>
      <c r="Y188" s="76"/>
      <c r="Z188" s="76"/>
      <c r="AA188" s="76"/>
      <c r="AB188" s="76"/>
    </row>
    <row r="189" ht="15.75" customHeight="1">
      <c r="Q189" s="76"/>
      <c r="U189" s="76"/>
      <c r="Y189" s="76"/>
      <c r="Z189" s="76"/>
      <c r="AA189" s="76"/>
      <c r="AB189" s="76"/>
    </row>
    <row r="190" ht="15.75" customHeight="1">
      <c r="Q190" s="76"/>
      <c r="U190" s="76"/>
      <c r="Y190" s="76"/>
      <c r="Z190" s="76"/>
      <c r="AA190" s="76"/>
      <c r="AB190" s="76"/>
    </row>
    <row r="191" ht="15.75" customHeight="1">
      <c r="Q191" s="76"/>
      <c r="U191" s="76"/>
      <c r="Y191" s="76"/>
      <c r="Z191" s="76"/>
      <c r="AA191" s="76"/>
      <c r="AB191" s="76"/>
    </row>
    <row r="192" ht="15.75" customHeight="1">
      <c r="Q192" s="76"/>
      <c r="U192" s="76"/>
      <c r="Y192" s="76"/>
      <c r="Z192" s="76"/>
      <c r="AA192" s="76"/>
      <c r="AB192" s="76"/>
    </row>
    <row r="193" ht="15.75" customHeight="1">
      <c r="Q193" s="76"/>
      <c r="U193" s="76"/>
      <c r="Y193" s="76"/>
      <c r="Z193" s="76"/>
      <c r="AA193" s="76"/>
      <c r="AB193" s="76"/>
    </row>
    <row r="194" ht="15.75" customHeight="1">
      <c r="Q194" s="76"/>
      <c r="U194" s="76"/>
      <c r="Y194" s="76"/>
      <c r="Z194" s="76"/>
      <c r="AA194" s="76"/>
      <c r="AB194" s="76"/>
    </row>
    <row r="195" ht="15.75" customHeight="1">
      <c r="Q195" s="76"/>
      <c r="U195" s="76"/>
      <c r="Y195" s="76"/>
      <c r="Z195" s="76"/>
      <c r="AA195" s="76"/>
      <c r="AB195" s="76"/>
    </row>
    <row r="196" ht="15.75" customHeight="1">
      <c r="Q196" s="76"/>
      <c r="U196" s="76"/>
      <c r="Y196" s="76"/>
      <c r="Z196" s="76"/>
      <c r="AA196" s="76"/>
      <c r="AB196" s="76"/>
    </row>
    <row r="197" ht="15.75" customHeight="1">
      <c r="Q197" s="76"/>
      <c r="U197" s="76"/>
      <c r="Y197" s="76"/>
      <c r="Z197" s="76"/>
      <c r="AA197" s="76"/>
      <c r="AB197" s="76"/>
    </row>
    <row r="198" ht="15.75" customHeight="1">
      <c r="Q198" s="76"/>
      <c r="U198" s="76"/>
      <c r="Y198" s="76"/>
      <c r="Z198" s="76"/>
      <c r="AA198" s="76"/>
      <c r="AB198" s="76"/>
    </row>
    <row r="199" ht="15.75" customHeight="1">
      <c r="Q199" s="76"/>
      <c r="U199" s="76"/>
      <c r="Y199" s="76"/>
      <c r="Z199" s="76"/>
      <c r="AA199" s="76"/>
      <c r="AB199" s="76"/>
    </row>
    <row r="200" ht="15.75" customHeight="1">
      <c r="Q200" s="76"/>
      <c r="U200" s="76"/>
      <c r="Y200" s="76"/>
      <c r="Z200" s="76"/>
      <c r="AA200" s="76"/>
      <c r="AB200" s="76"/>
    </row>
    <row r="201" ht="15.75" customHeight="1">
      <c r="Q201" s="76"/>
      <c r="U201" s="76"/>
      <c r="Y201" s="76"/>
      <c r="Z201" s="76"/>
      <c r="AA201" s="76"/>
      <c r="AB201" s="76"/>
    </row>
    <row r="202" ht="15.75" customHeight="1">
      <c r="B202" s="95"/>
      <c r="D202" s="9"/>
      <c r="Q202" s="76"/>
      <c r="U202" s="76"/>
      <c r="Y202" s="76"/>
      <c r="Z202" s="76"/>
      <c r="AA202" s="76"/>
      <c r="AB202" s="76"/>
    </row>
    <row r="203" ht="15.75" customHeight="1">
      <c r="D203" s="9"/>
      <c r="Q203" s="76"/>
      <c r="U203" s="76"/>
      <c r="Y203" s="76"/>
      <c r="Z203" s="76"/>
      <c r="AA203" s="76"/>
      <c r="AB203" s="76"/>
    </row>
    <row r="204" ht="15.75" customHeight="1">
      <c r="D204" s="9"/>
      <c r="Q204" s="76"/>
      <c r="U204" s="76"/>
      <c r="Y204" s="76"/>
      <c r="Z204" s="76"/>
      <c r="AA204" s="76"/>
      <c r="AB204" s="76"/>
    </row>
    <row r="205" ht="15.75" customHeight="1">
      <c r="D205" s="9"/>
      <c r="Q205" s="76"/>
      <c r="U205" s="76"/>
      <c r="Y205" s="76"/>
      <c r="Z205" s="76"/>
      <c r="AA205" s="76"/>
      <c r="AB205" s="76"/>
    </row>
    <row r="206" ht="15.75" customHeight="1">
      <c r="D206" s="9"/>
      <c r="Q206" s="76"/>
      <c r="U206" s="76"/>
      <c r="Y206" s="76"/>
      <c r="Z206" s="76"/>
      <c r="AA206" s="76"/>
      <c r="AB206" s="76"/>
    </row>
    <row r="207" ht="15.75" customHeight="1">
      <c r="D207" s="9"/>
      <c r="Q207" s="76"/>
      <c r="U207" s="76"/>
      <c r="Y207" s="76"/>
      <c r="Z207" s="76"/>
      <c r="AA207" s="76"/>
      <c r="AB207" s="76"/>
    </row>
    <row r="208" ht="15.75" customHeight="1">
      <c r="D208" s="9"/>
      <c r="Q208" s="76"/>
      <c r="U208" s="76"/>
      <c r="Y208" s="76"/>
      <c r="Z208" s="76"/>
      <c r="AA208" s="76"/>
      <c r="AB208" s="76"/>
    </row>
    <row r="209" ht="15.75" customHeight="1">
      <c r="B209" s="8"/>
      <c r="C209" s="9"/>
      <c r="D209" s="9"/>
      <c r="Q209" s="76"/>
      <c r="U209" s="76"/>
      <c r="Y209" s="76"/>
      <c r="Z209" s="76"/>
      <c r="AA209" s="76"/>
      <c r="AB209" s="76"/>
    </row>
    <row r="210" ht="15.75" customHeight="1">
      <c r="B210" s="52"/>
      <c r="C210" s="9"/>
      <c r="D210" s="9"/>
      <c r="Q210" s="76"/>
      <c r="U210" s="76"/>
      <c r="Y210" s="76"/>
      <c r="Z210" s="76"/>
      <c r="AA210" s="76"/>
      <c r="AB210" s="76"/>
    </row>
    <row r="211" ht="15.75" customHeight="1">
      <c r="B211" s="52"/>
      <c r="C211" s="9"/>
      <c r="D211" s="9"/>
      <c r="Q211" s="76"/>
      <c r="U211" s="76"/>
      <c r="Y211" s="76"/>
      <c r="Z211" s="76"/>
      <c r="AA211" s="76"/>
      <c r="AB211" s="76"/>
    </row>
    <row r="212" ht="15.75" customHeight="1">
      <c r="B212" s="52"/>
      <c r="C212" s="9"/>
      <c r="D212" s="9"/>
      <c r="Q212" s="76"/>
      <c r="U212" s="76"/>
      <c r="Y212" s="76"/>
      <c r="Z212" s="76"/>
      <c r="AA212" s="76"/>
      <c r="AB212" s="76"/>
    </row>
    <row r="213" ht="15.75" customHeight="1">
      <c r="B213" s="52"/>
      <c r="C213" s="9"/>
      <c r="D213" s="9"/>
      <c r="Q213" s="76"/>
      <c r="U213" s="76"/>
      <c r="Y213" s="76"/>
      <c r="Z213" s="76"/>
      <c r="AA213" s="76"/>
      <c r="AB213" s="76"/>
    </row>
    <row r="214" ht="15.75" customHeight="1">
      <c r="B214" s="52"/>
      <c r="C214" s="9"/>
      <c r="D214" s="9"/>
      <c r="Q214" s="76"/>
      <c r="U214" s="76"/>
      <c r="Y214" s="76"/>
      <c r="Z214" s="76"/>
      <c r="AA214" s="76"/>
      <c r="AB214" s="76"/>
    </row>
    <row r="215" ht="15.75" customHeight="1">
      <c r="B215" s="52"/>
      <c r="C215" s="9"/>
      <c r="D215" s="9"/>
      <c r="Q215" s="76"/>
      <c r="U215" s="76"/>
      <c r="Y215" s="76"/>
      <c r="Z215" s="76"/>
      <c r="AA215" s="76"/>
      <c r="AB215" s="76"/>
    </row>
    <row r="216" ht="15.75" customHeight="1">
      <c r="B216" s="52"/>
      <c r="C216" s="9"/>
      <c r="D216" s="9"/>
      <c r="Q216" s="76"/>
      <c r="U216" s="76"/>
      <c r="Y216" s="76"/>
      <c r="Z216" s="76"/>
      <c r="AA216" s="76"/>
      <c r="AB216" s="76"/>
    </row>
    <row r="217" ht="15.75" customHeight="1">
      <c r="B217" s="52"/>
      <c r="C217" s="9"/>
      <c r="D217" s="9"/>
      <c r="Q217" s="76"/>
      <c r="U217" s="76"/>
      <c r="Y217" s="76"/>
      <c r="Z217" s="76"/>
      <c r="AA217" s="76"/>
      <c r="AB217" s="76"/>
    </row>
    <row r="218" ht="15.75" customHeight="1">
      <c r="B218" s="52"/>
      <c r="C218" s="9"/>
      <c r="D218" s="9"/>
      <c r="Q218" s="76"/>
      <c r="U218" s="76"/>
      <c r="Y218" s="76"/>
      <c r="Z218" s="76"/>
      <c r="AA218" s="76"/>
      <c r="AB218" s="76"/>
    </row>
    <row r="219" ht="15.75" customHeight="1">
      <c r="B219" s="52"/>
      <c r="C219" s="9"/>
      <c r="D219" s="9"/>
      <c r="Q219" s="76"/>
      <c r="U219" s="76"/>
      <c r="Y219" s="76"/>
      <c r="Z219" s="76"/>
      <c r="AA219" s="76"/>
      <c r="AB219" s="76"/>
    </row>
    <row r="220" ht="15.75" customHeight="1">
      <c r="B220" s="52"/>
      <c r="C220" s="9"/>
      <c r="D220" s="9"/>
      <c r="Q220" s="76"/>
      <c r="U220" s="76"/>
      <c r="Y220" s="76"/>
      <c r="Z220" s="76"/>
      <c r="AA220" s="76"/>
      <c r="AB220" s="76"/>
    </row>
    <row r="221" ht="15.75" customHeight="1">
      <c r="B221" s="8"/>
      <c r="C221" s="9"/>
      <c r="D221" s="9"/>
      <c r="Q221" s="76"/>
      <c r="U221" s="76"/>
      <c r="Y221" s="76"/>
      <c r="Z221" s="76"/>
      <c r="AA221" s="76"/>
      <c r="AB221" s="76"/>
    </row>
    <row r="222" ht="15.75" customHeight="1">
      <c r="B222" s="8"/>
      <c r="C222" s="9"/>
      <c r="D222" s="9"/>
      <c r="Q222" s="76"/>
      <c r="U222" s="76"/>
      <c r="Y222" s="76"/>
      <c r="Z222" s="76"/>
      <c r="AA222" s="76"/>
      <c r="AB222" s="76"/>
    </row>
    <row r="223" ht="15.75" customHeight="1">
      <c r="B223" s="8"/>
      <c r="C223" s="9"/>
      <c r="D223" s="9"/>
      <c r="Q223" s="76"/>
      <c r="U223" s="76"/>
      <c r="Y223" s="76"/>
      <c r="Z223" s="76"/>
      <c r="AA223" s="76"/>
      <c r="AB223" s="76"/>
    </row>
    <row r="224" ht="15.75" customHeight="1">
      <c r="B224" s="8"/>
      <c r="C224" s="9"/>
      <c r="D224" s="9"/>
      <c r="Q224" s="76"/>
      <c r="U224" s="76"/>
      <c r="Y224" s="76"/>
      <c r="Z224" s="76"/>
      <c r="AA224" s="76"/>
      <c r="AB224" s="76"/>
    </row>
    <row r="225" ht="15.75" customHeight="1">
      <c r="B225" s="8"/>
      <c r="C225" s="9"/>
      <c r="D225" s="9"/>
      <c r="Q225" s="76"/>
      <c r="U225" s="76"/>
      <c r="Y225" s="76"/>
      <c r="Z225" s="76"/>
      <c r="AA225" s="76"/>
      <c r="AB225" s="76"/>
    </row>
    <row r="226" ht="15.75" customHeight="1">
      <c r="C226" s="9"/>
      <c r="D226" s="9"/>
      <c r="Q226" s="76"/>
      <c r="U226" s="76"/>
      <c r="Y226" s="76"/>
      <c r="Z226" s="76"/>
      <c r="AA226" s="76"/>
      <c r="AB226" s="76"/>
    </row>
    <row r="227" ht="15.75" customHeight="1">
      <c r="C227" s="9"/>
      <c r="D227" s="9"/>
      <c r="Q227" s="76"/>
      <c r="U227" s="76"/>
      <c r="Y227" s="76"/>
      <c r="Z227" s="76"/>
      <c r="AA227" s="76"/>
      <c r="AB227" s="76"/>
    </row>
    <row r="228" ht="15.75" customHeight="1">
      <c r="C228" s="9"/>
      <c r="D228" s="9"/>
      <c r="Q228" s="76"/>
      <c r="U228" s="76"/>
      <c r="Y228" s="76"/>
      <c r="Z228" s="76"/>
      <c r="AA228" s="76"/>
      <c r="AB228" s="76"/>
    </row>
    <row r="229" ht="15.75" customHeight="1">
      <c r="C229" s="9"/>
      <c r="Q229" s="76"/>
      <c r="U229" s="76"/>
      <c r="Y229" s="76"/>
      <c r="Z229" s="76"/>
      <c r="AA229" s="76"/>
      <c r="AB229" s="76"/>
    </row>
    <row r="230" ht="15.75" customHeight="1">
      <c r="Q230" s="76"/>
      <c r="U230" s="76"/>
      <c r="Y230" s="76"/>
      <c r="Z230" s="76"/>
      <c r="AA230" s="76"/>
      <c r="AB230" s="76"/>
    </row>
    <row r="231" ht="15.75" customHeight="1">
      <c r="Q231" s="76"/>
      <c r="U231" s="76"/>
      <c r="Y231" s="76"/>
      <c r="Z231" s="76"/>
      <c r="AA231" s="76"/>
      <c r="AB231" s="76"/>
    </row>
    <row r="232" ht="15.75" customHeight="1">
      <c r="Q232" s="76"/>
      <c r="U232" s="76"/>
      <c r="Y232" s="76"/>
      <c r="Z232" s="76"/>
      <c r="AA232" s="76"/>
      <c r="AB232" s="76"/>
    </row>
    <row r="233" ht="15.75" customHeight="1">
      <c r="Q233" s="76"/>
      <c r="U233" s="76"/>
      <c r="Y233" s="76"/>
      <c r="Z233" s="76"/>
      <c r="AA233" s="76"/>
      <c r="AB233" s="76"/>
    </row>
    <row r="234" ht="15.75" customHeight="1">
      <c r="Q234" s="76"/>
      <c r="U234" s="76"/>
      <c r="Y234" s="76"/>
      <c r="Z234" s="76"/>
      <c r="AA234" s="76"/>
      <c r="AB234" s="76"/>
    </row>
    <row r="235" ht="15.75" customHeight="1">
      <c r="Q235" s="76"/>
      <c r="U235" s="76"/>
      <c r="Y235" s="76"/>
      <c r="Z235" s="76"/>
      <c r="AA235" s="76"/>
      <c r="AB235" s="76"/>
    </row>
    <row r="236" ht="15.75" customHeight="1">
      <c r="Q236" s="76"/>
      <c r="U236" s="76"/>
      <c r="Y236" s="76"/>
      <c r="Z236" s="76"/>
      <c r="AA236" s="76"/>
      <c r="AB236" s="76"/>
    </row>
    <row r="237" ht="15.75" customHeight="1">
      <c r="Q237" s="76"/>
      <c r="U237" s="76"/>
      <c r="Y237" s="76"/>
      <c r="Z237" s="76"/>
      <c r="AA237" s="76"/>
      <c r="AB237" s="76"/>
    </row>
    <row r="238" ht="15.75" customHeight="1">
      <c r="Q238" s="76"/>
      <c r="U238" s="76"/>
      <c r="Y238" s="76"/>
      <c r="Z238" s="76"/>
      <c r="AA238" s="76"/>
      <c r="AB238" s="76"/>
    </row>
    <row r="239" ht="15.75" customHeight="1">
      <c r="Q239" s="76"/>
      <c r="U239" s="76"/>
      <c r="Y239" s="76"/>
      <c r="Z239" s="76"/>
      <c r="AA239" s="76"/>
      <c r="AB239" s="76"/>
    </row>
    <row r="240" ht="15.75" customHeight="1">
      <c r="Q240" s="76"/>
      <c r="U240" s="76"/>
      <c r="Y240" s="76"/>
      <c r="Z240" s="76"/>
      <c r="AA240" s="76"/>
      <c r="AB240" s="76"/>
    </row>
    <row r="241" ht="15.75" customHeight="1">
      <c r="Q241" s="76"/>
      <c r="U241" s="76"/>
      <c r="Y241" s="76"/>
      <c r="Z241" s="76"/>
      <c r="AA241" s="76"/>
      <c r="AB241" s="76"/>
    </row>
    <row r="242" ht="15.75" customHeight="1">
      <c r="Q242" s="76"/>
      <c r="U242" s="76"/>
      <c r="Y242" s="76"/>
      <c r="Z242" s="76"/>
      <c r="AA242" s="76"/>
      <c r="AB242" s="76"/>
    </row>
    <row r="243" ht="15.75" customHeight="1">
      <c r="Q243" s="76"/>
      <c r="U243" s="76"/>
      <c r="Y243" s="76"/>
      <c r="Z243" s="76"/>
      <c r="AA243" s="76"/>
      <c r="AB243" s="76"/>
    </row>
    <row r="244" ht="15.75" customHeight="1">
      <c r="Q244" s="76"/>
      <c r="U244" s="76"/>
      <c r="Y244" s="76"/>
      <c r="Z244" s="76"/>
      <c r="AA244" s="76"/>
      <c r="AB244" s="76"/>
    </row>
    <row r="245" ht="15.75" customHeight="1">
      <c r="Q245" s="76"/>
      <c r="U245" s="76"/>
      <c r="Y245" s="76"/>
      <c r="Z245" s="76"/>
      <c r="AA245" s="76"/>
      <c r="AB245" s="76"/>
    </row>
    <row r="246" ht="15.75" customHeight="1">
      <c r="Q246" s="76"/>
      <c r="U246" s="76"/>
      <c r="Y246" s="76"/>
      <c r="Z246" s="76"/>
      <c r="AA246" s="76"/>
      <c r="AB246" s="76"/>
    </row>
    <row r="247" ht="15.75" customHeight="1">
      <c r="Q247" s="76"/>
      <c r="U247" s="76"/>
      <c r="Y247" s="76"/>
      <c r="Z247" s="76"/>
      <c r="AA247" s="76"/>
      <c r="AB247" s="76"/>
    </row>
    <row r="248" ht="15.75" customHeight="1">
      <c r="Q248" s="76"/>
      <c r="U248" s="76"/>
      <c r="Y248" s="76"/>
      <c r="Z248" s="76"/>
      <c r="AA248" s="76"/>
      <c r="AB248" s="76"/>
    </row>
    <row r="249" ht="15.75" customHeight="1">
      <c r="Q249" s="76"/>
      <c r="U249" s="76"/>
      <c r="Y249" s="76"/>
      <c r="Z249" s="76"/>
      <c r="AA249" s="76"/>
      <c r="AB249" s="76"/>
    </row>
    <row r="250" ht="15.75" customHeight="1">
      <c r="Q250" s="76"/>
      <c r="U250" s="76"/>
      <c r="Y250" s="76"/>
      <c r="Z250" s="76"/>
      <c r="AA250" s="76"/>
      <c r="AB250" s="76"/>
    </row>
    <row r="251" ht="15.75" customHeight="1">
      <c r="Q251" s="76"/>
      <c r="U251" s="76"/>
      <c r="Y251" s="76"/>
      <c r="Z251" s="76"/>
      <c r="AA251" s="76"/>
      <c r="AB251" s="76"/>
    </row>
    <row r="252" ht="15.75" customHeight="1">
      <c r="Q252" s="76"/>
      <c r="U252" s="76"/>
      <c r="Y252" s="76"/>
      <c r="Z252" s="76"/>
      <c r="AA252" s="76"/>
      <c r="AB252" s="76"/>
    </row>
    <row r="253" ht="15.75" customHeight="1">
      <c r="Q253" s="76"/>
      <c r="U253" s="76"/>
      <c r="Y253" s="76"/>
      <c r="Z253" s="76"/>
      <c r="AA253" s="76"/>
      <c r="AB253" s="76"/>
    </row>
    <row r="254" ht="15.75" customHeight="1">
      <c r="Q254" s="76"/>
      <c r="U254" s="76"/>
      <c r="Y254" s="76"/>
      <c r="Z254" s="76"/>
      <c r="AA254" s="76"/>
      <c r="AB254" s="76"/>
    </row>
    <row r="255" ht="15.75" customHeight="1">
      <c r="Q255" s="76"/>
      <c r="U255" s="76"/>
      <c r="Y255" s="76"/>
      <c r="Z255" s="76"/>
      <c r="AA255" s="76"/>
      <c r="AB255" s="76"/>
    </row>
    <row r="256" ht="15.75" customHeight="1">
      <c r="Q256" s="76"/>
      <c r="U256" s="76"/>
      <c r="Y256" s="76"/>
      <c r="Z256" s="76"/>
      <c r="AA256" s="76"/>
      <c r="AB256" s="76"/>
    </row>
    <row r="257" ht="15.75" customHeight="1">
      <c r="Q257" s="76"/>
      <c r="U257" s="76"/>
      <c r="Y257" s="76"/>
      <c r="Z257" s="76"/>
      <c r="AA257" s="76"/>
      <c r="AB257" s="76"/>
    </row>
    <row r="258" ht="15.75" customHeight="1">
      <c r="Q258" s="76"/>
      <c r="U258" s="76"/>
      <c r="Y258" s="76"/>
      <c r="Z258" s="76"/>
      <c r="AA258" s="76"/>
      <c r="AB258" s="76"/>
    </row>
    <row r="259" ht="15.75" customHeight="1">
      <c r="Q259" s="76"/>
      <c r="U259" s="76"/>
      <c r="Y259" s="76"/>
      <c r="Z259" s="76"/>
      <c r="AA259" s="76"/>
      <c r="AB259" s="76"/>
    </row>
    <row r="260" ht="15.75" customHeight="1">
      <c r="Q260" s="76"/>
      <c r="U260" s="76"/>
      <c r="Y260" s="76"/>
      <c r="Z260" s="76"/>
      <c r="AA260" s="76"/>
      <c r="AB260" s="76"/>
    </row>
    <row r="261" ht="15.75" customHeight="1">
      <c r="Q261" s="76"/>
      <c r="U261" s="76"/>
      <c r="Y261" s="76"/>
      <c r="Z261" s="76"/>
      <c r="AA261" s="76"/>
      <c r="AB261" s="76"/>
    </row>
    <row r="262" ht="15.75" customHeight="1">
      <c r="Q262" s="76"/>
      <c r="U262" s="76"/>
      <c r="Y262" s="76"/>
      <c r="Z262" s="76"/>
      <c r="AA262" s="76"/>
      <c r="AB262" s="76"/>
    </row>
    <row r="263" ht="15.75" customHeight="1">
      <c r="Q263" s="76"/>
      <c r="U263" s="76"/>
      <c r="Y263" s="76"/>
      <c r="Z263" s="76"/>
      <c r="AA263" s="76"/>
      <c r="AB263" s="76"/>
    </row>
    <row r="264" ht="15.75" customHeight="1">
      <c r="Q264" s="76"/>
      <c r="U264" s="76"/>
      <c r="Y264" s="76"/>
      <c r="Z264" s="76"/>
      <c r="AA264" s="76"/>
      <c r="AB264" s="76"/>
    </row>
    <row r="265" ht="15.75" customHeight="1">
      <c r="Q265" s="76"/>
      <c r="U265" s="76"/>
      <c r="Y265" s="76"/>
      <c r="Z265" s="76"/>
      <c r="AA265" s="76"/>
      <c r="AB265" s="76"/>
    </row>
    <row r="266" ht="15.75" customHeight="1">
      <c r="Q266" s="76"/>
      <c r="U266" s="76"/>
      <c r="Y266" s="76"/>
      <c r="Z266" s="76"/>
      <c r="AA266" s="76"/>
      <c r="AB266" s="76"/>
    </row>
    <row r="267" ht="15.75" customHeight="1">
      <c r="Q267" s="76"/>
      <c r="U267" s="76"/>
      <c r="Y267" s="76"/>
      <c r="Z267" s="76"/>
      <c r="AA267" s="76"/>
      <c r="AB267" s="76"/>
    </row>
    <row r="268" ht="15.75" customHeight="1">
      <c r="Q268" s="76"/>
      <c r="U268" s="76"/>
      <c r="Y268" s="76"/>
      <c r="Z268" s="76"/>
      <c r="AA268" s="76"/>
      <c r="AB268" s="76"/>
    </row>
    <row r="269" ht="15.75" customHeight="1">
      <c r="Q269" s="76"/>
      <c r="U269" s="76"/>
      <c r="Y269" s="76"/>
      <c r="Z269" s="76"/>
      <c r="AA269" s="76"/>
      <c r="AB269" s="76"/>
    </row>
    <row r="270" ht="15.75" customHeight="1">
      <c r="Q270" s="76"/>
      <c r="U270" s="76"/>
      <c r="Y270" s="76"/>
      <c r="Z270" s="76"/>
      <c r="AA270" s="76"/>
      <c r="AB270" s="76"/>
    </row>
    <row r="271" ht="15.75" customHeight="1">
      <c r="Q271" s="76"/>
      <c r="U271" s="76"/>
      <c r="Y271" s="76"/>
      <c r="Z271" s="76"/>
      <c r="AA271" s="76"/>
      <c r="AB271" s="76"/>
    </row>
    <row r="272" ht="15.75" customHeight="1">
      <c r="Q272" s="76"/>
      <c r="U272" s="76"/>
      <c r="Y272" s="76"/>
      <c r="Z272" s="76"/>
      <c r="AA272" s="76"/>
      <c r="AB272" s="76"/>
    </row>
    <row r="273" ht="15.75" customHeight="1">
      <c r="Q273" s="76"/>
      <c r="U273" s="76"/>
      <c r="Y273" s="76"/>
      <c r="Z273" s="76"/>
      <c r="AA273" s="76"/>
      <c r="AB273" s="76"/>
    </row>
    <row r="274" ht="15.75" customHeight="1">
      <c r="Q274" s="76"/>
      <c r="U274" s="76"/>
      <c r="Y274" s="76"/>
      <c r="Z274" s="76"/>
      <c r="AA274" s="76"/>
      <c r="AB274" s="76"/>
    </row>
    <row r="275" ht="15.75" customHeight="1">
      <c r="Q275" s="76"/>
      <c r="U275" s="76"/>
      <c r="Y275" s="76"/>
      <c r="Z275" s="76"/>
      <c r="AA275" s="76"/>
      <c r="AB275" s="76"/>
    </row>
    <row r="276" ht="15.75" customHeight="1">
      <c r="Q276" s="76"/>
      <c r="U276" s="76"/>
      <c r="Y276" s="76"/>
      <c r="Z276" s="76"/>
      <c r="AA276" s="76"/>
      <c r="AB276" s="76"/>
    </row>
    <row r="277" ht="15.75" customHeight="1">
      <c r="Q277" s="76"/>
      <c r="U277" s="76"/>
      <c r="Y277" s="76"/>
      <c r="Z277" s="76"/>
      <c r="AA277" s="76"/>
      <c r="AB277" s="76"/>
    </row>
    <row r="278" ht="15.75" customHeight="1">
      <c r="Q278" s="76"/>
      <c r="U278" s="76"/>
      <c r="Y278" s="76"/>
      <c r="Z278" s="76"/>
      <c r="AA278" s="76"/>
      <c r="AB278" s="76"/>
    </row>
    <row r="279" ht="15.75" customHeight="1">
      <c r="Q279" s="76"/>
      <c r="U279" s="76"/>
      <c r="Y279" s="76"/>
      <c r="Z279" s="76"/>
      <c r="AA279" s="76"/>
      <c r="AB279" s="76"/>
    </row>
    <row r="280" ht="15.75" customHeight="1">
      <c r="Q280" s="76"/>
      <c r="U280" s="76"/>
      <c r="Y280" s="76"/>
      <c r="Z280" s="76"/>
      <c r="AA280" s="76"/>
      <c r="AB280" s="76"/>
    </row>
    <row r="281" ht="15.75" customHeight="1">
      <c r="Q281" s="76"/>
      <c r="U281" s="76"/>
      <c r="Y281" s="76"/>
      <c r="Z281" s="76"/>
      <c r="AA281" s="76"/>
      <c r="AB281" s="76"/>
    </row>
    <row r="282" ht="15.75" customHeight="1">
      <c r="Q282" s="76"/>
      <c r="U282" s="76"/>
      <c r="Y282" s="76"/>
      <c r="Z282" s="76"/>
      <c r="AA282" s="76"/>
      <c r="AB282" s="76"/>
    </row>
    <row r="283" ht="15.75" customHeight="1">
      <c r="Q283" s="76"/>
      <c r="U283" s="76"/>
      <c r="Y283" s="76"/>
      <c r="Z283" s="76"/>
      <c r="AA283" s="76"/>
      <c r="AB283" s="76"/>
    </row>
    <row r="284" ht="15.75" customHeight="1">
      <c r="Q284" s="76"/>
      <c r="U284" s="76"/>
      <c r="Y284" s="76"/>
      <c r="Z284" s="76"/>
      <c r="AA284" s="76"/>
      <c r="AB284" s="76"/>
    </row>
    <row r="285" ht="15.75" customHeight="1">
      <c r="Q285" s="76"/>
      <c r="U285" s="76"/>
      <c r="Y285" s="76"/>
      <c r="Z285" s="76"/>
      <c r="AA285" s="76"/>
      <c r="AB285" s="76"/>
    </row>
    <row r="286" ht="15.75" customHeight="1">
      <c r="Q286" s="76"/>
      <c r="U286" s="76"/>
      <c r="Y286" s="76"/>
      <c r="Z286" s="76"/>
      <c r="AA286" s="76"/>
      <c r="AB286" s="76"/>
    </row>
    <row r="287" ht="15.75" customHeight="1">
      <c r="Q287" s="76"/>
      <c r="U287" s="76"/>
      <c r="Y287" s="76"/>
      <c r="Z287" s="76"/>
      <c r="AA287" s="76"/>
      <c r="AB287" s="76"/>
    </row>
    <row r="288" ht="15.75" customHeight="1">
      <c r="Q288" s="76"/>
      <c r="U288" s="76"/>
      <c r="Y288" s="76"/>
      <c r="Z288" s="76"/>
      <c r="AA288" s="76"/>
      <c r="AB288" s="76"/>
    </row>
    <row r="289" ht="15.75" customHeight="1">
      <c r="Q289" s="76"/>
      <c r="U289" s="76"/>
      <c r="Y289" s="76"/>
      <c r="Z289" s="76"/>
      <c r="AA289" s="76"/>
      <c r="AB289" s="76"/>
    </row>
    <row r="290" ht="15.75" customHeight="1">
      <c r="Q290" s="76"/>
      <c r="U290" s="76"/>
      <c r="Y290" s="76"/>
      <c r="Z290" s="76"/>
      <c r="AA290" s="76"/>
      <c r="AB290" s="76"/>
    </row>
    <row r="291" ht="15.75" customHeight="1">
      <c r="Q291" s="76"/>
      <c r="U291" s="76"/>
      <c r="Y291" s="76"/>
      <c r="Z291" s="76"/>
      <c r="AA291" s="76"/>
      <c r="AB291" s="76"/>
    </row>
    <row r="292" ht="15.75" customHeight="1">
      <c r="Q292" s="76"/>
      <c r="U292" s="76"/>
      <c r="Y292" s="76"/>
      <c r="Z292" s="76"/>
      <c r="AA292" s="76"/>
      <c r="AB292" s="76"/>
    </row>
    <row r="293" ht="15.75" customHeight="1">
      <c r="Q293" s="76"/>
      <c r="U293" s="76"/>
      <c r="Y293" s="76"/>
      <c r="Z293" s="76"/>
      <c r="AA293" s="76"/>
      <c r="AB293" s="76"/>
    </row>
    <row r="294" ht="15.75" customHeight="1">
      <c r="Q294" s="76"/>
      <c r="U294" s="76"/>
      <c r="Y294" s="76"/>
      <c r="Z294" s="76"/>
      <c r="AA294" s="76"/>
      <c r="AB294" s="76"/>
    </row>
    <row r="295" ht="15.75" customHeight="1">
      <c r="Q295" s="76"/>
      <c r="U295" s="76"/>
      <c r="Y295" s="76"/>
      <c r="Z295" s="76"/>
      <c r="AA295" s="76"/>
      <c r="AB295" s="76"/>
    </row>
    <row r="296" ht="15.75" customHeight="1">
      <c r="Q296" s="76"/>
      <c r="U296" s="76"/>
      <c r="Y296" s="76"/>
      <c r="Z296" s="76"/>
      <c r="AA296" s="76"/>
      <c r="AB296" s="76"/>
    </row>
    <row r="297" ht="15.75" customHeight="1">
      <c r="Q297" s="76"/>
      <c r="U297" s="76"/>
      <c r="Y297" s="76"/>
      <c r="Z297" s="76"/>
      <c r="AA297" s="76"/>
      <c r="AB297" s="76"/>
    </row>
    <row r="298" ht="15.75" customHeight="1">
      <c r="Q298" s="76"/>
      <c r="U298" s="76"/>
      <c r="Y298" s="76"/>
      <c r="Z298" s="76"/>
      <c r="AA298" s="76"/>
      <c r="AB298" s="76"/>
    </row>
    <row r="299" ht="15.75" customHeight="1">
      <c r="Q299" s="76"/>
      <c r="U299" s="76"/>
      <c r="Y299" s="76"/>
      <c r="Z299" s="76"/>
      <c r="AA299" s="76"/>
      <c r="AB299" s="76"/>
    </row>
    <row r="300" ht="15.75" customHeight="1">
      <c r="Q300" s="76"/>
      <c r="U300" s="76"/>
      <c r="Y300" s="76"/>
      <c r="Z300" s="76"/>
      <c r="AA300" s="76"/>
      <c r="AB300" s="76"/>
    </row>
    <row r="301" ht="15.75" customHeight="1">
      <c r="Q301" s="76"/>
      <c r="U301" s="76"/>
      <c r="Y301" s="76"/>
      <c r="Z301" s="76"/>
      <c r="AA301" s="76"/>
      <c r="AB301" s="76"/>
    </row>
    <row r="302" ht="15.75" customHeight="1">
      <c r="Q302" s="76"/>
      <c r="U302" s="76"/>
      <c r="Y302" s="76"/>
      <c r="Z302" s="76"/>
      <c r="AA302" s="76"/>
      <c r="AB302" s="76"/>
    </row>
    <row r="303" ht="15.75" customHeight="1">
      <c r="Q303" s="76"/>
      <c r="U303" s="76"/>
      <c r="Y303" s="76"/>
      <c r="Z303" s="76"/>
      <c r="AA303" s="76"/>
      <c r="AB303" s="76"/>
    </row>
    <row r="304" ht="15.75" customHeight="1">
      <c r="Q304" s="76"/>
      <c r="U304" s="76"/>
      <c r="Y304" s="76"/>
      <c r="Z304" s="76"/>
      <c r="AA304" s="76"/>
      <c r="AB304" s="76"/>
    </row>
    <row r="305" ht="15.75" customHeight="1">
      <c r="Q305" s="76"/>
      <c r="U305" s="76"/>
      <c r="Y305" s="76"/>
      <c r="Z305" s="76"/>
      <c r="AA305" s="76"/>
      <c r="AB305" s="76"/>
    </row>
    <row r="306" ht="15.75" customHeight="1">
      <c r="Q306" s="76"/>
      <c r="U306" s="76"/>
      <c r="Y306" s="76"/>
      <c r="Z306" s="76"/>
      <c r="AA306" s="76"/>
      <c r="AB306" s="76"/>
    </row>
    <row r="307" ht="15.75" customHeight="1">
      <c r="Q307" s="76"/>
      <c r="U307" s="76"/>
      <c r="Y307" s="76"/>
      <c r="Z307" s="76"/>
      <c r="AA307" s="76"/>
      <c r="AB307" s="76"/>
    </row>
    <row r="308" ht="15.75" customHeight="1">
      <c r="Q308" s="76"/>
      <c r="U308" s="76"/>
      <c r="Y308" s="76"/>
      <c r="Z308" s="76"/>
      <c r="AA308" s="76"/>
      <c r="AB308" s="76"/>
    </row>
    <row r="309" ht="15.75" customHeight="1">
      <c r="Q309" s="76"/>
      <c r="U309" s="76"/>
      <c r="Y309" s="76"/>
      <c r="Z309" s="76"/>
      <c r="AA309" s="76"/>
      <c r="AB309" s="76"/>
    </row>
    <row r="310" ht="15.75" customHeight="1">
      <c r="Q310" s="76"/>
      <c r="U310" s="76"/>
      <c r="Y310" s="76"/>
      <c r="Z310" s="76"/>
      <c r="AA310" s="76"/>
      <c r="AB310" s="76"/>
    </row>
    <row r="311" ht="15.75" customHeight="1">
      <c r="Q311" s="76"/>
      <c r="U311" s="76"/>
      <c r="Y311" s="76"/>
      <c r="Z311" s="76"/>
      <c r="AA311" s="76"/>
      <c r="AB311" s="76"/>
    </row>
    <row r="312" ht="15.75" customHeight="1">
      <c r="Q312" s="76"/>
      <c r="U312" s="76"/>
      <c r="Y312" s="76"/>
      <c r="Z312" s="76"/>
      <c r="AA312" s="76"/>
      <c r="AB312" s="76"/>
    </row>
    <row r="313" ht="15.75" customHeight="1">
      <c r="Q313" s="76"/>
      <c r="U313" s="76"/>
      <c r="Y313" s="76"/>
      <c r="Z313" s="76"/>
      <c r="AA313" s="76"/>
      <c r="AB313" s="76"/>
    </row>
    <row r="314" ht="15.75" customHeight="1">
      <c r="Q314" s="76"/>
      <c r="U314" s="76"/>
      <c r="Y314" s="76"/>
      <c r="Z314" s="76"/>
      <c r="AA314" s="76"/>
      <c r="AB314" s="76"/>
    </row>
    <row r="315" ht="15.75" customHeight="1">
      <c r="Q315" s="76"/>
      <c r="U315" s="76"/>
      <c r="Y315" s="76"/>
      <c r="Z315" s="76"/>
      <c r="AA315" s="76"/>
      <c r="AB315" s="76"/>
    </row>
    <row r="316" ht="15.75" customHeight="1">
      <c r="Q316" s="76"/>
      <c r="U316" s="76"/>
      <c r="Y316" s="76"/>
      <c r="Z316" s="76"/>
      <c r="AA316" s="76"/>
      <c r="AB316" s="76"/>
    </row>
    <row r="317" ht="15.75" customHeight="1">
      <c r="Q317" s="76"/>
      <c r="U317" s="76"/>
      <c r="Y317" s="76"/>
      <c r="Z317" s="76"/>
      <c r="AA317" s="76"/>
      <c r="AB317" s="76"/>
    </row>
    <row r="318" ht="15.75" customHeight="1">
      <c r="Q318" s="76"/>
      <c r="U318" s="76"/>
      <c r="Y318" s="76"/>
      <c r="Z318" s="76"/>
      <c r="AA318" s="76"/>
      <c r="AB318" s="76"/>
    </row>
    <row r="319" ht="15.75" customHeight="1">
      <c r="Q319" s="76"/>
      <c r="U319" s="76"/>
      <c r="Y319" s="76"/>
      <c r="Z319" s="76"/>
      <c r="AA319" s="76"/>
      <c r="AB319" s="76"/>
    </row>
    <row r="320" ht="15.75" customHeight="1">
      <c r="Q320" s="76"/>
      <c r="U320" s="76"/>
      <c r="Y320" s="76"/>
      <c r="Z320" s="76"/>
      <c r="AA320" s="76"/>
      <c r="AB320" s="76"/>
    </row>
    <row r="321" ht="15.75" customHeight="1">
      <c r="Q321" s="76"/>
      <c r="U321" s="76"/>
      <c r="Y321" s="76"/>
      <c r="Z321" s="76"/>
      <c r="AA321" s="76"/>
      <c r="AB321" s="76"/>
    </row>
    <row r="322" ht="15.75" customHeight="1">
      <c r="Q322" s="76"/>
      <c r="U322" s="76"/>
      <c r="Y322" s="76"/>
      <c r="Z322" s="76"/>
      <c r="AA322" s="76"/>
      <c r="AB322" s="76"/>
    </row>
    <row r="323" ht="15.75" customHeight="1">
      <c r="Q323" s="76"/>
      <c r="U323" s="76"/>
      <c r="Y323" s="76"/>
      <c r="Z323" s="76"/>
      <c r="AA323" s="76"/>
      <c r="AB323" s="76"/>
    </row>
    <row r="324" ht="15.75" customHeight="1">
      <c r="Q324" s="76"/>
      <c r="U324" s="76"/>
      <c r="Y324" s="76"/>
      <c r="Z324" s="76"/>
      <c r="AA324" s="76"/>
      <c r="AB324" s="76"/>
    </row>
    <row r="325" ht="15.75" customHeight="1">
      <c r="Q325" s="76"/>
      <c r="U325" s="76"/>
      <c r="Y325" s="76"/>
      <c r="Z325" s="76"/>
      <c r="AA325" s="76"/>
      <c r="AB325" s="76"/>
    </row>
    <row r="326" ht="15.75" customHeight="1">
      <c r="Q326" s="76"/>
      <c r="U326" s="76"/>
      <c r="Y326" s="76"/>
      <c r="Z326" s="76"/>
      <c r="AA326" s="76"/>
      <c r="AB326" s="76"/>
    </row>
    <row r="327" ht="15.75" customHeight="1">
      <c r="Q327" s="76"/>
      <c r="U327" s="76"/>
      <c r="Y327" s="76"/>
      <c r="Z327" s="76"/>
      <c r="AA327" s="76"/>
      <c r="AB327" s="76"/>
    </row>
    <row r="328" ht="15.75" customHeight="1">
      <c r="Q328" s="76"/>
      <c r="U328" s="76"/>
      <c r="Y328" s="76"/>
      <c r="Z328" s="76"/>
      <c r="AA328" s="76"/>
      <c r="AB328" s="76"/>
    </row>
    <row r="329" ht="15.75" customHeight="1">
      <c r="Q329" s="76"/>
      <c r="U329" s="76"/>
      <c r="Y329" s="76"/>
      <c r="Z329" s="76"/>
      <c r="AA329" s="76"/>
      <c r="AB329" s="76"/>
    </row>
    <row r="330" ht="15.75" customHeight="1">
      <c r="Q330" s="76"/>
      <c r="U330" s="76"/>
      <c r="Y330" s="76"/>
      <c r="Z330" s="76"/>
      <c r="AA330" s="76"/>
      <c r="AB330" s="76"/>
    </row>
    <row r="331" ht="15.75" customHeight="1">
      <c r="Q331" s="76"/>
      <c r="U331" s="76"/>
      <c r="Y331" s="76"/>
      <c r="Z331" s="76"/>
      <c r="AA331" s="76"/>
      <c r="AB331" s="76"/>
    </row>
    <row r="332" ht="15.75" customHeight="1">
      <c r="Q332" s="76"/>
      <c r="U332" s="76"/>
      <c r="Y332" s="76"/>
      <c r="Z332" s="76"/>
      <c r="AA332" s="76"/>
      <c r="AB332" s="76"/>
    </row>
    <row r="333" ht="15.75" customHeight="1">
      <c r="Q333" s="76"/>
      <c r="U333" s="76"/>
      <c r="Y333" s="76"/>
      <c r="Z333" s="76"/>
      <c r="AA333" s="76"/>
      <c r="AB333" s="76"/>
    </row>
    <row r="334" ht="15.75" customHeight="1">
      <c r="Q334" s="76"/>
      <c r="U334" s="76"/>
      <c r="Y334" s="76"/>
      <c r="Z334" s="76"/>
      <c r="AA334" s="76"/>
      <c r="AB334" s="76"/>
    </row>
    <row r="335" ht="15.75" customHeight="1">
      <c r="Q335" s="76"/>
      <c r="U335" s="76"/>
      <c r="Y335" s="76"/>
      <c r="Z335" s="76"/>
      <c r="AA335" s="76"/>
      <c r="AB335" s="76"/>
    </row>
    <row r="336" ht="15.75" customHeight="1">
      <c r="Q336" s="76"/>
      <c r="U336" s="76"/>
      <c r="Y336" s="76"/>
      <c r="Z336" s="76"/>
      <c r="AA336" s="76"/>
      <c r="AB336" s="76"/>
    </row>
    <row r="337" ht="15.75" customHeight="1">
      <c r="Q337" s="76"/>
      <c r="U337" s="76"/>
      <c r="Y337" s="76"/>
      <c r="Z337" s="76"/>
      <c r="AA337" s="76"/>
      <c r="AB337" s="76"/>
    </row>
    <row r="338" ht="15.75" customHeight="1">
      <c r="Q338" s="76"/>
      <c r="U338" s="76"/>
      <c r="Y338" s="76"/>
      <c r="Z338" s="76"/>
      <c r="AA338" s="76"/>
      <c r="AB338" s="76"/>
    </row>
    <row r="339" ht="15.75" customHeight="1">
      <c r="Q339" s="76"/>
      <c r="U339" s="76"/>
      <c r="Y339" s="76"/>
      <c r="Z339" s="76"/>
      <c r="AA339" s="76"/>
      <c r="AB339" s="76"/>
    </row>
    <row r="340" ht="15.75" customHeight="1">
      <c r="Q340" s="76"/>
      <c r="U340" s="76"/>
      <c r="Y340" s="76"/>
      <c r="Z340" s="76"/>
      <c r="AA340" s="76"/>
      <c r="AB340" s="76"/>
    </row>
    <row r="341" ht="15.75" customHeight="1">
      <c r="Q341" s="76"/>
      <c r="U341" s="76"/>
      <c r="Y341" s="76"/>
      <c r="Z341" s="76"/>
      <c r="AA341" s="76"/>
      <c r="AB341" s="76"/>
    </row>
    <row r="342" ht="15.75" customHeight="1">
      <c r="Q342" s="76"/>
      <c r="U342" s="76"/>
      <c r="Y342" s="76"/>
      <c r="Z342" s="76"/>
      <c r="AA342" s="76"/>
      <c r="AB342" s="76"/>
    </row>
    <row r="343" ht="15.75" customHeight="1">
      <c r="Q343" s="76"/>
      <c r="U343" s="76"/>
      <c r="Y343" s="76"/>
      <c r="Z343" s="76"/>
      <c r="AA343" s="76"/>
      <c r="AB343" s="76"/>
    </row>
    <row r="344" ht="15.75" customHeight="1">
      <c r="Q344" s="76"/>
      <c r="U344" s="76"/>
      <c r="Y344" s="76"/>
      <c r="Z344" s="76"/>
      <c r="AA344" s="76"/>
      <c r="AB344" s="76"/>
    </row>
    <row r="345" ht="15.75" customHeight="1">
      <c r="Q345" s="76"/>
      <c r="U345" s="76"/>
      <c r="Y345" s="76"/>
      <c r="Z345" s="76"/>
      <c r="AA345" s="76"/>
      <c r="AB345" s="76"/>
    </row>
    <row r="346" ht="15.75" customHeight="1">
      <c r="Q346" s="76"/>
      <c r="U346" s="76"/>
      <c r="Y346" s="76"/>
      <c r="Z346" s="76"/>
      <c r="AA346" s="76"/>
      <c r="AB346" s="76"/>
    </row>
    <row r="347" ht="15.75" customHeight="1">
      <c r="Q347" s="76"/>
      <c r="U347" s="76"/>
      <c r="Y347" s="76"/>
      <c r="Z347" s="76"/>
      <c r="AA347" s="76"/>
      <c r="AB347" s="76"/>
    </row>
    <row r="348" ht="15.75" customHeight="1">
      <c r="Q348" s="76"/>
      <c r="U348" s="76"/>
      <c r="Y348" s="76"/>
      <c r="Z348" s="76"/>
      <c r="AA348" s="76"/>
      <c r="AB348" s="76"/>
    </row>
    <row r="349" ht="15.75" customHeight="1">
      <c r="Q349" s="76"/>
      <c r="U349" s="76"/>
      <c r="Y349" s="76"/>
      <c r="Z349" s="76"/>
      <c r="AA349" s="76"/>
      <c r="AB349" s="76"/>
    </row>
    <row r="350" ht="15.75" customHeight="1">
      <c r="Q350" s="76"/>
      <c r="U350" s="76"/>
      <c r="Y350" s="76"/>
      <c r="Z350" s="76"/>
      <c r="AA350" s="76"/>
      <c r="AB350" s="76"/>
    </row>
    <row r="351" ht="15.75" customHeight="1">
      <c r="Q351" s="76"/>
      <c r="U351" s="76"/>
      <c r="Y351" s="76"/>
      <c r="Z351" s="76"/>
      <c r="AA351" s="76"/>
      <c r="AB351" s="76"/>
    </row>
    <row r="352" ht="15.75" customHeight="1">
      <c r="Q352" s="76"/>
      <c r="U352" s="76"/>
      <c r="Y352" s="76"/>
      <c r="Z352" s="76"/>
      <c r="AA352" s="76"/>
      <c r="AB352" s="76"/>
    </row>
    <row r="353" ht="15.75" customHeight="1">
      <c r="Q353" s="76"/>
      <c r="U353" s="76"/>
      <c r="Y353" s="76"/>
      <c r="Z353" s="76"/>
      <c r="AA353" s="76"/>
      <c r="AB353" s="76"/>
    </row>
    <row r="354" ht="15.75" customHeight="1">
      <c r="Q354" s="76"/>
      <c r="U354" s="76"/>
      <c r="Y354" s="76"/>
      <c r="Z354" s="76"/>
      <c r="AA354" s="76"/>
      <c r="AB354" s="76"/>
    </row>
    <row r="355" ht="15.75" customHeight="1">
      <c r="Q355" s="76"/>
      <c r="U355" s="76"/>
      <c r="Y355" s="76"/>
      <c r="Z355" s="76"/>
      <c r="AA355" s="76"/>
      <c r="AB355" s="76"/>
    </row>
    <row r="356" ht="15.75" customHeight="1">
      <c r="Q356" s="76"/>
      <c r="U356" s="76"/>
      <c r="Y356" s="76"/>
      <c r="Z356" s="76"/>
      <c r="AA356" s="76"/>
      <c r="AB356" s="76"/>
    </row>
    <row r="357" ht="15.75" customHeight="1">
      <c r="Q357" s="76"/>
      <c r="U357" s="76"/>
      <c r="Y357" s="76"/>
      <c r="Z357" s="76"/>
      <c r="AA357" s="76"/>
      <c r="AB357" s="76"/>
    </row>
    <row r="358" ht="15.75" customHeight="1">
      <c r="Q358" s="76"/>
      <c r="U358" s="76"/>
      <c r="Y358" s="76"/>
      <c r="Z358" s="76"/>
      <c r="AA358" s="76"/>
      <c r="AB358" s="76"/>
    </row>
    <row r="359" ht="15.75" customHeight="1">
      <c r="Q359" s="76"/>
      <c r="U359" s="76"/>
      <c r="Y359" s="76"/>
      <c r="Z359" s="76"/>
      <c r="AA359" s="76"/>
      <c r="AB359" s="76"/>
    </row>
    <row r="360" ht="15.75" customHeight="1">
      <c r="Q360" s="76"/>
      <c r="U360" s="76"/>
      <c r="Y360" s="76"/>
      <c r="Z360" s="76"/>
      <c r="AA360" s="76"/>
      <c r="AB360" s="76"/>
    </row>
    <row r="361" ht="15.75" customHeight="1">
      <c r="Q361" s="76"/>
      <c r="U361" s="76"/>
      <c r="Y361" s="76"/>
      <c r="Z361" s="76"/>
      <c r="AA361" s="76"/>
      <c r="AB361" s="76"/>
    </row>
    <row r="362" ht="15.75" customHeight="1">
      <c r="Q362" s="76"/>
      <c r="U362" s="76"/>
      <c r="Y362" s="76"/>
      <c r="Z362" s="76"/>
      <c r="AA362" s="76"/>
      <c r="AB362" s="76"/>
    </row>
    <row r="363" ht="15.75" customHeight="1">
      <c r="Q363" s="76"/>
      <c r="U363" s="76"/>
      <c r="Y363" s="76"/>
      <c r="Z363" s="76"/>
      <c r="AA363" s="76"/>
      <c r="AB363" s="76"/>
    </row>
    <row r="364" ht="15.75" customHeight="1">
      <c r="Q364" s="76"/>
      <c r="U364" s="76"/>
      <c r="Y364" s="76"/>
      <c r="Z364" s="76"/>
      <c r="AA364" s="76"/>
      <c r="AB364" s="76"/>
    </row>
    <row r="365" ht="15.75" customHeight="1">
      <c r="Q365" s="76"/>
      <c r="U365" s="76"/>
      <c r="Y365" s="76"/>
      <c r="Z365" s="76"/>
      <c r="AA365" s="76"/>
      <c r="AB365" s="76"/>
    </row>
    <row r="366" ht="15.75" customHeight="1">
      <c r="Q366" s="76"/>
      <c r="U366" s="76"/>
      <c r="Y366" s="76"/>
      <c r="Z366" s="76"/>
      <c r="AA366" s="76"/>
      <c r="AB366" s="76"/>
    </row>
    <row r="367" ht="15.75" customHeight="1">
      <c r="Q367" s="76"/>
      <c r="U367" s="76"/>
      <c r="Y367" s="76"/>
      <c r="Z367" s="76"/>
      <c r="AA367" s="76"/>
      <c r="AB367" s="76"/>
    </row>
    <row r="368" ht="15.75" customHeight="1">
      <c r="Q368" s="76"/>
      <c r="U368" s="76"/>
      <c r="Y368" s="76"/>
      <c r="Z368" s="76"/>
      <c r="AA368" s="76"/>
      <c r="AB368" s="76"/>
    </row>
    <row r="369" ht="15.75" customHeight="1">
      <c r="Q369" s="76"/>
      <c r="U369" s="76"/>
      <c r="Y369" s="76"/>
      <c r="Z369" s="76"/>
      <c r="AA369" s="76"/>
      <c r="AB369" s="76"/>
    </row>
    <row r="370" ht="15.75" customHeight="1">
      <c r="Q370" s="76"/>
      <c r="U370" s="76"/>
      <c r="Y370" s="76"/>
      <c r="Z370" s="76"/>
      <c r="AA370" s="76"/>
      <c r="AB370" s="76"/>
    </row>
    <row r="371" ht="15.75" customHeight="1">
      <c r="Q371" s="76"/>
      <c r="U371" s="76"/>
      <c r="Y371" s="76"/>
      <c r="Z371" s="76"/>
      <c r="AA371" s="76"/>
      <c r="AB371" s="76"/>
    </row>
    <row r="372" ht="15.75" customHeight="1">
      <c r="Q372" s="76"/>
      <c r="U372" s="76"/>
      <c r="Y372" s="76"/>
      <c r="Z372" s="76"/>
      <c r="AA372" s="76"/>
      <c r="AB372" s="76"/>
    </row>
    <row r="373" ht="15.75" customHeight="1">
      <c r="Q373" s="76"/>
      <c r="U373" s="76"/>
      <c r="Y373" s="76"/>
      <c r="Z373" s="76"/>
      <c r="AA373" s="76"/>
      <c r="AB373" s="76"/>
    </row>
    <row r="374" ht="15.75" customHeight="1">
      <c r="Q374" s="76"/>
      <c r="U374" s="76"/>
      <c r="Y374" s="76"/>
      <c r="Z374" s="76"/>
      <c r="AA374" s="76"/>
      <c r="AB374" s="76"/>
    </row>
    <row r="375" ht="15.75" customHeight="1">
      <c r="Q375" s="76"/>
      <c r="U375" s="76"/>
      <c r="Y375" s="76"/>
      <c r="Z375" s="76"/>
      <c r="AA375" s="76"/>
      <c r="AB375" s="76"/>
    </row>
    <row r="376" ht="15.75" customHeight="1">
      <c r="Q376" s="76"/>
      <c r="U376" s="76"/>
      <c r="Y376" s="76"/>
      <c r="Z376" s="76"/>
      <c r="AA376" s="76"/>
      <c r="AB376" s="76"/>
    </row>
    <row r="377" ht="15.75" customHeight="1">
      <c r="Q377" s="76"/>
      <c r="U377" s="76"/>
      <c r="Y377" s="76"/>
      <c r="Z377" s="76"/>
      <c r="AA377" s="76"/>
      <c r="AB377" s="76"/>
    </row>
    <row r="378" ht="15.75" customHeight="1">
      <c r="Q378" s="76"/>
      <c r="U378" s="76"/>
      <c r="Y378" s="76"/>
      <c r="Z378" s="76"/>
      <c r="AA378" s="76"/>
      <c r="AB378" s="76"/>
    </row>
    <row r="379" ht="15.75" customHeight="1">
      <c r="Q379" s="76"/>
      <c r="U379" s="76"/>
      <c r="Y379" s="76"/>
      <c r="Z379" s="76"/>
      <c r="AA379" s="76"/>
      <c r="AB379" s="76"/>
    </row>
    <row r="380" ht="15.75" customHeight="1">
      <c r="Q380" s="76"/>
      <c r="U380" s="76"/>
      <c r="Y380" s="76"/>
      <c r="Z380" s="76"/>
      <c r="AA380" s="76"/>
      <c r="AB380" s="76"/>
    </row>
    <row r="381" ht="15.75" customHeight="1">
      <c r="Q381" s="76"/>
      <c r="U381" s="76"/>
      <c r="Y381" s="76"/>
      <c r="Z381" s="76"/>
      <c r="AA381" s="76"/>
      <c r="AB381" s="76"/>
    </row>
    <row r="382" ht="15.75" customHeight="1">
      <c r="Q382" s="76"/>
      <c r="U382" s="76"/>
      <c r="Y382" s="76"/>
      <c r="Z382" s="76"/>
      <c r="AA382" s="76"/>
      <c r="AB382" s="76"/>
    </row>
    <row r="383" ht="15.75" customHeight="1">
      <c r="Q383" s="76"/>
      <c r="U383" s="76"/>
      <c r="Y383" s="76"/>
      <c r="Z383" s="76"/>
      <c r="AA383" s="76"/>
      <c r="AB383" s="76"/>
    </row>
    <row r="384" ht="15.75" customHeight="1">
      <c r="Q384" s="76"/>
      <c r="U384" s="76"/>
      <c r="Y384" s="76"/>
      <c r="Z384" s="76"/>
      <c r="AA384" s="76"/>
      <c r="AB384" s="76"/>
    </row>
    <row r="385" ht="15.75" customHeight="1">
      <c r="Q385" s="76"/>
      <c r="U385" s="76"/>
      <c r="Y385" s="76"/>
      <c r="Z385" s="76"/>
      <c r="AA385" s="76"/>
      <c r="AB385" s="76"/>
    </row>
    <row r="386" ht="15.75" customHeight="1">
      <c r="Q386" s="76"/>
      <c r="U386" s="76"/>
      <c r="Y386" s="76"/>
      <c r="Z386" s="76"/>
      <c r="AA386" s="76"/>
      <c r="AB386" s="76"/>
    </row>
    <row r="387" ht="15.75" customHeight="1">
      <c r="Q387" s="76"/>
      <c r="U387" s="76"/>
      <c r="Y387" s="76"/>
      <c r="Z387" s="76"/>
      <c r="AA387" s="76"/>
      <c r="AB387" s="76"/>
    </row>
    <row r="388" ht="15.75" customHeight="1">
      <c r="Q388" s="76"/>
      <c r="U388" s="76"/>
      <c r="Y388" s="76"/>
      <c r="Z388" s="76"/>
      <c r="AA388" s="76"/>
      <c r="AB388" s="76"/>
    </row>
    <row r="389" ht="15.75" customHeight="1">
      <c r="Q389" s="76"/>
      <c r="U389" s="76"/>
      <c r="Y389" s="76"/>
      <c r="Z389" s="76"/>
      <c r="AA389" s="76"/>
      <c r="AB389" s="76"/>
    </row>
    <row r="390" ht="15.75" customHeight="1">
      <c r="Q390" s="76"/>
      <c r="U390" s="76"/>
      <c r="Y390" s="76"/>
      <c r="Z390" s="76"/>
      <c r="AA390" s="76"/>
      <c r="AB390" s="76"/>
    </row>
    <row r="391" ht="15.75" customHeight="1">
      <c r="Q391" s="76"/>
      <c r="U391" s="76"/>
      <c r="Y391" s="76"/>
      <c r="Z391" s="76"/>
      <c r="AA391" s="76"/>
      <c r="AB391" s="76"/>
    </row>
    <row r="392" ht="15.75" customHeight="1">
      <c r="Q392" s="76"/>
      <c r="U392" s="76"/>
      <c r="Y392" s="76"/>
      <c r="Z392" s="76"/>
      <c r="AA392" s="76"/>
      <c r="AB392" s="76"/>
    </row>
    <row r="393" ht="15.75" customHeight="1">
      <c r="Q393" s="76"/>
      <c r="U393" s="76"/>
      <c r="Y393" s="76"/>
      <c r="Z393" s="76"/>
      <c r="AA393" s="76"/>
      <c r="AB393" s="76"/>
    </row>
    <row r="394" ht="15.75" customHeight="1">
      <c r="Q394" s="76"/>
      <c r="U394" s="76"/>
      <c r="Y394" s="76"/>
      <c r="Z394" s="76"/>
      <c r="AA394" s="76"/>
      <c r="AB394" s="76"/>
    </row>
    <row r="395" ht="15.75" customHeight="1">
      <c r="Q395" s="76"/>
      <c r="U395" s="76"/>
      <c r="Y395" s="76"/>
      <c r="Z395" s="76"/>
      <c r="AA395" s="76"/>
      <c r="AB395" s="76"/>
    </row>
    <row r="396" ht="15.75" customHeight="1">
      <c r="Q396" s="76"/>
      <c r="U396" s="76"/>
      <c r="Y396" s="76"/>
      <c r="Z396" s="76"/>
      <c r="AA396" s="76"/>
      <c r="AB396" s="76"/>
    </row>
    <row r="397" ht="15.75" customHeight="1">
      <c r="Q397" s="76"/>
      <c r="U397" s="76"/>
      <c r="Y397" s="76"/>
      <c r="Z397" s="76"/>
      <c r="AA397" s="76"/>
      <c r="AB397" s="76"/>
    </row>
    <row r="398" ht="15.75" customHeight="1">
      <c r="Q398" s="76"/>
      <c r="U398" s="76"/>
      <c r="Y398" s="76"/>
      <c r="Z398" s="76"/>
      <c r="AA398" s="76"/>
      <c r="AB398" s="76"/>
    </row>
    <row r="399" ht="15.75" customHeight="1">
      <c r="Q399" s="76"/>
      <c r="U399" s="76"/>
      <c r="Y399" s="76"/>
      <c r="Z399" s="76"/>
      <c r="AA399" s="76"/>
      <c r="AB399" s="76"/>
    </row>
    <row r="400" ht="15.75" customHeight="1">
      <c r="Q400" s="76"/>
      <c r="U400" s="76"/>
      <c r="Y400" s="76"/>
      <c r="Z400" s="76"/>
      <c r="AA400" s="76"/>
      <c r="AB400" s="76"/>
    </row>
    <row r="401" ht="15.75" customHeight="1">
      <c r="Q401" s="76"/>
      <c r="U401" s="76"/>
      <c r="Y401" s="76"/>
      <c r="Z401" s="76"/>
      <c r="AA401" s="76"/>
      <c r="AB401" s="76"/>
    </row>
    <row r="402" ht="15.75" customHeight="1">
      <c r="Q402" s="76"/>
      <c r="U402" s="76"/>
      <c r="Y402" s="76"/>
      <c r="Z402" s="76"/>
      <c r="AA402" s="76"/>
      <c r="AB402" s="76"/>
    </row>
    <row r="403" ht="15.75" customHeight="1">
      <c r="Q403" s="76"/>
      <c r="U403" s="76"/>
      <c r="Y403" s="76"/>
      <c r="Z403" s="76"/>
      <c r="AA403" s="76"/>
      <c r="AB403" s="76"/>
    </row>
    <row r="404" ht="15.75" customHeight="1">
      <c r="Q404" s="76"/>
      <c r="U404" s="76"/>
      <c r="Y404" s="76"/>
      <c r="Z404" s="76"/>
      <c r="AA404" s="76"/>
      <c r="AB404" s="76"/>
    </row>
    <row r="405" ht="15.75" customHeight="1">
      <c r="Q405" s="76"/>
      <c r="U405" s="76"/>
      <c r="Y405" s="76"/>
      <c r="Z405" s="76"/>
      <c r="AA405" s="76"/>
      <c r="AB405" s="76"/>
    </row>
    <row r="406" ht="15.75" customHeight="1">
      <c r="Q406" s="76"/>
      <c r="U406" s="76"/>
      <c r="Y406" s="76"/>
      <c r="Z406" s="76"/>
      <c r="AA406" s="76"/>
      <c r="AB406" s="76"/>
    </row>
    <row r="407" ht="15.75" customHeight="1">
      <c r="Q407" s="76"/>
      <c r="U407" s="76"/>
      <c r="Y407" s="76"/>
      <c r="Z407" s="76"/>
      <c r="AA407" s="76"/>
      <c r="AB407" s="76"/>
    </row>
    <row r="408" ht="15.75" customHeight="1">
      <c r="Q408" s="76"/>
      <c r="U408" s="76"/>
      <c r="Y408" s="76"/>
      <c r="Z408" s="76"/>
      <c r="AA408" s="76"/>
      <c r="AB408" s="76"/>
    </row>
    <row r="409" ht="15.75" customHeight="1">
      <c r="Q409" s="76"/>
      <c r="U409" s="76"/>
      <c r="Y409" s="76"/>
      <c r="Z409" s="76"/>
      <c r="AA409" s="76"/>
      <c r="AB409" s="76"/>
    </row>
    <row r="410" ht="15.75" customHeight="1">
      <c r="Q410" s="76"/>
      <c r="U410" s="76"/>
      <c r="Y410" s="76"/>
      <c r="Z410" s="76"/>
      <c r="AA410" s="76"/>
      <c r="AB410" s="76"/>
    </row>
    <row r="411" ht="15.75" customHeight="1">
      <c r="Q411" s="76"/>
      <c r="U411" s="76"/>
      <c r="Y411" s="76"/>
      <c r="Z411" s="76"/>
      <c r="AA411" s="76"/>
      <c r="AB411" s="76"/>
    </row>
    <row r="412" ht="15.75" customHeight="1">
      <c r="Q412" s="76"/>
      <c r="U412" s="76"/>
      <c r="Y412" s="76"/>
      <c r="Z412" s="76"/>
      <c r="AA412" s="76"/>
      <c r="AB412" s="76"/>
    </row>
    <row r="413" ht="15.75" customHeight="1">
      <c r="Q413" s="76"/>
      <c r="U413" s="76"/>
      <c r="Y413" s="76"/>
      <c r="Z413" s="76"/>
      <c r="AA413" s="76"/>
      <c r="AB413" s="76"/>
    </row>
    <row r="414" ht="15.75" customHeight="1">
      <c r="Q414" s="76"/>
      <c r="U414" s="76"/>
      <c r="Y414" s="76"/>
      <c r="Z414" s="76"/>
      <c r="AA414" s="76"/>
      <c r="AB414" s="76"/>
    </row>
    <row r="415" ht="15.75" customHeight="1">
      <c r="Q415" s="76"/>
      <c r="U415" s="76"/>
      <c r="Y415" s="76"/>
      <c r="Z415" s="76"/>
      <c r="AA415" s="76"/>
      <c r="AB415" s="76"/>
    </row>
    <row r="416" ht="15.75" customHeight="1">
      <c r="Q416" s="76"/>
      <c r="U416" s="76"/>
      <c r="Y416" s="76"/>
      <c r="Z416" s="76"/>
      <c r="AA416" s="76"/>
      <c r="AB416" s="76"/>
    </row>
    <row r="417" ht="15.75" customHeight="1">
      <c r="Q417" s="76"/>
      <c r="U417" s="76"/>
      <c r="Y417" s="76"/>
      <c r="Z417" s="76"/>
      <c r="AA417" s="76"/>
      <c r="AB417" s="76"/>
    </row>
    <row r="418" ht="15.75" customHeight="1">
      <c r="Q418" s="76"/>
      <c r="U418" s="76"/>
      <c r="Y418" s="76"/>
      <c r="Z418" s="76"/>
      <c r="AA418" s="76"/>
      <c r="AB418" s="76"/>
    </row>
    <row r="419" ht="15.75" customHeight="1">
      <c r="Q419" s="76"/>
      <c r="U419" s="76"/>
      <c r="Y419" s="76"/>
      <c r="Z419" s="76"/>
      <c r="AA419" s="76"/>
      <c r="AB419" s="76"/>
    </row>
    <row r="420" ht="15.75" customHeight="1">
      <c r="Q420" s="76"/>
      <c r="U420" s="76"/>
      <c r="Y420" s="76"/>
      <c r="Z420" s="76"/>
      <c r="AA420" s="76"/>
      <c r="AB420" s="76"/>
    </row>
    <row r="421" ht="15.75" customHeight="1">
      <c r="Q421" s="76"/>
      <c r="U421" s="76"/>
      <c r="Y421" s="76"/>
      <c r="Z421" s="76"/>
      <c r="AA421" s="76"/>
      <c r="AB421" s="76"/>
    </row>
    <row r="422" ht="15.75" customHeight="1">
      <c r="Q422" s="76"/>
      <c r="U422" s="76"/>
      <c r="Y422" s="76"/>
      <c r="Z422" s="76"/>
      <c r="AA422" s="76"/>
      <c r="AB422" s="76"/>
    </row>
    <row r="423" ht="15.75" customHeight="1">
      <c r="Q423" s="76"/>
      <c r="U423" s="76"/>
      <c r="Y423" s="76"/>
      <c r="Z423" s="76"/>
      <c r="AA423" s="76"/>
      <c r="AB423" s="76"/>
    </row>
    <row r="424" ht="15.75" customHeight="1">
      <c r="Q424" s="76"/>
      <c r="U424" s="76"/>
      <c r="Y424" s="76"/>
      <c r="Z424" s="76"/>
      <c r="AA424" s="76"/>
      <c r="AB424" s="76"/>
    </row>
    <row r="425" ht="15.75" customHeight="1">
      <c r="Q425" s="76"/>
      <c r="U425" s="76"/>
      <c r="Y425" s="76"/>
      <c r="Z425" s="76"/>
      <c r="AA425" s="76"/>
      <c r="AB425" s="76"/>
    </row>
    <row r="426" ht="15.75" customHeight="1">
      <c r="Q426" s="76"/>
      <c r="U426" s="76"/>
      <c r="Y426" s="76"/>
      <c r="Z426" s="76"/>
      <c r="AA426" s="76"/>
      <c r="AB426" s="76"/>
    </row>
    <row r="427" ht="15.75" customHeight="1">
      <c r="Q427" s="76"/>
      <c r="U427" s="76"/>
      <c r="Y427" s="76"/>
      <c r="Z427" s="76"/>
      <c r="AA427" s="76"/>
      <c r="AB427" s="76"/>
    </row>
    <row r="428" ht="15.75" customHeight="1">
      <c r="Q428" s="76"/>
      <c r="U428" s="76"/>
      <c r="Y428" s="76"/>
      <c r="Z428" s="76"/>
      <c r="AA428" s="76"/>
      <c r="AB428" s="76"/>
    </row>
    <row r="429" ht="15.75" customHeight="1">
      <c r="Q429" s="76"/>
      <c r="U429" s="76"/>
      <c r="Y429" s="76"/>
      <c r="Z429" s="76"/>
      <c r="AA429" s="76"/>
      <c r="AB429" s="76"/>
    </row>
    <row r="430" ht="15.75" customHeight="1">
      <c r="Q430" s="76"/>
      <c r="U430" s="76"/>
      <c r="Y430" s="76"/>
      <c r="Z430" s="76"/>
      <c r="AA430" s="76"/>
      <c r="AB430" s="76"/>
    </row>
    <row r="431" ht="15.75" customHeight="1">
      <c r="Q431" s="76"/>
      <c r="U431" s="76"/>
      <c r="Y431" s="76"/>
      <c r="Z431" s="76"/>
      <c r="AA431" s="76"/>
      <c r="AB431" s="76"/>
    </row>
    <row r="432" ht="15.75" customHeight="1">
      <c r="Q432" s="76"/>
      <c r="U432" s="76"/>
      <c r="Y432" s="76"/>
      <c r="Z432" s="76"/>
      <c r="AA432" s="76"/>
      <c r="AB432" s="76"/>
    </row>
    <row r="433" ht="15.75" customHeight="1">
      <c r="Q433" s="76"/>
      <c r="U433" s="76"/>
      <c r="Y433" s="76"/>
      <c r="Z433" s="76"/>
      <c r="AA433" s="76"/>
      <c r="AB433" s="76"/>
    </row>
    <row r="434" ht="15.75" customHeight="1">
      <c r="Q434" s="76"/>
      <c r="U434" s="76"/>
      <c r="Y434" s="76"/>
      <c r="Z434" s="76"/>
      <c r="AA434" s="76"/>
      <c r="AB434" s="76"/>
    </row>
    <row r="435" ht="15.75" customHeight="1">
      <c r="Q435" s="76"/>
      <c r="U435" s="76"/>
      <c r="Y435" s="76"/>
      <c r="Z435" s="76"/>
      <c r="AA435" s="76"/>
      <c r="AB435" s="76"/>
    </row>
    <row r="436" ht="15.75" customHeight="1">
      <c r="Q436" s="76"/>
      <c r="U436" s="76"/>
      <c r="Y436" s="76"/>
      <c r="Z436" s="76"/>
      <c r="AA436" s="76"/>
      <c r="AB436" s="76"/>
    </row>
    <row r="437" ht="15.75" customHeight="1">
      <c r="Q437" s="76"/>
      <c r="U437" s="76"/>
      <c r="Y437" s="76"/>
      <c r="Z437" s="76"/>
      <c r="AA437" s="76"/>
      <c r="AB437" s="76"/>
    </row>
    <row r="438" ht="15.75" customHeight="1">
      <c r="Q438" s="76"/>
      <c r="U438" s="76"/>
      <c r="Y438" s="76"/>
      <c r="Z438" s="76"/>
      <c r="AA438" s="76"/>
      <c r="AB438" s="76"/>
    </row>
    <row r="439" ht="15.75" customHeight="1">
      <c r="Q439" s="76"/>
      <c r="U439" s="76"/>
      <c r="Y439" s="76"/>
      <c r="Z439" s="76"/>
      <c r="AA439" s="76"/>
      <c r="AB439" s="76"/>
    </row>
    <row r="440" ht="15.75" customHeight="1">
      <c r="Q440" s="76"/>
      <c r="U440" s="76"/>
      <c r="Y440" s="76"/>
      <c r="Z440" s="76"/>
      <c r="AA440" s="76"/>
      <c r="AB440" s="76"/>
    </row>
    <row r="441" ht="15.75" customHeight="1">
      <c r="Q441" s="76"/>
      <c r="U441" s="76"/>
      <c r="Y441" s="76"/>
      <c r="Z441" s="76"/>
      <c r="AA441" s="76"/>
      <c r="AB441" s="76"/>
    </row>
    <row r="442" ht="15.75" customHeight="1">
      <c r="Q442" s="76"/>
      <c r="U442" s="76"/>
      <c r="Y442" s="76"/>
      <c r="Z442" s="76"/>
      <c r="AA442" s="76"/>
      <c r="AB442" s="76"/>
    </row>
    <row r="443" ht="15.75" customHeight="1">
      <c r="Q443" s="76"/>
      <c r="U443" s="76"/>
      <c r="Y443" s="76"/>
      <c r="Z443" s="76"/>
      <c r="AA443" s="76"/>
      <c r="AB443" s="76"/>
    </row>
    <row r="444" ht="15.75" customHeight="1">
      <c r="Q444" s="76"/>
      <c r="U444" s="76"/>
      <c r="Y444" s="76"/>
      <c r="Z444" s="76"/>
      <c r="AA444" s="76"/>
      <c r="AB444" s="76"/>
    </row>
    <row r="445" ht="15.75" customHeight="1">
      <c r="Q445" s="76"/>
      <c r="U445" s="76"/>
      <c r="Y445" s="76"/>
      <c r="Z445" s="76"/>
      <c r="AA445" s="76"/>
      <c r="AB445" s="76"/>
    </row>
    <row r="446" ht="15.75" customHeight="1">
      <c r="Q446" s="76"/>
      <c r="U446" s="76"/>
      <c r="Y446" s="76"/>
      <c r="Z446" s="76"/>
      <c r="AA446" s="76"/>
      <c r="AB446" s="76"/>
    </row>
    <row r="447" ht="15.75" customHeight="1">
      <c r="Q447" s="76"/>
      <c r="U447" s="76"/>
      <c r="Y447" s="76"/>
      <c r="Z447" s="76"/>
      <c r="AA447" s="76"/>
      <c r="AB447" s="76"/>
    </row>
    <row r="448" ht="15.75" customHeight="1">
      <c r="Q448" s="76"/>
      <c r="U448" s="76"/>
      <c r="Y448" s="76"/>
      <c r="Z448" s="76"/>
      <c r="AA448" s="76"/>
      <c r="AB448" s="76"/>
    </row>
    <row r="449" ht="15.75" customHeight="1">
      <c r="Q449" s="76"/>
      <c r="U449" s="76"/>
      <c r="Y449" s="76"/>
      <c r="Z449" s="76"/>
      <c r="AA449" s="76"/>
      <c r="AB449" s="76"/>
    </row>
    <row r="450" ht="15.75" customHeight="1">
      <c r="Q450" s="76"/>
      <c r="U450" s="76"/>
      <c r="Y450" s="76"/>
      <c r="Z450" s="76"/>
      <c r="AA450" s="76"/>
      <c r="AB450" s="76"/>
    </row>
    <row r="451" ht="15.75" customHeight="1">
      <c r="Q451" s="76"/>
      <c r="U451" s="76"/>
      <c r="Y451" s="76"/>
      <c r="Z451" s="76"/>
      <c r="AA451" s="76"/>
      <c r="AB451" s="76"/>
    </row>
    <row r="452" ht="15.75" customHeight="1">
      <c r="Q452" s="76"/>
      <c r="U452" s="76"/>
      <c r="Y452" s="76"/>
      <c r="Z452" s="76"/>
      <c r="AA452" s="76"/>
      <c r="AB452" s="76"/>
    </row>
    <row r="453" ht="15.75" customHeight="1">
      <c r="Q453" s="76"/>
      <c r="U453" s="76"/>
      <c r="Y453" s="76"/>
      <c r="Z453" s="76"/>
      <c r="AA453" s="76"/>
      <c r="AB453" s="76"/>
    </row>
    <row r="454" ht="15.75" customHeight="1">
      <c r="Q454" s="76"/>
      <c r="U454" s="76"/>
      <c r="Y454" s="76"/>
      <c r="Z454" s="76"/>
      <c r="AA454" s="76"/>
      <c r="AB454" s="76"/>
    </row>
    <row r="455" ht="15.75" customHeight="1">
      <c r="Q455" s="76"/>
      <c r="U455" s="76"/>
      <c r="Y455" s="76"/>
      <c r="Z455" s="76"/>
      <c r="AA455" s="76"/>
      <c r="AB455" s="76"/>
    </row>
    <row r="456" ht="15.75" customHeight="1">
      <c r="Q456" s="76"/>
      <c r="U456" s="76"/>
      <c r="Y456" s="76"/>
      <c r="Z456" s="76"/>
      <c r="AA456" s="76"/>
      <c r="AB456" s="76"/>
    </row>
    <row r="457" ht="15.75" customHeight="1">
      <c r="Q457" s="76"/>
      <c r="U457" s="76"/>
      <c r="Y457" s="76"/>
      <c r="Z457" s="76"/>
      <c r="AA457" s="76"/>
      <c r="AB457" s="76"/>
    </row>
    <row r="458" ht="15.75" customHeight="1">
      <c r="Q458" s="76"/>
      <c r="U458" s="76"/>
      <c r="Y458" s="76"/>
      <c r="Z458" s="76"/>
      <c r="AA458" s="76"/>
      <c r="AB458" s="76"/>
    </row>
    <row r="459" ht="15.75" customHeight="1">
      <c r="Q459" s="76"/>
      <c r="U459" s="76"/>
      <c r="Y459" s="76"/>
      <c r="Z459" s="76"/>
      <c r="AA459" s="76"/>
      <c r="AB459" s="76"/>
    </row>
    <row r="460" ht="15.75" customHeight="1">
      <c r="Q460" s="76"/>
      <c r="U460" s="76"/>
      <c r="Y460" s="76"/>
      <c r="Z460" s="76"/>
      <c r="AA460" s="76"/>
      <c r="AB460" s="76"/>
    </row>
    <row r="461" ht="15.75" customHeight="1">
      <c r="Q461" s="76"/>
      <c r="U461" s="76"/>
      <c r="Y461" s="76"/>
      <c r="Z461" s="76"/>
      <c r="AA461" s="76"/>
      <c r="AB461" s="76"/>
    </row>
    <row r="462" ht="15.75" customHeight="1">
      <c r="Q462" s="76"/>
      <c r="U462" s="76"/>
      <c r="Y462" s="76"/>
      <c r="Z462" s="76"/>
      <c r="AA462" s="76"/>
      <c r="AB462" s="76"/>
    </row>
    <row r="463" ht="15.75" customHeight="1">
      <c r="Q463" s="76"/>
      <c r="U463" s="76"/>
      <c r="Y463" s="76"/>
      <c r="Z463" s="76"/>
      <c r="AA463" s="76"/>
      <c r="AB463" s="76"/>
    </row>
    <row r="464" ht="15.75" customHeight="1">
      <c r="Q464" s="76"/>
      <c r="U464" s="76"/>
      <c r="Y464" s="76"/>
      <c r="Z464" s="76"/>
      <c r="AA464" s="76"/>
      <c r="AB464" s="76"/>
    </row>
    <row r="465" ht="15.75" customHeight="1">
      <c r="Q465" s="76"/>
      <c r="U465" s="76"/>
      <c r="Y465" s="76"/>
      <c r="Z465" s="76"/>
      <c r="AA465" s="76"/>
      <c r="AB465" s="76"/>
    </row>
    <row r="466" ht="15.75" customHeight="1">
      <c r="Q466" s="76"/>
      <c r="U466" s="76"/>
      <c r="Y466" s="76"/>
      <c r="Z466" s="76"/>
      <c r="AA466" s="76"/>
      <c r="AB466" s="76"/>
    </row>
    <row r="467" ht="15.75" customHeight="1">
      <c r="Q467" s="76"/>
      <c r="U467" s="76"/>
      <c r="Y467" s="76"/>
      <c r="Z467" s="76"/>
      <c r="AA467" s="76"/>
      <c r="AB467" s="76"/>
    </row>
    <row r="468" ht="15.75" customHeight="1">
      <c r="Q468" s="76"/>
      <c r="U468" s="76"/>
      <c r="Y468" s="76"/>
      <c r="Z468" s="76"/>
      <c r="AA468" s="76"/>
      <c r="AB468" s="76"/>
    </row>
    <row r="469" ht="15.75" customHeight="1">
      <c r="Q469" s="76"/>
      <c r="U469" s="76"/>
      <c r="Y469" s="76"/>
      <c r="Z469" s="76"/>
      <c r="AA469" s="76"/>
      <c r="AB469" s="76"/>
    </row>
    <row r="470" ht="15.75" customHeight="1">
      <c r="Q470" s="76"/>
      <c r="U470" s="76"/>
      <c r="Y470" s="76"/>
      <c r="Z470" s="76"/>
      <c r="AA470" s="76"/>
      <c r="AB470" s="76"/>
    </row>
    <row r="471" ht="15.75" customHeight="1">
      <c r="Q471" s="76"/>
      <c r="U471" s="76"/>
      <c r="Y471" s="76"/>
      <c r="Z471" s="76"/>
      <c r="AA471" s="76"/>
      <c r="AB471" s="76"/>
    </row>
    <row r="472" ht="15.75" customHeight="1">
      <c r="Q472" s="76"/>
      <c r="U472" s="76"/>
      <c r="Y472" s="76"/>
      <c r="Z472" s="76"/>
      <c r="AA472" s="76"/>
      <c r="AB472" s="76"/>
    </row>
    <row r="473" ht="15.75" customHeight="1">
      <c r="Q473" s="76"/>
      <c r="U473" s="76"/>
      <c r="Y473" s="76"/>
      <c r="Z473" s="76"/>
      <c r="AA473" s="76"/>
      <c r="AB473" s="76"/>
    </row>
    <row r="474" ht="15.75" customHeight="1">
      <c r="Q474" s="76"/>
      <c r="U474" s="76"/>
      <c r="Y474" s="76"/>
      <c r="Z474" s="76"/>
      <c r="AA474" s="76"/>
      <c r="AB474" s="76"/>
    </row>
    <row r="475" ht="15.75" customHeight="1">
      <c r="Q475" s="76"/>
      <c r="U475" s="76"/>
      <c r="Y475" s="76"/>
      <c r="Z475" s="76"/>
      <c r="AA475" s="76"/>
      <c r="AB475" s="76"/>
    </row>
    <row r="476" ht="15.75" customHeight="1">
      <c r="Q476" s="76"/>
      <c r="U476" s="76"/>
      <c r="Y476" s="76"/>
      <c r="Z476" s="76"/>
      <c r="AA476" s="76"/>
      <c r="AB476" s="76"/>
    </row>
    <row r="477" ht="15.75" customHeight="1">
      <c r="Q477" s="76"/>
      <c r="U477" s="76"/>
      <c r="Y477" s="76"/>
      <c r="Z477" s="76"/>
      <c r="AA477" s="76"/>
      <c r="AB477" s="76"/>
    </row>
    <row r="478" ht="15.75" customHeight="1">
      <c r="Q478" s="76"/>
      <c r="U478" s="76"/>
      <c r="Y478" s="76"/>
      <c r="Z478" s="76"/>
      <c r="AA478" s="76"/>
      <c r="AB478" s="76"/>
    </row>
    <row r="479" ht="15.75" customHeight="1">
      <c r="Q479" s="76"/>
      <c r="U479" s="76"/>
      <c r="Y479" s="76"/>
      <c r="Z479" s="76"/>
      <c r="AA479" s="76"/>
      <c r="AB479" s="76"/>
    </row>
    <row r="480" ht="15.75" customHeight="1">
      <c r="Q480" s="76"/>
      <c r="U480" s="76"/>
      <c r="Y480" s="76"/>
      <c r="Z480" s="76"/>
      <c r="AA480" s="76"/>
      <c r="AB480" s="76"/>
    </row>
    <row r="481" ht="15.75" customHeight="1">
      <c r="Q481" s="76"/>
      <c r="U481" s="76"/>
      <c r="Y481" s="76"/>
      <c r="Z481" s="76"/>
      <c r="AA481" s="76"/>
      <c r="AB481" s="76"/>
    </row>
    <row r="482" ht="15.75" customHeight="1">
      <c r="Q482" s="76"/>
      <c r="U482" s="76"/>
      <c r="Y482" s="76"/>
      <c r="Z482" s="76"/>
      <c r="AA482" s="76"/>
      <c r="AB482" s="76"/>
    </row>
    <row r="483" ht="15.75" customHeight="1">
      <c r="Q483" s="76"/>
      <c r="U483" s="76"/>
      <c r="Y483" s="76"/>
      <c r="Z483" s="76"/>
      <c r="AA483" s="76"/>
      <c r="AB483" s="76"/>
    </row>
    <row r="484" ht="15.75" customHeight="1">
      <c r="Q484" s="76"/>
      <c r="U484" s="76"/>
      <c r="Y484" s="76"/>
      <c r="Z484" s="76"/>
      <c r="AA484" s="76"/>
      <c r="AB484" s="76"/>
    </row>
    <row r="485" ht="15.75" customHeight="1">
      <c r="Q485" s="76"/>
      <c r="U485" s="76"/>
      <c r="Y485" s="76"/>
      <c r="Z485" s="76"/>
      <c r="AA485" s="76"/>
      <c r="AB485" s="76"/>
    </row>
    <row r="486" ht="15.75" customHeight="1">
      <c r="Q486" s="76"/>
      <c r="U486" s="76"/>
      <c r="Y486" s="76"/>
      <c r="Z486" s="76"/>
      <c r="AA486" s="76"/>
      <c r="AB486" s="76"/>
    </row>
    <row r="487" ht="15.75" customHeight="1">
      <c r="Q487" s="76"/>
      <c r="U487" s="76"/>
      <c r="Y487" s="76"/>
      <c r="Z487" s="76"/>
      <c r="AA487" s="76"/>
      <c r="AB487" s="76"/>
    </row>
    <row r="488" ht="15.75" customHeight="1">
      <c r="Q488" s="76"/>
      <c r="U488" s="76"/>
      <c r="Y488" s="76"/>
      <c r="Z488" s="76"/>
      <c r="AA488" s="76"/>
      <c r="AB488" s="76"/>
    </row>
    <row r="489" ht="15.75" customHeight="1">
      <c r="Q489" s="76"/>
      <c r="U489" s="76"/>
      <c r="Y489" s="76"/>
      <c r="Z489" s="76"/>
      <c r="AA489" s="76"/>
      <c r="AB489" s="76"/>
    </row>
    <row r="490" ht="15.75" customHeight="1">
      <c r="Q490" s="76"/>
      <c r="U490" s="76"/>
      <c r="Y490" s="76"/>
      <c r="Z490" s="76"/>
      <c r="AA490" s="76"/>
      <c r="AB490" s="76"/>
    </row>
    <row r="491" ht="15.75" customHeight="1">
      <c r="Q491" s="76"/>
      <c r="U491" s="76"/>
      <c r="Y491" s="76"/>
      <c r="Z491" s="76"/>
      <c r="AA491" s="76"/>
      <c r="AB491" s="76"/>
    </row>
    <row r="492" ht="15.75" customHeight="1">
      <c r="Q492" s="76"/>
      <c r="U492" s="76"/>
      <c r="Y492" s="76"/>
      <c r="Z492" s="76"/>
      <c r="AA492" s="76"/>
      <c r="AB492" s="76"/>
    </row>
    <row r="493" ht="15.75" customHeight="1">
      <c r="Q493" s="76"/>
      <c r="U493" s="76"/>
      <c r="Y493" s="76"/>
      <c r="Z493" s="76"/>
      <c r="AA493" s="76"/>
      <c r="AB493" s="76"/>
    </row>
    <row r="494" ht="15.75" customHeight="1">
      <c r="Q494" s="76"/>
      <c r="U494" s="76"/>
      <c r="Y494" s="76"/>
      <c r="Z494" s="76"/>
      <c r="AA494" s="76"/>
      <c r="AB494" s="76"/>
    </row>
    <row r="495" ht="15.75" customHeight="1">
      <c r="Q495" s="76"/>
      <c r="U495" s="76"/>
      <c r="Y495" s="76"/>
      <c r="Z495" s="76"/>
      <c r="AA495" s="76"/>
      <c r="AB495" s="76"/>
    </row>
    <row r="496" ht="15.75" customHeight="1">
      <c r="Q496" s="76"/>
      <c r="U496" s="76"/>
      <c r="Y496" s="76"/>
      <c r="Z496" s="76"/>
      <c r="AA496" s="76"/>
      <c r="AB496" s="76"/>
    </row>
    <row r="497" ht="15.75" customHeight="1">
      <c r="Q497" s="76"/>
      <c r="U497" s="76"/>
      <c r="Y497" s="76"/>
      <c r="Z497" s="76"/>
      <c r="AA497" s="76"/>
      <c r="AB497" s="76"/>
    </row>
    <row r="498" ht="15.75" customHeight="1">
      <c r="Q498" s="76"/>
      <c r="U498" s="76"/>
      <c r="Y498" s="76"/>
      <c r="Z498" s="76"/>
      <c r="AA498" s="76"/>
      <c r="AB498" s="76"/>
    </row>
    <row r="499" ht="15.75" customHeight="1">
      <c r="Q499" s="76"/>
      <c r="U499" s="76"/>
      <c r="Y499" s="76"/>
      <c r="Z499" s="76"/>
      <c r="AA499" s="76"/>
      <c r="AB499" s="76"/>
    </row>
    <row r="500" ht="15.75" customHeight="1">
      <c r="Q500" s="76"/>
      <c r="U500" s="76"/>
      <c r="Y500" s="76"/>
      <c r="Z500" s="76"/>
      <c r="AA500" s="76"/>
      <c r="AB500" s="76"/>
    </row>
    <row r="501" ht="15.75" customHeight="1">
      <c r="Q501" s="76"/>
      <c r="U501" s="76"/>
      <c r="Y501" s="76"/>
      <c r="Z501" s="76"/>
      <c r="AA501" s="76"/>
      <c r="AB501" s="76"/>
    </row>
    <row r="502" ht="15.75" customHeight="1">
      <c r="Q502" s="76"/>
      <c r="U502" s="76"/>
      <c r="Y502" s="76"/>
      <c r="Z502" s="76"/>
      <c r="AA502" s="76"/>
      <c r="AB502" s="76"/>
    </row>
    <row r="503" ht="15.75" customHeight="1">
      <c r="Q503" s="76"/>
      <c r="U503" s="76"/>
      <c r="Y503" s="76"/>
      <c r="Z503" s="76"/>
      <c r="AA503" s="76"/>
      <c r="AB503" s="76"/>
    </row>
    <row r="504" ht="15.75" customHeight="1">
      <c r="Q504" s="76"/>
      <c r="U504" s="76"/>
      <c r="Y504" s="76"/>
      <c r="Z504" s="76"/>
      <c r="AA504" s="76"/>
      <c r="AB504" s="76"/>
    </row>
    <row r="505" ht="15.75" customHeight="1">
      <c r="Q505" s="76"/>
      <c r="U505" s="76"/>
      <c r="Y505" s="76"/>
      <c r="Z505" s="76"/>
      <c r="AA505" s="76"/>
      <c r="AB505" s="76"/>
    </row>
    <row r="506" ht="15.75" customHeight="1">
      <c r="Q506" s="76"/>
      <c r="U506" s="76"/>
      <c r="Y506" s="76"/>
      <c r="Z506" s="76"/>
      <c r="AA506" s="76"/>
      <c r="AB506" s="76"/>
    </row>
    <row r="507" ht="15.75" customHeight="1">
      <c r="Q507" s="76"/>
      <c r="U507" s="76"/>
      <c r="Y507" s="76"/>
      <c r="Z507" s="76"/>
      <c r="AA507" s="76"/>
      <c r="AB507" s="76"/>
    </row>
    <row r="508" ht="15.75" customHeight="1">
      <c r="Q508" s="76"/>
      <c r="U508" s="76"/>
      <c r="Y508" s="76"/>
      <c r="Z508" s="76"/>
      <c r="AA508" s="76"/>
      <c r="AB508" s="76"/>
    </row>
    <row r="509" ht="15.75" customHeight="1">
      <c r="Q509" s="76"/>
      <c r="U509" s="76"/>
      <c r="Y509" s="76"/>
      <c r="Z509" s="76"/>
      <c r="AA509" s="76"/>
      <c r="AB509" s="76"/>
    </row>
    <row r="510" ht="15.75" customHeight="1">
      <c r="Q510" s="76"/>
      <c r="U510" s="76"/>
      <c r="Y510" s="76"/>
      <c r="Z510" s="76"/>
      <c r="AA510" s="76"/>
      <c r="AB510" s="76"/>
    </row>
    <row r="511" ht="15.75" customHeight="1">
      <c r="Q511" s="76"/>
      <c r="U511" s="76"/>
      <c r="Y511" s="76"/>
      <c r="Z511" s="76"/>
      <c r="AA511" s="76"/>
      <c r="AB511" s="76"/>
    </row>
    <row r="512" ht="15.75" customHeight="1">
      <c r="Q512" s="76"/>
      <c r="U512" s="76"/>
      <c r="Y512" s="76"/>
      <c r="Z512" s="76"/>
      <c r="AA512" s="76"/>
      <c r="AB512" s="76"/>
    </row>
    <row r="513" ht="15.75" customHeight="1">
      <c r="Q513" s="76"/>
      <c r="U513" s="76"/>
      <c r="Y513" s="76"/>
      <c r="Z513" s="76"/>
      <c r="AA513" s="76"/>
      <c r="AB513" s="76"/>
    </row>
    <row r="514" ht="15.75" customHeight="1">
      <c r="Q514" s="76"/>
      <c r="U514" s="76"/>
      <c r="Y514" s="76"/>
      <c r="Z514" s="76"/>
      <c r="AA514" s="76"/>
      <c r="AB514" s="76"/>
    </row>
    <row r="515" ht="15.75" customHeight="1">
      <c r="Q515" s="76"/>
      <c r="U515" s="76"/>
      <c r="Y515" s="76"/>
      <c r="Z515" s="76"/>
      <c r="AA515" s="76"/>
      <c r="AB515" s="76"/>
    </row>
    <row r="516" ht="15.75" customHeight="1">
      <c r="Q516" s="76"/>
      <c r="U516" s="76"/>
      <c r="Y516" s="76"/>
      <c r="Z516" s="76"/>
      <c r="AA516" s="76"/>
      <c r="AB516" s="76"/>
    </row>
    <row r="517" ht="15.75" customHeight="1">
      <c r="Q517" s="76"/>
      <c r="U517" s="76"/>
      <c r="Y517" s="76"/>
      <c r="Z517" s="76"/>
      <c r="AA517" s="76"/>
      <c r="AB517" s="76"/>
    </row>
    <row r="518" ht="15.75" customHeight="1">
      <c r="Q518" s="76"/>
      <c r="U518" s="76"/>
      <c r="Y518" s="76"/>
      <c r="Z518" s="76"/>
      <c r="AA518" s="76"/>
      <c r="AB518" s="76"/>
    </row>
    <row r="519" ht="15.75" customHeight="1">
      <c r="Q519" s="76"/>
      <c r="U519" s="76"/>
      <c r="Y519" s="76"/>
      <c r="Z519" s="76"/>
      <c r="AA519" s="76"/>
      <c r="AB519" s="76"/>
    </row>
    <row r="520" ht="15.75" customHeight="1">
      <c r="Q520" s="76"/>
      <c r="U520" s="76"/>
      <c r="Y520" s="76"/>
      <c r="Z520" s="76"/>
      <c r="AA520" s="76"/>
      <c r="AB520" s="76"/>
    </row>
    <row r="521" ht="15.75" customHeight="1">
      <c r="Q521" s="76"/>
      <c r="U521" s="76"/>
      <c r="Y521" s="76"/>
      <c r="Z521" s="76"/>
      <c r="AA521" s="76"/>
      <c r="AB521" s="76"/>
    </row>
    <row r="522" ht="15.75" customHeight="1">
      <c r="Q522" s="76"/>
      <c r="U522" s="76"/>
      <c r="Y522" s="76"/>
      <c r="Z522" s="76"/>
      <c r="AA522" s="76"/>
      <c r="AB522" s="76"/>
    </row>
    <row r="523" ht="15.75" customHeight="1">
      <c r="Q523" s="76"/>
      <c r="U523" s="76"/>
      <c r="Y523" s="76"/>
      <c r="Z523" s="76"/>
      <c r="AA523" s="76"/>
      <c r="AB523" s="76"/>
    </row>
    <row r="524" ht="15.75" customHeight="1">
      <c r="Q524" s="76"/>
      <c r="U524" s="76"/>
      <c r="Y524" s="76"/>
      <c r="Z524" s="76"/>
      <c r="AA524" s="76"/>
      <c r="AB524" s="76"/>
    </row>
    <row r="525" ht="15.75" customHeight="1">
      <c r="Q525" s="76"/>
      <c r="U525" s="76"/>
      <c r="Y525" s="76"/>
      <c r="Z525" s="76"/>
      <c r="AA525" s="76"/>
      <c r="AB525" s="76"/>
    </row>
    <row r="526" ht="15.75" customHeight="1">
      <c r="Q526" s="76"/>
      <c r="U526" s="76"/>
      <c r="Y526" s="76"/>
      <c r="Z526" s="76"/>
      <c r="AA526" s="76"/>
      <c r="AB526" s="76"/>
    </row>
    <row r="527" ht="15.75" customHeight="1">
      <c r="Q527" s="76"/>
      <c r="U527" s="76"/>
      <c r="Y527" s="76"/>
      <c r="Z527" s="76"/>
      <c r="AA527" s="76"/>
      <c r="AB527" s="76"/>
    </row>
    <row r="528" ht="15.75" customHeight="1">
      <c r="Q528" s="76"/>
      <c r="U528" s="76"/>
      <c r="Y528" s="76"/>
      <c r="Z528" s="76"/>
      <c r="AA528" s="76"/>
      <c r="AB528" s="76"/>
    </row>
    <row r="529" ht="15.75" customHeight="1">
      <c r="Q529" s="76"/>
      <c r="U529" s="76"/>
      <c r="Y529" s="76"/>
      <c r="Z529" s="76"/>
      <c r="AA529" s="76"/>
      <c r="AB529" s="76"/>
    </row>
    <row r="530" ht="15.75" customHeight="1">
      <c r="Q530" s="76"/>
      <c r="U530" s="76"/>
      <c r="Y530" s="76"/>
      <c r="Z530" s="76"/>
      <c r="AA530" s="76"/>
      <c r="AB530" s="76"/>
    </row>
    <row r="531" ht="15.75" customHeight="1">
      <c r="Q531" s="76"/>
      <c r="U531" s="76"/>
      <c r="Y531" s="76"/>
      <c r="Z531" s="76"/>
      <c r="AA531" s="76"/>
      <c r="AB531" s="76"/>
    </row>
    <row r="532" ht="15.75" customHeight="1">
      <c r="Q532" s="76"/>
      <c r="U532" s="76"/>
      <c r="Y532" s="76"/>
      <c r="Z532" s="76"/>
      <c r="AA532" s="76"/>
      <c r="AB532" s="76"/>
    </row>
    <row r="533" ht="15.75" customHeight="1">
      <c r="Q533" s="76"/>
      <c r="U533" s="76"/>
      <c r="Y533" s="76"/>
      <c r="Z533" s="76"/>
      <c r="AA533" s="76"/>
      <c r="AB533" s="76"/>
    </row>
    <row r="534" ht="15.75" customHeight="1">
      <c r="Q534" s="76"/>
      <c r="U534" s="76"/>
      <c r="Y534" s="76"/>
      <c r="Z534" s="76"/>
      <c r="AA534" s="76"/>
      <c r="AB534" s="76"/>
    </row>
    <row r="535" ht="15.75" customHeight="1">
      <c r="Q535" s="76"/>
      <c r="U535" s="76"/>
      <c r="Y535" s="76"/>
      <c r="Z535" s="76"/>
      <c r="AA535" s="76"/>
      <c r="AB535" s="76"/>
    </row>
    <row r="536" ht="15.75" customHeight="1">
      <c r="Q536" s="76"/>
      <c r="U536" s="76"/>
      <c r="Y536" s="76"/>
      <c r="Z536" s="76"/>
      <c r="AA536" s="76"/>
      <c r="AB536" s="76"/>
    </row>
    <row r="537" ht="15.75" customHeight="1">
      <c r="Q537" s="76"/>
      <c r="U537" s="76"/>
      <c r="Y537" s="76"/>
      <c r="Z537" s="76"/>
      <c r="AA537" s="76"/>
      <c r="AB537" s="76"/>
    </row>
    <row r="538" ht="15.75" customHeight="1">
      <c r="Q538" s="76"/>
      <c r="U538" s="76"/>
      <c r="Y538" s="76"/>
      <c r="Z538" s="76"/>
      <c r="AA538" s="76"/>
      <c r="AB538" s="76"/>
    </row>
    <row r="539" ht="15.75" customHeight="1">
      <c r="Q539" s="76"/>
      <c r="U539" s="76"/>
      <c r="Y539" s="76"/>
      <c r="Z539" s="76"/>
      <c r="AA539" s="76"/>
      <c r="AB539" s="76"/>
    </row>
    <row r="540" ht="15.75" customHeight="1">
      <c r="Q540" s="76"/>
      <c r="U540" s="76"/>
      <c r="Y540" s="76"/>
      <c r="Z540" s="76"/>
      <c r="AA540" s="76"/>
      <c r="AB540" s="76"/>
    </row>
    <row r="541" ht="15.75" customHeight="1">
      <c r="Q541" s="76"/>
      <c r="U541" s="76"/>
      <c r="Y541" s="76"/>
      <c r="Z541" s="76"/>
      <c r="AA541" s="76"/>
      <c r="AB541" s="76"/>
    </row>
    <row r="542" ht="15.75" customHeight="1">
      <c r="Q542" s="76"/>
      <c r="U542" s="76"/>
      <c r="Y542" s="76"/>
      <c r="Z542" s="76"/>
      <c r="AA542" s="76"/>
      <c r="AB542" s="76"/>
    </row>
    <row r="543" ht="15.75" customHeight="1">
      <c r="Q543" s="76"/>
      <c r="U543" s="76"/>
      <c r="Y543" s="76"/>
      <c r="Z543" s="76"/>
      <c r="AA543" s="76"/>
      <c r="AB543" s="76"/>
    </row>
    <row r="544" ht="15.75" customHeight="1">
      <c r="Q544" s="76"/>
      <c r="U544" s="76"/>
      <c r="Y544" s="76"/>
      <c r="Z544" s="76"/>
      <c r="AA544" s="76"/>
      <c r="AB544" s="76"/>
    </row>
    <row r="545" ht="15.75" customHeight="1">
      <c r="Q545" s="76"/>
      <c r="U545" s="76"/>
      <c r="Y545" s="76"/>
      <c r="Z545" s="76"/>
      <c r="AA545" s="76"/>
      <c r="AB545" s="76"/>
    </row>
    <row r="546" ht="15.75" customHeight="1">
      <c r="Q546" s="76"/>
      <c r="U546" s="76"/>
      <c r="Y546" s="76"/>
      <c r="Z546" s="76"/>
      <c r="AA546" s="76"/>
      <c r="AB546" s="76"/>
    </row>
    <row r="547" ht="15.75" customHeight="1">
      <c r="Q547" s="76"/>
      <c r="U547" s="76"/>
      <c r="Y547" s="76"/>
      <c r="Z547" s="76"/>
      <c r="AA547" s="76"/>
      <c r="AB547" s="76"/>
    </row>
    <row r="548" ht="15.75" customHeight="1">
      <c r="Q548" s="76"/>
      <c r="U548" s="76"/>
      <c r="Y548" s="76"/>
      <c r="Z548" s="76"/>
      <c r="AA548" s="76"/>
      <c r="AB548" s="76"/>
    </row>
    <row r="549" ht="15.75" customHeight="1">
      <c r="Q549" s="76"/>
      <c r="U549" s="76"/>
      <c r="Y549" s="76"/>
      <c r="Z549" s="76"/>
      <c r="AA549" s="76"/>
      <c r="AB549" s="76"/>
    </row>
    <row r="550" ht="15.75" customHeight="1">
      <c r="Q550" s="76"/>
      <c r="U550" s="76"/>
      <c r="Y550" s="76"/>
      <c r="Z550" s="76"/>
      <c r="AA550" s="76"/>
      <c r="AB550" s="76"/>
    </row>
    <row r="551" ht="15.75" customHeight="1">
      <c r="Q551" s="76"/>
      <c r="U551" s="76"/>
      <c r="Y551" s="76"/>
      <c r="Z551" s="76"/>
      <c r="AA551" s="76"/>
      <c r="AB551" s="76"/>
    </row>
    <row r="552" ht="15.75" customHeight="1">
      <c r="Q552" s="76"/>
      <c r="U552" s="76"/>
      <c r="Y552" s="76"/>
      <c r="Z552" s="76"/>
      <c r="AA552" s="76"/>
      <c r="AB552" s="76"/>
    </row>
    <row r="553" ht="15.75" customHeight="1">
      <c r="Q553" s="76"/>
      <c r="U553" s="76"/>
      <c r="Y553" s="76"/>
      <c r="Z553" s="76"/>
      <c r="AA553" s="76"/>
      <c r="AB553" s="76"/>
    </row>
    <row r="554" ht="15.75" customHeight="1">
      <c r="Q554" s="76"/>
      <c r="U554" s="76"/>
      <c r="Y554" s="76"/>
      <c r="Z554" s="76"/>
      <c r="AA554" s="76"/>
      <c r="AB554" s="76"/>
    </row>
    <row r="555" ht="15.75" customHeight="1">
      <c r="Q555" s="76"/>
      <c r="U555" s="76"/>
      <c r="Y555" s="76"/>
      <c r="Z555" s="76"/>
      <c r="AA555" s="76"/>
      <c r="AB555" s="76"/>
    </row>
    <row r="556" ht="15.75" customHeight="1">
      <c r="Q556" s="76"/>
      <c r="U556" s="76"/>
      <c r="Y556" s="76"/>
      <c r="Z556" s="76"/>
      <c r="AA556" s="76"/>
      <c r="AB556" s="76"/>
    </row>
    <row r="557" ht="15.75" customHeight="1">
      <c r="Q557" s="76"/>
      <c r="U557" s="76"/>
      <c r="Y557" s="76"/>
      <c r="Z557" s="76"/>
      <c r="AA557" s="76"/>
      <c r="AB557" s="76"/>
    </row>
    <row r="558" ht="15.75" customHeight="1">
      <c r="Q558" s="76"/>
      <c r="U558" s="76"/>
      <c r="Y558" s="76"/>
      <c r="Z558" s="76"/>
      <c r="AA558" s="76"/>
      <c r="AB558" s="76"/>
    </row>
    <row r="559" ht="15.75" customHeight="1">
      <c r="Q559" s="76"/>
      <c r="U559" s="76"/>
      <c r="Y559" s="76"/>
      <c r="Z559" s="76"/>
      <c r="AA559" s="76"/>
      <c r="AB559" s="76"/>
    </row>
    <row r="560" ht="15.75" customHeight="1">
      <c r="Q560" s="76"/>
      <c r="U560" s="76"/>
      <c r="Y560" s="76"/>
      <c r="Z560" s="76"/>
      <c r="AA560" s="76"/>
      <c r="AB560" s="76"/>
    </row>
    <row r="561" ht="15.75" customHeight="1">
      <c r="Q561" s="76"/>
      <c r="U561" s="76"/>
      <c r="Y561" s="76"/>
      <c r="Z561" s="76"/>
      <c r="AA561" s="76"/>
      <c r="AB561" s="76"/>
    </row>
    <row r="562" ht="15.75" customHeight="1">
      <c r="Q562" s="76"/>
      <c r="U562" s="76"/>
      <c r="Y562" s="76"/>
      <c r="Z562" s="76"/>
      <c r="AA562" s="76"/>
      <c r="AB562" s="76"/>
    </row>
    <row r="563" ht="15.75" customHeight="1">
      <c r="Q563" s="76"/>
      <c r="U563" s="76"/>
      <c r="Y563" s="76"/>
      <c r="Z563" s="76"/>
      <c r="AA563" s="76"/>
      <c r="AB563" s="76"/>
    </row>
    <row r="564" ht="15.75" customHeight="1">
      <c r="Q564" s="76"/>
      <c r="U564" s="76"/>
      <c r="Y564" s="76"/>
      <c r="Z564" s="76"/>
      <c r="AA564" s="76"/>
      <c r="AB564" s="76"/>
    </row>
    <row r="565" ht="15.75" customHeight="1">
      <c r="Q565" s="76"/>
      <c r="U565" s="76"/>
      <c r="Y565" s="76"/>
      <c r="Z565" s="76"/>
      <c r="AA565" s="76"/>
      <c r="AB565" s="76"/>
    </row>
    <row r="566" ht="15.75" customHeight="1">
      <c r="Q566" s="76"/>
      <c r="U566" s="76"/>
      <c r="Y566" s="76"/>
      <c r="Z566" s="76"/>
      <c r="AA566" s="76"/>
      <c r="AB566" s="76"/>
    </row>
    <row r="567" ht="15.75" customHeight="1">
      <c r="Q567" s="76"/>
      <c r="U567" s="76"/>
      <c r="Y567" s="76"/>
      <c r="Z567" s="76"/>
      <c r="AA567" s="76"/>
      <c r="AB567" s="76"/>
    </row>
    <row r="568" ht="15.75" customHeight="1">
      <c r="Q568" s="76"/>
      <c r="U568" s="76"/>
      <c r="Y568" s="76"/>
      <c r="Z568" s="76"/>
      <c r="AA568" s="76"/>
      <c r="AB568" s="76"/>
    </row>
    <row r="569" ht="15.75" customHeight="1">
      <c r="Q569" s="76"/>
      <c r="U569" s="76"/>
      <c r="Y569" s="76"/>
      <c r="Z569" s="76"/>
      <c r="AA569" s="76"/>
      <c r="AB569" s="76"/>
    </row>
    <row r="570" ht="15.75" customHeight="1">
      <c r="Q570" s="76"/>
      <c r="U570" s="76"/>
      <c r="Y570" s="76"/>
      <c r="Z570" s="76"/>
      <c r="AA570" s="76"/>
      <c r="AB570" s="76"/>
    </row>
    <row r="571" ht="15.75" customHeight="1">
      <c r="Q571" s="76"/>
      <c r="U571" s="76"/>
      <c r="Y571" s="76"/>
      <c r="Z571" s="76"/>
      <c r="AA571" s="76"/>
      <c r="AB571" s="76"/>
    </row>
    <row r="572" ht="15.75" customHeight="1">
      <c r="Q572" s="76"/>
      <c r="U572" s="76"/>
      <c r="Y572" s="76"/>
      <c r="Z572" s="76"/>
      <c r="AA572" s="76"/>
      <c r="AB572" s="76"/>
    </row>
    <row r="573" ht="15.75" customHeight="1">
      <c r="Q573" s="76"/>
      <c r="U573" s="76"/>
      <c r="Y573" s="76"/>
      <c r="Z573" s="76"/>
      <c r="AA573" s="76"/>
      <c r="AB573" s="76"/>
    </row>
    <row r="574" ht="15.75" customHeight="1">
      <c r="Q574" s="76"/>
      <c r="U574" s="76"/>
      <c r="Y574" s="76"/>
      <c r="Z574" s="76"/>
      <c r="AA574" s="76"/>
      <c r="AB574" s="76"/>
    </row>
    <row r="575" ht="15.75" customHeight="1">
      <c r="Q575" s="76"/>
      <c r="U575" s="76"/>
      <c r="Y575" s="76"/>
      <c r="Z575" s="76"/>
      <c r="AA575" s="76"/>
      <c r="AB575" s="76"/>
    </row>
    <row r="576" ht="15.75" customHeight="1">
      <c r="Q576" s="76"/>
      <c r="U576" s="76"/>
      <c r="Y576" s="76"/>
      <c r="Z576" s="76"/>
      <c r="AA576" s="76"/>
      <c r="AB576" s="76"/>
    </row>
    <row r="577" ht="15.75" customHeight="1">
      <c r="Q577" s="76"/>
      <c r="U577" s="76"/>
      <c r="Y577" s="76"/>
      <c r="Z577" s="76"/>
      <c r="AA577" s="76"/>
      <c r="AB577" s="76"/>
    </row>
    <row r="578" ht="15.75" customHeight="1">
      <c r="Q578" s="76"/>
      <c r="U578" s="76"/>
      <c r="Y578" s="76"/>
      <c r="Z578" s="76"/>
      <c r="AA578" s="76"/>
      <c r="AB578" s="76"/>
    </row>
    <row r="579" ht="15.75" customHeight="1">
      <c r="Q579" s="76"/>
      <c r="U579" s="76"/>
      <c r="Y579" s="76"/>
      <c r="Z579" s="76"/>
      <c r="AA579" s="76"/>
      <c r="AB579" s="76"/>
    </row>
    <row r="580" ht="15.75" customHeight="1">
      <c r="Q580" s="76"/>
      <c r="U580" s="76"/>
      <c r="Y580" s="76"/>
      <c r="Z580" s="76"/>
      <c r="AA580" s="76"/>
      <c r="AB580" s="76"/>
    </row>
    <row r="581" ht="15.75" customHeight="1">
      <c r="Q581" s="76"/>
      <c r="U581" s="76"/>
      <c r="Y581" s="76"/>
      <c r="Z581" s="76"/>
      <c r="AA581" s="76"/>
      <c r="AB581" s="76"/>
    </row>
    <row r="582" ht="15.75" customHeight="1">
      <c r="Q582" s="76"/>
      <c r="U582" s="76"/>
      <c r="Y582" s="76"/>
      <c r="Z582" s="76"/>
      <c r="AA582" s="76"/>
      <c r="AB582" s="76"/>
    </row>
    <row r="583" ht="15.75" customHeight="1">
      <c r="Q583" s="76"/>
      <c r="U583" s="76"/>
      <c r="Y583" s="76"/>
      <c r="Z583" s="76"/>
      <c r="AA583" s="76"/>
      <c r="AB583" s="76"/>
    </row>
    <row r="584" ht="15.75" customHeight="1">
      <c r="Q584" s="76"/>
      <c r="U584" s="76"/>
      <c r="Y584" s="76"/>
      <c r="Z584" s="76"/>
      <c r="AA584" s="76"/>
      <c r="AB584" s="76"/>
    </row>
    <row r="585" ht="15.75" customHeight="1">
      <c r="Q585" s="76"/>
      <c r="U585" s="76"/>
      <c r="Y585" s="76"/>
      <c r="Z585" s="76"/>
      <c r="AA585" s="76"/>
      <c r="AB585" s="76"/>
    </row>
    <row r="586" ht="15.75" customHeight="1">
      <c r="Q586" s="76"/>
      <c r="U586" s="76"/>
      <c r="Y586" s="76"/>
      <c r="Z586" s="76"/>
      <c r="AA586" s="76"/>
      <c r="AB586" s="76"/>
    </row>
    <row r="587" ht="15.75" customHeight="1">
      <c r="Q587" s="76"/>
      <c r="U587" s="76"/>
      <c r="Y587" s="76"/>
      <c r="Z587" s="76"/>
      <c r="AA587" s="76"/>
      <c r="AB587" s="76"/>
    </row>
    <row r="588" ht="15.75" customHeight="1">
      <c r="Q588" s="76"/>
      <c r="U588" s="76"/>
      <c r="Y588" s="76"/>
      <c r="Z588" s="76"/>
      <c r="AA588" s="76"/>
      <c r="AB588" s="76"/>
    </row>
    <row r="589" ht="15.75" customHeight="1">
      <c r="Q589" s="76"/>
      <c r="U589" s="76"/>
      <c r="Y589" s="76"/>
      <c r="Z589" s="76"/>
      <c r="AA589" s="76"/>
      <c r="AB589" s="76"/>
    </row>
    <row r="590" ht="15.75" customHeight="1">
      <c r="Q590" s="76"/>
      <c r="U590" s="76"/>
      <c r="Y590" s="76"/>
      <c r="Z590" s="76"/>
      <c r="AA590" s="76"/>
      <c r="AB590" s="76"/>
    </row>
    <row r="591" ht="15.75" customHeight="1">
      <c r="Q591" s="76"/>
      <c r="U591" s="76"/>
      <c r="Y591" s="76"/>
      <c r="Z591" s="76"/>
      <c r="AA591" s="76"/>
      <c r="AB591" s="76"/>
    </row>
    <row r="592" ht="15.75" customHeight="1">
      <c r="Q592" s="76"/>
      <c r="U592" s="76"/>
      <c r="Y592" s="76"/>
      <c r="Z592" s="76"/>
      <c r="AA592" s="76"/>
      <c r="AB592" s="76"/>
    </row>
    <row r="593" ht="15.75" customHeight="1">
      <c r="Q593" s="76"/>
      <c r="U593" s="76"/>
      <c r="Y593" s="76"/>
      <c r="Z593" s="76"/>
      <c r="AA593" s="76"/>
      <c r="AB593" s="76"/>
    </row>
    <row r="594" ht="15.75" customHeight="1">
      <c r="Q594" s="76"/>
      <c r="U594" s="76"/>
      <c r="Y594" s="76"/>
      <c r="Z594" s="76"/>
      <c r="AA594" s="76"/>
      <c r="AB594" s="76"/>
    </row>
    <row r="595" ht="15.75" customHeight="1">
      <c r="Q595" s="76"/>
      <c r="U595" s="76"/>
      <c r="Y595" s="76"/>
      <c r="Z595" s="76"/>
      <c r="AA595" s="76"/>
      <c r="AB595" s="76"/>
    </row>
    <row r="596" ht="15.75" customHeight="1">
      <c r="Q596" s="76"/>
      <c r="U596" s="76"/>
      <c r="Y596" s="76"/>
      <c r="Z596" s="76"/>
      <c r="AA596" s="76"/>
      <c r="AB596" s="76"/>
    </row>
    <row r="597" ht="15.75" customHeight="1">
      <c r="Q597" s="76"/>
      <c r="U597" s="76"/>
      <c r="Y597" s="76"/>
      <c r="Z597" s="76"/>
      <c r="AA597" s="76"/>
      <c r="AB597" s="76"/>
    </row>
    <row r="598" ht="15.75" customHeight="1">
      <c r="Q598" s="76"/>
      <c r="U598" s="76"/>
      <c r="Y598" s="76"/>
      <c r="Z598" s="76"/>
      <c r="AA598" s="76"/>
      <c r="AB598" s="76"/>
    </row>
    <row r="599" ht="15.75" customHeight="1">
      <c r="Q599" s="76"/>
      <c r="U599" s="76"/>
      <c r="Y599" s="76"/>
      <c r="Z599" s="76"/>
      <c r="AA599" s="76"/>
      <c r="AB599" s="76"/>
    </row>
    <row r="600" ht="15.75" customHeight="1">
      <c r="Q600" s="76"/>
      <c r="U600" s="76"/>
      <c r="Y600" s="76"/>
      <c r="Z600" s="76"/>
      <c r="AA600" s="76"/>
      <c r="AB600" s="76"/>
    </row>
    <row r="601" ht="15.75" customHeight="1">
      <c r="Q601" s="76"/>
      <c r="U601" s="76"/>
      <c r="Y601" s="76"/>
      <c r="Z601" s="76"/>
      <c r="AA601" s="76"/>
      <c r="AB601" s="76"/>
    </row>
    <row r="602" ht="15.75" customHeight="1">
      <c r="Q602" s="76"/>
      <c r="U602" s="76"/>
      <c r="Y602" s="76"/>
      <c r="Z602" s="76"/>
      <c r="AA602" s="76"/>
      <c r="AB602" s="76"/>
    </row>
    <row r="603" ht="15.75" customHeight="1">
      <c r="Q603" s="76"/>
      <c r="U603" s="76"/>
      <c r="Y603" s="76"/>
      <c r="Z603" s="76"/>
      <c r="AA603" s="76"/>
      <c r="AB603" s="76"/>
    </row>
    <row r="604" ht="15.75" customHeight="1">
      <c r="Q604" s="76"/>
      <c r="U604" s="76"/>
      <c r="Y604" s="76"/>
      <c r="Z604" s="76"/>
      <c r="AA604" s="76"/>
      <c r="AB604" s="76"/>
    </row>
    <row r="605" ht="15.75" customHeight="1">
      <c r="Q605" s="76"/>
      <c r="U605" s="76"/>
      <c r="Y605" s="76"/>
      <c r="Z605" s="76"/>
      <c r="AA605" s="76"/>
      <c r="AB605" s="76"/>
    </row>
    <row r="606" ht="15.75" customHeight="1">
      <c r="Q606" s="76"/>
      <c r="U606" s="76"/>
      <c r="Y606" s="76"/>
      <c r="Z606" s="76"/>
      <c r="AA606" s="76"/>
      <c r="AB606" s="76"/>
    </row>
    <row r="607" ht="15.75" customHeight="1">
      <c r="Q607" s="76"/>
      <c r="U607" s="76"/>
      <c r="Y607" s="76"/>
      <c r="Z607" s="76"/>
      <c r="AA607" s="76"/>
      <c r="AB607" s="76"/>
    </row>
    <row r="608" ht="15.75" customHeight="1">
      <c r="Q608" s="76"/>
      <c r="U608" s="76"/>
      <c r="Y608" s="76"/>
      <c r="Z608" s="76"/>
      <c r="AA608" s="76"/>
      <c r="AB608" s="76"/>
    </row>
    <row r="609" ht="15.75" customHeight="1">
      <c r="Q609" s="76"/>
      <c r="U609" s="76"/>
      <c r="Y609" s="76"/>
      <c r="Z609" s="76"/>
      <c r="AA609" s="76"/>
      <c r="AB609" s="76"/>
    </row>
    <row r="610" ht="15.75" customHeight="1">
      <c r="Q610" s="76"/>
      <c r="U610" s="76"/>
      <c r="Y610" s="76"/>
      <c r="Z610" s="76"/>
      <c r="AA610" s="76"/>
      <c r="AB610" s="76"/>
    </row>
    <row r="611" ht="15.75" customHeight="1">
      <c r="Q611" s="76"/>
      <c r="U611" s="76"/>
      <c r="Y611" s="76"/>
      <c r="Z611" s="76"/>
      <c r="AA611" s="76"/>
      <c r="AB611" s="76"/>
    </row>
    <row r="612" ht="15.75" customHeight="1">
      <c r="Q612" s="76"/>
      <c r="U612" s="76"/>
      <c r="Y612" s="76"/>
      <c r="Z612" s="76"/>
      <c r="AA612" s="76"/>
      <c r="AB612" s="76"/>
    </row>
    <row r="613" ht="15.75" customHeight="1">
      <c r="Q613" s="76"/>
      <c r="U613" s="76"/>
      <c r="Y613" s="76"/>
      <c r="Z613" s="76"/>
      <c r="AA613" s="76"/>
      <c r="AB613" s="76"/>
    </row>
    <row r="614" ht="15.75" customHeight="1">
      <c r="Q614" s="76"/>
      <c r="U614" s="76"/>
      <c r="Y614" s="76"/>
      <c r="Z614" s="76"/>
      <c r="AA614" s="76"/>
      <c r="AB614" s="76"/>
    </row>
    <row r="615" ht="15.75" customHeight="1">
      <c r="Q615" s="76"/>
      <c r="U615" s="76"/>
      <c r="Y615" s="76"/>
      <c r="Z615" s="76"/>
      <c r="AA615" s="76"/>
      <c r="AB615" s="76"/>
    </row>
    <row r="616" ht="15.75" customHeight="1">
      <c r="Q616" s="76"/>
      <c r="U616" s="76"/>
      <c r="Y616" s="76"/>
      <c r="Z616" s="76"/>
      <c r="AA616" s="76"/>
      <c r="AB616" s="76"/>
    </row>
    <row r="617" ht="15.75" customHeight="1">
      <c r="Q617" s="76"/>
      <c r="U617" s="76"/>
      <c r="Y617" s="76"/>
      <c r="Z617" s="76"/>
      <c r="AA617" s="76"/>
      <c r="AB617" s="76"/>
    </row>
    <row r="618" ht="15.75" customHeight="1">
      <c r="Q618" s="76"/>
      <c r="U618" s="76"/>
      <c r="Y618" s="76"/>
      <c r="Z618" s="76"/>
      <c r="AA618" s="76"/>
      <c r="AB618" s="76"/>
    </row>
    <row r="619" ht="15.75" customHeight="1">
      <c r="Q619" s="76"/>
      <c r="U619" s="76"/>
      <c r="Y619" s="76"/>
      <c r="Z619" s="76"/>
      <c r="AA619" s="76"/>
      <c r="AB619" s="76"/>
    </row>
    <row r="620" ht="15.75" customHeight="1">
      <c r="Q620" s="76"/>
      <c r="U620" s="76"/>
      <c r="Y620" s="76"/>
      <c r="Z620" s="76"/>
      <c r="AA620" s="76"/>
      <c r="AB620" s="76"/>
    </row>
    <row r="621" ht="15.75" customHeight="1">
      <c r="Q621" s="76"/>
      <c r="U621" s="76"/>
      <c r="Y621" s="76"/>
      <c r="Z621" s="76"/>
      <c r="AA621" s="76"/>
      <c r="AB621" s="76"/>
    </row>
    <row r="622" ht="15.75" customHeight="1">
      <c r="Q622" s="76"/>
      <c r="U622" s="76"/>
      <c r="Y622" s="76"/>
      <c r="Z622" s="76"/>
      <c r="AA622" s="76"/>
      <c r="AB622" s="76"/>
    </row>
    <row r="623" ht="15.75" customHeight="1">
      <c r="Q623" s="76"/>
      <c r="U623" s="76"/>
      <c r="Y623" s="76"/>
      <c r="Z623" s="76"/>
      <c r="AA623" s="76"/>
      <c r="AB623" s="76"/>
    </row>
    <row r="624" ht="15.75" customHeight="1">
      <c r="Q624" s="76"/>
      <c r="U624" s="76"/>
      <c r="Y624" s="76"/>
      <c r="Z624" s="76"/>
      <c r="AA624" s="76"/>
      <c r="AB624" s="76"/>
    </row>
    <row r="625" ht="15.75" customHeight="1">
      <c r="Q625" s="76"/>
      <c r="U625" s="76"/>
      <c r="Y625" s="76"/>
      <c r="Z625" s="76"/>
      <c r="AA625" s="76"/>
      <c r="AB625" s="76"/>
    </row>
    <row r="626" ht="15.75" customHeight="1">
      <c r="Q626" s="76"/>
      <c r="U626" s="76"/>
      <c r="Y626" s="76"/>
      <c r="Z626" s="76"/>
      <c r="AA626" s="76"/>
      <c r="AB626" s="76"/>
    </row>
    <row r="627" ht="15.75" customHeight="1">
      <c r="Q627" s="76"/>
      <c r="U627" s="76"/>
      <c r="Y627" s="76"/>
      <c r="Z627" s="76"/>
      <c r="AA627" s="76"/>
      <c r="AB627" s="76"/>
    </row>
    <row r="628" ht="15.75" customHeight="1">
      <c r="Q628" s="76"/>
      <c r="U628" s="76"/>
      <c r="Y628" s="76"/>
      <c r="Z628" s="76"/>
      <c r="AA628" s="76"/>
      <c r="AB628" s="76"/>
    </row>
    <row r="629" ht="15.75" customHeight="1">
      <c r="Q629" s="76"/>
      <c r="U629" s="76"/>
      <c r="Y629" s="76"/>
      <c r="Z629" s="76"/>
      <c r="AA629" s="76"/>
      <c r="AB629" s="76"/>
    </row>
    <row r="630" ht="15.75" customHeight="1">
      <c r="Q630" s="76"/>
      <c r="U630" s="76"/>
      <c r="Y630" s="76"/>
      <c r="Z630" s="76"/>
      <c r="AA630" s="76"/>
      <c r="AB630" s="76"/>
    </row>
    <row r="631" ht="15.75" customHeight="1">
      <c r="Q631" s="76"/>
      <c r="U631" s="76"/>
      <c r="Y631" s="76"/>
      <c r="Z631" s="76"/>
      <c r="AA631" s="76"/>
      <c r="AB631" s="76"/>
    </row>
    <row r="632" ht="15.75" customHeight="1">
      <c r="Q632" s="76"/>
      <c r="U632" s="76"/>
      <c r="Y632" s="76"/>
      <c r="Z632" s="76"/>
      <c r="AA632" s="76"/>
      <c r="AB632" s="76"/>
    </row>
    <row r="633" ht="15.75" customHeight="1">
      <c r="Q633" s="76"/>
      <c r="U633" s="76"/>
      <c r="Y633" s="76"/>
      <c r="Z633" s="76"/>
      <c r="AA633" s="76"/>
      <c r="AB633" s="76"/>
    </row>
    <row r="634" ht="15.75" customHeight="1">
      <c r="Q634" s="76"/>
      <c r="U634" s="76"/>
      <c r="Y634" s="76"/>
      <c r="Z634" s="76"/>
      <c r="AA634" s="76"/>
      <c r="AB634" s="76"/>
    </row>
    <row r="635" ht="15.75" customHeight="1">
      <c r="Q635" s="76"/>
      <c r="U635" s="76"/>
      <c r="Y635" s="76"/>
      <c r="Z635" s="76"/>
      <c r="AA635" s="76"/>
      <c r="AB635" s="76"/>
    </row>
    <row r="636" ht="15.75" customHeight="1">
      <c r="Q636" s="76"/>
      <c r="U636" s="76"/>
      <c r="Y636" s="76"/>
      <c r="Z636" s="76"/>
      <c r="AA636" s="76"/>
      <c r="AB636" s="76"/>
    </row>
    <row r="637" ht="15.75" customHeight="1">
      <c r="Q637" s="76"/>
      <c r="U637" s="76"/>
      <c r="Y637" s="76"/>
      <c r="Z637" s="76"/>
      <c r="AA637" s="76"/>
      <c r="AB637" s="76"/>
    </row>
    <row r="638" ht="15.75" customHeight="1">
      <c r="Q638" s="76"/>
      <c r="U638" s="76"/>
      <c r="Y638" s="76"/>
      <c r="Z638" s="76"/>
      <c r="AA638" s="76"/>
      <c r="AB638" s="76"/>
    </row>
    <row r="639" ht="15.75" customHeight="1">
      <c r="Q639" s="76"/>
      <c r="U639" s="76"/>
      <c r="Y639" s="76"/>
      <c r="Z639" s="76"/>
      <c r="AA639" s="76"/>
      <c r="AB639" s="76"/>
    </row>
    <row r="640" ht="15.75" customHeight="1">
      <c r="Q640" s="76"/>
      <c r="U640" s="76"/>
      <c r="Y640" s="76"/>
      <c r="Z640" s="76"/>
      <c r="AA640" s="76"/>
      <c r="AB640" s="76"/>
    </row>
    <row r="641" ht="15.75" customHeight="1">
      <c r="Q641" s="76"/>
      <c r="U641" s="76"/>
      <c r="Y641" s="76"/>
      <c r="Z641" s="76"/>
      <c r="AA641" s="76"/>
      <c r="AB641" s="76"/>
    </row>
    <row r="642" ht="15.75" customHeight="1">
      <c r="Q642" s="76"/>
      <c r="U642" s="76"/>
      <c r="Y642" s="76"/>
      <c r="Z642" s="76"/>
      <c r="AA642" s="76"/>
      <c r="AB642" s="76"/>
    </row>
    <row r="643" ht="15.75" customHeight="1">
      <c r="Q643" s="76"/>
      <c r="U643" s="76"/>
      <c r="Y643" s="76"/>
      <c r="Z643" s="76"/>
      <c r="AA643" s="76"/>
      <c r="AB643" s="76"/>
    </row>
    <row r="644" ht="15.75" customHeight="1">
      <c r="Q644" s="76"/>
      <c r="U644" s="76"/>
      <c r="Y644" s="76"/>
      <c r="Z644" s="76"/>
      <c r="AA644" s="76"/>
      <c r="AB644" s="76"/>
    </row>
    <row r="645" ht="15.75" customHeight="1">
      <c r="Q645" s="76"/>
      <c r="U645" s="76"/>
      <c r="Y645" s="76"/>
      <c r="Z645" s="76"/>
      <c r="AA645" s="76"/>
      <c r="AB645" s="76"/>
    </row>
    <row r="646" ht="15.75" customHeight="1">
      <c r="Q646" s="76"/>
      <c r="U646" s="76"/>
      <c r="Y646" s="76"/>
      <c r="Z646" s="76"/>
      <c r="AA646" s="76"/>
      <c r="AB646" s="76"/>
    </row>
    <row r="647" ht="15.75" customHeight="1">
      <c r="Q647" s="76"/>
      <c r="U647" s="76"/>
      <c r="Y647" s="76"/>
      <c r="Z647" s="76"/>
      <c r="AA647" s="76"/>
      <c r="AB647" s="76"/>
    </row>
    <row r="648" ht="15.75" customHeight="1">
      <c r="Q648" s="76"/>
      <c r="U648" s="76"/>
      <c r="Y648" s="76"/>
      <c r="Z648" s="76"/>
      <c r="AA648" s="76"/>
      <c r="AB648" s="76"/>
    </row>
    <row r="649" ht="15.75" customHeight="1">
      <c r="Q649" s="76"/>
      <c r="U649" s="76"/>
      <c r="Y649" s="76"/>
      <c r="Z649" s="76"/>
      <c r="AA649" s="76"/>
      <c r="AB649" s="76"/>
    </row>
    <row r="650" ht="15.75" customHeight="1">
      <c r="Q650" s="76"/>
      <c r="U650" s="76"/>
      <c r="Y650" s="76"/>
      <c r="Z650" s="76"/>
      <c r="AA650" s="76"/>
      <c r="AB650" s="76"/>
    </row>
    <row r="651" ht="15.75" customHeight="1">
      <c r="Q651" s="76"/>
      <c r="U651" s="76"/>
      <c r="Y651" s="76"/>
      <c r="Z651" s="76"/>
      <c r="AA651" s="76"/>
      <c r="AB651" s="76"/>
    </row>
    <row r="652" ht="15.75" customHeight="1">
      <c r="Q652" s="76"/>
      <c r="U652" s="76"/>
      <c r="Y652" s="76"/>
      <c r="Z652" s="76"/>
      <c r="AA652" s="76"/>
      <c r="AB652" s="76"/>
    </row>
    <row r="653" ht="15.75" customHeight="1">
      <c r="Q653" s="76"/>
      <c r="U653" s="76"/>
      <c r="Y653" s="76"/>
      <c r="Z653" s="76"/>
      <c r="AA653" s="76"/>
      <c r="AB653" s="76"/>
    </row>
    <row r="654" ht="15.75" customHeight="1">
      <c r="Q654" s="76"/>
      <c r="U654" s="76"/>
      <c r="Y654" s="76"/>
      <c r="Z654" s="76"/>
      <c r="AA654" s="76"/>
      <c r="AB654" s="76"/>
    </row>
    <row r="655" ht="15.75" customHeight="1">
      <c r="Q655" s="76"/>
      <c r="U655" s="76"/>
      <c r="Y655" s="76"/>
      <c r="Z655" s="76"/>
      <c r="AA655" s="76"/>
      <c r="AB655" s="76"/>
    </row>
    <row r="656" ht="15.75" customHeight="1">
      <c r="Q656" s="76"/>
      <c r="U656" s="76"/>
      <c r="Y656" s="76"/>
      <c r="Z656" s="76"/>
      <c r="AA656" s="76"/>
      <c r="AB656" s="76"/>
    </row>
    <row r="657" ht="15.75" customHeight="1">
      <c r="Q657" s="76"/>
      <c r="U657" s="76"/>
      <c r="Y657" s="76"/>
      <c r="Z657" s="76"/>
      <c r="AA657" s="76"/>
      <c r="AB657" s="76"/>
    </row>
    <row r="658" ht="15.75" customHeight="1">
      <c r="Q658" s="76"/>
      <c r="U658" s="76"/>
      <c r="Y658" s="76"/>
      <c r="Z658" s="76"/>
      <c r="AA658" s="76"/>
      <c r="AB658" s="76"/>
    </row>
    <row r="659" ht="15.75" customHeight="1">
      <c r="Q659" s="76"/>
      <c r="U659" s="76"/>
      <c r="Y659" s="76"/>
      <c r="Z659" s="76"/>
      <c r="AA659" s="76"/>
      <c r="AB659" s="76"/>
    </row>
    <row r="660" ht="15.75" customHeight="1">
      <c r="Q660" s="76"/>
      <c r="U660" s="76"/>
      <c r="Y660" s="76"/>
      <c r="Z660" s="76"/>
      <c r="AA660" s="76"/>
      <c r="AB660" s="76"/>
    </row>
    <row r="661" ht="15.75" customHeight="1">
      <c r="Q661" s="76"/>
      <c r="U661" s="76"/>
      <c r="Y661" s="76"/>
      <c r="Z661" s="76"/>
      <c r="AA661" s="76"/>
      <c r="AB661" s="76"/>
    </row>
    <row r="662" ht="15.75" customHeight="1">
      <c r="Q662" s="76"/>
      <c r="U662" s="76"/>
      <c r="Y662" s="76"/>
      <c r="Z662" s="76"/>
      <c r="AA662" s="76"/>
      <c r="AB662" s="76"/>
    </row>
    <row r="663" ht="15.75" customHeight="1">
      <c r="Q663" s="76"/>
      <c r="U663" s="76"/>
      <c r="Y663" s="76"/>
      <c r="Z663" s="76"/>
      <c r="AA663" s="76"/>
      <c r="AB663" s="76"/>
    </row>
    <row r="664" ht="15.75" customHeight="1">
      <c r="Q664" s="76"/>
      <c r="U664" s="76"/>
      <c r="Y664" s="76"/>
      <c r="Z664" s="76"/>
      <c r="AA664" s="76"/>
      <c r="AB664" s="76"/>
    </row>
    <row r="665" ht="15.75" customHeight="1">
      <c r="Q665" s="76"/>
      <c r="U665" s="76"/>
      <c r="Y665" s="76"/>
      <c r="Z665" s="76"/>
      <c r="AA665" s="76"/>
      <c r="AB665" s="76"/>
    </row>
    <row r="666" ht="15.75" customHeight="1">
      <c r="Q666" s="76"/>
      <c r="U666" s="76"/>
      <c r="Y666" s="76"/>
      <c r="Z666" s="76"/>
      <c r="AA666" s="76"/>
      <c r="AB666" s="76"/>
    </row>
    <row r="667" ht="15.75" customHeight="1">
      <c r="Q667" s="76"/>
      <c r="U667" s="76"/>
      <c r="Y667" s="76"/>
      <c r="Z667" s="76"/>
      <c r="AA667" s="76"/>
      <c r="AB667" s="76"/>
    </row>
    <row r="668" ht="15.75" customHeight="1">
      <c r="Q668" s="76"/>
      <c r="U668" s="76"/>
      <c r="Y668" s="76"/>
      <c r="Z668" s="76"/>
      <c r="AA668" s="76"/>
      <c r="AB668" s="76"/>
    </row>
    <row r="669" ht="15.75" customHeight="1">
      <c r="Q669" s="76"/>
      <c r="U669" s="76"/>
      <c r="Y669" s="76"/>
      <c r="Z669" s="76"/>
      <c r="AA669" s="76"/>
      <c r="AB669" s="76"/>
    </row>
    <row r="670" ht="15.75" customHeight="1">
      <c r="Q670" s="76"/>
      <c r="U670" s="76"/>
      <c r="Y670" s="76"/>
      <c r="Z670" s="76"/>
      <c r="AA670" s="76"/>
      <c r="AB670" s="76"/>
    </row>
    <row r="671" ht="15.75" customHeight="1">
      <c r="Q671" s="76"/>
      <c r="U671" s="76"/>
      <c r="Y671" s="76"/>
      <c r="Z671" s="76"/>
      <c r="AA671" s="76"/>
      <c r="AB671" s="76"/>
    </row>
    <row r="672" ht="15.75" customHeight="1">
      <c r="Q672" s="76"/>
      <c r="U672" s="76"/>
      <c r="Y672" s="76"/>
      <c r="Z672" s="76"/>
      <c r="AA672" s="76"/>
      <c r="AB672" s="76"/>
    </row>
    <row r="673" ht="15.75" customHeight="1">
      <c r="Q673" s="76"/>
      <c r="U673" s="76"/>
      <c r="Y673" s="76"/>
      <c r="Z673" s="76"/>
      <c r="AA673" s="76"/>
      <c r="AB673" s="76"/>
    </row>
    <row r="674" ht="15.75" customHeight="1">
      <c r="Q674" s="76"/>
      <c r="U674" s="76"/>
      <c r="Y674" s="76"/>
      <c r="Z674" s="76"/>
      <c r="AA674" s="76"/>
      <c r="AB674" s="76"/>
    </row>
    <row r="675" ht="15.75" customHeight="1">
      <c r="Q675" s="76"/>
      <c r="U675" s="76"/>
      <c r="Y675" s="76"/>
      <c r="Z675" s="76"/>
      <c r="AA675" s="76"/>
      <c r="AB675" s="76"/>
    </row>
    <row r="676" ht="15.75" customHeight="1">
      <c r="Q676" s="76"/>
      <c r="U676" s="76"/>
      <c r="Y676" s="76"/>
      <c r="Z676" s="76"/>
      <c r="AA676" s="76"/>
      <c r="AB676" s="76"/>
    </row>
    <row r="677" ht="15.75" customHeight="1">
      <c r="Q677" s="76"/>
      <c r="U677" s="76"/>
      <c r="Y677" s="76"/>
      <c r="Z677" s="76"/>
      <c r="AA677" s="76"/>
      <c r="AB677" s="76"/>
    </row>
    <row r="678" ht="15.75" customHeight="1">
      <c r="Q678" s="76"/>
      <c r="U678" s="76"/>
      <c r="Y678" s="76"/>
      <c r="Z678" s="76"/>
      <c r="AA678" s="76"/>
      <c r="AB678" s="76"/>
    </row>
    <row r="679" ht="15.75" customHeight="1">
      <c r="Q679" s="76"/>
      <c r="U679" s="76"/>
      <c r="Y679" s="76"/>
      <c r="Z679" s="76"/>
      <c r="AA679" s="76"/>
      <c r="AB679" s="76"/>
    </row>
    <row r="680" ht="15.75" customHeight="1">
      <c r="Q680" s="76"/>
      <c r="U680" s="76"/>
      <c r="Y680" s="76"/>
      <c r="Z680" s="76"/>
      <c r="AA680" s="76"/>
      <c r="AB680" s="76"/>
    </row>
    <row r="681" ht="15.75" customHeight="1">
      <c r="Q681" s="76"/>
      <c r="U681" s="76"/>
      <c r="Y681" s="76"/>
      <c r="Z681" s="76"/>
      <c r="AA681" s="76"/>
      <c r="AB681" s="76"/>
    </row>
    <row r="682" ht="15.75" customHeight="1">
      <c r="Q682" s="76"/>
      <c r="U682" s="76"/>
      <c r="Y682" s="76"/>
      <c r="Z682" s="76"/>
      <c r="AA682" s="76"/>
      <c r="AB682" s="76"/>
    </row>
    <row r="683" ht="15.75" customHeight="1">
      <c r="Q683" s="76"/>
      <c r="U683" s="76"/>
      <c r="Y683" s="76"/>
      <c r="Z683" s="76"/>
      <c r="AA683" s="76"/>
      <c r="AB683" s="76"/>
    </row>
    <row r="684" ht="15.75" customHeight="1">
      <c r="Q684" s="76"/>
      <c r="U684" s="76"/>
      <c r="Y684" s="76"/>
      <c r="Z684" s="76"/>
      <c r="AA684" s="76"/>
      <c r="AB684" s="76"/>
    </row>
    <row r="685" ht="15.75" customHeight="1">
      <c r="Q685" s="76"/>
      <c r="U685" s="76"/>
      <c r="Y685" s="76"/>
      <c r="Z685" s="76"/>
      <c r="AA685" s="76"/>
      <c r="AB685" s="76"/>
    </row>
    <row r="686" ht="15.75" customHeight="1">
      <c r="Q686" s="76"/>
      <c r="U686" s="76"/>
      <c r="Y686" s="76"/>
      <c r="Z686" s="76"/>
      <c r="AA686" s="76"/>
      <c r="AB686" s="76"/>
    </row>
    <row r="687" ht="15.75" customHeight="1">
      <c r="Q687" s="76"/>
      <c r="U687" s="76"/>
      <c r="Y687" s="76"/>
      <c r="Z687" s="76"/>
      <c r="AA687" s="76"/>
      <c r="AB687" s="76"/>
    </row>
    <row r="688" ht="15.75" customHeight="1">
      <c r="Q688" s="76"/>
      <c r="U688" s="76"/>
      <c r="Y688" s="76"/>
      <c r="Z688" s="76"/>
      <c r="AA688" s="76"/>
      <c r="AB688" s="76"/>
    </row>
    <row r="689" ht="15.75" customHeight="1">
      <c r="Q689" s="76"/>
      <c r="U689" s="76"/>
      <c r="Y689" s="76"/>
      <c r="Z689" s="76"/>
      <c r="AA689" s="76"/>
      <c r="AB689" s="76"/>
    </row>
    <row r="690" ht="15.75" customHeight="1">
      <c r="Q690" s="76"/>
      <c r="U690" s="76"/>
      <c r="Y690" s="76"/>
      <c r="Z690" s="76"/>
      <c r="AA690" s="76"/>
      <c r="AB690" s="76"/>
    </row>
    <row r="691" ht="15.75" customHeight="1">
      <c r="Q691" s="76"/>
      <c r="U691" s="76"/>
      <c r="Y691" s="76"/>
      <c r="Z691" s="76"/>
      <c r="AA691" s="76"/>
      <c r="AB691" s="76"/>
    </row>
    <row r="692" ht="15.75" customHeight="1">
      <c r="Q692" s="76"/>
      <c r="U692" s="76"/>
      <c r="Y692" s="76"/>
      <c r="Z692" s="76"/>
      <c r="AA692" s="76"/>
      <c r="AB692" s="76"/>
    </row>
    <row r="693" ht="15.75" customHeight="1">
      <c r="Q693" s="76"/>
      <c r="U693" s="76"/>
      <c r="Y693" s="76"/>
      <c r="Z693" s="76"/>
      <c r="AA693" s="76"/>
      <c r="AB693" s="76"/>
    </row>
    <row r="694" ht="15.75" customHeight="1">
      <c r="Q694" s="76"/>
      <c r="U694" s="76"/>
      <c r="Y694" s="76"/>
      <c r="Z694" s="76"/>
      <c r="AA694" s="76"/>
      <c r="AB694" s="76"/>
    </row>
    <row r="695" ht="15.75" customHeight="1">
      <c r="Q695" s="76"/>
      <c r="U695" s="76"/>
      <c r="Y695" s="76"/>
      <c r="Z695" s="76"/>
      <c r="AA695" s="76"/>
      <c r="AB695" s="76"/>
    </row>
    <row r="696" ht="15.75" customHeight="1">
      <c r="Q696" s="76"/>
      <c r="U696" s="76"/>
      <c r="Y696" s="76"/>
      <c r="Z696" s="76"/>
      <c r="AA696" s="76"/>
      <c r="AB696" s="76"/>
    </row>
    <row r="697" ht="15.75" customHeight="1">
      <c r="Q697" s="76"/>
      <c r="U697" s="76"/>
      <c r="Y697" s="76"/>
      <c r="Z697" s="76"/>
      <c r="AA697" s="76"/>
      <c r="AB697" s="76"/>
    </row>
    <row r="698" ht="15.75" customHeight="1">
      <c r="Q698" s="76"/>
      <c r="U698" s="76"/>
      <c r="Y698" s="76"/>
      <c r="Z698" s="76"/>
      <c r="AA698" s="76"/>
      <c r="AB698" s="76"/>
    </row>
    <row r="699" ht="15.75" customHeight="1">
      <c r="Q699" s="76"/>
      <c r="U699" s="76"/>
      <c r="Y699" s="76"/>
      <c r="Z699" s="76"/>
      <c r="AA699" s="76"/>
      <c r="AB699" s="76"/>
    </row>
    <row r="700" ht="15.75" customHeight="1">
      <c r="Q700" s="76"/>
      <c r="U700" s="76"/>
      <c r="Y700" s="76"/>
      <c r="Z700" s="76"/>
      <c r="AA700" s="76"/>
      <c r="AB700" s="76"/>
    </row>
    <row r="701" ht="15.75" customHeight="1">
      <c r="Q701" s="76"/>
      <c r="U701" s="76"/>
      <c r="Y701" s="76"/>
      <c r="Z701" s="76"/>
      <c r="AA701" s="76"/>
      <c r="AB701" s="76"/>
    </row>
    <row r="702" ht="15.75" customHeight="1">
      <c r="Q702" s="76"/>
      <c r="U702" s="76"/>
      <c r="Y702" s="76"/>
      <c r="Z702" s="76"/>
      <c r="AA702" s="76"/>
      <c r="AB702" s="76"/>
    </row>
    <row r="703" ht="15.75" customHeight="1">
      <c r="Q703" s="76"/>
      <c r="U703" s="76"/>
      <c r="Y703" s="76"/>
      <c r="Z703" s="76"/>
      <c r="AA703" s="76"/>
      <c r="AB703" s="76"/>
    </row>
    <row r="704" ht="15.75" customHeight="1">
      <c r="Q704" s="76"/>
      <c r="U704" s="76"/>
      <c r="Y704" s="76"/>
      <c r="Z704" s="76"/>
      <c r="AA704" s="76"/>
      <c r="AB704" s="76"/>
    </row>
    <row r="705" ht="15.75" customHeight="1">
      <c r="Q705" s="76"/>
      <c r="U705" s="76"/>
      <c r="Y705" s="76"/>
      <c r="Z705" s="76"/>
      <c r="AA705" s="76"/>
      <c r="AB705" s="76"/>
    </row>
    <row r="706" ht="15.75" customHeight="1">
      <c r="Q706" s="76"/>
      <c r="U706" s="76"/>
      <c r="Y706" s="76"/>
      <c r="Z706" s="76"/>
      <c r="AA706" s="76"/>
      <c r="AB706" s="76"/>
    </row>
    <row r="707" ht="15.75" customHeight="1">
      <c r="Q707" s="76"/>
      <c r="U707" s="76"/>
      <c r="Y707" s="76"/>
      <c r="Z707" s="76"/>
      <c r="AA707" s="76"/>
      <c r="AB707" s="76"/>
    </row>
    <row r="708" ht="15.75" customHeight="1">
      <c r="Q708" s="76"/>
      <c r="U708" s="76"/>
      <c r="Y708" s="76"/>
      <c r="Z708" s="76"/>
      <c r="AA708" s="76"/>
      <c r="AB708" s="76"/>
    </row>
    <row r="709" ht="15.75" customHeight="1">
      <c r="Q709" s="76"/>
      <c r="U709" s="76"/>
      <c r="Y709" s="76"/>
      <c r="Z709" s="76"/>
      <c r="AA709" s="76"/>
      <c r="AB709" s="76"/>
    </row>
    <row r="710" ht="15.75" customHeight="1">
      <c r="Q710" s="76"/>
      <c r="U710" s="76"/>
      <c r="Y710" s="76"/>
      <c r="Z710" s="76"/>
      <c r="AA710" s="76"/>
      <c r="AB710" s="76"/>
    </row>
    <row r="711" ht="15.75" customHeight="1">
      <c r="Q711" s="76"/>
      <c r="U711" s="76"/>
      <c r="Y711" s="76"/>
      <c r="Z711" s="76"/>
      <c r="AA711" s="76"/>
      <c r="AB711" s="76"/>
    </row>
    <row r="712" ht="15.75" customHeight="1">
      <c r="Q712" s="76"/>
      <c r="U712" s="76"/>
      <c r="Y712" s="76"/>
      <c r="Z712" s="76"/>
      <c r="AA712" s="76"/>
      <c r="AB712" s="76"/>
    </row>
    <row r="713" ht="15.75" customHeight="1">
      <c r="Q713" s="76"/>
      <c r="U713" s="76"/>
      <c r="Y713" s="76"/>
      <c r="Z713" s="76"/>
      <c r="AA713" s="76"/>
      <c r="AB713" s="76"/>
    </row>
    <row r="714" ht="15.75" customHeight="1">
      <c r="Q714" s="76"/>
      <c r="U714" s="76"/>
      <c r="Y714" s="76"/>
      <c r="Z714" s="76"/>
      <c r="AA714" s="76"/>
      <c r="AB714" s="76"/>
    </row>
    <row r="715" ht="15.75" customHeight="1">
      <c r="Q715" s="76"/>
      <c r="U715" s="76"/>
      <c r="Y715" s="76"/>
      <c r="Z715" s="76"/>
      <c r="AA715" s="76"/>
      <c r="AB715" s="76"/>
    </row>
    <row r="716" ht="15.75" customHeight="1">
      <c r="Q716" s="76"/>
      <c r="U716" s="76"/>
      <c r="Y716" s="76"/>
      <c r="Z716" s="76"/>
      <c r="AA716" s="76"/>
      <c r="AB716" s="76"/>
    </row>
    <row r="717" ht="15.75" customHeight="1">
      <c r="Q717" s="76"/>
      <c r="U717" s="76"/>
      <c r="Y717" s="76"/>
      <c r="Z717" s="76"/>
      <c r="AA717" s="76"/>
      <c r="AB717" s="76"/>
    </row>
    <row r="718" ht="15.75" customHeight="1">
      <c r="Q718" s="76"/>
      <c r="U718" s="76"/>
      <c r="Y718" s="76"/>
      <c r="Z718" s="76"/>
      <c r="AA718" s="76"/>
      <c r="AB718" s="76"/>
    </row>
    <row r="719" ht="15.75" customHeight="1">
      <c r="Q719" s="76"/>
      <c r="U719" s="76"/>
      <c r="Y719" s="76"/>
      <c r="Z719" s="76"/>
      <c r="AA719" s="76"/>
      <c r="AB719" s="76"/>
    </row>
    <row r="720" ht="15.75" customHeight="1">
      <c r="Q720" s="76"/>
      <c r="U720" s="76"/>
      <c r="Y720" s="76"/>
      <c r="Z720" s="76"/>
      <c r="AA720" s="76"/>
      <c r="AB720" s="76"/>
    </row>
    <row r="721" ht="15.75" customHeight="1">
      <c r="Q721" s="76"/>
      <c r="U721" s="76"/>
      <c r="Y721" s="76"/>
      <c r="Z721" s="76"/>
      <c r="AA721" s="76"/>
      <c r="AB721" s="76"/>
    </row>
    <row r="722" ht="15.75" customHeight="1">
      <c r="Q722" s="76"/>
      <c r="U722" s="76"/>
      <c r="Y722" s="76"/>
      <c r="Z722" s="76"/>
      <c r="AA722" s="76"/>
      <c r="AB722" s="76"/>
    </row>
    <row r="723" ht="15.75" customHeight="1">
      <c r="Q723" s="76"/>
      <c r="U723" s="76"/>
      <c r="Y723" s="76"/>
      <c r="Z723" s="76"/>
      <c r="AA723" s="76"/>
      <c r="AB723" s="76"/>
    </row>
    <row r="724" ht="15.75" customHeight="1">
      <c r="Q724" s="76"/>
      <c r="U724" s="76"/>
      <c r="Y724" s="76"/>
      <c r="Z724" s="76"/>
      <c r="AA724" s="76"/>
      <c r="AB724" s="76"/>
    </row>
    <row r="725" ht="15.75" customHeight="1">
      <c r="Q725" s="76"/>
      <c r="U725" s="76"/>
      <c r="Y725" s="76"/>
      <c r="Z725" s="76"/>
      <c r="AA725" s="76"/>
      <c r="AB725" s="76"/>
    </row>
    <row r="726" ht="15.75" customHeight="1">
      <c r="Q726" s="76"/>
      <c r="U726" s="76"/>
      <c r="Y726" s="76"/>
      <c r="Z726" s="76"/>
      <c r="AA726" s="76"/>
      <c r="AB726" s="76"/>
    </row>
    <row r="727" ht="15.75" customHeight="1">
      <c r="Q727" s="76"/>
      <c r="U727" s="76"/>
      <c r="Y727" s="76"/>
      <c r="Z727" s="76"/>
      <c r="AA727" s="76"/>
      <c r="AB727" s="76"/>
    </row>
    <row r="728" ht="15.75" customHeight="1">
      <c r="Q728" s="76"/>
      <c r="U728" s="76"/>
      <c r="Y728" s="76"/>
      <c r="Z728" s="76"/>
      <c r="AA728" s="76"/>
      <c r="AB728" s="76"/>
    </row>
    <row r="729" ht="15.75" customHeight="1">
      <c r="Q729" s="76"/>
      <c r="U729" s="76"/>
      <c r="Y729" s="76"/>
      <c r="Z729" s="76"/>
      <c r="AA729" s="76"/>
      <c r="AB729" s="76"/>
    </row>
    <row r="730" ht="15.75" customHeight="1">
      <c r="Q730" s="76"/>
      <c r="U730" s="76"/>
      <c r="Y730" s="76"/>
      <c r="Z730" s="76"/>
      <c r="AA730" s="76"/>
      <c r="AB730" s="76"/>
    </row>
    <row r="731" ht="15.75" customHeight="1">
      <c r="Q731" s="76"/>
      <c r="U731" s="76"/>
      <c r="Y731" s="76"/>
      <c r="Z731" s="76"/>
      <c r="AA731" s="76"/>
      <c r="AB731" s="76"/>
    </row>
    <row r="732" ht="15.75" customHeight="1">
      <c r="Q732" s="76"/>
      <c r="U732" s="76"/>
      <c r="Y732" s="76"/>
      <c r="Z732" s="76"/>
      <c r="AA732" s="76"/>
      <c r="AB732" s="76"/>
    </row>
    <row r="733" ht="15.75" customHeight="1">
      <c r="Q733" s="76"/>
      <c r="U733" s="76"/>
      <c r="Y733" s="76"/>
      <c r="Z733" s="76"/>
      <c r="AA733" s="76"/>
      <c r="AB733" s="76"/>
    </row>
    <row r="734" ht="15.75" customHeight="1">
      <c r="Q734" s="76"/>
      <c r="U734" s="76"/>
      <c r="Y734" s="76"/>
      <c r="Z734" s="76"/>
      <c r="AA734" s="76"/>
      <c r="AB734" s="76"/>
    </row>
    <row r="735" ht="15.75" customHeight="1">
      <c r="Q735" s="76"/>
      <c r="U735" s="76"/>
      <c r="Y735" s="76"/>
      <c r="Z735" s="76"/>
      <c r="AA735" s="76"/>
      <c r="AB735" s="76"/>
    </row>
    <row r="736" ht="15.75" customHeight="1">
      <c r="Q736" s="76"/>
      <c r="U736" s="76"/>
      <c r="Y736" s="76"/>
      <c r="Z736" s="76"/>
      <c r="AA736" s="76"/>
      <c r="AB736" s="76"/>
    </row>
    <row r="737" ht="15.75" customHeight="1">
      <c r="Q737" s="76"/>
      <c r="U737" s="76"/>
      <c r="Y737" s="76"/>
      <c r="Z737" s="76"/>
      <c r="AA737" s="76"/>
      <c r="AB737" s="76"/>
    </row>
    <row r="738" ht="15.75" customHeight="1">
      <c r="Q738" s="76"/>
      <c r="U738" s="76"/>
      <c r="Y738" s="76"/>
      <c r="Z738" s="76"/>
      <c r="AA738" s="76"/>
      <c r="AB738" s="76"/>
    </row>
    <row r="739" ht="15.75" customHeight="1">
      <c r="Q739" s="76"/>
      <c r="U739" s="76"/>
      <c r="Y739" s="76"/>
      <c r="Z739" s="76"/>
      <c r="AA739" s="76"/>
      <c r="AB739" s="76"/>
    </row>
    <row r="740" ht="15.75" customHeight="1">
      <c r="Q740" s="76"/>
      <c r="U740" s="76"/>
      <c r="Y740" s="76"/>
      <c r="Z740" s="76"/>
      <c r="AA740" s="76"/>
      <c r="AB740" s="76"/>
    </row>
    <row r="741" ht="15.75" customHeight="1">
      <c r="Q741" s="76"/>
      <c r="U741" s="76"/>
      <c r="Y741" s="76"/>
      <c r="Z741" s="76"/>
      <c r="AA741" s="76"/>
      <c r="AB741" s="76"/>
    </row>
    <row r="742" ht="15.75" customHeight="1">
      <c r="Q742" s="76"/>
      <c r="U742" s="76"/>
      <c r="Y742" s="76"/>
      <c r="Z742" s="76"/>
      <c r="AA742" s="76"/>
      <c r="AB742" s="76"/>
    </row>
    <row r="743" ht="15.75" customHeight="1">
      <c r="Q743" s="76"/>
      <c r="U743" s="76"/>
      <c r="Y743" s="76"/>
      <c r="Z743" s="76"/>
      <c r="AA743" s="76"/>
      <c r="AB743" s="76"/>
    </row>
    <row r="744" ht="15.75" customHeight="1">
      <c r="Q744" s="76"/>
      <c r="U744" s="76"/>
      <c r="Y744" s="76"/>
      <c r="Z744" s="76"/>
      <c r="AA744" s="76"/>
      <c r="AB744" s="76"/>
    </row>
    <row r="745" ht="15.75" customHeight="1">
      <c r="Q745" s="76"/>
      <c r="U745" s="76"/>
      <c r="Y745" s="76"/>
      <c r="Z745" s="76"/>
      <c r="AA745" s="76"/>
      <c r="AB745" s="76"/>
    </row>
    <row r="746" ht="15.75" customHeight="1">
      <c r="Q746" s="76"/>
      <c r="U746" s="76"/>
      <c r="Y746" s="76"/>
      <c r="Z746" s="76"/>
      <c r="AA746" s="76"/>
      <c r="AB746" s="76"/>
    </row>
    <row r="747" ht="15.75" customHeight="1">
      <c r="Q747" s="76"/>
      <c r="U747" s="76"/>
      <c r="Y747" s="76"/>
      <c r="Z747" s="76"/>
      <c r="AA747" s="76"/>
      <c r="AB747" s="76"/>
    </row>
    <row r="748" ht="15.75" customHeight="1">
      <c r="Q748" s="76"/>
      <c r="U748" s="76"/>
      <c r="Y748" s="76"/>
      <c r="Z748" s="76"/>
      <c r="AA748" s="76"/>
      <c r="AB748" s="76"/>
    </row>
    <row r="749" ht="15.75" customHeight="1">
      <c r="Q749" s="76"/>
      <c r="U749" s="76"/>
      <c r="Y749" s="76"/>
      <c r="Z749" s="76"/>
      <c r="AA749" s="76"/>
      <c r="AB749" s="76"/>
    </row>
    <row r="750" ht="15.75" customHeight="1">
      <c r="Q750" s="76"/>
      <c r="U750" s="76"/>
      <c r="Y750" s="76"/>
      <c r="Z750" s="76"/>
      <c r="AA750" s="76"/>
      <c r="AB750" s="76"/>
    </row>
    <row r="751" ht="15.75" customHeight="1">
      <c r="Q751" s="76"/>
      <c r="U751" s="76"/>
      <c r="Y751" s="76"/>
      <c r="Z751" s="76"/>
      <c r="AA751" s="76"/>
      <c r="AB751" s="76"/>
    </row>
    <row r="752" ht="15.75" customHeight="1">
      <c r="Q752" s="76"/>
      <c r="U752" s="76"/>
      <c r="Y752" s="76"/>
      <c r="Z752" s="76"/>
      <c r="AA752" s="76"/>
      <c r="AB752" s="76"/>
    </row>
    <row r="753" ht="15.75" customHeight="1">
      <c r="Q753" s="76"/>
      <c r="U753" s="76"/>
      <c r="Y753" s="76"/>
      <c r="Z753" s="76"/>
      <c r="AA753" s="76"/>
      <c r="AB753" s="76"/>
    </row>
    <row r="754" ht="15.75" customHeight="1">
      <c r="Q754" s="76"/>
      <c r="U754" s="76"/>
      <c r="Y754" s="76"/>
      <c r="Z754" s="76"/>
      <c r="AA754" s="76"/>
      <c r="AB754" s="76"/>
    </row>
    <row r="755" ht="15.75" customHeight="1">
      <c r="Q755" s="76"/>
      <c r="U755" s="76"/>
      <c r="Y755" s="76"/>
      <c r="Z755" s="76"/>
      <c r="AA755" s="76"/>
      <c r="AB755" s="76"/>
    </row>
    <row r="756" ht="15.75" customHeight="1">
      <c r="Q756" s="76"/>
      <c r="U756" s="76"/>
      <c r="Y756" s="76"/>
      <c r="Z756" s="76"/>
      <c r="AA756" s="76"/>
      <c r="AB756" s="76"/>
    </row>
    <row r="757" ht="15.75" customHeight="1">
      <c r="Q757" s="76"/>
      <c r="U757" s="76"/>
      <c r="Y757" s="76"/>
      <c r="Z757" s="76"/>
      <c r="AA757" s="76"/>
      <c r="AB757" s="76"/>
    </row>
    <row r="758" ht="15.75" customHeight="1">
      <c r="Q758" s="76"/>
      <c r="U758" s="76"/>
      <c r="Y758" s="76"/>
      <c r="Z758" s="76"/>
      <c r="AA758" s="76"/>
      <c r="AB758" s="76"/>
    </row>
    <row r="759" ht="15.75" customHeight="1">
      <c r="Q759" s="76"/>
      <c r="U759" s="76"/>
      <c r="Y759" s="76"/>
      <c r="Z759" s="76"/>
      <c r="AA759" s="76"/>
      <c r="AB759" s="76"/>
    </row>
    <row r="760" ht="15.75" customHeight="1">
      <c r="Q760" s="76"/>
      <c r="U760" s="76"/>
      <c r="Y760" s="76"/>
      <c r="Z760" s="76"/>
      <c r="AA760" s="76"/>
      <c r="AB760" s="76"/>
    </row>
    <row r="761" ht="15.75" customHeight="1">
      <c r="Q761" s="76"/>
      <c r="U761" s="76"/>
      <c r="Y761" s="76"/>
      <c r="Z761" s="76"/>
      <c r="AA761" s="76"/>
      <c r="AB761" s="76"/>
    </row>
    <row r="762" ht="15.75" customHeight="1">
      <c r="Q762" s="76"/>
      <c r="U762" s="76"/>
      <c r="Y762" s="76"/>
      <c r="Z762" s="76"/>
      <c r="AA762" s="76"/>
      <c r="AB762" s="76"/>
    </row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B1" s="1" t="s">
        <v>67</v>
      </c>
      <c r="C1" s="2"/>
      <c r="D1" s="3"/>
      <c r="F1" s="1" t="s">
        <v>68</v>
      </c>
      <c r="G1" s="2"/>
      <c r="H1" s="3"/>
      <c r="J1" s="1" t="s">
        <v>69</v>
      </c>
      <c r="K1" s="2"/>
      <c r="L1" s="3"/>
      <c r="N1" s="1" t="s">
        <v>70</v>
      </c>
      <c r="O1" s="2"/>
      <c r="P1" s="3"/>
    </row>
    <row r="2">
      <c r="B2" s="4" t="s">
        <v>6</v>
      </c>
      <c r="C2" s="5" t="s">
        <v>7</v>
      </c>
      <c r="D2" s="4" t="s">
        <v>8</v>
      </c>
      <c r="F2" s="4"/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96" t="s">
        <v>6</v>
      </c>
      <c r="O2" s="62" t="s">
        <v>7</v>
      </c>
      <c r="P2" s="4" t="s">
        <v>8</v>
      </c>
    </row>
    <row r="3" ht="14.25" customHeight="1">
      <c r="B3" s="8">
        <v>51236.0</v>
      </c>
      <c r="C3" s="9" t="str">
        <f>VLOOKUP(B3,'FML March 2026'!E:F,2,false)</f>
        <v>ACID CITRIC  1 KG L. FRANCOIS CUISINE TECH</v>
      </c>
      <c r="D3" s="9" t="str">
        <f>VLOOKUP(B3,'Unit of Measure ship March 2026'!A:C,3,false)</f>
        <v>LBS</v>
      </c>
      <c r="F3" s="17">
        <v>23757.0</v>
      </c>
      <c r="G3" s="9" t="str">
        <f>VLOOKUP(F3,'FML March 2026'!E:F,2,false)</f>
        <v>APPLES GRANNY SMITH 88CT 40#/CS</v>
      </c>
      <c r="H3" s="9" t="str">
        <f>VLOOKUP(F3,'Unit of Measure ship March 2026'!A:C,3,false)</f>
        <v>LBS</v>
      </c>
      <c r="J3" s="17">
        <v>111076.0</v>
      </c>
      <c r="K3" s="9" t="str">
        <f>VLOOKUP(J3,'FML March 2026'!E:F,2,false)</f>
        <v>BEEF FLEXOR TENDON  VV</v>
      </c>
      <c r="L3" s="35" t="s">
        <v>42</v>
      </c>
      <c r="N3" s="97">
        <v>150122.0</v>
      </c>
      <c r="O3" s="33" t="str">
        <f>VLOOKUP(N3,'FML March 2026'!E:F,2,false)</f>
        <v>MONKFISH WHOLE HEAD OFF 2/3 LB  FROZEN</v>
      </c>
      <c r="P3" s="33" t="str">
        <f>VLOOKUP(N3,'Unit of Measure ship March 2026'!A:C,3,false)</f>
        <v>LBS</v>
      </c>
    </row>
    <row r="4" ht="14.25" customHeight="1">
      <c r="B4" s="8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8">
        <v>53697.0</v>
      </c>
      <c r="G4" s="9" t="str">
        <f>VLOOKUP(F4,'FML March 2026'!E:F,2,false)</f>
        <v>ARTICHOKE, JERUSALEM, FRESH</v>
      </c>
      <c r="H4" s="9" t="str">
        <f>VLOOKUP(F4,'Unit of Measure ship March 2026'!A:C,3,false)</f>
        <v>LBS</v>
      </c>
      <c r="J4" s="17">
        <v>11189.0</v>
      </c>
      <c r="K4" s="9" t="str">
        <f>VLOOKUP(J4,'FML March 2026'!E:F,2,false)</f>
        <v>BEEF GROUND CHUCK C.A.B./ ANGUS NAMP 137-2</v>
      </c>
      <c r="L4" s="9" t="str">
        <f>VLOOKUP(J4,'Unit of Measure ship March 2026'!A:C,3,false)</f>
        <v>LBS</v>
      </c>
      <c r="N4" s="17">
        <v>53625.0</v>
      </c>
      <c r="O4" s="9" t="str">
        <f>VLOOKUP(N4,'FML March 2026'!E:F,2,false)</f>
        <v>SALMON FILLET, ATLANTIC, PREMIUM, FROZEN, 3 - 4 LB D-TRIM INDV. CRYOVAC (CHILE)</v>
      </c>
      <c r="P4" s="9" t="str">
        <f>VLOOKUP(N4,'Unit of Measure ship March 2026'!A:C,3,false)</f>
        <v>LBS</v>
      </c>
    </row>
    <row r="5" ht="14.25" customHeight="1">
      <c r="B5" s="8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17">
        <v>24182.0</v>
      </c>
      <c r="G5" s="9" t="str">
        <f>VLOOKUP(F5,'FML March 2026'!E:F,2,false)</f>
        <v>ARUGULA, BABY</v>
      </c>
      <c r="H5" s="9" t="str">
        <f>VLOOKUP(F5,'Unit of Measure ship March 2026'!A:C,3,false)</f>
        <v>LBS</v>
      </c>
      <c r="J5" s="17">
        <v>112880.0</v>
      </c>
      <c r="K5" s="9" t="str">
        <f>VLOOKUP(J5,'FML March 2026'!E:F,2,false)</f>
        <v>BEEF MARROW BONES SPLIT (CANOE)  6" LONG POLY WRAPPED VV</v>
      </c>
      <c r="L5" s="9" t="str">
        <f>VLOOKUP(J5,'Unit of Measure ship March 2026'!A:C,3,false)</f>
        <v>LBS</v>
      </c>
      <c r="N5" s="97">
        <v>102829.0</v>
      </c>
      <c r="O5" s="33" t="str">
        <f>VLOOKUP(N5,'FML March 2026'!E:F,2,false)</f>
        <v>Scallops 10/15 CT</v>
      </c>
      <c r="P5" s="33" t="str">
        <f>VLOOKUP(N5,'Unit of Measure ship March 2026'!A:C,3,false)</f>
        <v>LBS</v>
      </c>
    </row>
    <row r="6" ht="14.25" customHeight="1">
      <c r="B6" s="8">
        <v>110031.0</v>
      </c>
      <c r="C6" s="9" t="str">
        <f>VLOOKUP(B6,'FML March 2026'!E:F,2,false)</f>
        <v>ALMONDS MARCONA CS/11LBS SAVOR IMPORTS</v>
      </c>
      <c r="D6" s="9" t="str">
        <f>VLOOKUP(B6,'Unit of Measure ship March 2026'!A:C,3,false)</f>
        <v>LBS</v>
      </c>
      <c r="F6" s="17">
        <v>15429.0</v>
      </c>
      <c r="G6" s="9" t="str">
        <f>VLOOKUP(F6,'FML March 2026'!E:F,2,false)</f>
        <v>BASIL (12 BUNCH) HYDROPONIC OR REGULAR 1 LB/CS</v>
      </c>
      <c r="H6" s="9" t="str">
        <f>VLOOKUP(F6,'Unit of Measure ship March 2026'!A:C,3,false)</f>
        <v>LBS</v>
      </c>
      <c r="J6" s="17">
        <v>14389.0</v>
      </c>
      <c r="K6" s="9" t="str">
        <f>VLOOKUP(J6,'FML March 2026'!E:F,2,false)</f>
        <v>BEEF OXTAIL STEER W/LINER U.S.D.A. NAMP -1791</v>
      </c>
      <c r="L6" s="9" t="str">
        <f>VLOOKUP(J6,'Unit of Measure ship March 2026'!A:C,3,false)</f>
        <v>LBS</v>
      </c>
      <c r="N6" s="17">
        <v>14852.0</v>
      </c>
      <c r="O6" s="9" t="str">
        <f>VLOOKUP(N6,'FML March 2026'!E:F,2,false)</f>
        <v>SEA BASS EUROPEAN/ BRANZINO HEAD-ON GUTTED  FINISHED WEIGHT 800-1000GR POLY WRAP (HOLLAND)</v>
      </c>
      <c r="P6" s="9" t="str">
        <f>VLOOKUP(N6,'Unit of Measure ship March 2026'!A:C,3,false)</f>
        <v>LBS</v>
      </c>
    </row>
    <row r="7" ht="14.25" customHeight="1">
      <c r="B7" s="8">
        <v>15799.0</v>
      </c>
      <c r="C7" s="9" t="str">
        <f>VLOOKUP(B7,'FML March 2026'!E:F,2,false)</f>
        <v>ALMONDS SHELLED WHOLE</v>
      </c>
      <c r="D7" s="9" t="str">
        <f>VLOOKUP(B7,'Unit of Measure ship March 2026'!A:C,3,false)</f>
        <v>LBS</v>
      </c>
      <c r="F7" s="17">
        <v>102292.0</v>
      </c>
      <c r="G7" s="9" t="str">
        <f>VLOOKUP(F7,'FML March 2026'!E:F,2,false)</f>
        <v>BEETS YELLOW FRESH</v>
      </c>
      <c r="H7" s="9" t="str">
        <f>VLOOKUP(F7,'Unit of Measure ship March 2026'!A:C,3,false)</f>
        <v>LBS</v>
      </c>
      <c r="J7" s="48">
        <v>148887.0</v>
      </c>
      <c r="K7" s="9" t="str">
        <f>VLOOKUP(J7,'FML March 2026'!E:F,2,false)</f>
        <v>BEEF TENDERLOIN PEELED STRAP-ON  100 DAY GRAIN FED JBS (AUSTRALIA) NAMP-189A</v>
      </c>
      <c r="L7" s="9" t="str">
        <f>VLOOKUP(J7,'Unit of Measure ship March 2026'!A:C,3,false)</f>
        <v>LBS</v>
      </c>
      <c r="N7" s="17">
        <v>42269.0</v>
      </c>
      <c r="O7" s="9" t="str">
        <f>VLOOKUP(N7,'FML March 2026'!E:F,2,false)</f>
        <v>SHRIMP 16/20 RAW P&amp;D TAIL-ON CS10/LB SURAM ROYAL WHITE (VIETNAM)</v>
      </c>
      <c r="P7" s="9" t="str">
        <f>VLOOKUP(N7,'Unit of Measure ship March 2026'!A:C,3,false)</f>
        <v>LBS</v>
      </c>
    </row>
    <row r="8" ht="14.25" customHeight="1">
      <c r="B8" s="17">
        <v>16011.0</v>
      </c>
      <c r="C8" s="9" t="str">
        <f>VLOOKUP(B8,'FML March 2026'!E:F,2,false)</f>
        <v>ANCHOVY FILLETS IN OLIVE OIL</v>
      </c>
      <c r="D8" s="9" t="str">
        <f>VLOOKUP(B8,'Unit of Measure ship March 2026'!A:C,3,false)</f>
        <v>CAN/28OZ</v>
      </c>
      <c r="F8" s="17">
        <v>38191.0</v>
      </c>
      <c r="G8" s="9" t="str">
        <f>VLOOKUP(F8,'FML March 2026'!E:F,2,false)</f>
        <v>BRUSSELS SPROUTS SMALL</v>
      </c>
      <c r="H8" s="9" t="str">
        <f>VLOOKUP(F8,'Unit of Measure ship March 2026'!A:C,3,false)</f>
        <v>LBS</v>
      </c>
      <c r="J8" s="48">
        <v>34728.0</v>
      </c>
      <c r="K8" s="9" t="str">
        <f>VLOOKUP(J8,'FML March 2026'!E:F,2,false)</f>
        <v>BEEF, STRIPLOIN, BONELESS, 13 DWN, UPPER 2/3, CHOICE, ANGUS, 40 DAY AGED, 0X1, NAMP 180, USA ONLY, &lt;22 LB EA, FZN, 3/1 EA</v>
      </c>
      <c r="L8" s="9" t="str">
        <f>VLOOKUP(J8,'Unit of Measure ship March 2026'!A:C,3,false)</f>
        <v>LBS</v>
      </c>
      <c r="N8" s="17">
        <v>14830.0</v>
      </c>
      <c r="O8" s="9" t="str">
        <f>VLOOKUP(N8,'FML March 2026'!E:F,2,false)</f>
        <v>SQUID WHOLE CLEANED 5/8 CT 4/2.5 LB CS FISHERMAN`S PRIDE (CHINA)</v>
      </c>
      <c r="P8" s="9" t="str">
        <f>VLOOKUP(N8,'Unit of Measure ship March 2026'!A:C,3,false)</f>
        <v>LBS</v>
      </c>
    </row>
    <row r="9" ht="14.25" customHeight="1">
      <c r="B9" s="8">
        <v>16013.0</v>
      </c>
      <c r="C9" s="9" t="str">
        <f>VLOOKUP(B9,'FML March 2026'!E:F,2,false)</f>
        <v>ANCHOVY PASTE 12/1 LB ROLAND</v>
      </c>
      <c r="D9" s="9" t="str">
        <f>VLOOKUP(B9,'Unit of Measure ship March 2026'!A:C,3,false)</f>
        <v>CAN/1LB</v>
      </c>
      <c r="F9" s="17">
        <v>15545.0</v>
      </c>
      <c r="G9" s="9" t="str">
        <f>VLOOKUP(F9,'FML March 2026'!E:F,2,false)</f>
        <v>CABBAGE SAVOY LARGE 40#</v>
      </c>
      <c r="H9" s="9" t="str">
        <f>VLOOKUP(F9,'Unit of Measure ship March 2026'!A:C,3,false)</f>
        <v>LBS</v>
      </c>
      <c r="J9" s="17">
        <v>14580.0</v>
      </c>
      <c r="K9" s="9" t="str">
        <f>VLOOKUP(J9,'FML March 2026'!E:F,2,false)</f>
        <v>CHICKEN LIVER RAW IQF CLEANED FROZEN</v>
      </c>
      <c r="L9" s="9" t="str">
        <f>VLOOKUP(J9,'Unit of Measure ship March 2026'!A:C,3,false)</f>
        <v>LBS</v>
      </c>
      <c r="N9" s="58"/>
      <c r="O9" s="58"/>
      <c r="P9" s="58"/>
    </row>
    <row r="10" ht="14.25" customHeight="1">
      <c r="B10" s="8">
        <v>16304.0</v>
      </c>
      <c r="C10" s="9" t="str">
        <f>VLOOKUP(B10,'FML March 2026'!E:F,2,false)</f>
        <v>ANISE STAR BADIA</v>
      </c>
      <c r="D10" s="9" t="str">
        <f>VLOOKUP(B10,'Unit of Measure ship March 2026'!A:C,3,false)</f>
        <v>UNIT/8OZ</v>
      </c>
      <c r="F10" s="17">
        <v>15458.0</v>
      </c>
      <c r="G10" s="9" t="str">
        <f>VLOOKUP(F10,'FML March 2026'!E:F,2,false)</f>
        <v>CARROTS CLIP TOP 50#</v>
      </c>
      <c r="H10" s="9" t="str">
        <f>VLOOKUP(F10,'Unit of Measure ship March 2026'!A:C,3,false)</f>
        <v>LBS</v>
      </c>
      <c r="J10" s="17">
        <v>14579.0</v>
      </c>
      <c r="K10" s="9" t="str">
        <f>VLOOKUP(J10,'FML March 2026'!E:F,2,false)</f>
        <v>CORNISH HENS IQF USDA GRADE A</v>
      </c>
      <c r="L10" s="9" t="str">
        <f>VLOOKUP(J10,'Unit of Measure ship March 2026'!A:C,3,false)</f>
        <v>LBS</v>
      </c>
      <c r="N10" s="58"/>
      <c r="O10" s="58"/>
      <c r="P10" s="58"/>
    </row>
    <row r="11" ht="14.25" customHeight="1">
      <c r="B11" s="8">
        <v>109664.0</v>
      </c>
      <c r="C11" s="9" t="str">
        <f>VLOOKUP(B11,'FML March 2026'!E:F,2,false)</f>
        <v>APPLE CIDER VINEGAR SPARROW LANE V</v>
      </c>
      <c r="D11" s="9" t="str">
        <f>VLOOKUP(B11,'Unit of Measure ship March 2026'!A:C,3,false)</f>
        <v>GAL</v>
      </c>
      <c r="F11" s="17">
        <v>15460.0</v>
      </c>
      <c r="G11" s="9" t="str">
        <f>VLOOKUP(F11,'FML March 2026'!E:F,2,false)</f>
        <v>CELERY #1 CAL. 36CT 60#</v>
      </c>
      <c r="H11" s="9" t="str">
        <f>VLOOKUP(F11,'Unit of Measure ship March 2026'!A:C,3,false)</f>
        <v>LBS</v>
      </c>
      <c r="J11" s="32">
        <v>10051.0</v>
      </c>
      <c r="K11" s="33" t="str">
        <f>VLOOKUP(J11,'FML March 2026'!E:F,2,false)</f>
        <v>LAMB HIND SHANK  FROZEN 2/PK AUSTRALIA</v>
      </c>
      <c r="L11" s="33" t="str">
        <f>VLOOKUP(J11,'Unit of Measure ship March 2026'!A:C,3,false)</f>
        <v>LBS</v>
      </c>
      <c r="N11" s="98"/>
      <c r="O11" s="59"/>
      <c r="P11" s="9"/>
    </row>
    <row r="12" ht="14.25" customHeight="1">
      <c r="B12" s="8">
        <v>111121.0</v>
      </c>
      <c r="C12" s="9" t="str">
        <f>VLOOKUP(B12,'FML March 2026'!E:F,2,false)</f>
        <v>ARTICHOKE "ROMANA STYLE" CS2/3 KG</v>
      </c>
      <c r="D12" s="9" t="str">
        <f>VLOOKUP(B12,'Unit of Measure ship March 2026'!A:C,3,false)</f>
        <v>LBS</v>
      </c>
      <c r="F12" s="17">
        <v>15543.0</v>
      </c>
      <c r="G12" s="9" t="str">
        <f>VLOOKUP(F12,'FML March 2026'!E:F,2,false)</f>
        <v>CHERVIL, FRESH, 12BU 1 LB/CS</v>
      </c>
      <c r="H12" s="9" t="str">
        <f>VLOOKUP(F12,'Unit of Measure ship March 2026'!A:C,3,false)</f>
        <v>LBS</v>
      </c>
      <c r="J12" s="32">
        <v>24773.0</v>
      </c>
      <c r="K12" s="33" t="str">
        <f>VLOOKUP(J12,'FML March 2026'!E:F,2,false)</f>
        <v>PORK BELLY RAW RIND-ON (USA)</v>
      </c>
      <c r="L12" s="33" t="str">
        <f>VLOOKUP(J12,'Unit of Measure ship March 2026'!A:C,3,false)</f>
        <v>LBS</v>
      </c>
      <c r="N12" s="49"/>
      <c r="O12" s="9"/>
      <c r="P12" s="9"/>
    </row>
    <row r="13" ht="14.25" customHeight="1">
      <c r="B13" s="17">
        <v>16250.0</v>
      </c>
      <c r="C13" s="9" t="str">
        <f>VLOOKUP(B13,'FML March 2026'!E:F,2,false)</f>
        <v>BAY LEAVES WHOLE D`ALLESANDRO/ SPICECO</v>
      </c>
      <c r="D13" s="9" t="str">
        <f>VLOOKUP(B13,'Unit of Measure ship March 2026'!A:C,3,false)</f>
        <v>LBS</v>
      </c>
      <c r="F13" s="17">
        <v>15438.0</v>
      </c>
      <c r="G13" s="9" t="str">
        <f>VLOOKUP(F13,'FML March 2026'!E:F,2,false)</f>
        <v>CHIVES (12 BUNCH), 1 LB/CS</v>
      </c>
      <c r="H13" s="9" t="str">
        <f>VLOOKUP(F13,'Unit of Measure ship March 2026'!A:C,3,false)</f>
        <v>LBS</v>
      </c>
      <c r="J13" s="17">
        <v>18997.0</v>
      </c>
      <c r="K13" s="9" t="str">
        <f>VLOOKUP(J13,'FML March 2026'!E:F,2,false)</f>
        <v>PORK CHEEKS W/ PLASTIC LINING</v>
      </c>
      <c r="L13" s="9" t="str">
        <f>VLOOKUP(J13,'Unit of Measure ship March 2026'!A:C,3,false)</f>
        <v>LBS</v>
      </c>
      <c r="N13" s="49"/>
      <c r="O13" s="9"/>
      <c r="P13" s="9"/>
    </row>
    <row r="14" ht="14.25" customHeight="1">
      <c r="B14" s="8">
        <v>111962.0</v>
      </c>
      <c r="C14" s="9" t="str">
        <f>VLOOKUP(B14,'FML March 2026'!E:F,2,false)</f>
        <v>BOQUERONE IN VINEGAR</v>
      </c>
      <c r="D14" s="9" t="str">
        <f>VLOOKUP(B14,'Unit of Measure ship March 2026'!A:C,3,false)</f>
        <v>LBS</v>
      </c>
      <c r="F14" s="17">
        <v>15464.0</v>
      </c>
      <c r="G14" s="9" t="str">
        <f>VLOOKUP(F14,'FML March 2026'!E:F,2,false)</f>
        <v>EGGPLANT MEDIUM, 225 - 300 MM</v>
      </c>
      <c r="H14" s="9" t="str">
        <f>VLOOKUP(F14,'Unit of Measure ship March 2026'!A:C,3,false)</f>
        <v>LBS</v>
      </c>
      <c r="J14" s="17">
        <v>37392.0</v>
      </c>
      <c r="K14" s="9" t="str">
        <f>VLOOKUP(J14,'FML March 2026'!E:F,2,false)</f>
        <v>PORK EARS FROZEN CS30/LBS (36-49020)</v>
      </c>
      <c r="L14" s="9" t="str">
        <f>VLOOKUP(J14,'Unit of Measure ship March 2026'!A:C,3,false)</f>
        <v>LBS</v>
      </c>
      <c r="N14" s="49"/>
      <c r="O14" s="9"/>
      <c r="P14" s="9"/>
    </row>
    <row r="15" ht="14.25" customHeight="1">
      <c r="B15" s="17">
        <v>20884.0</v>
      </c>
      <c r="C15" s="9" t="str">
        <f>VLOOKUP(B15,'FML March 2026'!E:F,2,false)</f>
        <v>BREAD CRUMBS PANKO 25 LB KIKKOMAN #05010 (USA)</v>
      </c>
      <c r="D15" s="9" t="str">
        <f>VLOOKUP(B15,'Unit of Measure ship March 2026'!A:C,3,false)</f>
        <v>LBS</v>
      </c>
      <c r="F15" s="17">
        <v>111089.0</v>
      </c>
      <c r="G15" s="9" t="str">
        <f>VLOOKUP(F15,'FML March 2026'!E:F,2,false)</f>
        <v>ESCAROLE FRESH CS25/LBS</v>
      </c>
      <c r="H15" s="9" t="str">
        <f>VLOOKUP(F15,'Unit of Measure ship March 2026'!A:C,3,false)</f>
        <v>LBS</v>
      </c>
      <c r="N15" s="49"/>
      <c r="O15" s="9"/>
      <c r="P15" s="9"/>
    </row>
    <row r="16" ht="14.25" customHeight="1">
      <c r="B16" s="8">
        <v>109933.0</v>
      </c>
      <c r="C16" s="9" t="str">
        <f>VLOOKUP(B16,'FML March 2026'!E:F,2,false)</f>
        <v>BUTTER ALTERNATIVE VEGAN PLANT PERFECT (USA)</v>
      </c>
      <c r="D16" s="9" t="str">
        <f>VLOOKUP(B16,'Unit of Measure ship March 2026'!A:C,3,false)</f>
        <v>LBS</v>
      </c>
      <c r="F16" s="17">
        <v>15547.0</v>
      </c>
      <c r="G16" s="9" t="str">
        <f>VLOOKUP(F16,'FML March 2026'!E:F,2,false)</f>
        <v>FENNEL FRESH CAL. 40#</v>
      </c>
      <c r="H16" s="9" t="str">
        <f>VLOOKUP(F16,'Unit of Measure ship March 2026'!A:C,3,false)</f>
        <v>LBS</v>
      </c>
      <c r="J16" s="58"/>
      <c r="K16" s="58"/>
      <c r="L16" s="58"/>
      <c r="N16" s="49"/>
      <c r="O16" s="9"/>
      <c r="P16" s="9"/>
    </row>
    <row r="17" ht="14.25" customHeight="1">
      <c r="B17" s="17">
        <v>15016.0</v>
      </c>
      <c r="C17" s="9" t="str">
        <f>VLOOKUP(B17,'FML March 2026'!E:F,2,false)</f>
        <v>BUTTER, UNSALTED, 82% FAT, FZN, 50/200 G</v>
      </c>
      <c r="D17" s="9" t="str">
        <f>VLOOKUP(B17,'Unit of Measure ship March 2026'!A:C,3,false)</f>
        <v>LBS</v>
      </c>
      <c r="F17" s="8">
        <v>15466.0</v>
      </c>
      <c r="G17" s="9" t="str">
        <f>VLOOKUP(F17,'FML March 2026'!E:F,2,false)</f>
        <v>GARLIC CRATE JUMBO 30# 8 CT</v>
      </c>
      <c r="H17" s="9" t="str">
        <f>VLOOKUP(F17,'Unit of Measure ship March 2026'!A:C,3,false)</f>
        <v>LBS</v>
      </c>
      <c r="N17" s="49"/>
      <c r="O17" s="9"/>
      <c r="P17" s="9"/>
    </row>
    <row r="18" ht="14.25" customHeight="1">
      <c r="B18" s="17">
        <v>14893.0</v>
      </c>
      <c r="C18" s="9" t="str">
        <f>VLOOKUP(B18,'FML March 2026'!E:F,2,false)</f>
        <v>BUTTERMILK LOCAL 10 DAYS CS9/HGAL</v>
      </c>
      <c r="D18" s="9" t="str">
        <f>VLOOKUP(B18,'Unit of Measure ship March 2026'!A:C,3,false)</f>
        <v>QRT</v>
      </c>
      <c r="F18" s="17">
        <v>30639.0</v>
      </c>
      <c r="G18" s="9" t="str">
        <f>VLOOKUP(F18,'FML March 2026'!E:F,2,false)</f>
        <v>GARLIC PEELED</v>
      </c>
      <c r="H18" s="9" t="str">
        <f>VLOOKUP(F18,'Unit of Measure ship March 2026'!A:C,3,false)</f>
        <v>LBS</v>
      </c>
      <c r="N18" s="49"/>
      <c r="O18" s="9"/>
      <c r="P18" s="9"/>
    </row>
    <row r="19" ht="14.25" customHeight="1">
      <c r="B19" s="8">
        <v>111126.0</v>
      </c>
      <c r="C19" s="9" t="str">
        <f>VLOOKUP(B19,'FML March 2026'!E:F,2,false)</f>
        <v>CANNELLINI BEANS CS12/15 OZ FIELD DAY</v>
      </c>
      <c r="D19" s="9" t="str">
        <f>VLOOKUP(B19,'Unit of Measure ship March 2026'!A:C,3,false)</f>
        <v>CAN15/OZ</v>
      </c>
      <c r="F19" s="17">
        <v>38392.0</v>
      </c>
      <c r="G19" s="9" t="str">
        <f>VLOOKUP(F19,'FML March 2026'!E:F,2,false)</f>
        <v>GINGER FRESH</v>
      </c>
      <c r="H19" s="9" t="str">
        <f>VLOOKUP(F19,'Unit of Measure ship March 2026'!A:C,3,false)</f>
        <v>LBS</v>
      </c>
      <c r="N19" s="49"/>
      <c r="O19" s="9"/>
      <c r="P19" s="9"/>
    </row>
    <row r="20" ht="14.25" customHeight="1">
      <c r="B20" s="17">
        <v>11938.0</v>
      </c>
      <c r="C20" s="9" t="str">
        <f>VLOOKUP(B20,'FML March 2026'!E:F,2,false)</f>
        <v>CAPER BERRIES STEMMED 6/64 OZ DEL DESTINO/ ROLAND</v>
      </c>
      <c r="D20" s="9" t="str">
        <f>VLOOKUP(B20,'Unit of Measure ship March 2026'!A:C,3,false)</f>
        <v>CAN/64OZ</v>
      </c>
      <c r="F20" s="17">
        <v>110907.0</v>
      </c>
      <c r="G20" s="9" t="str">
        <f>VLOOKUP(F20,'FML March 2026'!E:F,2,false)</f>
        <v>KALE GREEN  FRESH CS15/LBS</v>
      </c>
      <c r="H20" s="9" t="str">
        <f>VLOOKUP(F20,'Unit of Measure ship March 2026'!A:C,3,false)</f>
        <v>LBS</v>
      </c>
      <c r="N20" s="49"/>
      <c r="O20" s="9"/>
      <c r="P20" s="9"/>
    </row>
    <row r="21" ht="14.25" customHeight="1">
      <c r="B21" s="17">
        <v>16015.0</v>
      </c>
      <c r="C21" s="9" t="str">
        <f>VLOOKUP(B21,'FML March 2026'!E:F,2,false)</f>
        <v>CAPERS, NON-PAREIL, IN VINEGAR, DRY, 6X850GR</v>
      </c>
      <c r="D21" s="9" t="str">
        <f>VLOOKUP(B21,'Unit of Measure ship March 2026'!A:C,3,false)</f>
        <v>CAN/32OZ</v>
      </c>
      <c r="F21" s="17">
        <v>15397.0</v>
      </c>
      <c r="G21" s="9" t="str">
        <f>VLOOKUP(F21,'FML March 2026'!E:F,2,false)</f>
        <v>LEMONS FRESH FIRM FANCY CALIF. SUNKIST #1 200CT 40#</v>
      </c>
      <c r="H21" s="9" t="str">
        <f>VLOOKUP(F21,'Unit of Measure ship March 2026'!A:C,3,false)</f>
        <v>LBS</v>
      </c>
      <c r="K21" s="9"/>
      <c r="L21" s="9"/>
      <c r="N21" s="49"/>
      <c r="O21" s="9"/>
      <c r="P21" s="9"/>
    </row>
    <row r="22" ht="14.25" customHeight="1">
      <c r="B22" s="8">
        <v>15893.0</v>
      </c>
      <c r="C22" s="9" t="str">
        <f>VLOOKUP(B22,'FML March 2026'!E:F,2,false)</f>
        <v>CASHEWS, RAW, WHOLE, #320, DRY, 1/50 LB</v>
      </c>
      <c r="D22" s="9" t="str">
        <f>VLOOKUP(B22,'Unit of Measure ship March 2026'!A:C,3,false)</f>
        <v>LBS</v>
      </c>
      <c r="F22" s="17">
        <v>15608.0</v>
      </c>
      <c r="G22" s="9" t="str">
        <f>VLOOKUP(F22,'FML March 2026'!E:F,2,false)</f>
        <v>LETTUCE FRISEE 4#</v>
      </c>
      <c r="H22" s="9" t="str">
        <f>VLOOKUP(F22,'Unit of Measure ship March 2026'!A:C,3,false)</f>
        <v>LBS</v>
      </c>
      <c r="K22" s="9"/>
      <c r="L22" s="9"/>
      <c r="N22" s="49"/>
      <c r="O22" s="9"/>
      <c r="P22" s="9"/>
    </row>
    <row r="23" ht="14.25" customHeight="1">
      <c r="B23" s="8">
        <v>111144.0</v>
      </c>
      <c r="C23" s="9" t="str">
        <f>VLOOKUP(B23,'FML March 2026'!E:F,2,false)</f>
        <v>CHEESE ASIAGO VECCHIO CS20/LB AVG AMBROSI</v>
      </c>
      <c r="D23" s="9" t="str">
        <f>VLOOKUP(B23,'Unit of Measure ship March 2026'!A:C,3,false)</f>
        <v>LBS</v>
      </c>
      <c r="F23" s="17">
        <v>15489.0</v>
      </c>
      <c r="G23" s="9" t="str">
        <f>VLOOKUP(F23,'FML March 2026'!E:F,2,false)</f>
        <v>LETTUCE ROMAINE, CAL., CRISP 24HD 38#</v>
      </c>
      <c r="H23" s="9" t="str">
        <f>VLOOKUP(F23,'Unit of Measure ship March 2026'!A:C,3,false)</f>
        <v>LBS</v>
      </c>
      <c r="K23" s="9"/>
      <c r="L23" s="9"/>
      <c r="N23" s="49"/>
      <c r="O23" s="9"/>
      <c r="P23" s="9"/>
    </row>
    <row r="24" ht="14.25" customHeight="1">
      <c r="B24" s="8">
        <v>109527.0</v>
      </c>
      <c r="C24" s="9" t="str">
        <f>VLOOKUP(B24,'FML March 2026'!E:F,2,false)</f>
        <v>CHEESE VEGAN MOZZARELLA BLOCK CS12.5KG VIOLIFE</v>
      </c>
      <c r="D24" s="9" t="str">
        <f>VLOOKUP(B24,'Unit of Measure ship March 2026'!A:C,3,false)</f>
        <v>LBS</v>
      </c>
      <c r="F24" s="17">
        <v>15399.0</v>
      </c>
      <c r="G24" s="9" t="str">
        <f>VLOOKUP(F24,'FML March 2026'!E:F,2,false)</f>
        <v>LIMES, FRESH, FIRM #1 200CT 40#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17">
        <v>27418.0</v>
      </c>
      <c r="C25" s="9" t="str">
        <f>VLOOKUP(B25,'FML March 2026'!E:F,2,false)</f>
        <v>CHEESE, PARMIGIANO REGGIANO, DOP, QUARTERS, 18-20 LB EA, CHL, 2/1 EA</v>
      </c>
      <c r="D25" s="9" t="str">
        <f>VLOOKUP(B25,'Unit of Measure ship March 2026'!A:C,3,false)</f>
        <v>LBS</v>
      </c>
      <c r="F25" s="8">
        <v>15434.0</v>
      </c>
      <c r="G25" s="9" t="str">
        <f>VLOOKUP(F25,'FML March 2026'!E:F,2,false)</f>
        <v>MARJORAM (12 BUNCH), 1 LB/CS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8">
        <v>47179.0</v>
      </c>
      <c r="C26" s="9" t="str">
        <f>VLOOKUP(B26,'FML March 2026'!E:F,2,false)</f>
        <v>CHEESE, PECORINO ROMANO</v>
      </c>
      <c r="D26" s="9" t="str">
        <f>VLOOKUP(B26,'Unit of Measure ship March 2026'!A:C,3,false)</f>
        <v>LBS</v>
      </c>
      <c r="F26" s="17">
        <v>111180.0</v>
      </c>
      <c r="G26" s="9" t="str">
        <f>VLOOKUP(F26,'FML March 2026'!E:F,2,false)</f>
        <v>MICRO GREENS BASIL FRESH HARPKE FAMILY FARMS - PK/5 OZ PACKED IN 60 OZ CLAM SHELL SIZE</v>
      </c>
      <c r="H26" s="9" t="str">
        <f>VLOOKUP(F26,'Unit of Measure ship March 2026'!A:C,3,false)</f>
        <v>EA</v>
      </c>
      <c r="J26" s="49"/>
      <c r="K26" s="9"/>
      <c r="L26" s="9"/>
      <c r="N26" s="49"/>
      <c r="O26" s="9"/>
      <c r="P26" s="9"/>
    </row>
    <row r="27" ht="14.25" customHeight="1">
      <c r="B27" s="8">
        <v>109681.0</v>
      </c>
      <c r="C27" s="9" t="str">
        <f>VLOOKUP(B27,'FML March 2026'!E:F,2,false)</f>
        <v>CHICKEN STOCK  CS4.5 LT SAVORY CHOICE  FLAVOR</v>
      </c>
      <c r="D27" s="9" t="str">
        <f>VLOOKUP(B27,'Unit of Measure ship March 2026'!A:C,3,false)</f>
        <v>LITER</v>
      </c>
      <c r="F27" s="8">
        <v>15436.0</v>
      </c>
      <c r="G27" s="9" t="str">
        <f>VLOOKUP(F27,'FML March 2026'!E:F,2,false)</f>
        <v>MINT (12 BUNCH), 1 LB/CS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17">
        <v>16308.0</v>
      </c>
      <c r="C28" s="9" t="str">
        <f>VLOOKUP(B28,'FML March 2026'!E:F,2,false)</f>
        <v>CHILI PEPPER RED CRUSHED D`ALLESANDRO/ SPICECO</v>
      </c>
      <c r="D28" s="9" t="str">
        <f>VLOOKUP(B28,'Unit of Measure ship March 2026'!A:C,3,false)</f>
        <v>LBS</v>
      </c>
      <c r="F28" s="17">
        <v>11741.0</v>
      </c>
      <c r="G28" s="9" t="str">
        <f>VLOOKUP(F28,'FML March 2026'!E:F,2,false)</f>
        <v>MUSHROOMS CHANTERELLES FRESH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8">
        <v>16253.0</v>
      </c>
      <c r="C29" s="9" t="str">
        <f>VLOOKUP(B29,'FML March 2026'!E:F,2,false)</f>
        <v>CINNAMON GROUND</v>
      </c>
      <c r="D29" s="9" t="str">
        <f>VLOOKUP(B29,'Unit of Measure ship March 2026'!A:C,3,false)</f>
        <v>LBS</v>
      </c>
      <c r="F29" s="17">
        <v>15585.0</v>
      </c>
      <c r="G29" s="9" t="str">
        <f>VLOOKUP(F29,'FML March 2026'!E:F,2,false)</f>
        <v>MUSHROOMS OYSTER 1/5#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8">
        <v>16267.0</v>
      </c>
      <c r="C30" s="9" t="str">
        <f>VLOOKUP(B30,'FML March 2026'!E:F,2,false)</f>
        <v>CINNAMON STICKS BADIA (USA)</v>
      </c>
      <c r="D30" s="9" t="str">
        <f>VLOOKUP(B30,'Unit of Measure ship March 2026'!A:C,3,false)</f>
        <v>LBS</v>
      </c>
      <c r="F30" s="8">
        <v>31638.0</v>
      </c>
      <c r="G30" s="9" t="str">
        <f>VLOOKUP(F30,'FML March 2026'!E:F,2,false)</f>
        <v>MUSHROOMS, FRESH WHITE, 8 OZ CELLO PACK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17">
        <v>16288.0</v>
      </c>
      <c r="C31" s="9" t="str">
        <f>VLOOKUP(B31,'FML March 2026'!E:F,2,false)</f>
        <v>CORIANDER WHOLE BADIA (USA )</v>
      </c>
      <c r="D31" s="9" t="str">
        <f>VLOOKUP(B31,'Unit of Measure ship March 2026'!A:C,3,false)</f>
        <v>LBS</v>
      </c>
      <c r="F31" s="17">
        <v>15496.0</v>
      </c>
      <c r="G31" s="9" t="str">
        <f>VLOOKUP(F31,'FML March 2026'!E:F,2,false)</f>
        <v>ONIONS RED, MEDIUM 25#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8">
        <v>109630.0</v>
      </c>
      <c r="C32" s="9" t="str">
        <f>VLOOKUP(B32,'FML March 2026'!E:F,2,false)</f>
        <v>CURRANTS DRIED HIALEAH</v>
      </c>
      <c r="D32" s="9" t="str">
        <f>VLOOKUP(B32,'Unit of Measure ship March 2026'!A:C,3,false)</f>
        <v>KG</v>
      </c>
      <c r="F32" s="17">
        <v>15497.0</v>
      </c>
      <c r="G32" s="9" t="str">
        <f>VLOOKUP(F32,'FML March 2026'!E:F,2,false)</f>
        <v>ONIONS, YELLOW, MEDIUM, SPANISH #1, 50#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17">
        <v>15027.0</v>
      </c>
      <c r="C33" s="9" t="str">
        <f>VLOOKUP(B33,'FML March 2026'!E:F,2,false)</f>
        <v>EGG YOLKS FROZEN NO SUGAR OR SALT ADDED 6/5 LB SUNNY FRESH/ DEBEL (USA)</v>
      </c>
      <c r="D33" s="9" t="str">
        <f>VLOOKUP(B33,'Unit of Measure ship March 2026'!A:C,3,false)</f>
        <v>LBS</v>
      </c>
      <c r="F33" s="17">
        <v>15408.0</v>
      </c>
      <c r="G33" s="9" t="str">
        <f>VLOOKUP(F33,'FML March 2026'!E:F,2,false)</f>
        <v>ORANGES CAL. SUNKIST FANCY, VALENCIA NAVEL,88CT 40#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17">
        <v>15022.0</v>
      </c>
      <c r="C34" s="9" t="str">
        <f>VLOOKUP(B34,'FML March 2026'!E:F,2,false)</f>
        <v>EGGS-DATED, MEDIUM, REGULAR</v>
      </c>
      <c r="D34" s="9" t="str">
        <f>VLOOKUP(B34,'Unit of Measure ship March 2026'!A:C,3,false)</f>
        <v>PC</v>
      </c>
      <c r="F34" s="17">
        <v>15447.0</v>
      </c>
      <c r="G34" s="9" t="str">
        <f>VLOOKUP(F34,'FML March 2026'!E:F,2,false)</f>
        <v>OREGANO FRESH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8">
        <v>15026.0</v>
      </c>
      <c r="C35" s="9" t="str">
        <f>VLOOKUP(B35,'FML March 2026'!E:F,2,false)</f>
        <v>EGGS, WHOLE, LIQUID, W/ CITRIC ACID, NO SUGAR, 1-5 LB/1-5 LT, FZN, 6/5 LB</v>
      </c>
      <c r="D35" s="9" t="str">
        <f>VLOOKUP(B35,'Unit of Measure ship March 2026'!A:C,3,false)</f>
        <v>LBS</v>
      </c>
      <c r="F35" s="17">
        <v>15500.0</v>
      </c>
      <c r="G35" s="9" t="str">
        <f>VLOOKUP(F35,'FML March 2026'!E:F,2,false)</f>
        <v>PARSLEY ITALIAN,  20#/CS</v>
      </c>
      <c r="H35" s="9" t="str">
        <f>VLOOKUP(F35,'Unit of Measure ship March 2026'!A:C,3,false)</f>
        <v>LBS</v>
      </c>
      <c r="J35" s="49"/>
      <c r="K35" s="9"/>
      <c r="L35" s="9"/>
      <c r="N35" s="49"/>
      <c r="O35" s="9"/>
      <c r="P35" s="9"/>
    </row>
    <row r="36" ht="14.25" customHeight="1">
      <c r="B36" s="17">
        <v>16259.0</v>
      </c>
      <c r="C36" s="9" t="str">
        <f>VLOOKUP(B36,'FML March 2026'!E:F,2,false)</f>
        <v>FENNEL SEED WHOLE BADIA (USA )</v>
      </c>
      <c r="D36" s="9" t="str">
        <f>VLOOKUP(B36,'Unit of Measure ship March 2026'!A:C,3,false)</f>
        <v>LBS</v>
      </c>
      <c r="F36" s="17">
        <v>15412.0</v>
      </c>
      <c r="G36" s="9" t="str">
        <f>VLOOKUP(F36,'FML March 2026'!E:F,2,false)</f>
        <v>PEARS #1, BARTLETT, 120CT 40#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</row>
    <row r="37" ht="14.25" customHeight="1">
      <c r="B37" s="8">
        <v>16535.0</v>
      </c>
      <c r="C37" s="9" t="str">
        <f>VLOOKUP(B37,'FML March 2026'!E:F,2,false)</f>
        <v>FISH SAUCE, BTL (REQUIRES INSPECTION)</v>
      </c>
      <c r="D37" s="9" t="str">
        <f>VLOOKUP(B37,'Unit of Measure ship March 2026'!A:C,3,false)</f>
        <v>BTL/24OZ</v>
      </c>
      <c r="F37" s="17">
        <v>15504.0</v>
      </c>
      <c r="G37" s="9" t="str">
        <f>VLOOKUP(F37,'FML March 2026'!E:F,2,false)</f>
        <v>PEPPERS HOT, JALAPENOS 10#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</row>
    <row r="38" ht="14.25" customHeight="1">
      <c r="B38" s="17">
        <v>31226.0</v>
      </c>
      <c r="C38" s="9" t="str">
        <f>VLOOKUP(B38,'FML March 2026'!E:F,2,false)</f>
        <v>FLEUR DE SEL / SEL DE GUERANDE 1 KG PAIL</v>
      </c>
      <c r="D38" s="9" t="str">
        <f>VLOOKUP(B38,'Unit of Measure ship March 2026'!A:C,3,false)</f>
        <v>LBS</v>
      </c>
      <c r="F38" s="17">
        <v>15502.0</v>
      </c>
      <c r="G38" s="9" t="str">
        <f>VLOOKUP(F38,'FML March 2026'!E:F,2,false)</f>
        <v>PEPPERS RED, MEDIUM, 88-100 MM</v>
      </c>
      <c r="H38" s="9" t="str">
        <f>VLOOKUP(F38,'Unit of Measure ship March 2026'!A:C,3,false)</f>
        <v>LBS</v>
      </c>
      <c r="J38" s="49"/>
      <c r="K38" s="9"/>
      <c r="L38" s="9"/>
      <c r="N38" s="49"/>
      <c r="O38" s="9"/>
      <c r="P38" s="9"/>
    </row>
    <row r="39" ht="14.25" customHeight="1">
      <c r="B39" s="8">
        <v>111865.0</v>
      </c>
      <c r="C39" s="9" t="str">
        <f>VLOOKUP(B39,'FML March 2026'!E:F,2,false)</f>
        <v>FLOUR ALL PURPOSE SIR GALAHAD BAG50/LBS KING ARTHUR</v>
      </c>
      <c r="D39" s="9" t="str">
        <f>VLOOKUP(B39,'Unit of Measure ship March 2026'!A:C,3,false)</f>
        <v>LBS</v>
      </c>
      <c r="F39" s="17">
        <v>11856.0</v>
      </c>
      <c r="G39" s="9" t="str">
        <f>VLOOKUP(F39,'FML March 2026'!E:F,2,false)</f>
        <v>POTATOES YUKON GOLD, LARGE, FRESH</v>
      </c>
      <c r="H39" s="9" t="str">
        <f>VLOOKUP(F39,'Unit of Measure ship March 2026'!A:C,3,false)</f>
        <v>LBS</v>
      </c>
      <c r="J39" s="49"/>
      <c r="K39" s="9"/>
      <c r="L39" s="9"/>
      <c r="N39" s="49"/>
      <c r="O39" s="9"/>
      <c r="P39" s="9"/>
    </row>
    <row r="40" ht="14.25" customHeight="1">
      <c r="B40" s="8">
        <v>15741.0</v>
      </c>
      <c r="C40" s="9" t="str">
        <f>VLOOKUP(B40,'FML March 2026'!E:F,2,false)</f>
        <v>FLOUR SEMOLINA BAG 50/LBS DURAKOTA/BAY STATE (USA)</v>
      </c>
      <c r="D40" s="9" t="str">
        <f>VLOOKUP(B40,'Unit of Measure ship March 2026'!A:C,3,false)</f>
        <v>LBS</v>
      </c>
      <c r="F40" s="17">
        <v>110054.0</v>
      </c>
      <c r="G40" s="9" t="str">
        <f>VLOOKUP(F40,'FML March 2026'!E:F,2,false)</f>
        <v>RED RIBBON SORREL FRESH</v>
      </c>
      <c r="H40" s="9" t="str">
        <f>VLOOKUP(F40,'Unit of Measure ship March 2026'!A:C,3,false)</f>
        <v>LBS</v>
      </c>
      <c r="J40" s="49"/>
      <c r="K40" s="9"/>
      <c r="L40" s="9"/>
      <c r="N40" s="49"/>
      <c r="O40" s="9"/>
      <c r="P40" s="9"/>
    </row>
    <row r="41" ht="14.25" customHeight="1">
      <c r="B41" s="17">
        <v>39714.0</v>
      </c>
      <c r="C41" s="9" t="str">
        <f>VLOOKUP(B41,'FML March 2026'!E:F,2,false)</f>
        <v>FLOUR TEMPURA FLOUR BULK</v>
      </c>
      <c r="D41" s="9" t="str">
        <f>VLOOKUP(B41,'Unit of Measure ship March 2026'!A:C,3,false)</f>
        <v>LBS</v>
      </c>
      <c r="F41" s="17">
        <v>15427.0</v>
      </c>
      <c r="G41" s="9" t="str">
        <f>VLOOKUP(F41,'FML March 2026'!E:F,2,false)</f>
        <v>ROSEMARY (12 BUNCH) 1 LB/CS</v>
      </c>
      <c r="H41" s="9" t="str">
        <f>VLOOKUP(F41,'Unit of Measure ship March 2026'!A:C,3,false)</f>
        <v>LBS</v>
      </c>
      <c r="J41" s="49"/>
      <c r="K41" s="9"/>
      <c r="L41" s="9"/>
      <c r="N41" s="49"/>
      <c r="O41" s="9"/>
      <c r="P41" s="9"/>
    </row>
    <row r="42" ht="14.25" customHeight="1">
      <c r="B42" s="8">
        <v>30050.0</v>
      </c>
      <c r="C42" s="9" t="str">
        <f>VLOOKUP(B42,'FML March 2026'!E:F,2,false)</f>
        <v>FLOUR, FARINA TIPO "00" ITALIAN FOR PASTA  BARILLA/CAPUTO RF20</v>
      </c>
      <c r="D42" s="9" t="str">
        <f>VLOOKUP(B42,'Unit of Measure ship March 2026'!A:C,3,false)</f>
        <v>LBS</v>
      </c>
      <c r="F42" s="17">
        <v>15444.0</v>
      </c>
      <c r="G42" s="9" t="str">
        <f>VLOOKUP(F42,'FML March 2026'!E:F,2,false)</f>
        <v>SAGE FRESH</v>
      </c>
      <c r="H42" s="9" t="str">
        <f>VLOOKUP(F42,'Unit of Measure ship March 2026'!A:C,3,false)</f>
        <v>LBS</v>
      </c>
      <c r="J42" s="49"/>
      <c r="K42" s="9"/>
      <c r="L42" s="9"/>
      <c r="N42" s="49"/>
      <c r="O42" s="9"/>
      <c r="P42" s="9"/>
    </row>
    <row r="43" ht="14.25" customHeight="1">
      <c r="B43" s="8">
        <v>111698.0</v>
      </c>
      <c r="C43" s="9" t="str">
        <f>VLOOKUP(B43,'FML March 2026'!E:F,2,false)</f>
        <v>FRIED SHALLOTS LA RUSTICHELLA</v>
      </c>
      <c r="D43" s="9" t="str">
        <f>VLOOKUP(B43,'Unit of Measure ship March 2026'!A:C,3,false)</f>
        <v>LBS</v>
      </c>
      <c r="F43" s="17">
        <v>24185.0</v>
      </c>
      <c r="G43" s="9" t="str">
        <f>VLOOKUP(F43,'FML March 2026'!E:F,2,false)</f>
        <v>SCALLIONS FRESH - ICELESS</v>
      </c>
      <c r="H43" s="9" t="str">
        <f>VLOOKUP(F43,'Unit of Measure ship March 2026'!A:C,3,false)</f>
        <v>LBS</v>
      </c>
      <c r="J43" s="49"/>
      <c r="K43" s="9"/>
      <c r="L43" s="9"/>
      <c r="N43" s="49"/>
      <c r="O43" s="9"/>
      <c r="P43" s="9"/>
    </row>
    <row r="44" ht="14.25" customHeight="1">
      <c r="B44" s="8">
        <v>51164.0</v>
      </c>
      <c r="C44" s="9" t="str">
        <f>VLOOKUP(B44,'FML March 2026'!E:F,2,false)</f>
        <v>GELATIN LEAVES 160BLOOM 1KG/PACK /400 LEAVES PASTISFRANCE/ GELITA</v>
      </c>
      <c r="D44" s="9" t="str">
        <f>VLOOKUP(B44,'Unit of Measure ship March 2026'!A:C,3,false)</f>
        <v>PACK/1KG</v>
      </c>
      <c r="F44" s="17">
        <v>15522.0</v>
      </c>
      <c r="G44" s="9" t="str">
        <f>VLOOKUP(F44,'FML March 2026'!E:F,2,false)</f>
        <v>SHALLOTS CLOVES #1 FRESH 5#</v>
      </c>
      <c r="H44" s="9" t="str">
        <f>VLOOKUP(F44,'Unit of Measure ship March 2026'!A:C,3,false)</f>
        <v>LBS</v>
      </c>
      <c r="J44" s="49"/>
      <c r="K44" s="9"/>
      <c r="L44" s="9"/>
      <c r="N44" s="49"/>
      <c r="O44" s="9"/>
      <c r="P44" s="9"/>
    </row>
    <row r="45" ht="14.25" customHeight="1">
      <c r="B45" s="8">
        <v>143571.0</v>
      </c>
      <c r="C45" s="9" t="str">
        <f>VLOOKUP(B45,'FML March 2026'!E:F,2,false)</f>
        <v>GINGER, CRYSTALLIZED (USA)</v>
      </c>
      <c r="D45" s="9" t="str">
        <f>VLOOKUP(B45,'Unit of Measure ship March 2026'!A:C,3,false)</f>
        <v>LBS</v>
      </c>
      <c r="F45" s="17">
        <v>15525.0</v>
      </c>
      <c r="G45" s="9" t="str">
        <f>VLOOKUP(F45,'FML March 2026'!E:F,2,false)</f>
        <v>SPINACH FLAT LEAF, FRESH, CRISP 4/2.5# 10#</v>
      </c>
      <c r="H45" s="9" t="str">
        <f>VLOOKUP(F45,'Unit of Measure ship March 2026'!A:C,3,false)</f>
        <v>LBS</v>
      </c>
      <c r="J45" s="49"/>
      <c r="K45" s="9"/>
      <c r="L45" s="9"/>
      <c r="N45" s="49"/>
      <c r="O45" s="9"/>
      <c r="P45" s="9"/>
    </row>
    <row r="46" ht="14.25" customHeight="1">
      <c r="B46" s="17">
        <v>16958.0</v>
      </c>
      <c r="C46" s="9" t="str">
        <f>VLOOKUP(B46,'FML March 2026'!E:F,2,false)</f>
        <v>GLUTEN FREE BREAD WHITE RICE 6/16 OZ KINNICKKNICK/UDI'S</v>
      </c>
      <c r="D46" s="9" t="str">
        <f>VLOOKUP(B46,'Unit of Measure ship March 2026'!A:C,3,false)</f>
        <v>PC/16OZ</v>
      </c>
      <c r="F46" s="17">
        <v>15325.0</v>
      </c>
      <c r="G46" s="9" t="str">
        <f>VLOOKUP(F46,'FML March 2026'!E:F,2,false)</f>
        <v>TANGERINES #1, CAL, FL 80CT 40#</v>
      </c>
      <c r="H46" s="9" t="str">
        <f>VLOOKUP(F46,'Unit of Measure ship March 2026'!A:C,3,false)</f>
        <v>LBS</v>
      </c>
      <c r="J46" s="49"/>
      <c r="K46" s="9"/>
      <c r="L46" s="9"/>
      <c r="N46" s="49"/>
      <c r="O46" s="9"/>
      <c r="P46" s="9"/>
    </row>
    <row r="47" ht="14.25" customHeight="1">
      <c r="B47" s="17">
        <v>27417.0</v>
      </c>
      <c r="C47" s="9" t="str">
        <f>VLOOKUP(B47,'FML March 2026'!E:F,2,false)</f>
        <v>GORGONZOLA DOLCE LATTE</v>
      </c>
      <c r="D47" s="9" t="str">
        <f>VLOOKUP(B47,'Unit of Measure ship March 2026'!A:C,3,false)</f>
        <v>LBS</v>
      </c>
      <c r="F47" s="17">
        <v>15442.0</v>
      </c>
      <c r="G47" s="9" t="str">
        <f>VLOOKUP(F47,'FML March 2026'!E:F,2,false)</f>
        <v>TARRAGON (12 BUNCH), 1 LB/CS</v>
      </c>
      <c r="H47" s="9" t="str">
        <f>VLOOKUP(F47,'Unit of Measure ship March 2026'!A:C,3,false)</f>
        <v>LBS</v>
      </c>
      <c r="J47" s="49"/>
      <c r="K47" s="9"/>
      <c r="L47" s="9"/>
      <c r="N47" s="49"/>
      <c r="O47" s="9"/>
      <c r="P47" s="9"/>
    </row>
    <row r="48" ht="14.25" customHeight="1">
      <c r="B48" s="8">
        <v>48712.0</v>
      </c>
      <c r="C48" s="9" t="str">
        <f>VLOOKUP(B48,'FML March 2026'!E:F,2,false)</f>
        <v>GRAIN FARRO PEARLED AMBROSIA/ROLAND (USA)</v>
      </c>
      <c r="D48" s="9" t="str">
        <f>VLOOKUP(B48,'Unit of Measure ship March 2026'!A:C,3,false)</f>
        <v>LB</v>
      </c>
      <c r="F48" s="17">
        <v>15446.0</v>
      </c>
      <c r="G48" s="9" t="str">
        <f>VLOOKUP(F48,'FML March 2026'!E:F,2,false)</f>
        <v>THYME FRESH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</row>
    <row r="49" ht="14.25" customHeight="1">
      <c r="B49" s="83">
        <v>111055.0</v>
      </c>
      <c r="C49" s="33" t="str">
        <f>VLOOKUP(B49,'FML March 2026'!E:F,2,false)</f>
        <v>GUANCIALE FROZEN CS7/LB LA QUERCIA</v>
      </c>
      <c r="D49" s="33" t="str">
        <f>VLOOKUP(B49,'Unit of Measure ship March 2026'!A:C,3,false)</f>
        <v>LBS</v>
      </c>
      <c r="F49" s="17">
        <v>109765.0</v>
      </c>
      <c r="G49" s="9" t="str">
        <f>VLOOKUP(F49,'FML March 2026'!E:F,2,false)</f>
        <v>TOMATOES CHERRY MIXED HEIRLOOM</v>
      </c>
      <c r="H49" s="9" t="str">
        <f>VLOOKUP(F49,'Unit of Measure ship March 2026'!A:C,3,false)</f>
        <v>LBS</v>
      </c>
      <c r="K49" s="9"/>
      <c r="L49" s="9"/>
      <c r="N49" s="49"/>
      <c r="O49" s="9"/>
      <c r="P49" s="9"/>
    </row>
    <row r="50" ht="14.25" customHeight="1">
      <c r="B50" s="17">
        <v>23904.0</v>
      </c>
      <c r="C50" s="9" t="str">
        <f>VLOOKUP(B50,'FML March 2026'!E:F,2,false)</f>
        <v>HEAVENLY ORGANICS, 100% RAW ACACIA HONEY ORGANIC</v>
      </c>
      <c r="D50" s="9" t="str">
        <f>VLOOKUP(B50,'Unit of Measure ship March 2026'!A:C,3,false)</f>
        <v>PC/13OZ</v>
      </c>
      <c r="K50" s="9"/>
      <c r="L50" s="9"/>
      <c r="N50" s="49"/>
      <c r="O50" s="9"/>
      <c r="P50" s="9"/>
    </row>
    <row r="51" ht="14.25" customHeight="1">
      <c r="B51" s="17">
        <v>14907.0</v>
      </c>
      <c r="C51" s="9" t="str">
        <f>VLOOKUP(B51,'FML March 2026'!E:F,2,false)</f>
        <v>HEAVY CREAM UHT LONG LIFE 38%-40% 12/1LT</v>
      </c>
      <c r="D51" s="9" t="str">
        <f>VLOOKUP(B51,'Unit of Measure ship March 2026'!A:C,3,false)</f>
        <v>LT</v>
      </c>
      <c r="K51" s="9"/>
      <c r="L51" s="9"/>
      <c r="N51" s="49"/>
      <c r="O51" s="9"/>
      <c r="P51" s="9"/>
    </row>
    <row r="52" ht="14.25" customHeight="1">
      <c r="B52" s="8">
        <v>15658.0</v>
      </c>
      <c r="C52" s="9" t="str">
        <f>VLOOKUP(B52,'FML March 2026'!E:F,2,false)</f>
        <v>HONEY 6/5 LB GROEB/MELONIA/SWEET HARVEST</v>
      </c>
      <c r="D52" s="9" t="str">
        <f>VLOOKUP(B52,'Unit of Measure ship March 2026'!A:C,3,false)</f>
        <v>KG</v>
      </c>
      <c r="K52" s="9"/>
      <c r="L52" s="9"/>
      <c r="N52" s="49"/>
      <c r="O52" s="9"/>
      <c r="P52" s="9"/>
    </row>
    <row r="53" ht="14.25" customHeight="1">
      <c r="B53" s="8">
        <v>109680.0</v>
      </c>
      <c r="C53" s="9" t="str">
        <f>VLOOKUP(B53,'FML March 2026'!E:F,2,false)</f>
        <v>HOT SAUCE CHOLULAS</v>
      </c>
      <c r="D53" s="9" t="str">
        <f>VLOOKUP(B53,'Unit of Measure ship March 2026'!A:C,3,false)</f>
        <v>BTL/6OZ</v>
      </c>
      <c r="K53" s="9"/>
      <c r="L53" s="9"/>
      <c r="N53" s="49"/>
      <c r="O53" s="9"/>
      <c r="P53" s="9"/>
    </row>
    <row r="54" ht="14.25" customHeight="1">
      <c r="B54" s="17">
        <v>16306.0</v>
      </c>
      <c r="C54" s="9" t="str">
        <f>VLOOKUP(B54,'FML March 2026'!E:F,2,false)</f>
        <v>JUNIPER BERRIES 11 OZ D`ALLESANDRO/ SPICECO</v>
      </c>
      <c r="D54" s="9" t="str">
        <f>VLOOKUP(B54,'Unit of Measure ship March 2026'!A:C,3,false)</f>
        <v>LBS</v>
      </c>
      <c r="K54" s="9"/>
      <c r="L54" s="9"/>
      <c r="N54" s="49"/>
      <c r="O54" s="9"/>
      <c r="P54" s="9"/>
    </row>
    <row r="55" ht="14.25" customHeight="1">
      <c r="B55" s="8">
        <v>16316.0</v>
      </c>
      <c r="C55" s="9" t="str">
        <f>VLOOKUP(B55,'FML March 2026'!E:F,2,false)</f>
        <v>LIQUID SMOKE WRIGHTS</v>
      </c>
      <c r="D55" s="9" t="str">
        <f>VLOOKUP(B55,'Unit of Measure ship March 2026'!A:C,3,false)</f>
        <v>GAL</v>
      </c>
      <c r="K55" s="9"/>
      <c r="L55" s="9"/>
      <c r="N55" s="49"/>
      <c r="O55" s="9"/>
      <c r="P55" s="9"/>
    </row>
    <row r="56" ht="14.25" customHeight="1">
      <c r="B56" s="53">
        <v>111990.0</v>
      </c>
      <c r="C56" s="9" t="str">
        <f>VLOOKUP(B56,'FML March 2026'!E:F,2,false)</f>
        <v>LOBSTER BROTH SAVORY CHOICE CS4.5/LITER FLAVOR</v>
      </c>
      <c r="D56" s="9" t="str">
        <f>VLOOKUP(B56,'Unit of Measure ship March 2026'!A:C,3,false)</f>
        <v>LBS</v>
      </c>
      <c r="F56" s="30"/>
      <c r="G56" s="59"/>
      <c r="H56" s="9"/>
      <c r="J56" s="36"/>
      <c r="K56" s="9"/>
      <c r="L56" s="9"/>
      <c r="N56" s="49"/>
      <c r="O56" s="9"/>
      <c r="P56" s="9"/>
    </row>
    <row r="57" ht="14.25" customHeight="1">
      <c r="B57" s="17">
        <v>15081.0</v>
      </c>
      <c r="C57" s="9" t="str">
        <f>VLOOKUP(B57,'FML March 2026'!E:F,2,false)</f>
        <v>MASCARPONE, TUB</v>
      </c>
      <c r="D57" s="9" t="str">
        <f>VLOOKUP(B57,'Unit of Measure ship March 2026'!A:C,3,false)</f>
        <v>LBS</v>
      </c>
      <c r="G57" s="9"/>
      <c r="H57" s="9"/>
      <c r="J57" s="36"/>
      <c r="K57" s="9"/>
      <c r="L57" s="9"/>
      <c r="N57" s="49"/>
      <c r="O57" s="9"/>
      <c r="P57" s="9"/>
    </row>
    <row r="58" ht="14.25" customHeight="1">
      <c r="B58" s="8">
        <v>109667.0</v>
      </c>
      <c r="C58" s="9" t="str">
        <f>VLOOKUP(B58,'FML March 2026'!E:F,2,false)</f>
        <v>MAYONNAISE, UNILEVER - HELLMANN'S, 4800126530, DRY, 4/1 GAL</v>
      </c>
      <c r="D58" s="9" t="str">
        <f>VLOOKUP(B58,'Unit of Measure ship March 2026'!A:C,3,false)</f>
        <v>GAL</v>
      </c>
      <c r="G58" s="9"/>
      <c r="H58" s="9"/>
      <c r="J58" s="36"/>
      <c r="K58" s="9"/>
      <c r="L58" s="9"/>
      <c r="N58" s="49"/>
      <c r="O58" s="9"/>
      <c r="P58" s="9"/>
    </row>
    <row r="59" ht="14.25" customHeight="1">
      <c r="B59" s="8">
        <v>14869.0</v>
      </c>
      <c r="C59" s="9" t="str">
        <f>VLOOKUP(B59,'FML March 2026'!E:F,2,false)</f>
        <v>MILK, UHT, WHOLE, 3.5% FAT, DRY, 12/1 LT</v>
      </c>
      <c r="D59" s="9" t="str">
        <f>VLOOKUP(B59,'Unit of Measure ship March 2026'!A:C,3,false)</f>
        <v>LT</v>
      </c>
      <c r="G59" s="9"/>
      <c r="H59" s="9"/>
      <c r="J59" s="36"/>
      <c r="K59" s="9"/>
      <c r="L59" s="9"/>
      <c r="N59" s="49"/>
      <c r="O59" s="9"/>
      <c r="P59" s="9"/>
    </row>
    <row r="60" ht="14.25" customHeight="1">
      <c r="B60" s="83">
        <v>14555.0</v>
      </c>
      <c r="C60" s="33" t="str">
        <f>VLOOKUP(B60,'FML March 2026'!E:F,2,false)</f>
        <v>MORTADELLA W/ PISTACHIO GALBANI/ DANIELLE</v>
      </c>
      <c r="D60" s="33" t="str">
        <f>VLOOKUP(B60,'Unit of Measure ship March 2026'!A:C,3,false)</f>
        <v>LBS</v>
      </c>
      <c r="G60" s="9"/>
      <c r="H60" s="9"/>
      <c r="J60" s="36"/>
      <c r="K60" s="9"/>
      <c r="L60" s="9"/>
      <c r="N60" s="49"/>
      <c r="O60" s="9"/>
      <c r="P60" s="9"/>
    </row>
    <row r="61" ht="14.25" customHeight="1">
      <c r="B61" s="8">
        <v>16418.0</v>
      </c>
      <c r="C61" s="9" t="str">
        <f>VLOOKUP(B61,'FML March 2026'!E:F,2,false)</f>
        <v>MUSHROOM PORCINI/ BOLETUS DRY 1 LB MARKYS/URBANI/ROLAND (USA)</v>
      </c>
      <c r="D61" s="9" t="str">
        <f>VLOOKUP(B61,'Unit of Measure ship March 2026'!A:C,3,false)</f>
        <v>LBS</v>
      </c>
      <c r="G61" s="9"/>
      <c r="H61" s="9"/>
      <c r="J61" s="36"/>
      <c r="K61" s="9"/>
      <c r="L61" s="9"/>
      <c r="N61" s="49"/>
      <c r="O61" s="9"/>
      <c r="P61" s="9"/>
    </row>
    <row r="62" ht="14.25" customHeight="1">
      <c r="B62" s="8">
        <v>16258.0</v>
      </c>
      <c r="C62" s="9" t="str">
        <f>VLOOKUP(B62,'FML March 2026'!E:F,2,false)</f>
        <v>MUSTARD POWDER ENGLISH 12/16 OZ COLEMAN</v>
      </c>
      <c r="D62" s="9" t="str">
        <f>VLOOKUP(B62,'Unit of Measure ship March 2026'!A:C,3,false)</f>
        <v>LBS</v>
      </c>
      <c r="G62" s="9"/>
      <c r="H62" s="9"/>
      <c r="J62" s="36"/>
      <c r="K62" s="9"/>
      <c r="L62" s="9"/>
      <c r="N62" s="49"/>
      <c r="O62" s="9"/>
      <c r="P62" s="9"/>
    </row>
    <row r="63" ht="14.25" customHeight="1">
      <c r="B63" s="17">
        <v>16320.0</v>
      </c>
      <c r="C63" s="9" t="str">
        <f>VLOOKUP(B63,'FML March 2026'!E:F,2,false)</f>
        <v>MUSTARD SEED 24 OZ D`ALLESANDRO/ SPICECO</v>
      </c>
      <c r="D63" s="9" t="str">
        <f>VLOOKUP(B63,'Unit of Measure ship March 2026'!A:C,3,false)</f>
        <v>LBS</v>
      </c>
      <c r="G63" s="9"/>
      <c r="H63" s="9"/>
      <c r="J63" s="36"/>
      <c r="K63" s="9"/>
      <c r="L63" s="9"/>
      <c r="N63" s="49"/>
      <c r="O63" s="9"/>
      <c r="P63" s="9"/>
    </row>
    <row r="64" ht="14.25" customHeight="1">
      <c r="B64" s="8">
        <v>16266.0</v>
      </c>
      <c r="C64" s="9" t="str">
        <f>VLOOKUP(B64,'FML March 2026'!E:F,2,false)</f>
        <v>NUTMEG GROUND D`ALLESANDRO/ SPICECO (USA)</v>
      </c>
      <c r="D64" s="9" t="str">
        <f>VLOOKUP(B64,'Unit of Measure ship March 2026'!A:C,3,false)</f>
        <v>UNIT/1LB</v>
      </c>
      <c r="G64" s="9"/>
      <c r="H64" s="9"/>
      <c r="J64" s="36"/>
      <c r="K64" s="9"/>
      <c r="L64" s="9"/>
      <c r="N64" s="49"/>
      <c r="O64" s="9"/>
      <c r="P64" s="9"/>
    </row>
    <row r="65" ht="14.25" customHeight="1">
      <c r="B65" s="8">
        <v>16420.0</v>
      </c>
      <c r="C65" s="9" t="str">
        <f>VLOOKUP(B65,'FML March 2026'!E:F,2,false)</f>
        <v>OIL GRAPESEED (USA)</v>
      </c>
      <c r="D65" s="9" t="str">
        <f>VLOOKUP(B65,'Unit of Measure ship March 2026'!A:C,3,false)</f>
        <v>BTL/17OZ</v>
      </c>
      <c r="G65" s="9"/>
      <c r="H65" s="9"/>
      <c r="J65" s="36"/>
      <c r="K65" s="9"/>
      <c r="L65" s="9"/>
      <c r="N65" s="49"/>
      <c r="O65" s="9"/>
      <c r="P65" s="9"/>
    </row>
    <row r="66" ht="14.25" customHeight="1">
      <c r="B66" s="32">
        <v>52602.0</v>
      </c>
      <c r="C66" s="33" t="str">
        <f>VLOOKUP(B66,'FML March 2026'!E:F,2,false)</f>
        <v>OIL, 100% OLIVE, EXTRA VIRGIN, DRY, 4/5 LT</v>
      </c>
      <c r="D66" s="33" t="str">
        <f>VLOOKUP(B66,'Unit of Measure ship March 2026'!A:C,3,false)</f>
        <v>LT</v>
      </c>
      <c r="G66" s="9"/>
      <c r="H66" s="9"/>
      <c r="J66" s="36"/>
      <c r="K66" s="9"/>
      <c r="L66" s="9"/>
      <c r="N66" s="49"/>
      <c r="O66" s="9"/>
      <c r="P66" s="9"/>
    </row>
    <row r="67" ht="14.25" customHeight="1">
      <c r="B67" s="17">
        <v>16377.0</v>
      </c>
      <c r="C67" s="9" t="str">
        <f>VLOOKUP(B67,'FML March 2026'!E:F,2,false)</f>
        <v>OIL, 100% VEGETABLE SOYBEAN, DRY, 4/5 LT</v>
      </c>
      <c r="D67" s="9" t="str">
        <f>VLOOKUP(B67,'Unit of Measure ship March 2026'!A:C,3,false)</f>
        <v>C4/5LT</v>
      </c>
      <c r="G67" s="9"/>
      <c r="H67" s="9"/>
      <c r="J67" s="36"/>
      <c r="K67" s="9"/>
      <c r="L67" s="9"/>
      <c r="N67" s="49"/>
      <c r="O67" s="9"/>
      <c r="P67" s="9"/>
    </row>
    <row r="68" ht="14.25" customHeight="1">
      <c r="B68" s="17">
        <v>10265.0</v>
      </c>
      <c r="C68" s="9" t="str">
        <f>VLOOKUP(B68,'FML March 2026'!E:F,2,false)</f>
        <v>OIL, FRYING, 100% SOYBEAN, TRANS FAT FREE, FLASHPOINT &gt;600F, DRY, 4/5 LT</v>
      </c>
      <c r="D68" s="9" t="str">
        <f>VLOOKUP(B68,'Unit of Measure ship March 2026'!A:C,3,false)</f>
        <v>CS4/5LT</v>
      </c>
      <c r="G68" s="9"/>
      <c r="H68" s="9"/>
      <c r="J68" s="36"/>
      <c r="K68" s="9"/>
      <c r="L68" s="9"/>
      <c r="N68" s="49"/>
      <c r="O68" s="9"/>
      <c r="P68" s="9"/>
    </row>
    <row r="69" ht="14.25" customHeight="1">
      <c r="B69" s="8">
        <v>18644.0</v>
      </c>
      <c r="C69" s="9" t="str">
        <f>VLOOKUP(B69,'FML March 2026'!E:F,2,false)</f>
        <v>OLD BAY SEASONING 16 OZ MC CORMICK</v>
      </c>
      <c r="D69" s="9" t="str">
        <f>VLOOKUP(B69,'Unit of Measure ship March 2026'!A:C,3,false)</f>
        <v>TIN16/OZ</v>
      </c>
      <c r="G69" s="9"/>
      <c r="H69" s="9"/>
      <c r="J69" s="36"/>
      <c r="K69" s="9"/>
      <c r="L69" s="9"/>
      <c r="N69" s="49"/>
      <c r="O69" s="9"/>
      <c r="P69" s="9"/>
    </row>
    <row r="70" ht="14.25" customHeight="1">
      <c r="B70" s="8">
        <v>52603.0</v>
      </c>
      <c r="C70" s="9" t="str">
        <f>VLOOKUP(B70,'FML March 2026'!E:F,2,false)</f>
        <v>OLIVE/CANOLA BLEND OIL</v>
      </c>
      <c r="D70" s="9" t="str">
        <f>VLOOKUP(B70,'Unit of Measure ship March 2026'!A:C,3,false)</f>
        <v>LT</v>
      </c>
      <c r="G70" s="9"/>
      <c r="H70" s="9"/>
      <c r="J70" s="36"/>
      <c r="K70" s="9"/>
      <c r="L70" s="9"/>
      <c r="N70" s="49"/>
      <c r="O70" s="9"/>
      <c r="P70" s="9"/>
    </row>
    <row r="71" ht="14.25" customHeight="1">
      <c r="B71" s="8">
        <v>111123.0</v>
      </c>
      <c r="C71" s="9" t="str">
        <f>VLOOKUP(B71,'FML March 2026'!E:F,2,false)</f>
        <v>OLIVES  PITTED CASTELVETRANO</v>
      </c>
      <c r="D71" s="9" t="str">
        <f>VLOOKUP(B71,'Unit of Measure ship March 2026'!A:C,3,false)</f>
        <v>LBS</v>
      </c>
      <c r="G71" s="9"/>
      <c r="H71" s="9"/>
      <c r="J71" s="36"/>
      <c r="K71" s="9"/>
      <c r="L71" s="9"/>
      <c r="N71" s="49"/>
      <c r="O71" s="9"/>
      <c r="P71" s="9"/>
    </row>
    <row r="72" ht="14.25" customHeight="1">
      <c r="B72" s="17">
        <v>16431.0</v>
      </c>
      <c r="C72" s="9" t="str">
        <f>VLOOKUP(B72,'FML March 2026'!E:F,2,false)</f>
        <v>OLIVES KALAMATA PITTED AMBROSIA 16122 (8X5) (TURKEY)</v>
      </c>
      <c r="D72" s="9" t="str">
        <f>VLOOKUP(B72,'Unit of Measure ship March 2026'!A:C,3,false)</f>
        <v>CAN/2KG</v>
      </c>
      <c r="G72" s="9"/>
      <c r="H72" s="9"/>
      <c r="J72" s="36"/>
      <c r="K72" s="9"/>
      <c r="L72" s="9"/>
      <c r="N72" s="49"/>
      <c r="O72" s="9"/>
      <c r="P72" s="9"/>
    </row>
    <row r="73" ht="14.25" customHeight="1">
      <c r="B73" s="83">
        <v>42948.0</v>
      </c>
      <c r="C73" s="33" t="str">
        <f>VLOOKUP(B73,'FML March 2026'!E:F,2,false)</f>
        <v>PANCETTA COPPATA MAGRA GALBANI MP10/ SAN DANIEL</v>
      </c>
      <c r="D73" s="33" t="str">
        <f>VLOOKUP(B73,'Unit of Measure ship March 2026'!A:C,3,false)</f>
        <v>LBS</v>
      </c>
      <c r="G73" s="9"/>
      <c r="H73" s="9"/>
      <c r="J73" s="36"/>
      <c r="K73" s="9"/>
      <c r="L73" s="9"/>
      <c r="N73" s="49"/>
      <c r="O73" s="9"/>
      <c r="P73" s="9"/>
    </row>
    <row r="74" ht="14.25" customHeight="1">
      <c r="B74" s="8">
        <v>111802.0</v>
      </c>
      <c r="C74" s="9" t="str">
        <f>VLOOKUP(B74,'FML March 2026'!E:F,2,false)</f>
        <v>PASTA FREGOLA SARDA CS 12/500 GR CASA DEL GRANO</v>
      </c>
      <c r="D74" s="9" t="str">
        <f>VLOOKUP(B74,'Unit of Measure ship March 2026'!A:C,3,false)</f>
        <v>LBS</v>
      </c>
      <c r="G74" s="9"/>
      <c r="H74" s="9"/>
      <c r="J74" s="36"/>
      <c r="K74" s="9"/>
      <c r="L74" s="9"/>
      <c r="N74" s="49"/>
      <c r="O74" s="9"/>
      <c r="P74" s="9"/>
    </row>
    <row r="75" ht="14.25" customHeight="1">
      <c r="B75" s="8">
        <v>15819.0</v>
      </c>
      <c r="C75" s="9" t="str">
        <f>VLOOKUP(B75,'FML March 2026'!E:F,2,false)</f>
        <v>PECANS, HALVES, FANCY, JUMBO, DRY, 1/30 LB</v>
      </c>
      <c r="D75" s="9" t="str">
        <f>VLOOKUP(B75,'Unit of Measure ship March 2026'!A:C,3,false)</f>
        <v>LBS</v>
      </c>
      <c r="G75" s="9"/>
      <c r="H75" s="9"/>
      <c r="J75" s="36"/>
      <c r="K75" s="9"/>
      <c r="L75" s="9"/>
      <c r="N75" s="49"/>
      <c r="O75" s="9"/>
      <c r="P75" s="9"/>
    </row>
    <row r="76" ht="14.25" customHeight="1">
      <c r="B76" s="8">
        <v>146514.0</v>
      </c>
      <c r="C76" s="9" t="str">
        <f>VLOOKUP(B76,'FML March 2026'!E:F,2,false)</f>
        <v>PENNE PASTA GLUTEN-FREE BANZA CS11/LB</v>
      </c>
      <c r="D76" s="9" t="str">
        <f>VLOOKUP(B76,'Unit of Measure ship March 2026'!A:C,3,false)</f>
        <v>LBS</v>
      </c>
      <c r="G76" s="9"/>
      <c r="H76" s="9"/>
      <c r="J76" s="36"/>
      <c r="K76" s="9"/>
      <c r="L76" s="9"/>
      <c r="N76" s="49"/>
      <c r="O76" s="9"/>
      <c r="P76" s="9"/>
    </row>
    <row r="77" ht="14.25" customHeight="1">
      <c r="B77" s="17">
        <v>33681.0</v>
      </c>
      <c r="C77" s="9" t="str">
        <f>VLOOKUP(B77,'FML March 2026'!E:F,2,false)</f>
        <v>PEPPER BLACK GROUND BADIA (USA )</v>
      </c>
      <c r="D77" s="9" t="str">
        <f>VLOOKUP(B77,'Unit of Measure ship March 2026'!A:C,3,false)</f>
        <v>LBS</v>
      </c>
      <c r="G77" s="9"/>
      <c r="H77" s="9"/>
      <c r="J77" s="36"/>
      <c r="K77" s="9"/>
      <c r="L77" s="9"/>
      <c r="N77" s="49"/>
      <c r="O77" s="9"/>
      <c r="P77" s="9"/>
    </row>
    <row r="78" ht="14.25" customHeight="1">
      <c r="B78" s="8">
        <v>16305.0</v>
      </c>
      <c r="C78" s="9" t="str">
        <f>VLOOKUP(B78,'FML March 2026'!E:F,2,false)</f>
        <v>PEPPERCORN WHITE WHOLE D`ALLESANDRO/ SPICECO</v>
      </c>
      <c r="D78" s="9" t="str">
        <f>VLOOKUP(B78,'Unit of Measure ship March 2026'!A:C,3,false)</f>
        <v>LBS</v>
      </c>
      <c r="G78" s="9"/>
      <c r="H78" s="9"/>
      <c r="J78" s="36"/>
      <c r="K78" s="9"/>
      <c r="L78" s="9"/>
      <c r="N78" s="49"/>
      <c r="O78" s="9"/>
      <c r="P78" s="9"/>
    </row>
    <row r="79" ht="14.25" customHeight="1">
      <c r="B79" s="17">
        <v>16285.0</v>
      </c>
      <c r="C79" s="9" t="str">
        <f>VLOOKUP(B79,'FML March 2026'!E:F,2,false)</f>
        <v>PEPPERCORN, BLACK, WHOLE, DRY, 6/420 G</v>
      </c>
      <c r="D79" s="9" t="str">
        <f>VLOOKUP(B79,'Unit of Measure ship March 2026'!A:C,3,false)</f>
        <v>LBS</v>
      </c>
      <c r="G79" s="9"/>
      <c r="H79" s="9"/>
      <c r="J79" s="36"/>
      <c r="K79" s="9"/>
      <c r="L79" s="9"/>
      <c r="N79" s="49"/>
      <c r="O79" s="9"/>
      <c r="P79" s="9"/>
    </row>
    <row r="80" ht="14.25" customHeight="1">
      <c r="B80" s="8">
        <v>111122.0</v>
      </c>
      <c r="C80" s="9" t="str">
        <f>VLOOKUP(B80,'FML March 2026'!E:F,2,false)</f>
        <v>PEPPERS  CALABRIAN CHILIES IN OIL CS2/2KG BELARIA</v>
      </c>
      <c r="D80" s="9" t="str">
        <f>VLOOKUP(B80,'Unit of Measure ship March 2026'!A:C,3,false)</f>
        <v>LBS</v>
      </c>
      <c r="G80" s="9"/>
      <c r="H80" s="9"/>
      <c r="J80" s="36"/>
      <c r="K80" s="9"/>
      <c r="L80" s="9"/>
      <c r="N80" s="49"/>
      <c r="O80" s="9"/>
      <c r="P80" s="9"/>
    </row>
    <row r="81" ht="14.25" customHeight="1">
      <c r="B81" s="8">
        <v>109709.0</v>
      </c>
      <c r="C81" s="9" t="str">
        <f>VLOOKUP(B81,'FML March 2026'!E:F,2,false)</f>
        <v>PIERRE POIVRE PEPPER (LA BOITE A EPICE BRAND)</v>
      </c>
      <c r="D81" s="9" t="str">
        <f>VLOOKUP(B81,'Unit of Measure ship March 2026'!A:C,3,false)</f>
        <v>UNT/16OZ</v>
      </c>
      <c r="G81" s="9"/>
      <c r="H81" s="9"/>
      <c r="J81" s="36"/>
      <c r="K81" s="9"/>
      <c r="L81" s="9"/>
      <c r="N81" s="49"/>
      <c r="O81" s="9"/>
      <c r="P81" s="9"/>
    </row>
    <row r="82" ht="14.25" customHeight="1">
      <c r="B82" s="8">
        <v>16422.0</v>
      </c>
      <c r="C82" s="9" t="str">
        <f>VLOOKUP(B82,'FML March 2026'!E:F,2,false)</f>
        <v>PINE NUTS WHOLE</v>
      </c>
      <c r="D82" s="9" t="str">
        <f>VLOOKUP(B82,'Unit of Measure ship March 2026'!A:C,3,false)</f>
        <v>LBS</v>
      </c>
      <c r="G82" s="9"/>
      <c r="H82" s="9"/>
      <c r="J82" s="36"/>
      <c r="K82" s="9"/>
      <c r="L82" s="9"/>
      <c r="N82" s="49"/>
      <c r="O82" s="9"/>
      <c r="P82" s="9"/>
    </row>
    <row r="83" ht="14.25" customHeight="1">
      <c r="B83" s="8">
        <v>16245.0</v>
      </c>
      <c r="C83" s="9" t="str">
        <f>VLOOKUP(B83,'FML March 2026'!E:F,2,false)</f>
        <v>POLENTA MEDIUM</v>
      </c>
      <c r="D83" s="9" t="str">
        <f>VLOOKUP(B83,'Unit of Measure ship March 2026'!A:C,3,false)</f>
        <v>LBS</v>
      </c>
      <c r="G83" s="9"/>
      <c r="H83" s="9"/>
      <c r="J83" s="36"/>
      <c r="K83" s="9"/>
      <c r="L83" s="9"/>
      <c r="N83" s="49"/>
      <c r="O83" s="9"/>
      <c r="P83" s="9"/>
    </row>
    <row r="84" ht="14.25" customHeight="1">
      <c r="B84" s="8">
        <v>110935.0</v>
      </c>
      <c r="C84" s="9" t="str">
        <f>VLOOKUP(B84,'FML March 2026'!E:F,2,false)</f>
        <v>PORCINI POWDER</v>
      </c>
      <c r="D84" s="9" t="str">
        <f>VLOOKUP(B84,'Unit of Measure ship March 2026'!A:C,3,false)</f>
        <v>LBS</v>
      </c>
      <c r="G84" s="9"/>
      <c r="H84" s="9"/>
      <c r="J84" s="36"/>
      <c r="K84" s="9"/>
      <c r="L84" s="9"/>
      <c r="N84" s="49"/>
      <c r="O84" s="9"/>
      <c r="P84" s="9"/>
    </row>
    <row r="85" ht="14.25" customHeight="1">
      <c r="B85" s="8">
        <v>109676.0</v>
      </c>
      <c r="C85" s="9" t="str">
        <f>VLOOKUP(B85,'FML March 2026'!E:F,2,false)</f>
        <v>PRESERVED LEMON BRINE CAN/ 2KG BELDI</v>
      </c>
      <c r="D85" s="9" t="str">
        <f>VLOOKUP(B85,'Unit of Measure ship March 2026'!A:C,3,false)</f>
        <v>LBS</v>
      </c>
      <c r="G85" s="9"/>
      <c r="H85" s="9"/>
      <c r="J85" s="36"/>
      <c r="K85" s="9"/>
      <c r="L85" s="9"/>
      <c r="N85" s="49"/>
      <c r="O85" s="9"/>
      <c r="P85" s="9"/>
    </row>
    <row r="86" ht="14.25" customHeight="1">
      <c r="B86" s="99">
        <v>101442.0</v>
      </c>
      <c r="C86" s="33" t="str">
        <f>VLOOKUP(B86,'FML March 2026'!E:F,2,false)</f>
        <v>PROSCIUTTO DI SAN DANIELE LEVONI BONELESS 16 MONTH  RESERVE CS/16 LBS</v>
      </c>
      <c r="D86" s="33" t="str">
        <f>VLOOKUP(B86,'Unit of Measure ship March 2026'!A:C,3,false)</f>
        <v>LBS</v>
      </c>
      <c r="G86" s="9"/>
      <c r="H86" s="9"/>
      <c r="J86" s="36"/>
      <c r="K86" s="9"/>
      <c r="L86" s="9"/>
      <c r="N86" s="49"/>
      <c r="O86" s="9"/>
      <c r="P86" s="9"/>
    </row>
    <row r="87" ht="14.25" customHeight="1">
      <c r="B87" s="8">
        <v>15805.0</v>
      </c>
      <c r="C87" s="9" t="str">
        <f>VLOOKUP(B87,'FML March 2026'!E:F,2,false)</f>
        <v>RAISINS GOLDEN SEEDLESS</v>
      </c>
      <c r="D87" s="9" t="str">
        <f>VLOOKUP(B87,'Unit of Measure ship March 2026'!A:C,3,false)</f>
        <v>LBS</v>
      </c>
      <c r="G87" s="9"/>
      <c r="H87" s="9"/>
      <c r="J87" s="36"/>
      <c r="K87" s="9"/>
      <c r="L87" s="9"/>
      <c r="N87" s="49"/>
      <c r="O87" s="9"/>
      <c r="P87" s="9"/>
    </row>
    <row r="88" ht="14.25" customHeight="1">
      <c r="B88" s="83">
        <v>106535.0</v>
      </c>
      <c r="C88" s="33" t="str">
        <f>VLOOKUP(B88,'FML March 2026'!E:F,2,false)</f>
        <v>SALAME LEVONETTO MILANO LEVONI</v>
      </c>
      <c r="D88" s="33" t="str">
        <f>VLOOKUP(B88,'Unit of Measure ship March 2026'!A:C,3,false)</f>
        <v>LBS</v>
      </c>
      <c r="G88" s="9"/>
      <c r="H88" s="9"/>
      <c r="J88" s="36"/>
      <c r="K88" s="9"/>
      <c r="L88" s="9"/>
      <c r="N88" s="49"/>
      <c r="O88" s="9"/>
      <c r="P88" s="9"/>
    </row>
    <row r="89" ht="14.25" customHeight="1">
      <c r="B89" s="8">
        <v>142891.0</v>
      </c>
      <c r="C89" s="9" t="str">
        <f>VLOOKUP(B89,'FML March 2026'!E:F,2,false)</f>
        <v>SALT CURING PRAGUE #1 2.5 LB HOOSIER HILL</v>
      </c>
      <c r="D89" s="9" t="str">
        <f>VLOOKUP(B89,'Unit of Measure ship March 2026'!A:C,3,false)</f>
        <v>LBS</v>
      </c>
      <c r="G89" s="9"/>
      <c r="H89" s="9"/>
      <c r="J89" s="36"/>
      <c r="K89" s="9"/>
      <c r="L89" s="9"/>
      <c r="O89" s="9"/>
      <c r="P89" s="9"/>
    </row>
    <row r="90" ht="14.25" customHeight="1">
      <c r="B90" s="17">
        <v>16307.0</v>
      </c>
      <c r="C90" s="9" t="str">
        <f>VLOOKUP(B90,'FML March 2026'!E:F,2,false)</f>
        <v>SALT KOSHER GRANULATED</v>
      </c>
      <c r="D90" s="9" t="str">
        <f>VLOOKUP(B90,'Unit of Measure ship March 2026'!A:C,3,false)</f>
        <v>LBS</v>
      </c>
      <c r="G90" s="9"/>
      <c r="H90" s="9"/>
      <c r="J90" s="36"/>
      <c r="K90" s="9"/>
      <c r="L90" s="9"/>
      <c r="O90" s="9"/>
      <c r="P90" s="9"/>
    </row>
    <row r="91" ht="14.25" customHeight="1">
      <c r="B91" s="17">
        <v>20880.0</v>
      </c>
      <c r="C91" s="9" t="str">
        <f>VLOOKUP(B91,'FML March 2026'!E:F,2,false)</f>
        <v>SALT SEA MALDON</v>
      </c>
      <c r="D91" s="9" t="str">
        <f>VLOOKUP(B91,'Unit of Measure ship March 2026'!A:C,3,false)</f>
        <v>LBS</v>
      </c>
      <c r="G91" s="9"/>
      <c r="H91" s="9"/>
      <c r="J91" s="36"/>
      <c r="K91" s="9"/>
      <c r="L91" s="9"/>
      <c r="O91" s="9"/>
      <c r="P91" s="9"/>
    </row>
    <row r="92" ht="14.25" customHeight="1">
      <c r="B92" s="8">
        <v>24431.0</v>
      </c>
      <c r="C92" s="9" t="str">
        <f>VLOOKUP(B92,'FML March 2026'!E:F,2,false)</f>
        <v>SEA URCHIN 50GR/JAR, (EU ONLY)</v>
      </c>
      <c r="D92" s="9" t="str">
        <f>VLOOKUP(B92,'Unit of Measure ship March 2026'!A:C,3,false)</f>
        <v>PC/50GR</v>
      </c>
      <c r="G92" s="9"/>
      <c r="H92" s="9"/>
      <c r="J92" s="36"/>
      <c r="K92" s="9"/>
      <c r="L92" s="9"/>
      <c r="O92" s="9"/>
      <c r="P92" s="9"/>
    </row>
    <row r="93" ht="14.25" customHeight="1">
      <c r="B93" s="8">
        <v>20887.0</v>
      </c>
      <c r="C93" s="9" t="str">
        <f>VLOOKUP(B93,'FML March 2026'!E:F,2,false)</f>
        <v>SHICHIMI TOGARASHI CHINESE 7 FLAVOR CHILI PEPPERS</v>
      </c>
      <c r="D93" s="9" t="str">
        <f>VLOOKUP(B93,'Unit of Measure ship March 2026'!A:C,3,false)</f>
        <v>LBS</v>
      </c>
      <c r="G93" s="9"/>
      <c r="H93" s="9"/>
      <c r="J93" s="36"/>
      <c r="K93" s="9"/>
      <c r="L93" s="9"/>
      <c r="O93" s="9"/>
      <c r="P93" s="9"/>
    </row>
    <row r="94" ht="14.25" customHeight="1">
      <c r="B94" s="17">
        <v>30013.0</v>
      </c>
      <c r="C94" s="9" t="str">
        <f>VLOOKUP(B94,'FML March 2026'!E:F,2,false)</f>
        <v>SMOKED BUFFALA MOZZARELLA</v>
      </c>
      <c r="D94" s="9" t="str">
        <f>VLOOKUP(B94,'Unit of Measure ship March 2026'!A:C,3,false)</f>
        <v>LBS</v>
      </c>
      <c r="G94" s="9"/>
      <c r="H94" s="9"/>
      <c r="J94" s="36"/>
      <c r="K94" s="9"/>
      <c r="L94" s="9"/>
      <c r="O94" s="9"/>
      <c r="P94" s="9"/>
    </row>
    <row r="95" ht="14.25" customHeight="1">
      <c r="B95" s="8">
        <v>109695.0</v>
      </c>
      <c r="C95" s="9" t="str">
        <f>VLOOKUP(B95,'FML March 2026'!E:F,2,false)</f>
        <v>SMOKED SALT MALDON</v>
      </c>
      <c r="D95" s="9" t="str">
        <f>VLOOKUP(B95,'Unit of Measure ship March 2026'!A:C,3,false)</f>
        <v>LBS</v>
      </c>
      <c r="G95" s="9"/>
      <c r="H95" s="9"/>
      <c r="J95" s="36"/>
      <c r="K95" s="9"/>
      <c r="L95" s="9"/>
      <c r="O95" s="9"/>
      <c r="P95" s="9"/>
    </row>
    <row r="96" ht="14.25" customHeight="1">
      <c r="B96" s="8">
        <v>109936.0</v>
      </c>
      <c r="C96" s="9" t="str">
        <f>VLOOKUP(B96,'FML March 2026'!E:F,2,false)</f>
        <v>SOUR CREAM ALTERNATIVE VEGAN PLANT PERFECT</v>
      </c>
      <c r="D96" s="9" t="str">
        <f>VLOOKUP(B96,'Unit of Measure ship March 2026'!A:C,3,false)</f>
        <v>LBS</v>
      </c>
      <c r="G96" s="9"/>
      <c r="H96" s="9"/>
      <c r="J96" s="36"/>
      <c r="K96" s="9"/>
      <c r="L96" s="9"/>
      <c r="O96" s="9"/>
      <c r="P96" s="9"/>
    </row>
    <row r="97" ht="14.25" customHeight="1">
      <c r="B97" s="8">
        <v>14831.0</v>
      </c>
      <c r="C97" s="9" t="str">
        <f>VLOOKUP(B97,'FML March 2026'!E:F,2,false)</f>
        <v>SQUID INK 17 OZ BOTTLE MARKY`S</v>
      </c>
      <c r="D97" s="9" t="str">
        <f>VLOOKUP(B97,'Unit of Measure ship March 2026'!A:C,3,false)</f>
        <v>LBS</v>
      </c>
      <c r="G97" s="9"/>
      <c r="H97" s="9"/>
      <c r="J97" s="36"/>
      <c r="K97" s="9"/>
      <c r="L97" s="9"/>
      <c r="O97" s="9"/>
      <c r="P97" s="9"/>
    </row>
    <row r="98" ht="14.25" customHeight="1">
      <c r="B98" s="8">
        <v>100872.0</v>
      </c>
      <c r="C98" s="9" t="str">
        <f>VLOOKUP(B98,'FML March 2026'!E:F,2,false)</f>
        <v>SUGAR BROWN LIGHT 24LB  DOMINO (404309)</v>
      </c>
      <c r="D98" s="9" t="str">
        <f>VLOOKUP(B98,'Unit of Measure ship March 2026'!A:C,3,false)</f>
        <v>LBS</v>
      </c>
      <c r="G98" s="9"/>
      <c r="H98" s="9"/>
      <c r="J98" s="36"/>
      <c r="K98" s="9"/>
      <c r="L98" s="9"/>
      <c r="O98" s="9"/>
      <c r="P98" s="9"/>
    </row>
    <row r="99" ht="14.25" customHeight="1">
      <c r="B99" s="17">
        <v>15642.0</v>
      </c>
      <c r="C99" s="9" t="str">
        <f>VLOOKUP(B99,'FML March 2026'!E:F,2,false)</f>
        <v>SUGAR, GRANULATED, ICUMSA 150, SUGARCANE, DRY, 1/50 LB</v>
      </c>
      <c r="D99" s="9" t="str">
        <f>VLOOKUP(B99,'Unit of Measure ship March 2026'!A:C,3,false)</f>
        <v>LBS</v>
      </c>
      <c r="G99" s="9"/>
      <c r="H99" s="9"/>
      <c r="J99" s="36"/>
      <c r="K99" s="9"/>
      <c r="L99" s="9"/>
      <c r="O99" s="9"/>
      <c r="P99" s="9"/>
    </row>
    <row r="100" ht="14.25" customHeight="1">
      <c r="B100" s="8">
        <v>15892.0</v>
      </c>
      <c r="C100" s="9" t="str">
        <f>VLOOKUP(B100,'FML March 2026'!E:F,2,false)</f>
        <v>SUNFLOWER SEEDS WHOLE SHELL-OFF RAW  HIALEAH (USA )</v>
      </c>
      <c r="D100" s="9" t="str">
        <f>VLOOKUP(B100,'Unit of Measure ship March 2026'!A:C,3,false)</f>
        <v>LBS</v>
      </c>
      <c r="G100" s="9"/>
      <c r="H100" s="9"/>
      <c r="J100" s="36"/>
      <c r="K100" s="9"/>
      <c r="L100" s="9"/>
      <c r="O100" s="9"/>
      <c r="P100" s="9"/>
    </row>
    <row r="101" ht="14.25" customHeight="1">
      <c r="B101" s="8">
        <v>16581.0</v>
      </c>
      <c r="C101" s="9" t="str">
        <f>VLOOKUP(B101,'FML March 2026'!E:F,2,false)</f>
        <v>TOMATO, PASTE, HEINZ, 57310, DRY, 6/#10</v>
      </c>
      <c r="D101" s="9" t="str">
        <f>VLOOKUP(B101,'Unit of Measure ship March 2026'!A:C,3,false)</f>
        <v>CN/6.5LB</v>
      </c>
      <c r="G101" s="9"/>
      <c r="H101" s="9"/>
      <c r="J101" s="36"/>
      <c r="K101" s="9"/>
      <c r="L101" s="9"/>
      <c r="O101" s="9"/>
      <c r="P101" s="9"/>
    </row>
    <row r="102" ht="14.25" customHeight="1">
      <c r="B102" s="18">
        <v>143140.0</v>
      </c>
      <c r="C102" s="9" t="str">
        <f>VLOOKUP(B102,'FML March 2026'!E:F,2,false)</f>
        <v>TOMATO, WHOLE, PEELED, IN JUICE, DRY, 6/#10</v>
      </c>
      <c r="D102" s="9" t="str">
        <f>VLOOKUP(B102,'Unit of Measure ship March 2026'!A:C,3,false)</f>
        <v>C6/6.5LB</v>
      </c>
      <c r="G102" s="9"/>
      <c r="H102" s="9"/>
      <c r="J102" s="36"/>
      <c r="K102" s="9"/>
      <c r="L102" s="9"/>
      <c r="N102" s="36"/>
      <c r="P102" s="9"/>
    </row>
    <row r="103" ht="14.25" customHeight="1">
      <c r="B103" s="8">
        <v>101990.0</v>
      </c>
      <c r="C103" s="9" t="str">
        <f>VLOOKUP(B103,'FML March 2026'!E:F,2,false)</f>
        <v>TRUFFLE AESTIVUM-SUMMER PEELINGS HENRAS (FRANCE)</v>
      </c>
      <c r="D103" s="9" t="str">
        <f>VLOOKUP(B103,'Unit of Measure ship March 2026'!A:C,3,false)</f>
        <v>CAN/7OZ</v>
      </c>
      <c r="G103" s="9"/>
      <c r="H103" s="9"/>
      <c r="J103" s="36"/>
      <c r="K103" s="9"/>
      <c r="L103" s="9"/>
      <c r="N103" s="36"/>
    </row>
    <row r="104" ht="14.25" customHeight="1">
      <c r="B104" s="17">
        <v>16310.0</v>
      </c>
      <c r="C104" s="9" t="str">
        <f>VLOOKUP(B104,'FML March 2026'!E:F,2,false)</f>
        <v>TURMERIC GROUND</v>
      </c>
      <c r="D104" s="9" t="str">
        <f>VLOOKUP(B104,'Unit of Measure ship March 2026'!A:C,3,false)</f>
        <v>LBS</v>
      </c>
      <c r="G104" s="9"/>
      <c r="H104" s="9"/>
      <c r="J104" s="36"/>
      <c r="K104" s="9"/>
      <c r="L104" s="9"/>
      <c r="N104" s="36"/>
    </row>
    <row r="105" ht="14.25" customHeight="1">
      <c r="B105" s="83">
        <v>20844.0</v>
      </c>
      <c r="C105" s="33" t="str">
        <f>VLOOKUP(B105,'FML March 2026'!E:F,2,false)</f>
        <v>VEAL DEMI GLACE CUISINE SOLUTIONS 1003743 (NO INSPECTION NEEDED) (NETHERLANDS)</v>
      </c>
      <c r="D105" s="33" t="str">
        <f>VLOOKUP(B105,'Unit of Measure ship March 2026'!A:C,3,false)</f>
        <v>LBS</v>
      </c>
      <c r="G105" s="9"/>
      <c r="H105" s="9"/>
      <c r="J105" s="36"/>
      <c r="K105" s="9"/>
      <c r="L105" s="9"/>
    </row>
    <row r="106" ht="15.75" customHeight="1">
      <c r="B106" s="8">
        <v>111933.0</v>
      </c>
      <c r="C106" s="9" t="str">
        <f>VLOOKUP(B106,'FML March 2026'!E:F,2,false)</f>
        <v>VEGETABLE STOCK LIQUID  CS 4.5/ LITER SAVORY CHOICE</v>
      </c>
      <c r="D106" s="9" t="str">
        <f>VLOOKUP(B106,'Unit of Measure ship March 2026'!A:C,3,false)</f>
        <v>LT</v>
      </c>
    </row>
    <row r="107" ht="15.75" customHeight="1">
      <c r="B107" s="8">
        <v>111125.0</v>
      </c>
      <c r="C107" s="9" t="str">
        <f>VLOOKUP(B107,'FML March 2026'!E:F,2,false)</f>
        <v>VINEGAR 18 YEAR AGED BALSAMIC  MIMIS/ DI NIGRIS</v>
      </c>
      <c r="D107" s="9" t="str">
        <f>VLOOKUP(B107,'Unit of Measure ship March 2026'!A:C,3,false)</f>
        <v>BTL375/M</v>
      </c>
    </row>
    <row r="108" ht="15.75" customHeight="1">
      <c r="B108" s="8">
        <v>109665.0</v>
      </c>
      <c r="C108" s="9" t="str">
        <f>VLOOKUP(B108,'FML March 2026'!E:F,2,false)</f>
        <v>VINEGAR CABERNET SPARROW LANE</v>
      </c>
      <c r="D108" s="9" t="str">
        <f>VLOOKUP(B108,'Unit of Measure ship March 2026'!A:C,3,false)</f>
        <v>GAL</v>
      </c>
    </row>
    <row r="109" ht="15.75" customHeight="1">
      <c r="B109" s="8">
        <v>109666.0</v>
      </c>
      <c r="C109" s="9" t="str">
        <f>VLOOKUP(B109,'FML March 2026'!E:F,2,false)</f>
        <v>VINEGAR CHAMPAGNE WINE SPARROW LANE/ PACKER</v>
      </c>
      <c r="D109" s="9" t="str">
        <f>VLOOKUP(B109,'Unit of Measure ship March 2026'!A:C,3,false)</f>
        <v>GAL</v>
      </c>
    </row>
    <row r="110" ht="15.75" customHeight="1">
      <c r="B110" s="8">
        <v>112013.0</v>
      </c>
      <c r="C110" s="9" t="str">
        <f>VLOOKUP(B110,'FML March 2026'!E:F,2,false)</f>
        <v>VINEGAR GOLDEN BALSAMIC CS 4/1 GAL  SPARROW LANE</v>
      </c>
      <c r="D110" s="9" t="str">
        <f>VLOOKUP(B110,'Unit of Measure ship March 2026'!A:C,3,false)</f>
        <v>GAL</v>
      </c>
    </row>
    <row r="111" ht="15.75" customHeight="1">
      <c r="B111" s="17">
        <v>16402.0</v>
      </c>
      <c r="C111" s="9" t="str">
        <f>VLOOKUP(B111,'FML March 2026'!E:F,2,false)</f>
        <v>VINEGAR SHERRY/ XERES CS4/5 LT ROLAND</v>
      </c>
      <c r="D111" s="9" t="str">
        <f>VLOOKUP(B111,'Unit of Measure ship March 2026'!A:C,3,false)</f>
        <v>BT/750ML</v>
      </c>
    </row>
    <row r="112" ht="15.75" customHeight="1">
      <c r="B112" s="8">
        <v>15802.0</v>
      </c>
      <c r="C112" s="9" t="str">
        <f>VLOOKUP(B112,'FML March 2026'!E:F,2,false)</f>
        <v>WALNUTS LARGE HALVES</v>
      </c>
      <c r="D112" s="9" t="str">
        <f>VLOOKUP(B112,'Unit of Measure ship March 2026'!A:C,3,false)</f>
        <v>LBS</v>
      </c>
    </row>
    <row r="113" ht="15.75" customHeight="1">
      <c r="B113" s="8">
        <v>49450.0</v>
      </c>
      <c r="C113" s="9" t="str">
        <f>VLOOKUP(B113,'FML March 2026'!E:F,2,false)</f>
        <v>WHIPPING CREAM (35% TO 36%) UHT</v>
      </c>
      <c r="D113" s="9" t="str">
        <f>VLOOKUP(B113,'Unit of Measure ship March 2026'!A:C,3,false)</f>
        <v>QRT</v>
      </c>
    </row>
    <row r="114" ht="15.75" customHeight="1">
      <c r="B114" s="17">
        <v>16387.0</v>
      </c>
      <c r="C114" s="9" t="str">
        <f>VLOOKUP(B114,'FML March 2026'!E:F,2,false)</f>
        <v>WHITE TRUFFLE OIL</v>
      </c>
      <c r="D114" s="9" t="str">
        <f>VLOOKUP(B114,'Unit of Measure ship March 2026'!A:C,3,false)</f>
        <v>BT/250ML</v>
      </c>
    </row>
    <row r="115" ht="15.75" customHeight="1">
      <c r="B115" s="8">
        <v>16358.0</v>
      </c>
      <c r="C115" s="9" t="str">
        <f>VLOOKUP(B115,'FML March 2026'!E:F,2,false)</f>
        <v>WORCESTERSHIRE SAUCE 5 OZ LEA &amp; PERRINS</v>
      </c>
      <c r="D115" s="9" t="str">
        <f>VLOOKUP(B115,'Unit of Measure ship March 2026'!A:C,3,false)</f>
        <v>BTL/5OZ</v>
      </c>
    </row>
    <row r="116" ht="15.75" customHeight="1">
      <c r="B116" s="8">
        <v>102288.0</v>
      </c>
      <c r="C116" s="9" t="str">
        <f>VLOOKUP(B116,'FML March 2026'!E:F,2,false)</f>
        <v>XANTHAN GUM (AUSTRIA)</v>
      </c>
      <c r="D116" s="9" t="str">
        <f>VLOOKUP(B116,'Unit of Measure ship March 2026'!A:C,3,false)</f>
        <v>LBS</v>
      </c>
    </row>
    <row r="117" ht="15.75" customHeight="1"/>
    <row r="118" ht="15.75" customHeight="1"/>
    <row r="119" ht="15.75" customHeight="1">
      <c r="B119" s="58"/>
      <c r="C119" s="58"/>
      <c r="D119" s="58"/>
    </row>
    <row r="120" ht="15.75" customHeight="1">
      <c r="B120" s="58"/>
      <c r="C120" s="58"/>
      <c r="D120" s="58"/>
    </row>
    <row r="121" ht="15.75" customHeight="1"/>
    <row r="122" ht="15.75" customHeight="1">
      <c r="C122" s="100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" t="s">
        <v>71</v>
      </c>
      <c r="C1" s="2"/>
      <c r="D1" s="3"/>
      <c r="E1" s="101"/>
      <c r="F1" s="1" t="s">
        <v>72</v>
      </c>
      <c r="G1" s="2"/>
      <c r="H1" s="3"/>
      <c r="I1" s="101"/>
      <c r="J1" s="1" t="s">
        <v>73</v>
      </c>
      <c r="K1" s="2"/>
      <c r="L1" s="3"/>
      <c r="M1" s="101"/>
      <c r="N1" s="1" t="s">
        <v>74</v>
      </c>
      <c r="O1" s="2"/>
      <c r="P1" s="3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  <c r="N2" s="96" t="s">
        <v>6</v>
      </c>
      <c r="O2" s="62" t="s">
        <v>7</v>
      </c>
      <c r="P2" s="4" t="s">
        <v>8</v>
      </c>
    </row>
    <row r="3" ht="14.25" customHeight="1">
      <c r="B3" s="8">
        <v>16211.0</v>
      </c>
      <c r="C3" s="9" t="str">
        <f>VLOOKUP(B3,'FML March 2026'!E:F,2,false)</f>
        <v>AGAR AGAR POWDER CUISINE TECH</v>
      </c>
      <c r="D3" s="9" t="str">
        <f>VLOOKUP(B3,'Unit of Measure ship March 2026'!A:C,3,false)</f>
        <v>LBS</v>
      </c>
      <c r="F3" s="17">
        <v>24182.0</v>
      </c>
      <c r="G3" s="9" t="str">
        <f>VLOOKUP(F3,'FML March 2026'!E:F,2,false)</f>
        <v>ARUGULA, BABY</v>
      </c>
      <c r="H3" s="9" t="str">
        <f>VLOOKUP(F3,'Unit of Measure ship March 2026'!A:C,3,false)</f>
        <v>LBS</v>
      </c>
      <c r="J3" s="17">
        <v>34782.0</v>
      </c>
      <c r="K3" s="9" t="str">
        <f>VLOOKUP(J3,'FML March 2026'!E:F,2,false)</f>
        <v>BEEF HANGING TENDER, 65LBS/CS NAMP-140</v>
      </c>
      <c r="L3" s="9" t="str">
        <f>VLOOKUP(J3,'Unit of Measure ship March 2026'!A:C,3,false)</f>
        <v>LBS</v>
      </c>
      <c r="N3" s="17">
        <v>11773.0</v>
      </c>
      <c r="O3" s="9" t="str">
        <f>VLOOKUP(N3,'FML March 2026'!E:F,2,false)</f>
        <v>CRAB SOFT SHELL WHOLE HOTEL FROZEN</v>
      </c>
      <c r="P3" s="9" t="str">
        <f>VLOOKUP(N3,'Unit of Measure ship March 2026'!A:C,3,false)</f>
        <v>CS12/PC</v>
      </c>
    </row>
    <row r="4" ht="14.25" customHeight="1">
      <c r="B4" s="17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17">
        <v>15572.0</v>
      </c>
      <c r="G4" s="9" t="str">
        <f>VLOOKUP(F4,'FML March 2026'!E:F,2,false)</f>
        <v>ASPARAGUS, FRESH, LARGE, FULL 11# BOX, 17 PC/BOX</v>
      </c>
      <c r="H4" s="9" t="str">
        <f>VLOOKUP(F4,'Unit of Measure ship March 2026'!A:C,3,false)</f>
        <v>LBS</v>
      </c>
      <c r="J4" s="8">
        <v>112880.0</v>
      </c>
      <c r="K4" s="9" t="str">
        <f>VLOOKUP(J4,'FML March 2026'!E:F,2,false)</f>
        <v>BEEF MARROW BONES SPLIT (CANOE)  6" LONG POLY WRAPPED VV</v>
      </c>
      <c r="L4" s="9" t="str">
        <f>VLOOKUP(J4,'Unit of Measure ship March 2026'!A:C,3,false)</f>
        <v>LBS</v>
      </c>
      <c r="N4" s="17">
        <v>53625.0</v>
      </c>
      <c r="O4" s="9" t="str">
        <f>VLOOKUP(N4,'FML March 2026'!E:F,2,false)</f>
        <v>SALMON FILLET, ATLANTIC, PREMIUM, FROZEN, 3 - 4 LB D-TRIM INDV. CRYOVAC (CHILE)</v>
      </c>
      <c r="P4" s="9" t="str">
        <f>VLOOKUP(N4,'Unit of Measure ship March 2026'!A:C,3,false)</f>
        <v>LBS</v>
      </c>
    </row>
    <row r="5" ht="14.25" customHeight="1">
      <c r="B5" s="8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17">
        <v>15378.0</v>
      </c>
      <c r="G5" s="9" t="str">
        <f>VLOOKUP(F5,'FML March 2026'!E:F,2,false)</f>
        <v>AVOCADOS HASS FRESH CA-48PC FL-12/14PC 20#</v>
      </c>
      <c r="H5" s="9" t="str">
        <f>VLOOKUP(F5,'Unit of Measure ship March 2026'!A:C,3,false)</f>
        <v>LBS</v>
      </c>
      <c r="J5" s="48">
        <v>148887.0</v>
      </c>
      <c r="K5" s="9" t="str">
        <f>VLOOKUP(J5,'FML March 2026'!E:F,2,false)</f>
        <v>BEEF TENDERLOIN PEELED STRAP-ON  100 DAY GRAIN FED JBS (AUSTRALIA) NAMP-189A</v>
      </c>
      <c r="L5" s="9" t="str">
        <f>VLOOKUP(J5,'Unit of Measure ship March 2026'!A:C,3,false)</f>
        <v>LBS</v>
      </c>
      <c r="N5" s="8">
        <v>42269.0</v>
      </c>
      <c r="O5" s="9" t="str">
        <f>VLOOKUP(N5,'FML March 2026'!E:F,2,false)</f>
        <v>SHRIMP 16/20 RAW P&amp;D TAIL-ON CS10/LB SURAM ROYAL WHITE (VIETNAM)</v>
      </c>
      <c r="P5" s="9" t="str">
        <f>VLOOKUP(N5,'Unit of Measure ship March 2026'!A:C,3,false)</f>
        <v>LBS</v>
      </c>
    </row>
    <row r="6" ht="14.25" customHeight="1">
      <c r="B6" s="77">
        <v>110031.0</v>
      </c>
      <c r="C6" s="33" t="str">
        <f>VLOOKUP(B6,'FML March 2026'!E:F,2,false)</f>
        <v>ALMONDS MARCONA CS/11LBS SAVOR IMPORTS</v>
      </c>
      <c r="D6" s="33" t="str">
        <f>VLOOKUP(B6,'Unit of Measure ship March 2026'!A:C,3,false)</f>
        <v>LBS</v>
      </c>
      <c r="F6" s="8">
        <v>15449.0</v>
      </c>
      <c r="G6" s="9" t="str">
        <f>VLOOKUP(F6,'FML March 2026'!E:F,2,false)</f>
        <v>BEET ROOTS LARGE 1/25#</v>
      </c>
      <c r="H6" s="9" t="str">
        <f>VLOOKUP(F6,'Unit of Measure ship March 2026'!A:C,3,false)</f>
        <v>LBS</v>
      </c>
      <c r="J6" s="48">
        <v>34728.0</v>
      </c>
      <c r="K6" s="9" t="str">
        <f>VLOOKUP(J6,'FML March 2026'!E:F,2,false)</f>
        <v>BEEF, STRIPLOIN, BONELESS, 13 DWN, UPPER 2/3, CHOICE, ANGUS, 40 DAY AGED, 0X1, NAMP 180, USA ONLY, &lt;22 LB EA, FZN, 3/1 EA</v>
      </c>
      <c r="L6" s="9" t="str">
        <f>VLOOKUP(J6,'Unit of Measure ship March 2026'!A:C,3,false)</f>
        <v>LBS</v>
      </c>
      <c r="N6" s="8">
        <v>20913.0</v>
      </c>
      <c r="O6" s="9" t="str">
        <f>VLOOKUP(N6,'FML March 2026'!E:F,2,false)</f>
        <v>YELLOWTAIL (HAMACHI) LOIN SEIKI #1 SUSHI GRADE</v>
      </c>
      <c r="P6" s="9" t="str">
        <f>VLOOKUP(N6,'Unit of Measure ship March 2026'!A:C,3,false)</f>
        <v>LBS</v>
      </c>
    </row>
    <row r="7" ht="14.25" customHeight="1">
      <c r="B7" s="8">
        <v>109664.0</v>
      </c>
      <c r="C7" s="9" t="str">
        <f>VLOOKUP(B7,'FML March 2026'!E:F,2,false)</f>
        <v>APPLE CIDER VINEGAR SPARROW LANE V</v>
      </c>
      <c r="D7" s="9" t="str">
        <f>VLOOKUP(B7,'Unit of Measure ship March 2026'!A:C,3,false)</f>
        <v>GAL</v>
      </c>
      <c r="F7" s="8">
        <v>102292.0</v>
      </c>
      <c r="G7" s="9" t="str">
        <f>VLOOKUP(F7,'FML March 2026'!E:F,2,false)</f>
        <v>BEETS YELLOW FRESH</v>
      </c>
      <c r="H7" s="9" t="str">
        <f>VLOOKUP(F7,'Unit of Measure ship March 2026'!A:C,3,false)</f>
        <v>LBS</v>
      </c>
      <c r="J7" s="17">
        <v>14576.0</v>
      </c>
      <c r="K7" s="9" t="str">
        <f>VLOOKUP(J7,'FML March 2026'!E:F,2,false)</f>
        <v>CHICKEN, FRYER, WOG, IND WRAPPED, NON-INJECTED, 2.50-3.25 LB EA, FZN, 12/1 EA</v>
      </c>
      <c r="L7" s="9" t="str">
        <f>VLOOKUP(J7,'Unit of Measure ship March 2026'!A:C,3,false)</f>
        <v>LBS</v>
      </c>
    </row>
    <row r="8" ht="14.25" customHeight="1">
      <c r="B8" s="8">
        <v>109686.0</v>
      </c>
      <c r="C8" s="9" t="str">
        <f>VLOOKUP(B8,'FML March 2026'!E:F,2,false)</f>
        <v>BACON, NUESKE 24 HOUR  APPLEWOOD SMOKED BACON (NUESKI 2131)</v>
      </c>
      <c r="D8" s="9" t="str">
        <f>VLOOKUP(B8,'Unit of Measure ship March 2026'!A:C,3,false)</f>
        <v>LBS</v>
      </c>
      <c r="F8" s="17">
        <v>15333.0</v>
      </c>
      <c r="G8" s="9" t="str">
        <f>VLOOKUP(F8,'FML March 2026'!E:F,2,false)</f>
        <v>BLACKBERRIES FRESH 12 1/2 PT 4.5#</v>
      </c>
      <c r="H8" s="9" t="str">
        <f>VLOOKUP(F8,'Unit of Measure ship March 2026'!A:C,3,false)</f>
        <v>LBS</v>
      </c>
      <c r="J8" s="17">
        <v>27414.0</v>
      </c>
      <c r="K8" s="9" t="str">
        <f>VLOOKUP(J8,'FML March 2026'!E:F,2,false)</f>
        <v>LAMB RACKS CAPOFF FRENCHED 20/28 OZ FROZEN INDV VAC PAC  (NEW ZEALAND/AUSTRALIA)</v>
      </c>
      <c r="L8" s="9" t="str">
        <f>VLOOKUP(J8,'Unit of Measure ship March 2026'!A:C,3,false)</f>
        <v>LBS</v>
      </c>
      <c r="N8" s="17"/>
      <c r="O8" s="9"/>
      <c r="P8" s="9"/>
    </row>
    <row r="9" ht="14.25" customHeight="1">
      <c r="B9" s="83">
        <v>109686.0</v>
      </c>
      <c r="C9" s="33" t="str">
        <f>VLOOKUP(B9,'FML March 2026'!E:F,2,false)</f>
        <v>BACON, NUESKE 24 HOUR  APPLEWOOD SMOKED BACON (NUESKI 2131)</v>
      </c>
      <c r="D9" s="33" t="str">
        <f>VLOOKUP(B9,'Unit of Measure ship March 2026'!A:C,3,false)</f>
        <v>LBS</v>
      </c>
      <c r="F9" s="8">
        <v>15458.0</v>
      </c>
      <c r="G9" s="9" t="str">
        <f>VLOOKUP(F9,'FML March 2026'!E:F,2,false)</f>
        <v>CARROTS CLIP TOP 50#</v>
      </c>
      <c r="H9" s="9" t="str">
        <f>VLOOKUP(F9,'Unit of Measure ship March 2026'!A:C,3,false)</f>
        <v>LBS</v>
      </c>
      <c r="J9" s="8">
        <v>24773.0</v>
      </c>
      <c r="K9" s="9" t="str">
        <f>VLOOKUP(J9,'FML March 2026'!E:F,2,false)</f>
        <v>PORK BELLY RAW RIND-ON (USA)</v>
      </c>
      <c r="L9" s="9" t="str">
        <f>VLOOKUP(J9,'Unit of Measure ship March 2026'!A:C,3,false)</f>
        <v>LBS</v>
      </c>
    </row>
    <row r="10" ht="14.25" customHeight="1">
      <c r="B10" s="8">
        <v>15651.0</v>
      </c>
      <c r="C10" s="9" t="str">
        <f>VLOOKUP(B10,'FML March 2026'!E:F,2,false)</f>
        <v>BAKING POWDER 50 LB</v>
      </c>
      <c r="D10" s="9" t="str">
        <f>VLOOKUP(B10,'Unit of Measure ship March 2026'!A:C,3,false)</f>
        <v>LBS</v>
      </c>
      <c r="F10" s="8">
        <v>15562.0</v>
      </c>
      <c r="G10" s="9" t="str">
        <f>VLOOKUP(F10,'FML March 2026'!E:F,2,false)</f>
        <v>CELERIAC (CELERY ROOT) 20#</v>
      </c>
      <c r="H10" s="9" t="str">
        <f>VLOOKUP(F10,'Unit of Measure ship March 2026'!A:C,3,false)</f>
        <v>LBS</v>
      </c>
    </row>
    <row r="11" ht="14.25" customHeight="1">
      <c r="B11" s="8">
        <v>15652.0</v>
      </c>
      <c r="C11" s="9" t="str">
        <f>VLOOKUP(B11,'FML March 2026'!E:F,2,false)</f>
        <v>BAKING SODA</v>
      </c>
      <c r="D11" s="9" t="str">
        <f>VLOOKUP(B11,'Unit of Measure ship March 2026'!A:C,3,false)</f>
        <v>LBS</v>
      </c>
      <c r="F11" s="17">
        <v>15460.0</v>
      </c>
      <c r="G11" s="9" t="str">
        <f>VLOOKUP(F11,'FML March 2026'!E:F,2,false)</f>
        <v>CELERY #1 CAL. 36CT 60#</v>
      </c>
      <c r="H11" s="9" t="str">
        <f>VLOOKUP(F11,'Unit of Measure ship March 2026'!A:C,3,false)</f>
        <v>LBS</v>
      </c>
    </row>
    <row r="12" ht="14.25" customHeight="1">
      <c r="B12" s="17">
        <v>16250.0</v>
      </c>
      <c r="C12" s="9" t="str">
        <f>VLOOKUP(B12,'FML March 2026'!E:F,2,false)</f>
        <v>BAY LEAVES WHOLE D`ALLESANDRO/ SPICECO</v>
      </c>
      <c r="D12" s="9" t="str">
        <f>VLOOKUP(B12,'Unit of Measure ship March 2026'!A:C,3,false)</f>
        <v>LBS</v>
      </c>
      <c r="F12" s="17">
        <v>15543.0</v>
      </c>
      <c r="G12" s="9" t="str">
        <f>VLOOKUP(F12,'FML March 2026'!E:F,2,false)</f>
        <v>CHERVIL, FRESH, 12BU 1 LB/CS</v>
      </c>
      <c r="H12" s="9" t="str">
        <f>VLOOKUP(F12,'Unit of Measure ship March 2026'!A:C,3,false)</f>
        <v>LBS</v>
      </c>
      <c r="K12" s="9"/>
      <c r="L12" s="9"/>
    </row>
    <row r="13" ht="14.25" customHeight="1">
      <c r="B13" s="17">
        <v>32730.0</v>
      </c>
      <c r="C13" s="9" t="str">
        <f>VLOOKUP(B13,'FML March 2026'!E:F,2,false)</f>
        <v>BEANS BLACK, 6/#10 CAN</v>
      </c>
      <c r="D13" s="9" t="str">
        <f>VLOOKUP(B13,'Unit of Measure ship March 2026'!A:C,3,false)</f>
        <v>CN/6.5LB</v>
      </c>
      <c r="F13" s="8">
        <v>109753.0</v>
      </c>
      <c r="G13" s="9" t="str">
        <f>VLOOKUP(F13,'FML March 2026'!E:F,2,false)</f>
        <v>CHILI FRESNO FRESH</v>
      </c>
      <c r="H13" s="9" t="str">
        <f>VLOOKUP(F13,'Unit of Measure ship March 2026'!A:C,3,false)</f>
        <v>LBS</v>
      </c>
      <c r="J13" s="49"/>
      <c r="K13" s="9"/>
      <c r="L13" s="9"/>
      <c r="O13" s="9"/>
      <c r="P13" s="9"/>
    </row>
    <row r="14" ht="14.25" customHeight="1">
      <c r="B14" s="77">
        <v>111962.0</v>
      </c>
      <c r="C14" s="33" t="str">
        <f>VLOOKUP(B14,'FML March 2026'!E:F,2,false)</f>
        <v>BOQUERONE IN VINEGAR</v>
      </c>
      <c r="D14" s="33" t="str">
        <f>VLOOKUP(B14,'Unit of Measure ship March 2026'!A:C,3,false)</f>
        <v>LBS</v>
      </c>
      <c r="F14" s="17">
        <v>15438.0</v>
      </c>
      <c r="G14" s="9" t="str">
        <f>VLOOKUP(F14,'FML March 2026'!E:F,2,false)</f>
        <v>CHIVES (12 BUNCH), 1 LB/CS</v>
      </c>
      <c r="H14" s="9" t="str">
        <f>VLOOKUP(F14,'Unit of Measure ship March 2026'!A:C,3,false)</f>
        <v>LBS</v>
      </c>
      <c r="J14" s="49"/>
      <c r="K14" s="9"/>
      <c r="L14" s="9"/>
      <c r="O14" s="9"/>
      <c r="P14" s="9"/>
    </row>
    <row r="15" ht="14.25" customHeight="1">
      <c r="B15" s="8">
        <v>35667.0</v>
      </c>
      <c r="C15" s="9" t="str">
        <f>VLOOKUP(B15,'FML March 2026'!E:F,2,false)</f>
        <v>BRANSTON PICKLE (GIELOW)</v>
      </c>
      <c r="D15" s="9" t="str">
        <f>VLOOKUP(B15,'Unit of Measure ship March 2026'!A:C,3,false)</f>
        <v>KG</v>
      </c>
      <c r="F15" s="17">
        <v>15431.0</v>
      </c>
      <c r="G15" s="9" t="str">
        <f>VLOOKUP(F15,'FML March 2026'!E:F,2,false)</f>
        <v>CILANTRO (12 BUNCH) 1 LB/CS DOMESTIC</v>
      </c>
      <c r="H15" s="9" t="str">
        <f>VLOOKUP(F15,'Unit of Measure ship March 2026'!A:C,3,false)</f>
        <v>LBS</v>
      </c>
      <c r="J15" s="49"/>
      <c r="K15" s="9"/>
      <c r="L15" s="9"/>
      <c r="O15" s="9"/>
      <c r="P15" s="9"/>
    </row>
    <row r="16" ht="14.25" customHeight="1">
      <c r="B16" s="17">
        <v>20884.0</v>
      </c>
      <c r="C16" s="9" t="str">
        <f>VLOOKUP(B16,'FML March 2026'!E:F,2,false)</f>
        <v>BREAD CRUMBS PANKO 25 LB KIKKOMAN #05010 (USA)</v>
      </c>
      <c r="D16" s="9" t="str">
        <f>VLOOKUP(B16,'Unit of Measure ship March 2026'!A:C,3,false)</f>
        <v>LBS</v>
      </c>
      <c r="F16" s="17">
        <v>111175.0</v>
      </c>
      <c r="G16" s="9" t="str">
        <f>VLOOKUP(F16,'FML March 2026'!E:F,2,false)</f>
        <v>CILANTRO MICRO FRESH HARPKE FAMILY FARM PK/5 OZ PACKED IN 60 OZ SIZE CLAM SHELL</v>
      </c>
      <c r="H16" s="9" t="str">
        <f>VLOOKUP(F16,'Unit of Measure ship March 2026'!A:C,3,false)</f>
        <v>EA</v>
      </c>
      <c r="J16" s="49"/>
      <c r="K16" s="9"/>
      <c r="L16" s="9"/>
      <c r="O16" s="9"/>
      <c r="P16" s="9"/>
    </row>
    <row r="17" ht="14.25" customHeight="1">
      <c r="B17" s="17">
        <v>16981.0</v>
      </c>
      <c r="C17" s="9" t="str">
        <f>VLOOKUP(B17,'FML March 2026'!E:F,2,false)</f>
        <v>BRIE MON PERE 60% 3KG / DEXPA # 53726</v>
      </c>
      <c r="D17" s="9" t="str">
        <f>VLOOKUP(B17,'Unit of Measure ship March 2026'!A:C,3,false)</f>
        <v>LBS</v>
      </c>
      <c r="F17" s="17">
        <v>10013.0</v>
      </c>
      <c r="G17" s="9" t="str">
        <f>VLOOKUP(F17,'FML March 2026'!E:F,2,false)</f>
        <v>CORN ON THE COB FRESH</v>
      </c>
      <c r="H17" s="9" t="str">
        <f>VLOOKUP(F17,'Unit of Measure ship March 2026'!A:C,3,false)</f>
        <v>LBS</v>
      </c>
      <c r="J17" s="49"/>
      <c r="K17" s="9"/>
      <c r="L17" s="9"/>
      <c r="O17" s="9"/>
      <c r="P17" s="9"/>
    </row>
    <row r="18" ht="14.25" customHeight="1">
      <c r="B18" s="8">
        <v>109933.0</v>
      </c>
      <c r="C18" s="9" t="str">
        <f>VLOOKUP(B18,'FML March 2026'!E:F,2,false)</f>
        <v>BUTTER ALTERNATIVE VEGAN PLANT PERFECT (USA)</v>
      </c>
      <c r="D18" s="9" t="str">
        <f>VLOOKUP(B18,'Unit of Measure ship March 2026'!A:C,3,false)</f>
        <v>LBS</v>
      </c>
      <c r="F18" s="17">
        <v>15547.0</v>
      </c>
      <c r="G18" s="9" t="str">
        <f>VLOOKUP(F18,'FML March 2026'!E:F,2,false)</f>
        <v>FENNEL FRESH CAL. 40#</v>
      </c>
      <c r="H18" s="9" t="str">
        <f>VLOOKUP(F18,'Unit of Measure ship March 2026'!A:C,3,false)</f>
        <v>LBS</v>
      </c>
      <c r="J18" s="49"/>
      <c r="K18" s="9"/>
      <c r="L18" s="9"/>
      <c r="O18" s="9"/>
      <c r="P18" s="9"/>
    </row>
    <row r="19" ht="14.25" customHeight="1">
      <c r="B19" s="17">
        <v>15016.0</v>
      </c>
      <c r="C19" s="9" t="str">
        <f>VLOOKUP(B19,'FML March 2026'!E:F,2,false)</f>
        <v>BUTTER, UNSALTED, 82% FAT, FZN, 50/200 G</v>
      </c>
      <c r="D19" s="9" t="str">
        <f>VLOOKUP(B19,'Unit of Measure ship March 2026'!A:C,3,false)</f>
        <v>LBS</v>
      </c>
      <c r="F19" s="17">
        <v>15466.0</v>
      </c>
      <c r="G19" s="9" t="str">
        <f>VLOOKUP(F19,'FML March 2026'!E:F,2,false)</f>
        <v>GARLIC CRATE JUMBO 30# 8 CT</v>
      </c>
      <c r="H19" s="9" t="str">
        <f>VLOOKUP(F19,'Unit of Measure ship March 2026'!A:C,3,false)</f>
        <v>LBS</v>
      </c>
      <c r="J19" s="49"/>
      <c r="K19" s="9"/>
      <c r="L19" s="9"/>
      <c r="O19" s="9"/>
      <c r="P19" s="9"/>
    </row>
    <row r="20" ht="14.25" customHeight="1">
      <c r="B20" s="8">
        <v>14893.0</v>
      </c>
      <c r="C20" s="9" t="str">
        <f>VLOOKUP(B20,'FML March 2026'!E:F,2,false)</f>
        <v>BUTTERMILK LOCAL 10 DAYS CS9/HGAL</v>
      </c>
      <c r="D20" s="9" t="str">
        <f>VLOOKUP(B20,'Unit of Measure ship March 2026'!A:C,3,false)</f>
        <v>QRT</v>
      </c>
      <c r="F20" s="17">
        <v>30639.0</v>
      </c>
      <c r="G20" s="9" t="str">
        <f>VLOOKUP(F20,'FML March 2026'!E:F,2,false)</f>
        <v>GARLIC PEELED</v>
      </c>
      <c r="H20" s="9" t="str">
        <f>VLOOKUP(F20,'Unit of Measure ship March 2026'!A:C,3,false)</f>
        <v>LBS</v>
      </c>
      <c r="J20" s="49"/>
      <c r="K20" s="9"/>
      <c r="L20" s="9"/>
      <c r="O20" s="9"/>
      <c r="P20" s="9"/>
    </row>
    <row r="21" ht="14.25" customHeight="1">
      <c r="B21" s="17">
        <v>11938.0</v>
      </c>
      <c r="C21" s="9" t="str">
        <f>VLOOKUP(B21,'FML March 2026'!E:F,2,false)</f>
        <v>CAPER BERRIES STEMMED 6/64 OZ DEL DESTINO/ ROLAND</v>
      </c>
      <c r="D21" s="9" t="str">
        <f>VLOOKUP(B21,'Unit of Measure ship March 2026'!A:C,3,false)</f>
        <v>CAN/64OZ</v>
      </c>
      <c r="F21" s="17">
        <v>15390.0</v>
      </c>
      <c r="G21" s="9" t="str">
        <f>VLOOKUP(F21,'FML March 2026'!E:F,2,false)</f>
        <v>GRAPEFRUITS #1 CA. 32CT HI-BRIGHT, PINK 40#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8">
        <v>16015.0</v>
      </c>
      <c r="C22" s="9" t="str">
        <f>VLOOKUP(B22,'FML March 2026'!E:F,2,false)</f>
        <v>CAPERS, NON-PAREIL, IN VINEGAR, DRY, 6X850GR</v>
      </c>
      <c r="D22" s="9" t="str">
        <f>VLOOKUP(B22,'Unit of Measure ship March 2026'!A:C,3,false)</f>
        <v>CAN/32OZ</v>
      </c>
      <c r="F22" s="17">
        <v>61703.0</v>
      </c>
      <c r="G22" s="9" t="str">
        <f>VLOOKUP(F22,'FML March 2026'!E:F,2,false)</f>
        <v>HABANERO PEPPERS FRESH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145538.0</v>
      </c>
      <c r="C23" s="9" t="str">
        <f>VLOOKUP(B23,'FML March 2026'!E:F,2,false)</f>
        <v>CAVIAR WHITE STURGEON CAN 250 GRAM</v>
      </c>
      <c r="D23" s="9" t="str">
        <f>VLOOKUP(B23,'Unit of Measure ship March 2026'!A:C,3,false)</f>
        <v>JAR/250G</v>
      </c>
      <c r="F23" s="8">
        <v>15426.0</v>
      </c>
      <c r="G23" s="9" t="str">
        <f>VLOOKUP(F23,'FML March 2026'!E:F,2,false)</f>
        <v>HORSERADISH ROOTS FRESH 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14984.0</v>
      </c>
      <c r="C24" s="9" t="str">
        <f>VLOOKUP(B24,'FML March 2026'!E:F,2,false)</f>
        <v>CHEDDAR BLOCK YELLOW IMP.4/11</v>
      </c>
      <c r="D24" s="9" t="str">
        <f>VLOOKUP(B24,'Unit of Measure ship March 2026'!A:C,3,false)</f>
        <v>LBS</v>
      </c>
      <c r="F24" s="8">
        <v>110907.0</v>
      </c>
      <c r="G24" s="9" t="str">
        <f>VLOOKUP(F24,'FML March 2026'!E:F,2,false)</f>
        <v>KALE GREEN  FRESH CS15/LBS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17">
        <v>27418.0</v>
      </c>
      <c r="C25" s="9" t="str">
        <f>VLOOKUP(B25,'FML March 2026'!E:F,2,false)</f>
        <v>CHEESE, PARMIGIANO REGGIANO, DOP, QUARTERS, 18-20 LB EA, CHL, 2/1 EA</v>
      </c>
      <c r="D25" s="9" t="str">
        <f>VLOOKUP(B25,'Unit of Measure ship March 2026'!A:C,3,false)</f>
        <v>LBS</v>
      </c>
      <c r="F25" s="17">
        <v>15471.0</v>
      </c>
      <c r="G25" s="9" t="str">
        <f>VLOOKUP(F25,'FML March 2026'!E:F,2,false)</f>
        <v>LEEKS LARGE FRESH 12 BU 15#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17">
        <v>47179.0</v>
      </c>
      <c r="C26" s="9" t="str">
        <f>VLOOKUP(B26,'FML March 2026'!E:F,2,false)</f>
        <v>CHEESE, PECORINO ROMANO</v>
      </c>
      <c r="D26" s="9" t="str">
        <f>VLOOKUP(B26,'Unit of Measure ship March 2026'!A:C,3,false)</f>
        <v>LBS</v>
      </c>
      <c r="F26" s="17">
        <v>15397.0</v>
      </c>
      <c r="G26" s="9" t="str">
        <f>VLOOKUP(F26,'FML March 2026'!E:F,2,false)</f>
        <v>LEMONS FRESH FIRM FANCY CALIF. SUNKIST #1 200CT 40#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77">
        <v>111993.0</v>
      </c>
      <c r="C27" s="33" t="str">
        <f>VLOOKUP(B27,'FML March 2026'!E:F,2,false)</f>
        <v>CHILI GUINDILLA CHILI IN JUICE PICKLED</v>
      </c>
      <c r="D27" s="33" t="str">
        <f>VLOOKUP(B27,'Unit of Measure ship March 2026'!A:C,3,false)</f>
        <v>KG</v>
      </c>
      <c r="F27" s="17">
        <v>111049.0</v>
      </c>
      <c r="G27" s="9" t="str">
        <f>VLOOKUP(F27,'FML March 2026'!E:F,2,false)</f>
        <v>LETTUCE BABY GEM FRESH CS24/CT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8">
        <v>16253.0</v>
      </c>
      <c r="C28" s="9" t="str">
        <f>VLOOKUP(B28,'FML March 2026'!E:F,2,false)</f>
        <v>CINNAMON GROUND</v>
      </c>
      <c r="D28" s="9" t="str">
        <f>VLOOKUP(B28,'Unit of Measure ship March 2026'!A:C,3,false)</f>
        <v>LBS</v>
      </c>
      <c r="F28" s="17">
        <v>15608.0</v>
      </c>
      <c r="G28" s="9" t="str">
        <f>VLOOKUP(F28,'FML March 2026'!E:F,2,false)</f>
        <v>LETTUCE FRISEE 4#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8">
        <v>16267.0</v>
      </c>
      <c r="C29" s="9" t="str">
        <f>VLOOKUP(B29,'FML March 2026'!E:F,2,false)</f>
        <v>CINNAMON STICKS BADIA (USA)</v>
      </c>
      <c r="D29" s="9" t="str">
        <f>VLOOKUP(B29,'Unit of Measure ship March 2026'!A:C,3,false)</f>
        <v>LBS</v>
      </c>
      <c r="F29" s="17">
        <v>15609.0</v>
      </c>
      <c r="G29" s="9" t="str">
        <f>VLOOKUP(F29,'FML March 2026'!E:F,2,false)</f>
        <v>LETTUCE RED OAK, 2#/CS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8">
        <v>16085.0</v>
      </c>
      <c r="C30" s="9" t="str">
        <f>VLOOKUP(B30,'FML March 2026'!E:F,2,false)</f>
        <v>CLAM JUICE BLENDED 12/46OZ (USA)</v>
      </c>
      <c r="D30" s="9" t="str">
        <f>VLOOKUP(B30,'Unit of Measure ship March 2026'!A:C,3,false)</f>
        <v>CN/46OZ</v>
      </c>
      <c r="F30" s="17">
        <v>15399.0</v>
      </c>
      <c r="G30" s="9" t="str">
        <f>VLOOKUP(F30,'FML March 2026'!E:F,2,false)</f>
        <v>LIMES, FRESH, FIRM #1 200CT 40#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8">
        <v>16088.0</v>
      </c>
      <c r="C31" s="9" t="str">
        <f>VLOOKUP(B31,'FML March 2026'!E:F,2,false)</f>
        <v>CLAMS OCEAN CHOPPED CANNED 12/51OZ SNOW (USA)</v>
      </c>
      <c r="D31" s="9" t="str">
        <f>VLOOKUP(B31,'Unit of Measure ship March 2026'!A:C,3,false)</f>
        <v>CAN/51OZ</v>
      </c>
      <c r="F31" s="17">
        <v>15400.0</v>
      </c>
      <c r="G31" s="9" t="str">
        <f>VLOOKUP(F31,'FML March 2026'!E:F,2,false)</f>
        <v>MANGOS, RIPE 9/12 CT, 10#/CS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17">
        <v>109671.0</v>
      </c>
      <c r="C32" s="9" t="str">
        <f>VLOOKUP(B32,'FML March 2026'!E:F,2,false)</f>
        <v>COARSE CORNMEAL BOBS RED MILL</v>
      </c>
      <c r="D32" s="9" t="str">
        <f>VLOOKUP(B32,'Unit of Measure ship March 2026'!A:C,3,false)</f>
        <v>LBS</v>
      </c>
      <c r="F32" s="17">
        <v>110908.0</v>
      </c>
      <c r="G32" s="9" t="str">
        <f>VLOOKUP(F32,'FML March 2026'!E:F,2,false)</f>
        <v>MARIGOLD FLOWERS FRESH 50 CT (4 OZ)</v>
      </c>
      <c r="H32" s="9" t="str">
        <f>VLOOKUP(F32,'Unit of Measure ship March 2026'!A:C,3,false)</f>
        <v>EA</v>
      </c>
      <c r="J32" s="49"/>
      <c r="K32" s="9"/>
      <c r="L32" s="9"/>
      <c r="N32" s="49"/>
      <c r="O32" s="9"/>
      <c r="P32" s="9"/>
    </row>
    <row r="33" ht="14.25" customHeight="1">
      <c r="B33" s="8">
        <v>16288.0</v>
      </c>
      <c r="C33" s="9" t="str">
        <f>VLOOKUP(B33,'FML March 2026'!E:F,2,false)</f>
        <v>CORIANDER WHOLE BADIA (USA )</v>
      </c>
      <c r="D33" s="9" t="str">
        <f>VLOOKUP(B33,'Unit of Measure ship March 2026'!A:C,3,false)</f>
        <v>LBS</v>
      </c>
      <c r="F33" s="17">
        <v>110911.0</v>
      </c>
      <c r="G33" s="9" t="str">
        <f>VLOOKUP(F33,'FML March 2026'!E:F,2,false)</f>
        <v>MICRO GREEN PLUM SORREL PURPLR PKG 8 OZ</v>
      </c>
      <c r="H33" s="9" t="str">
        <f>VLOOKUP(F33,'Unit of Measure ship March 2026'!A:C,3,false)</f>
        <v>PKG4/OZ</v>
      </c>
      <c r="J33" s="49"/>
      <c r="K33" s="9"/>
      <c r="L33" s="9"/>
      <c r="N33" s="49"/>
      <c r="O33" s="9"/>
      <c r="P33" s="9"/>
    </row>
    <row r="34" ht="14.25" customHeight="1">
      <c r="B34" s="17">
        <v>16184.0</v>
      </c>
      <c r="C34" s="9" t="str">
        <f>VLOOKUP(B34,'FML March 2026'!E:F,2,false)</f>
        <v>CORNSTARCH BULK</v>
      </c>
      <c r="D34" s="9" t="str">
        <f>VLOOKUP(B34,'Unit of Measure ship March 2026'!A:C,3,false)</f>
        <v>LBS</v>
      </c>
      <c r="F34" s="17">
        <v>111180.0</v>
      </c>
      <c r="G34" s="9" t="str">
        <f>VLOOKUP(F34,'FML March 2026'!E:F,2,false)</f>
        <v>MICRO GREENS BASIL FRESH HARPKE FAMILY FARMS - PK/5 OZ PACKED IN 60 OZ CLAM SHELL SIZE</v>
      </c>
      <c r="H34" s="9" t="str">
        <f>VLOOKUP(F34,'Unit of Measure ship March 2026'!A:C,3,false)</f>
        <v>EA</v>
      </c>
      <c r="J34" s="49"/>
      <c r="K34" s="9"/>
      <c r="L34" s="9"/>
      <c r="N34" s="49"/>
      <c r="O34" s="9"/>
      <c r="P34" s="9"/>
    </row>
    <row r="35" ht="14.25" customHeight="1">
      <c r="B35" s="17">
        <v>11882.0</v>
      </c>
      <c r="C35" s="9" t="str">
        <f>VLOOKUP(B35,'FML March 2026'!E:F,2,false)</f>
        <v>CREME FRAICHE</v>
      </c>
      <c r="D35" s="9" t="str">
        <f>VLOOKUP(B35,'Unit of Measure ship March 2026'!A:C,3,false)</f>
        <v>QRT</v>
      </c>
      <c r="F35" s="17">
        <v>11741.0</v>
      </c>
      <c r="G35" s="9" t="str">
        <f>VLOOKUP(F35,'FML March 2026'!E:F,2,false)</f>
        <v>MUSHROOMS CHANTERELLES FRESH</v>
      </c>
      <c r="H35" s="9" t="str">
        <f>VLOOKUP(F35,'Unit of Measure ship March 2026'!A:C,3,false)</f>
        <v>LBS</v>
      </c>
      <c r="J35" s="49"/>
      <c r="K35" s="9"/>
      <c r="L35" s="9"/>
      <c r="N35" s="49"/>
      <c r="O35" s="9"/>
      <c r="P35" s="9"/>
    </row>
    <row r="36" ht="14.25" customHeight="1">
      <c r="B36" s="17">
        <v>16257.0</v>
      </c>
      <c r="C36" s="9" t="str">
        <f>VLOOKUP(B36,'FML March 2026'!E:F,2,false)</f>
        <v>CURRY POWDER BADIA (USA )</v>
      </c>
      <c r="D36" s="9" t="str">
        <f>VLOOKUP(B36,'Unit of Measure ship March 2026'!A:C,3,false)</f>
        <v>LBS</v>
      </c>
      <c r="F36" s="17">
        <v>15585.0</v>
      </c>
      <c r="G36" s="9" t="str">
        <f>VLOOKUP(F36,'FML March 2026'!E:F,2,false)</f>
        <v>MUSHROOMS OYSTER 1/5#</v>
      </c>
      <c r="H36" s="9" t="str">
        <f>VLOOKUP(F36,'Unit of Measure ship March 2026'!A:C,3,false)</f>
        <v>LBS</v>
      </c>
      <c r="J36" s="49"/>
      <c r="K36" s="9"/>
      <c r="L36" s="9"/>
      <c r="N36" s="49"/>
      <c r="O36" s="9"/>
      <c r="P36" s="9"/>
    </row>
    <row r="37" ht="14.25" customHeight="1">
      <c r="B37" s="17">
        <v>15025.0</v>
      </c>
      <c r="C37" s="9" t="str">
        <f>VLOOKUP(B37,'FML March 2026'!E:F,2,false)</f>
        <v>EGG WHITES FROZEN 6/5# PAPETTI/ 12X1KG EUROVO/15X2LB DEBEL (USA)</v>
      </c>
      <c r="D37" s="9" t="str">
        <f>VLOOKUP(B37,'Unit of Measure ship March 2026'!A:C,3,false)</f>
        <v>LBS</v>
      </c>
      <c r="F37" s="17">
        <v>15551.0</v>
      </c>
      <c r="G37" s="9" t="str">
        <f>VLOOKUP(F37,'FML March 2026'!E:F,2,false)</f>
        <v>MUSHROOMS PORTOBELLO FRESH</v>
      </c>
      <c r="H37" s="9" t="str">
        <f>VLOOKUP(F37,'Unit of Measure ship March 2026'!A:C,3,false)</f>
        <v>LBS</v>
      </c>
      <c r="J37" s="49"/>
      <c r="K37" s="9"/>
      <c r="L37" s="9"/>
      <c r="N37" s="49"/>
      <c r="O37" s="9"/>
      <c r="P37" s="9"/>
    </row>
    <row r="38" ht="14.25" customHeight="1">
      <c r="B38" s="17">
        <v>15027.0</v>
      </c>
      <c r="C38" s="9" t="str">
        <f>VLOOKUP(B38,'FML March 2026'!E:F,2,false)</f>
        <v>EGG YOLKS FROZEN NO SUGAR OR SALT ADDED 6/5 LB SUNNY FRESH/ DEBEL (USA)</v>
      </c>
      <c r="D38" s="9" t="str">
        <f>VLOOKUP(B38,'Unit of Measure ship March 2026'!A:C,3,false)</f>
        <v>LBS</v>
      </c>
      <c r="F38" s="17">
        <v>31638.0</v>
      </c>
      <c r="G38" s="9" t="str">
        <f>VLOOKUP(F38,'FML March 2026'!E:F,2,false)</f>
        <v>MUSHROOMS, FRESH WHITE, 8 OZ CELLO PACK</v>
      </c>
      <c r="H38" s="9" t="str">
        <f>VLOOKUP(F38,'Unit of Measure ship March 2026'!A:C,3,false)</f>
        <v>LBS</v>
      </c>
      <c r="J38" s="49"/>
      <c r="K38" s="9"/>
      <c r="L38" s="9"/>
      <c r="N38" s="49"/>
      <c r="O38" s="9"/>
      <c r="P38" s="9"/>
    </row>
    <row r="39" ht="14.25" customHeight="1">
      <c r="B39" s="17">
        <v>15022.0</v>
      </c>
      <c r="C39" s="9" t="str">
        <f>VLOOKUP(B39,'FML March 2026'!E:F,2,false)</f>
        <v>EGGS-DATED, MEDIUM, REGULAR</v>
      </c>
      <c r="D39" s="9" t="str">
        <f>VLOOKUP(B39,'Unit of Measure ship March 2026'!A:C,3,false)</f>
        <v>PC</v>
      </c>
      <c r="F39" s="17">
        <v>15496.0</v>
      </c>
      <c r="G39" s="9" t="str">
        <f>VLOOKUP(F39,'FML March 2026'!E:F,2,false)</f>
        <v>ONIONS RED, MEDIUM 25#</v>
      </c>
      <c r="H39" s="9" t="str">
        <f>VLOOKUP(F39,'Unit of Measure ship March 2026'!A:C,3,false)</f>
        <v>LBS</v>
      </c>
      <c r="J39" s="49"/>
      <c r="K39" s="9"/>
      <c r="L39" s="9"/>
      <c r="N39" s="49"/>
      <c r="O39" s="9"/>
      <c r="P39" s="9"/>
    </row>
    <row r="40" ht="14.25" customHeight="1">
      <c r="B40" s="17">
        <v>15026.0</v>
      </c>
      <c r="C40" s="9" t="str">
        <f>VLOOKUP(B40,'FML March 2026'!E:F,2,false)</f>
        <v>EGGS, WHOLE, LIQUID, W/ CITRIC ACID, NO SUGAR, 1-5 LB/1-5 LT, FZN, 6/5 LB</v>
      </c>
      <c r="D40" s="9" t="str">
        <f>VLOOKUP(B40,'Unit of Measure ship March 2026'!A:C,3,false)</f>
        <v>LBS</v>
      </c>
      <c r="F40" s="17">
        <v>111864.0</v>
      </c>
      <c r="G40" s="9" t="str">
        <f>VLOOKUP(F40,'FML March 2026'!E:F,2,false)</f>
        <v>ONIONS, PEARL ONIONS RED FRESH 1/12PT 4#/CS</v>
      </c>
      <c r="H40" s="9" t="str">
        <f>VLOOKUP(F40,'Unit of Measure ship March 2026'!A:C,3,false)</f>
        <v>LBS</v>
      </c>
      <c r="J40" s="49"/>
      <c r="K40" s="9"/>
      <c r="L40" s="9"/>
      <c r="N40" s="49"/>
      <c r="O40" s="9"/>
      <c r="P40" s="9"/>
    </row>
    <row r="41" ht="14.25" customHeight="1">
      <c r="B41" s="17">
        <v>14997.0</v>
      </c>
      <c r="C41" s="9" t="str">
        <f>VLOOKUP(B41,'FML March 2026'!E:F,2,false)</f>
        <v>EMMENTHAL LOAF / DEXPA # 7290 - 7465</v>
      </c>
      <c r="D41" s="9" t="str">
        <f>VLOOKUP(B41,'Unit of Measure ship March 2026'!A:C,3,false)</f>
        <v>LBS</v>
      </c>
      <c r="F41" s="8">
        <v>15497.0</v>
      </c>
      <c r="G41" s="9" t="str">
        <f>VLOOKUP(F41,'FML March 2026'!E:F,2,false)</f>
        <v>ONIONS, YELLOW, MEDIUM, SPANISH #1, 50#</v>
      </c>
      <c r="H41" s="9" t="str">
        <f>VLOOKUP(F41,'Unit of Measure ship March 2026'!A:C,3,false)</f>
        <v>LBS</v>
      </c>
      <c r="J41" s="49"/>
      <c r="K41" s="9"/>
      <c r="L41" s="9"/>
      <c r="N41" s="49"/>
      <c r="O41" s="9"/>
      <c r="P41" s="9"/>
    </row>
    <row r="42" ht="14.25" customHeight="1">
      <c r="B42" s="8">
        <v>16259.0</v>
      </c>
      <c r="C42" s="9" t="str">
        <f>VLOOKUP(B42,'FML March 2026'!E:F,2,false)</f>
        <v>FENNEL SEED WHOLE BADIA (USA )</v>
      </c>
      <c r="D42" s="9" t="str">
        <f>VLOOKUP(B42,'Unit of Measure ship March 2026'!A:C,3,false)</f>
        <v>LBS</v>
      </c>
      <c r="F42" s="17">
        <v>15408.0</v>
      </c>
      <c r="G42" s="9" t="str">
        <f>VLOOKUP(F42,'FML March 2026'!E:F,2,false)</f>
        <v>ORANGES CAL. SUNKIST FANCY, VALENCIA NAVEL,88CT 40#</v>
      </c>
      <c r="H42" s="9" t="str">
        <f>VLOOKUP(F42,'Unit of Measure ship March 2026'!A:C,3,false)</f>
        <v>LBS</v>
      </c>
      <c r="J42" s="49"/>
      <c r="K42" s="9"/>
      <c r="L42" s="9"/>
      <c r="N42" s="49"/>
      <c r="O42" s="9"/>
      <c r="P42" s="9"/>
    </row>
    <row r="43" ht="14.25" customHeight="1">
      <c r="B43" s="8">
        <v>15703.0</v>
      </c>
      <c r="C43" s="9" t="str">
        <f>VLOOKUP(B43,'FML March 2026'!E:F,2,false)</f>
        <v>FIGS, TURKISH, DRIED (TURKEY)</v>
      </c>
      <c r="D43" s="9" t="str">
        <f>VLOOKUP(B43,'Unit of Measure ship March 2026'!A:C,3,false)</f>
        <v>LBS</v>
      </c>
      <c r="F43" s="17">
        <v>15447.0</v>
      </c>
      <c r="G43" s="9" t="str">
        <f>VLOOKUP(F43,'FML March 2026'!E:F,2,false)</f>
        <v>OREGANO FRESH</v>
      </c>
      <c r="H43" s="9" t="str">
        <f>VLOOKUP(F43,'Unit of Measure ship March 2026'!A:C,3,false)</f>
        <v>LBS</v>
      </c>
      <c r="J43" s="49"/>
      <c r="K43" s="9"/>
      <c r="L43" s="9"/>
      <c r="N43" s="49"/>
      <c r="O43" s="9"/>
      <c r="P43" s="9"/>
    </row>
    <row r="44" ht="14.25" customHeight="1">
      <c r="B44" s="17">
        <v>16535.0</v>
      </c>
      <c r="C44" s="9" t="str">
        <f>VLOOKUP(B44,'FML March 2026'!E:F,2,false)</f>
        <v>FISH SAUCE, BTL (REQUIRES INSPECTION)</v>
      </c>
      <c r="D44" s="9" t="str">
        <f>VLOOKUP(B44,'Unit of Measure ship March 2026'!A:C,3,false)</f>
        <v>BTL/24OZ</v>
      </c>
      <c r="F44" s="17">
        <v>15500.0</v>
      </c>
      <c r="G44" s="9" t="str">
        <f>VLOOKUP(F44,'FML March 2026'!E:F,2,false)</f>
        <v>PARSLEY ITALIAN,  20#/CS</v>
      </c>
      <c r="H44" s="9" t="str">
        <f>VLOOKUP(F44,'Unit of Measure ship March 2026'!A:C,3,false)</f>
        <v>LBS</v>
      </c>
      <c r="J44" s="49"/>
      <c r="K44" s="9"/>
      <c r="L44" s="9"/>
      <c r="N44" s="49"/>
      <c r="O44" s="9"/>
      <c r="P44" s="9"/>
    </row>
    <row r="45" ht="14.25" customHeight="1">
      <c r="B45" s="17">
        <v>111865.0</v>
      </c>
      <c r="C45" s="9" t="str">
        <f>VLOOKUP(B45,'FML March 2026'!E:F,2,false)</f>
        <v>FLOUR ALL PURPOSE SIR GALAHAD BAG50/LBS KING ARTHUR</v>
      </c>
      <c r="D45" s="9" t="str">
        <f>VLOOKUP(B45,'Unit of Measure ship March 2026'!A:C,3,false)</f>
        <v>LBS</v>
      </c>
      <c r="F45" s="17">
        <v>15504.0</v>
      </c>
      <c r="G45" s="9" t="str">
        <f>VLOOKUP(F45,'FML March 2026'!E:F,2,false)</f>
        <v>PEPPERS HOT, JALAPENOS 10#</v>
      </c>
      <c r="H45" s="9" t="str">
        <f>VLOOKUP(F45,'Unit of Measure ship March 2026'!A:C,3,false)</f>
        <v>LBS</v>
      </c>
      <c r="J45" s="49"/>
      <c r="K45" s="9"/>
      <c r="L45" s="9"/>
      <c r="N45" s="49"/>
      <c r="O45" s="9"/>
      <c r="P45" s="9"/>
    </row>
    <row r="46" ht="14.25" customHeight="1">
      <c r="B46" s="17">
        <v>111794.0</v>
      </c>
      <c r="C46" s="9" t="str">
        <f>VLOOKUP(B46,'FML March 2026'!E:F,2,false)</f>
        <v>FRENCH FRIES SEASHORE STYLE SEASONED SKIN-ON CS 6/5 LB LAMB WESTON SS101</v>
      </c>
      <c r="D46" s="9" t="str">
        <f>VLOOKUP(B46,'Unit of Measure ship March 2026'!A:C,3,false)</f>
        <v>LBS</v>
      </c>
      <c r="F46" s="17">
        <v>15502.0</v>
      </c>
      <c r="G46" s="9" t="str">
        <f>VLOOKUP(F46,'FML March 2026'!E:F,2,false)</f>
        <v>PEPPERS RED, MEDIUM, 88-100 MM</v>
      </c>
      <c r="H46" s="9" t="str">
        <f>VLOOKUP(F46,'Unit of Measure ship March 2026'!A:C,3,false)</f>
        <v>LBS</v>
      </c>
      <c r="J46" s="49"/>
      <c r="K46" s="9"/>
      <c r="L46" s="9"/>
      <c r="N46" s="49"/>
      <c r="O46" s="9"/>
      <c r="P46" s="9"/>
    </row>
    <row r="47" ht="14.25" customHeight="1">
      <c r="B47" s="17">
        <v>111698.0</v>
      </c>
      <c r="C47" s="9" t="str">
        <f>VLOOKUP(B47,'FML March 2026'!E:F,2,false)</f>
        <v>FRIED SHALLOTS LA RUSTICHELLA</v>
      </c>
      <c r="D47" s="9" t="str">
        <f>VLOOKUP(B47,'Unit of Measure ship March 2026'!A:C,3,false)</f>
        <v>LBS</v>
      </c>
      <c r="F47" s="17">
        <v>15577.0</v>
      </c>
      <c r="G47" s="9" t="str">
        <f>VLOOKUP(F47,'FML March 2026'!E:F,2,false)</f>
        <v>PEPPERS YELLOW, MEDIUM, 88-100 MM</v>
      </c>
      <c r="H47" s="9" t="str">
        <f>VLOOKUP(F47,'Unit of Measure ship March 2026'!A:C,3,false)</f>
        <v>LBS</v>
      </c>
      <c r="J47" s="49"/>
      <c r="K47" s="9"/>
      <c r="L47" s="9"/>
      <c r="N47" s="49"/>
      <c r="O47" s="9"/>
      <c r="P47" s="9"/>
    </row>
    <row r="48" ht="14.25" customHeight="1">
      <c r="B48" s="8">
        <v>102496.0</v>
      </c>
      <c r="C48" s="9" t="str">
        <f>VLOOKUP(B48,'FML March 2026'!E:F,2,false)</f>
        <v>GUAR GUM CS 8/8 OZ BOBS RED MILL</v>
      </c>
      <c r="D48" s="9" t="str">
        <f>VLOOKUP(B48,'Unit of Measure ship March 2026'!A:C,3,false)</f>
        <v>LBS</v>
      </c>
      <c r="F48" s="17">
        <v>15316.0</v>
      </c>
      <c r="G48" s="9" t="str">
        <f>VLOOKUP(F48,'FML March 2026'!E:F,2,false)</f>
        <v>POMEGRANATE 20-35 CT. 22#</v>
      </c>
      <c r="H48" s="9" t="str">
        <f>VLOOKUP(F48,'Unit of Measure ship March 2026'!A:C,3,false)</f>
        <v>LBS</v>
      </c>
      <c r="J48" s="49"/>
      <c r="K48" s="9"/>
      <c r="L48" s="9"/>
      <c r="N48" s="49"/>
      <c r="O48" s="9"/>
      <c r="P48" s="9"/>
    </row>
    <row r="49" ht="14.25" customHeight="1">
      <c r="B49" s="8">
        <v>14922.0</v>
      </c>
      <c r="C49" s="9" t="str">
        <f>VLOOKUP(B49,'FML March 2026'!E:F,2,false)</f>
        <v>HALF &amp; HALF LONG LIFE (10-12% CREAM)</v>
      </c>
      <c r="D49" s="9" t="str">
        <f>VLOOKUP(B49,'Unit of Measure ship March 2026'!A:C,3,false)</f>
        <v>LT</v>
      </c>
      <c r="F49" s="8">
        <v>109751.0</v>
      </c>
      <c r="G49" s="9" t="str">
        <f>VLOOKUP(F49,'FML March 2026'!E:F,2,false)</f>
        <v>POTATO RUSSET  110 CT</v>
      </c>
      <c r="H49" s="9" t="str">
        <f>VLOOKUP(F49,'Unit of Measure ship March 2026'!A:C,3,false)</f>
        <v>LBS</v>
      </c>
      <c r="J49" s="49"/>
      <c r="K49" s="9"/>
      <c r="L49" s="9"/>
      <c r="N49" s="49"/>
      <c r="O49" s="9"/>
      <c r="P49" s="9"/>
    </row>
    <row r="50" ht="14.25" customHeight="1">
      <c r="B50" s="17">
        <v>14907.0</v>
      </c>
      <c r="C50" s="9" t="str">
        <f>VLOOKUP(B50,'FML March 2026'!E:F,2,false)</f>
        <v>HEAVY CREAM UHT LONG LIFE 38%-40% 12/1LT</v>
      </c>
      <c r="D50" s="9" t="str">
        <f>VLOOKUP(B50,'Unit of Measure ship March 2026'!A:C,3,false)</f>
        <v>LT</v>
      </c>
      <c r="F50" s="8">
        <v>11856.0</v>
      </c>
      <c r="G50" s="9" t="str">
        <f>VLOOKUP(F50,'FML March 2026'!E:F,2,false)</f>
        <v>POTATOES YUKON GOLD, LARGE, FRESH</v>
      </c>
      <c r="H50" s="9" t="str">
        <f>VLOOKUP(F50,'Unit of Measure ship March 2026'!A:C,3,false)</f>
        <v>LBS</v>
      </c>
      <c r="J50" s="49"/>
      <c r="K50" s="9"/>
      <c r="L50" s="9"/>
      <c r="N50" s="49"/>
      <c r="O50" s="9"/>
      <c r="P50" s="9"/>
    </row>
    <row r="51" ht="14.25" customHeight="1">
      <c r="B51" s="8">
        <v>30053.0</v>
      </c>
      <c r="C51" s="9" t="str">
        <f>VLOOKUP(B51,'FML March 2026'!E:F,2,false)</f>
        <v>HIBISCUS FLOWER DRY6/3 OZ  D`ALLESANDRO</v>
      </c>
      <c r="D51" s="9" t="str">
        <f>VLOOKUP(B51,'Unit of Measure ship March 2026'!A:C,3,false)</f>
        <v>JAR/3OZ</v>
      </c>
      <c r="F51" s="17">
        <v>15507.0</v>
      </c>
      <c r="G51" s="9" t="str">
        <f>VLOOKUP(F51,'FML March 2026'!E:F,2,false)</f>
        <v>POTATOES, BAKING, IDAHO #1, 100CT 50#/CS</v>
      </c>
      <c r="H51" s="9" t="str">
        <f>VLOOKUP(F51,'Unit of Measure ship March 2026'!A:C,3,false)</f>
        <v>LBS</v>
      </c>
      <c r="J51" s="49"/>
      <c r="K51" s="9"/>
      <c r="L51" s="9"/>
      <c r="N51" s="49"/>
      <c r="O51" s="9"/>
      <c r="P51" s="9"/>
    </row>
    <row r="52" ht="14.25" customHeight="1">
      <c r="B52" s="17">
        <v>15658.0</v>
      </c>
      <c r="C52" s="9" t="str">
        <f>VLOOKUP(B52,'FML March 2026'!E:F,2,false)</f>
        <v>HONEY 6/5 LB GROEB/MELONIA/SWEET HARVEST</v>
      </c>
      <c r="D52" s="9" t="str">
        <f>VLOOKUP(B52,'Unit of Measure ship March 2026'!A:C,3,false)</f>
        <v>KG</v>
      </c>
      <c r="F52" s="17">
        <v>111808.0</v>
      </c>
      <c r="G52" s="9" t="str">
        <f>VLOOKUP(F52,'FML March 2026'!E:F,2,false)</f>
        <v>RADISH SPROUT MICRO PURPLE FRESH HARPKE FARMS - PK/6 OZ PACKED IN 60 OZ CLAM SHELL SIZE</v>
      </c>
      <c r="H52" s="9" t="str">
        <f>VLOOKUP(F52,'Unit of Measure ship March 2026'!A:C,3,false)</f>
        <v>EA</v>
      </c>
      <c r="J52" s="49"/>
      <c r="K52" s="9"/>
      <c r="L52" s="9"/>
      <c r="N52" s="49"/>
      <c r="O52" s="9"/>
      <c r="P52" s="9"/>
    </row>
    <row r="53" ht="14.25" customHeight="1">
      <c r="B53" s="17">
        <v>16344.0</v>
      </c>
      <c r="C53" s="9" t="str">
        <f>VLOOKUP(B53,'FML March 2026'!E:F,2,false)</f>
        <v>HORSERADISH WHITE, PREPARED</v>
      </c>
      <c r="D53" s="9" t="str">
        <f>VLOOKUP(B53,'Unit of Measure ship March 2026'!A:C,3,false)</f>
        <v>GAL</v>
      </c>
      <c r="F53" s="17">
        <v>110065.0</v>
      </c>
      <c r="G53" s="9" t="str">
        <f>VLOOKUP(F53,'FML March 2026'!E:F,2,false)</f>
        <v>RADISH WATERMELON</v>
      </c>
      <c r="H53" s="9" t="str">
        <f>VLOOKUP(F53,'Unit of Measure ship March 2026'!A:C,3,false)</f>
        <v>LBS</v>
      </c>
      <c r="J53" s="49"/>
      <c r="K53" s="9"/>
      <c r="L53" s="9"/>
      <c r="N53" s="49"/>
      <c r="O53" s="9"/>
      <c r="P53" s="9"/>
    </row>
    <row r="54" ht="14.25" customHeight="1">
      <c r="B54" s="17">
        <v>16349.0</v>
      </c>
      <c r="C54" s="9" t="str">
        <f>VLOOKUP(B54,'FML March 2026'!E:F,2,false)</f>
        <v>KETCHUP, HEINZ, 51290, DRY, 6/#10</v>
      </c>
      <c r="D54" s="9" t="str">
        <f>VLOOKUP(B54,'Unit of Measure ship March 2026'!A:C,3,false)</f>
        <v>CN/6.5LB</v>
      </c>
      <c r="F54" s="17">
        <v>15518.0</v>
      </c>
      <c r="G54" s="9" t="str">
        <f>VLOOKUP(F54,'FML March 2026'!E:F,2,false)</f>
        <v>RADISHES, FRESH, BULK 40#</v>
      </c>
      <c r="H54" s="9" t="str">
        <f>VLOOKUP(F54,'Unit of Measure ship March 2026'!A:C,3,false)</f>
        <v>LBS</v>
      </c>
      <c r="J54" s="49"/>
      <c r="K54" s="9"/>
      <c r="L54" s="9"/>
      <c r="N54" s="49"/>
      <c r="O54" s="9"/>
      <c r="P54" s="9"/>
    </row>
    <row r="55" ht="14.25" customHeight="1">
      <c r="B55" s="17">
        <v>16949.0</v>
      </c>
      <c r="C55" s="9" t="str">
        <f>VLOOKUP(B55,'FML March 2026'!E:F,2,false)</f>
        <v>KOMBU SQUARE DASHI KST</v>
      </c>
      <c r="D55" s="9" t="str">
        <f>VLOOKUP(B55,'Unit of Measure ship March 2026'!A:C,3,false)</f>
        <v>PK/5LBS</v>
      </c>
      <c r="F55" s="17">
        <v>110054.0</v>
      </c>
      <c r="G55" s="9" t="str">
        <f>VLOOKUP(F55,'FML March 2026'!E:F,2,false)</f>
        <v>RED RIBBON SORREL FRESH</v>
      </c>
      <c r="H55" s="9" t="str">
        <f>VLOOKUP(F55,'Unit of Measure ship March 2026'!A:C,3,false)</f>
        <v>LBS</v>
      </c>
      <c r="J55" s="49"/>
      <c r="K55" s="9"/>
      <c r="L55" s="9"/>
      <c r="N55" s="49"/>
      <c r="O55" s="9"/>
      <c r="P55" s="9"/>
    </row>
    <row r="56" ht="14.25" customHeight="1">
      <c r="B56" s="17">
        <v>102749.0</v>
      </c>
      <c r="C56" s="9" t="str">
        <f>VLOOKUP(B56,'FML March 2026'!E:F,2,false)</f>
        <v>MASHED POTATO PELLET PLAIN CS 4/2.5KG LUTOSA/ WHITE TOQUE (IRELAND)</v>
      </c>
      <c r="D56" s="9" t="str">
        <f>VLOOKUP(B56,'Unit of Measure ship March 2026'!A:C,3,false)</f>
        <v>LBS</v>
      </c>
      <c r="F56" s="17">
        <v>11838.0</v>
      </c>
      <c r="G56" s="9" t="str">
        <f>VLOOKUP(F56,'FML March 2026'!E:F,2,false)</f>
        <v>ROMANESCO FRESH</v>
      </c>
      <c r="H56" s="9" t="str">
        <f>VLOOKUP(F56,'Unit of Measure ship March 2026'!A:C,3,false)</f>
        <v>LBS</v>
      </c>
      <c r="J56" s="49"/>
      <c r="K56" s="9"/>
      <c r="L56" s="9"/>
      <c r="N56" s="49"/>
      <c r="O56" s="9"/>
      <c r="P56" s="9"/>
    </row>
    <row r="57" ht="14.25" customHeight="1">
      <c r="B57" s="8">
        <v>109667.0</v>
      </c>
      <c r="C57" s="9" t="str">
        <f>VLOOKUP(B57,'FML March 2026'!E:F,2,false)</f>
        <v>MAYONNAISE, UNILEVER - HELLMANN'S, 4800126530, DRY, 4/1 GAL</v>
      </c>
      <c r="D57" s="9" t="str">
        <f>VLOOKUP(B57,'Unit of Measure ship March 2026'!A:C,3,false)</f>
        <v>GAL</v>
      </c>
      <c r="F57" s="17">
        <v>15427.0</v>
      </c>
      <c r="G57" s="9" t="str">
        <f>VLOOKUP(F57,'FML March 2026'!E:F,2,false)</f>
        <v>ROSEMARY (12 BUNCH) 1 LB/CS</v>
      </c>
      <c r="H57" s="9" t="str">
        <f>VLOOKUP(F57,'Unit of Measure ship March 2026'!A:C,3,false)</f>
        <v>LBS</v>
      </c>
      <c r="J57" s="49"/>
      <c r="K57" s="9"/>
      <c r="L57" s="9"/>
      <c r="N57" s="49"/>
      <c r="O57" s="9"/>
      <c r="P57" s="9"/>
    </row>
    <row r="58" ht="14.25" customHeight="1">
      <c r="B58" s="17">
        <v>11745.0</v>
      </c>
      <c r="C58" s="9" t="str">
        <f>VLOOKUP(B58,'FML March 2026'!E:F,2,false)</f>
        <v>MAYTAG BLUE CHEESE</v>
      </c>
      <c r="D58" s="9" t="str">
        <f>VLOOKUP(B58,'Unit of Measure ship March 2026'!A:C,3,false)</f>
        <v>LBS</v>
      </c>
      <c r="F58" s="17">
        <v>106885.0</v>
      </c>
      <c r="G58" s="9" t="str">
        <f>VLOOKUP(F58,'FML March 2026'!E:F,2,false)</f>
        <v>SEAWEED FRESH</v>
      </c>
      <c r="H58" s="9" t="str">
        <f>VLOOKUP(F58,'Unit of Measure ship March 2026'!A:C,3,false)</f>
        <v>KG</v>
      </c>
      <c r="J58" s="49"/>
      <c r="K58" s="9"/>
      <c r="L58" s="9"/>
      <c r="N58" s="49"/>
      <c r="O58" s="9"/>
      <c r="P58" s="9"/>
    </row>
    <row r="59" ht="14.25" customHeight="1">
      <c r="B59" s="17">
        <v>110932.0</v>
      </c>
      <c r="C59" s="9" t="str">
        <f>VLOOKUP(B59,'FML March 2026'!E:F,2,false)</f>
        <v>MILK POWDER  NON-FAT INSTANT</v>
      </c>
      <c r="D59" s="9" t="str">
        <f>VLOOKUP(B59,'Unit of Measure ship March 2026'!A:C,3,false)</f>
        <v>LBS</v>
      </c>
      <c r="F59" s="8">
        <v>15522.0</v>
      </c>
      <c r="G59" s="9" t="str">
        <f>VLOOKUP(F59,'FML March 2026'!E:F,2,false)</f>
        <v>SHALLOTS CLOVES #1 FRESH 5#</v>
      </c>
      <c r="H59" s="9" t="str">
        <f>VLOOKUP(F59,'Unit of Measure ship March 2026'!A:C,3,false)</f>
        <v>LBS</v>
      </c>
      <c r="J59" s="49"/>
      <c r="K59" s="9"/>
      <c r="L59" s="9"/>
      <c r="N59" s="49"/>
      <c r="O59" s="9"/>
      <c r="P59" s="9"/>
    </row>
    <row r="60" ht="14.25" customHeight="1">
      <c r="B60" s="17">
        <v>14869.0</v>
      </c>
      <c r="C60" s="9" t="str">
        <f>VLOOKUP(B60,'FML March 2026'!E:F,2,false)</f>
        <v>MILK, UHT, WHOLE, 3.5% FAT, DRY, 12/1 LT</v>
      </c>
      <c r="D60" s="9" t="str">
        <f>VLOOKUP(B60,'Unit of Measure ship March 2026'!A:C,3,false)</f>
        <v>LT</v>
      </c>
      <c r="F60" s="8">
        <v>15525.0</v>
      </c>
      <c r="G60" s="9" t="str">
        <f>VLOOKUP(F60,'FML March 2026'!E:F,2,false)</f>
        <v>SPINACH FLAT LEAF, FRESH, CRISP 4/2.5# 10#</v>
      </c>
      <c r="H60" s="9" t="str">
        <f>VLOOKUP(F60,'Unit of Measure ship March 2026'!A:C,3,false)</f>
        <v>LBS</v>
      </c>
      <c r="J60" s="49"/>
      <c r="K60" s="9"/>
      <c r="L60" s="9"/>
      <c r="N60" s="49"/>
      <c r="O60" s="9"/>
      <c r="P60" s="9"/>
    </row>
    <row r="61" ht="14.25" customHeight="1">
      <c r="B61" s="17">
        <v>112699.0</v>
      </c>
      <c r="C61" s="9" t="str">
        <f>VLOOKUP(B61,'FML March 2026'!E:F,2,false)</f>
        <v>MISO MOROMI (HISHIO) CS24/26.4 OZ MARUFUKU</v>
      </c>
      <c r="D61" s="9" t="str">
        <f>VLOOKUP(B61,'Unit of Measure ship March 2026'!A:C,3,false)</f>
        <v>LBS</v>
      </c>
      <c r="F61" s="17">
        <v>110912.0</v>
      </c>
      <c r="G61" s="9" t="str">
        <f>VLOOKUP(F61,'FML March 2026'!E:F,2,false)</f>
        <v>SPROUTS GREEN PEA TENDRIL</v>
      </c>
      <c r="H61" s="9" t="str">
        <f>VLOOKUP(F61,'Unit of Measure ship March 2026'!A:C,3,false)</f>
        <v>LBS</v>
      </c>
      <c r="J61" s="49"/>
      <c r="K61" s="9"/>
      <c r="L61" s="9"/>
      <c r="N61" s="49"/>
      <c r="O61" s="9"/>
      <c r="P61" s="9"/>
    </row>
    <row r="62" ht="14.25" customHeight="1">
      <c r="B62" s="8">
        <v>16948.0</v>
      </c>
      <c r="C62" s="9" t="str">
        <f>VLOOKUP(B62,'FML March 2026'!E:F,2,false)</f>
        <v>MISO PASTE WHITE, TUB</v>
      </c>
      <c r="D62" s="9" t="str">
        <f>VLOOKUP(B62,'Unit of Measure ship March 2026'!A:C,3,false)</f>
        <v>PC/2.2LB</v>
      </c>
      <c r="F62" s="17">
        <v>15420.0</v>
      </c>
      <c r="G62" s="9" t="str">
        <f>VLOOKUP(F62,'FML March 2026'!E:F,2,false)</f>
        <v>STRAWBERRIES DRISCOL CAL. LIGHT RED, PINTS</v>
      </c>
      <c r="H62" s="9" t="str">
        <f>VLOOKUP(F62,'Unit of Measure ship March 2026'!A:C,3,false)</f>
        <v>LBS</v>
      </c>
      <c r="J62" s="49"/>
      <c r="K62" s="9"/>
      <c r="L62" s="9"/>
      <c r="N62" s="49"/>
      <c r="O62" s="9"/>
      <c r="P62" s="9"/>
    </row>
    <row r="63" ht="14.25" customHeight="1">
      <c r="B63" s="8">
        <v>15711.0</v>
      </c>
      <c r="C63" s="9" t="str">
        <f>VLOOKUP(B63,'FML March 2026'!E:F,2,false)</f>
        <v>MOLASSES 4/1 GALLON GRANDMAS/ TORINO (USA )</v>
      </c>
      <c r="D63" s="9" t="str">
        <f>VLOOKUP(B63,'Unit of Measure ship March 2026'!A:C,3,false)</f>
        <v>GAL</v>
      </c>
      <c r="F63" s="8">
        <v>15575.0</v>
      </c>
      <c r="G63" s="9" t="str">
        <f>VLOOKUP(F63,'FML March 2026'!E:F,2,false)</f>
        <v>SWISS CHARD 24 BU 20#</v>
      </c>
      <c r="H63" s="9" t="str">
        <f>VLOOKUP(F63,'Unit of Measure ship March 2026'!A:C,3,false)</f>
        <v>LBS</v>
      </c>
      <c r="J63" s="49"/>
      <c r="K63" s="9"/>
      <c r="L63" s="9"/>
      <c r="N63" s="49"/>
      <c r="O63" s="9"/>
      <c r="P63" s="9"/>
    </row>
    <row r="64" ht="14.25" customHeight="1">
      <c r="B64" s="17">
        <v>15010.0</v>
      </c>
      <c r="C64" s="9" t="str">
        <f>VLOOKUP(B64,'FML March 2026'!E:F,2,false)</f>
        <v>MONTERREY JACK 10 LB WHEEL</v>
      </c>
      <c r="D64" s="9" t="str">
        <f>VLOOKUP(B64,'Unit of Measure ship March 2026'!A:C,3,false)</f>
        <v>LBS</v>
      </c>
      <c r="F64" s="17">
        <v>15442.0</v>
      </c>
      <c r="G64" s="9" t="str">
        <f>VLOOKUP(F64,'FML March 2026'!E:F,2,false)</f>
        <v>TARRAGON (12 BUNCH), 1 LB/CS</v>
      </c>
      <c r="H64" s="9" t="str">
        <f>VLOOKUP(F64,'Unit of Measure ship March 2026'!A:C,3,false)</f>
        <v>LBS</v>
      </c>
      <c r="J64" s="49"/>
      <c r="K64" s="9"/>
      <c r="L64" s="9"/>
      <c r="N64" s="49"/>
      <c r="O64" s="9"/>
      <c r="P64" s="9"/>
    </row>
    <row r="65" ht="14.25" customHeight="1">
      <c r="B65" s="17">
        <v>15911.0</v>
      </c>
      <c r="C65" s="9" t="str">
        <f>VLOOKUP(B65,'FML March 2026'!E:F,2,false)</f>
        <v>MUFFIN, ENGLISH, PLAIN, EASY SPLIT, 2 OZ EA, FZN, 6/12 EA</v>
      </c>
      <c r="D65" s="9" t="str">
        <f>VLOOKUP(B65,'Unit of Measure ship March 2026'!A:C,3,false)</f>
        <v>PK/12PC</v>
      </c>
      <c r="F65" s="17">
        <v>15446.0</v>
      </c>
      <c r="G65" s="9" t="str">
        <f>VLOOKUP(F65,'FML March 2026'!E:F,2,false)</f>
        <v>THYME FRESH</v>
      </c>
      <c r="H65" s="9" t="str">
        <f>VLOOKUP(F65,'Unit of Measure ship March 2026'!A:C,3,false)</f>
        <v>LBS</v>
      </c>
      <c r="J65" s="49"/>
      <c r="K65" s="9"/>
      <c r="L65" s="9"/>
      <c r="N65" s="49"/>
      <c r="O65" s="9"/>
      <c r="P65" s="9"/>
    </row>
    <row r="66" ht="14.25" customHeight="1">
      <c r="B66" s="17">
        <v>43426.0</v>
      </c>
      <c r="C66" s="9" t="str">
        <f>VLOOKUP(B66,'FML March 2026'!E:F,2,false)</f>
        <v>MUSHROOMS CHANTERELLES FROZEN (SPAIN )</v>
      </c>
      <c r="D66" s="9" t="str">
        <f>VLOOKUP(B66,'Unit of Measure ship March 2026'!A:C,3,false)</f>
        <v>LBS</v>
      </c>
      <c r="F66" s="17">
        <v>15537.0</v>
      </c>
      <c r="G66" s="9" t="str">
        <f>VLOOKUP(F66,'FML March 2026'!E:F,2,false)</f>
        <v>TOMATOES 6X6 #1 18# RED RIPE, FIRM (LAYERED), 55-65 MM</v>
      </c>
      <c r="H66" s="9" t="str">
        <f>VLOOKUP(F66,'Unit of Measure ship March 2026'!A:C,3,false)</f>
        <v>LBS</v>
      </c>
      <c r="K66" s="9"/>
      <c r="L66" s="9"/>
      <c r="N66" s="49"/>
      <c r="O66" s="9"/>
      <c r="P66" s="9"/>
    </row>
    <row r="67" ht="14.25" customHeight="1">
      <c r="B67" s="17">
        <v>16426.0</v>
      </c>
      <c r="C67" s="9" t="str">
        <f>VLOOKUP(B67,'FML March 2026'!E:F,2,false)</f>
        <v>MUSTARD  TUB GREY POUPON - DIJON MUSTARD PLAIN (FRANCE)</v>
      </c>
      <c r="D67" s="9" t="str">
        <f>VLOOKUP(B67,'Unit of Measure ship March 2026'!A:C,3,false)</f>
        <v>JAR/48OZ</v>
      </c>
      <c r="F67" s="17">
        <v>15568.0</v>
      </c>
      <c r="G67" s="9" t="str">
        <f>VLOOKUP(F67,'FML March 2026'!E:F,2,false)</f>
        <v>TOMATOES, TOMATILLOS 10#</v>
      </c>
      <c r="H67" s="9" t="str">
        <f>VLOOKUP(F67,'Unit of Measure ship March 2026'!A:C,3,false)</f>
        <v>LBS</v>
      </c>
      <c r="K67" s="9"/>
      <c r="L67" s="9"/>
      <c r="N67" s="49"/>
      <c r="O67" s="9"/>
      <c r="P67" s="9"/>
    </row>
    <row r="68" ht="14.25" customHeight="1">
      <c r="B68" s="17">
        <v>16320.0</v>
      </c>
      <c r="C68" s="9" t="str">
        <f>VLOOKUP(B68,'FML March 2026'!E:F,2,false)</f>
        <v>MUSTARD SEED 24 OZ D`ALLESANDRO/ SPICECO</v>
      </c>
      <c r="D68" s="9" t="str">
        <f>VLOOKUP(B68,'Unit of Measure ship March 2026'!A:C,3,false)</f>
        <v>LBS</v>
      </c>
      <c r="F68" s="17">
        <v>15540.0</v>
      </c>
      <c r="G68" s="9" t="str">
        <f>VLOOKUP(F68,'FML March 2026'!E:F,2,false)</f>
        <v>WATERCRESS (FULL BX) 10# 24BH "B &amp; W, FRESH, ICE PACKED" 1BX</v>
      </c>
      <c r="H68" s="9" t="str">
        <f>VLOOKUP(F68,'Unit of Measure ship March 2026'!A:C,3,false)</f>
        <v>LBS</v>
      </c>
      <c r="K68" s="9"/>
      <c r="L68" s="9"/>
      <c r="N68" s="49"/>
      <c r="O68" s="9"/>
      <c r="P68" s="9"/>
    </row>
    <row r="69" ht="14.25" customHeight="1">
      <c r="B69" s="17">
        <v>16114.0</v>
      </c>
      <c r="C69" s="9" t="str">
        <f>VLOOKUP(B69,'FML March 2026'!E:F,2,false)</f>
        <v>NORI SHEETS, 50CT (FULL SHEET)</v>
      </c>
      <c r="D69" s="9" t="str">
        <f>VLOOKUP(B69,'Unit of Measure ship March 2026'!A:C,3,false)</f>
        <v>PK/50PC</v>
      </c>
      <c r="G69" s="9"/>
      <c r="H69" s="9"/>
      <c r="J69" s="102"/>
      <c r="K69" s="9"/>
      <c r="L69" s="9"/>
      <c r="N69" s="49"/>
      <c r="O69" s="9"/>
      <c r="P69" s="9"/>
    </row>
    <row r="70" ht="14.25" customHeight="1">
      <c r="B70" s="8">
        <v>16266.0</v>
      </c>
      <c r="C70" s="9" t="str">
        <f>VLOOKUP(B70,'FML March 2026'!E:F,2,false)</f>
        <v>NUTMEG GROUND D`ALLESANDRO/ SPICECO (USA)</v>
      </c>
      <c r="D70" s="9" t="str">
        <f>VLOOKUP(B70,'Unit of Measure ship March 2026'!A:C,3,false)</f>
        <v>UNIT/1LB</v>
      </c>
      <c r="G70" s="9"/>
      <c r="H70" s="9"/>
      <c r="J70" s="102"/>
      <c r="K70" s="9"/>
      <c r="L70" s="9"/>
      <c r="N70" s="49"/>
      <c r="O70" s="9"/>
      <c r="P70" s="9"/>
    </row>
    <row r="71" ht="14.25" customHeight="1">
      <c r="B71" s="17">
        <v>109227.0</v>
      </c>
      <c r="C71" s="9" t="str">
        <f>VLOOKUP(B71,'FML March 2026'!E:F,2,false)</f>
        <v>NUTRITIONAL YEAST FLAKES VEGAN C6/5OZ BOBS RED ,MILL (USA)</v>
      </c>
      <c r="D71" s="9" t="str">
        <f>VLOOKUP(B71,'Unit of Measure ship March 2026'!A:C,3,false)</f>
        <v>CS6/5OZ</v>
      </c>
      <c r="G71" s="9"/>
      <c r="H71" s="9"/>
      <c r="J71" s="102"/>
      <c r="K71" s="9"/>
      <c r="L71" s="9"/>
      <c r="N71" s="49"/>
      <c r="O71" s="9"/>
      <c r="P71" s="9"/>
    </row>
    <row r="72" ht="14.25" customHeight="1">
      <c r="B72" s="30">
        <v>52602.0</v>
      </c>
      <c r="C72" s="9" t="str">
        <f>VLOOKUP(B72,'FML March 2026'!E:F,2,false)</f>
        <v>OIL, 100% OLIVE, EXTRA VIRGIN, DRY, 4/5 LT</v>
      </c>
      <c r="D72" s="9" t="str">
        <f>VLOOKUP(B72,'Unit of Measure ship March 2026'!A:C,3,false)</f>
        <v>LT</v>
      </c>
      <c r="G72" s="9"/>
      <c r="H72" s="9"/>
      <c r="J72" s="102"/>
      <c r="K72" s="9"/>
      <c r="L72" s="9"/>
      <c r="N72" s="49"/>
      <c r="O72" s="9"/>
      <c r="P72" s="9"/>
    </row>
    <row r="73" ht="14.25" customHeight="1">
      <c r="B73" s="17">
        <v>16377.0</v>
      </c>
      <c r="C73" s="9" t="str">
        <f>VLOOKUP(B73,'FML March 2026'!E:F,2,false)</f>
        <v>OIL, 100% VEGETABLE SOYBEAN, DRY, 4/5 LT</v>
      </c>
      <c r="D73" s="9" t="str">
        <f>VLOOKUP(B73,'Unit of Measure ship March 2026'!A:C,3,false)</f>
        <v>C4/5LT</v>
      </c>
      <c r="G73" s="9"/>
      <c r="H73" s="9"/>
      <c r="J73" s="102"/>
      <c r="K73" s="9"/>
      <c r="L73" s="9"/>
      <c r="N73" s="49"/>
      <c r="O73" s="9"/>
      <c r="P73" s="9"/>
    </row>
    <row r="74" ht="14.25" customHeight="1">
      <c r="B74" s="17">
        <v>10265.0</v>
      </c>
      <c r="C74" s="9" t="str">
        <f>VLOOKUP(B74,'FML March 2026'!E:F,2,false)</f>
        <v>OIL, FRYING, 100% SOYBEAN, TRANS FAT FREE, FLASHPOINT &gt;600F, DRY, 4/5 LT</v>
      </c>
      <c r="D74" s="9" t="str">
        <f>VLOOKUP(B74,'Unit of Measure ship March 2026'!A:C,3,false)</f>
        <v>CS4/5LT</v>
      </c>
      <c r="G74" s="9"/>
      <c r="H74" s="9"/>
      <c r="J74" s="102"/>
      <c r="K74" s="9"/>
      <c r="L74" s="9"/>
      <c r="N74" s="49"/>
      <c r="O74" s="9"/>
      <c r="P74" s="9"/>
    </row>
    <row r="75" ht="14.25" customHeight="1">
      <c r="B75" s="17">
        <v>18644.0</v>
      </c>
      <c r="C75" s="9" t="str">
        <f>VLOOKUP(B75,'FML March 2026'!E:F,2,false)</f>
        <v>OLD BAY SEASONING 16 OZ MC CORMICK</v>
      </c>
      <c r="D75" s="9" t="str">
        <f>VLOOKUP(B75,'Unit of Measure ship March 2026'!A:C,3,false)</f>
        <v>TIN16/OZ</v>
      </c>
      <c r="G75" s="9"/>
      <c r="H75" s="9"/>
      <c r="J75" s="102"/>
      <c r="K75" s="9"/>
      <c r="L75" s="9"/>
      <c r="N75" s="49"/>
      <c r="O75" s="9"/>
      <c r="P75" s="9"/>
    </row>
    <row r="76" ht="14.25" customHeight="1">
      <c r="B76" s="17">
        <v>52603.0</v>
      </c>
      <c r="C76" s="9" t="str">
        <f>VLOOKUP(B76,'FML March 2026'!E:F,2,false)</f>
        <v>OLIVE/CANOLA BLEND OIL</v>
      </c>
      <c r="D76" s="9" t="str">
        <f>VLOOKUP(B76,'Unit of Measure ship March 2026'!A:C,3,false)</f>
        <v>LT</v>
      </c>
      <c r="G76" s="9"/>
      <c r="H76" s="9"/>
      <c r="J76" s="102"/>
      <c r="K76" s="9"/>
      <c r="L76" s="9"/>
      <c r="N76" s="49"/>
      <c r="O76" s="9"/>
      <c r="P76" s="9"/>
    </row>
    <row r="77" ht="14.25" customHeight="1">
      <c r="B77" s="8">
        <v>16268.0</v>
      </c>
      <c r="C77" s="9" t="str">
        <f>VLOOKUP(B77,'FML March 2026'!E:F,2,false)</f>
        <v>OREGANO LEAVES WHOLE D`ALLESANDRO/ SPICECO</v>
      </c>
      <c r="D77" s="9" t="str">
        <f>VLOOKUP(B77,'Unit of Measure ship March 2026'!A:C,3,false)</f>
        <v>PC/5OZ</v>
      </c>
      <c r="G77" s="9"/>
      <c r="H77" s="9"/>
      <c r="J77" s="102"/>
      <c r="K77" s="9"/>
      <c r="L77" s="9"/>
      <c r="N77" s="49"/>
      <c r="O77" s="9"/>
      <c r="P77" s="9"/>
    </row>
    <row r="78" ht="14.25" customHeight="1">
      <c r="B78" s="17">
        <v>109697.0</v>
      </c>
      <c r="C78" s="9" t="str">
        <f>VLOOKUP(B78,'FML March 2026'!E:F,2,false)</f>
        <v>PAPRIKA SMOKED PKG 26.46  OZ LA CHINATA</v>
      </c>
      <c r="D78" s="9" t="str">
        <f>VLOOKUP(B78,'Unit of Measure ship March 2026'!A:C,3,false)</f>
        <v>KG</v>
      </c>
      <c r="G78" s="9"/>
      <c r="H78" s="9"/>
      <c r="J78" s="102"/>
      <c r="K78" s="9"/>
      <c r="L78" s="9"/>
      <c r="N78" s="49"/>
      <c r="O78" s="9"/>
      <c r="P78" s="9"/>
    </row>
    <row r="79" ht="14.25" customHeight="1">
      <c r="B79" s="8">
        <v>51211.0</v>
      </c>
      <c r="C79" s="9" t="str">
        <f>VLOOKUP(B79,'FML March 2026'!E:F,2,false)</f>
        <v>PASTE VANILLA FLAVOR 35 OZ PASTRY STAR #00057</v>
      </c>
      <c r="D79" s="9" t="str">
        <f>VLOOKUP(B79,'Unit of Measure ship March 2026'!A:C,3,false)</f>
        <v>BTL/35OZ</v>
      </c>
      <c r="G79" s="9"/>
      <c r="H79" s="9"/>
      <c r="J79" s="102"/>
      <c r="K79" s="9"/>
      <c r="L79" s="9"/>
      <c r="N79" s="49"/>
      <c r="O79" s="9"/>
      <c r="P79" s="9"/>
    </row>
    <row r="80" ht="14.25" customHeight="1">
      <c r="B80" s="17">
        <v>15819.0</v>
      </c>
      <c r="C80" s="9" t="str">
        <f>VLOOKUP(B80,'FML March 2026'!E:F,2,false)</f>
        <v>PECANS, HALVES, FANCY, JUMBO, DRY, 1/30 LB</v>
      </c>
      <c r="D80" s="9" t="str">
        <f>VLOOKUP(B80,'Unit of Measure ship March 2026'!A:C,3,false)</f>
        <v>LBS</v>
      </c>
      <c r="G80" s="9"/>
      <c r="H80" s="9"/>
      <c r="J80" s="102"/>
      <c r="K80" s="9"/>
      <c r="L80" s="9"/>
      <c r="N80" s="49"/>
      <c r="O80" s="9"/>
      <c r="P80" s="9"/>
    </row>
    <row r="81" ht="14.25" customHeight="1">
      <c r="B81" s="8">
        <v>108553.0</v>
      </c>
      <c r="C81" s="9" t="str">
        <f>VLOOKUP(B81,'FML March 2026'!E:F,2,false)</f>
        <v>PEPPER ARBOL  D'ALLESANDRO CS/5LB</v>
      </c>
      <c r="D81" s="9" t="str">
        <f>VLOOKUP(B81,'Unit of Measure ship March 2026'!A:C,3,false)</f>
        <v>KG</v>
      </c>
      <c r="G81" s="9"/>
      <c r="H81" s="9"/>
      <c r="J81" s="102"/>
      <c r="K81" s="9"/>
      <c r="L81" s="9"/>
      <c r="N81" s="49"/>
      <c r="O81" s="9"/>
      <c r="P81" s="9"/>
    </row>
    <row r="82" ht="14.25" customHeight="1">
      <c r="B82" s="17">
        <v>33681.0</v>
      </c>
      <c r="C82" s="9" t="str">
        <f>VLOOKUP(B82,'FML March 2026'!E:F,2,false)</f>
        <v>PEPPER BLACK GROUND BADIA (USA )</v>
      </c>
      <c r="D82" s="9" t="str">
        <f>VLOOKUP(B82,'Unit of Measure ship March 2026'!A:C,3,false)</f>
        <v>LBS</v>
      </c>
      <c r="G82" s="9"/>
      <c r="H82" s="9"/>
      <c r="J82" s="102"/>
      <c r="K82" s="9"/>
      <c r="L82" s="9"/>
      <c r="N82" s="49"/>
      <c r="O82" s="9"/>
      <c r="P82" s="9"/>
    </row>
    <row r="83" ht="14.25" customHeight="1">
      <c r="B83" s="17">
        <v>16302.0</v>
      </c>
      <c r="C83" s="9" t="str">
        <f>VLOOKUP(B83,'FML March 2026'!E:F,2,false)</f>
        <v>PEPPER CAYENNE GROUND BADIA (USA )</v>
      </c>
      <c r="D83" s="9" t="str">
        <f>VLOOKUP(B83,'Unit of Measure ship March 2026'!A:C,3,false)</f>
        <v>LBS</v>
      </c>
      <c r="G83" s="9"/>
      <c r="H83" s="9"/>
      <c r="J83" s="102"/>
      <c r="K83" s="9"/>
      <c r="L83" s="9"/>
      <c r="N83" s="49"/>
      <c r="O83" s="9"/>
      <c r="P83" s="9"/>
    </row>
    <row r="84" ht="14.25" customHeight="1">
      <c r="B84" s="17">
        <v>77928.0</v>
      </c>
      <c r="C84" s="9" t="str">
        <f>VLOOKUP(B84,'FML March 2026'!E:F,2,false)</f>
        <v>PEPPER PEPPADEW RED CHERRY PEPPER WHOLE SWEET PIQUANTE 2/6.5 LB</v>
      </c>
      <c r="D84" s="9" t="str">
        <f>VLOOKUP(B84,'Unit of Measure ship March 2026'!A:C,3,false)</f>
        <v>CN/6.5LB</v>
      </c>
      <c r="G84" s="9"/>
      <c r="H84" s="9"/>
      <c r="J84" s="102"/>
      <c r="K84" s="9"/>
      <c r="L84" s="9"/>
      <c r="N84" s="49"/>
      <c r="O84" s="9"/>
      <c r="P84" s="9"/>
    </row>
    <row r="85" ht="14.25" customHeight="1">
      <c r="B85" s="17">
        <v>16285.0</v>
      </c>
      <c r="C85" s="9" t="str">
        <f>VLOOKUP(B85,'FML March 2026'!E:F,2,false)</f>
        <v>PEPPERCORN, BLACK, WHOLE, DRY, 6/420 G</v>
      </c>
      <c r="D85" s="9" t="str">
        <f>VLOOKUP(B85,'Unit of Measure ship March 2026'!A:C,3,false)</f>
        <v>LBS</v>
      </c>
      <c r="G85" s="9"/>
      <c r="H85" s="9"/>
      <c r="J85" s="102"/>
      <c r="K85" s="9"/>
      <c r="L85" s="9"/>
      <c r="N85" s="49"/>
      <c r="O85" s="9"/>
      <c r="P85" s="9"/>
    </row>
    <row r="86" ht="14.25" customHeight="1">
      <c r="B86" s="8">
        <v>16408.0</v>
      </c>
      <c r="C86" s="9" t="str">
        <f>VLOOKUP(B86,'FML March 2026'!E:F,2,false)</f>
        <v>PICKLE, CORNICHON/GHERKIN</v>
      </c>
      <c r="D86" s="9" t="str">
        <f>VLOOKUP(B86,'Unit of Measure ship March 2026'!A:C,3,false)</f>
        <v>KG</v>
      </c>
      <c r="G86" s="9"/>
      <c r="H86" s="9"/>
      <c r="J86" s="102"/>
      <c r="K86" s="9"/>
      <c r="L86" s="9"/>
      <c r="N86" s="49"/>
      <c r="O86" s="9"/>
      <c r="P86" s="9"/>
    </row>
    <row r="87" ht="14.25" customHeight="1">
      <c r="B87" s="17">
        <v>109709.0</v>
      </c>
      <c r="C87" s="9" t="str">
        <f>VLOOKUP(B87,'FML March 2026'!E:F,2,false)</f>
        <v>PIERRE POIVRE PEPPER (LA BOITE A EPICE BRAND)</v>
      </c>
      <c r="D87" s="9" t="str">
        <f>VLOOKUP(B87,'Unit of Measure ship March 2026'!A:C,3,false)</f>
        <v>UNT/16OZ</v>
      </c>
      <c r="G87" s="9"/>
      <c r="H87" s="9"/>
      <c r="J87" s="102"/>
      <c r="K87" s="9"/>
      <c r="L87" s="9"/>
      <c r="N87" s="49"/>
      <c r="O87" s="9"/>
      <c r="P87" s="9"/>
    </row>
    <row r="88" ht="14.25" customHeight="1">
      <c r="B88" s="8">
        <v>53666.0</v>
      </c>
      <c r="C88" s="9" t="str">
        <f>VLOOKUP(B88,'FML March 2026'!E:F,2,false)</f>
        <v>PIQUILLO PIMIENTOS WHOLE ROASTED &amp; PEELED 6/#10</v>
      </c>
      <c r="D88" s="9" t="str">
        <f>VLOOKUP(B88,'Unit of Measure ship March 2026'!A:C,3,false)</f>
        <v>CAN/3KG</v>
      </c>
      <c r="G88" s="9"/>
      <c r="H88" s="9"/>
      <c r="J88" s="102"/>
      <c r="K88" s="9"/>
      <c r="L88" s="9"/>
      <c r="N88" s="49"/>
      <c r="O88" s="9"/>
      <c r="P88" s="9"/>
    </row>
    <row r="89" ht="14.25" customHeight="1">
      <c r="B89" s="17">
        <v>15894.0</v>
      </c>
      <c r="C89" s="9" t="str">
        <f>VLOOKUP(B89,'FML March 2026'!E:F,2,false)</f>
        <v>PISTACHIO NUTS WHOLE SHELLED RAW NUTLAND</v>
      </c>
      <c r="D89" s="9" t="str">
        <f>VLOOKUP(B89,'Unit of Measure ship March 2026'!A:C,3,false)</f>
        <v>LBS</v>
      </c>
      <c r="G89" s="9"/>
      <c r="H89" s="9"/>
      <c r="J89" s="102"/>
      <c r="K89" s="9"/>
      <c r="L89" s="9"/>
      <c r="N89" s="49"/>
      <c r="O89" s="9"/>
      <c r="P89" s="9"/>
    </row>
    <row r="90" ht="14.25" customHeight="1">
      <c r="B90" s="17">
        <v>16245.0</v>
      </c>
      <c r="C90" s="9" t="str">
        <f>VLOOKUP(B90,'FML March 2026'!E:F,2,false)</f>
        <v>POLENTA MEDIUM</v>
      </c>
      <c r="D90" s="9" t="str">
        <f>VLOOKUP(B90,'Unit of Measure ship March 2026'!A:C,3,false)</f>
        <v>LBS</v>
      </c>
      <c r="G90" s="9"/>
      <c r="H90" s="9"/>
      <c r="J90" s="102"/>
      <c r="K90" s="9"/>
      <c r="L90" s="9"/>
      <c r="O90" s="9"/>
      <c r="P90" s="9"/>
    </row>
    <row r="91" ht="14.25" customHeight="1">
      <c r="B91" s="17">
        <v>15202.0</v>
      </c>
      <c r="C91" s="9" t="str">
        <f>VLOOKUP(B91,'FML March 2026'!E:F,2,false)</f>
        <v>RHUBARB, CRIMSON, CUTS, IQF, FRZN</v>
      </c>
      <c r="D91" s="9" t="str">
        <f>VLOOKUP(B91,'Unit of Measure ship March 2026'!A:C,3,false)</f>
        <v>LBS</v>
      </c>
      <c r="G91" s="9"/>
      <c r="H91" s="9"/>
      <c r="J91" s="102"/>
      <c r="K91" s="9"/>
      <c r="L91" s="9"/>
      <c r="O91" s="9"/>
      <c r="P91" s="9"/>
    </row>
    <row r="92" ht="14.25" customHeight="1">
      <c r="B92" s="8">
        <v>16276.0</v>
      </c>
      <c r="C92" s="9" t="str">
        <f>VLOOKUP(B92,'FML March 2026'!E:F,2,false)</f>
        <v>ROSEMARY WHOLE 8 OZ BADIA (USA )</v>
      </c>
      <c r="D92" s="9" t="str">
        <f>VLOOKUP(B92,'Unit of Measure ship March 2026'!A:C,3,false)</f>
        <v>PC/8OZ</v>
      </c>
      <c r="G92" s="9"/>
      <c r="H92" s="9"/>
      <c r="J92" s="102"/>
      <c r="K92" s="9"/>
      <c r="L92" s="9"/>
      <c r="O92" s="9"/>
      <c r="P92" s="9"/>
    </row>
    <row r="93" ht="14.25" customHeight="1">
      <c r="B93" s="8">
        <v>142891.0</v>
      </c>
      <c r="C93" s="9" t="str">
        <f>VLOOKUP(B93,'FML March 2026'!E:F,2,false)</f>
        <v>SALT CURING PRAGUE #1 2.5 LB HOOSIER HILL</v>
      </c>
      <c r="D93" s="9" t="str">
        <f>VLOOKUP(B93,'Unit of Measure ship March 2026'!A:C,3,false)</f>
        <v>LBS</v>
      </c>
      <c r="G93" s="9"/>
      <c r="H93" s="9"/>
      <c r="J93" s="102"/>
      <c r="K93" s="9"/>
      <c r="L93" s="9"/>
      <c r="O93" s="9"/>
      <c r="P93" s="9"/>
    </row>
    <row r="94" ht="14.25" customHeight="1">
      <c r="B94" s="17">
        <v>16307.0</v>
      </c>
      <c r="C94" s="9" t="str">
        <f>VLOOKUP(B94,'FML March 2026'!E:F,2,false)</f>
        <v>SALT KOSHER GRANULATED</v>
      </c>
      <c r="D94" s="9" t="str">
        <f>VLOOKUP(B94,'Unit of Measure ship March 2026'!A:C,3,false)</f>
        <v>LBS</v>
      </c>
      <c r="G94" s="9"/>
      <c r="H94" s="9"/>
      <c r="J94" s="102"/>
      <c r="K94" s="9"/>
      <c r="L94" s="9"/>
      <c r="O94" s="9"/>
      <c r="P94" s="9"/>
    </row>
    <row r="95" ht="14.25" customHeight="1">
      <c r="B95" s="17">
        <v>27243.0</v>
      </c>
      <c r="C95" s="9" t="str">
        <f>VLOOKUP(B95,'FML March 2026'!E:F,2,false)</f>
        <v>SALT SEA COARSE 12/CS ROLAND (ITALY)</v>
      </c>
      <c r="D95" s="9" t="str">
        <f>VLOOKUP(B95,'Unit of Measure ship March 2026'!A:C,3,false)</f>
        <v>LBS</v>
      </c>
      <c r="G95" s="9"/>
      <c r="H95" s="9"/>
      <c r="J95" s="102"/>
      <c r="K95" s="9"/>
      <c r="L95" s="9"/>
      <c r="O95" s="9"/>
      <c r="P95" s="9"/>
    </row>
    <row r="96" ht="14.25" customHeight="1">
      <c r="B96" s="17">
        <v>20880.0</v>
      </c>
      <c r="C96" s="9" t="str">
        <f>VLOOKUP(B96,'FML March 2026'!E:F,2,false)</f>
        <v>SALT SEA MALDON</v>
      </c>
      <c r="D96" s="9" t="str">
        <f>VLOOKUP(B96,'Unit of Measure ship March 2026'!A:C,3,false)</f>
        <v>LBS</v>
      </c>
      <c r="G96" s="9"/>
      <c r="H96" s="9"/>
      <c r="J96" s="102"/>
      <c r="K96" s="9"/>
      <c r="L96" s="9"/>
      <c r="O96" s="9"/>
      <c r="P96" s="9"/>
    </row>
    <row r="97" ht="14.25" customHeight="1">
      <c r="B97" s="17">
        <v>16357.0</v>
      </c>
      <c r="C97" s="9" t="str">
        <f>VLOOKUP(B97,'FML March 2026'!E:F,2,false)</f>
        <v>SAUCE TABASCO RED  2 OZ</v>
      </c>
      <c r="D97" s="9" t="str">
        <f>VLOOKUP(B97,'Unit of Measure ship March 2026'!A:C,3,false)</f>
        <v>BTL/2OZ</v>
      </c>
      <c r="G97" s="9"/>
      <c r="H97" s="9"/>
      <c r="J97" s="102"/>
      <c r="K97" s="9"/>
      <c r="L97" s="9"/>
      <c r="O97" s="9"/>
      <c r="P97" s="9"/>
    </row>
    <row r="98" ht="14.25" customHeight="1">
      <c r="B98" s="17">
        <v>16354.0</v>
      </c>
      <c r="C98" s="9" t="str">
        <f>VLOOKUP(B98,'FML March 2026'!E:F,2,false)</f>
        <v>SAUCE, SOY, REG, DRY, 4/1 GAL</v>
      </c>
      <c r="D98" s="9" t="str">
        <f>VLOOKUP(B98,'Unit of Measure ship March 2026'!A:C,3,false)</f>
        <v>GAL</v>
      </c>
      <c r="G98" s="9"/>
      <c r="H98" s="9"/>
      <c r="J98" s="102"/>
      <c r="K98" s="9"/>
      <c r="L98" s="9"/>
      <c r="O98" s="9"/>
      <c r="P98" s="9"/>
    </row>
    <row r="99" ht="14.25" customHeight="1">
      <c r="B99" s="8">
        <v>20887.0</v>
      </c>
      <c r="C99" s="9" t="str">
        <f>VLOOKUP(B99,'FML March 2026'!E:F,2,false)</f>
        <v>SHICHIMI TOGARASHI CHINESE 7 FLAVOR CHILI PEPPERS</v>
      </c>
      <c r="D99" s="9" t="str">
        <f>VLOOKUP(B99,'Unit of Measure ship March 2026'!A:C,3,false)</f>
        <v>LBS</v>
      </c>
      <c r="G99" s="9"/>
      <c r="H99" s="9"/>
      <c r="J99" s="102"/>
      <c r="K99" s="9"/>
      <c r="L99" s="9"/>
      <c r="O99" s="9"/>
      <c r="P99" s="9"/>
    </row>
    <row r="100" ht="14.25" customHeight="1">
      <c r="B100" s="17">
        <v>109695.0</v>
      </c>
      <c r="C100" s="9" t="str">
        <f>VLOOKUP(B100,'FML March 2026'!E:F,2,false)</f>
        <v>SMOKED SALT MALDON</v>
      </c>
      <c r="D100" s="9" t="str">
        <f>VLOOKUP(B100,'Unit of Measure ship March 2026'!A:C,3,false)</f>
        <v>LBS</v>
      </c>
      <c r="G100" s="9"/>
      <c r="H100" s="9"/>
      <c r="J100" s="102"/>
      <c r="K100" s="9"/>
      <c r="L100" s="9"/>
      <c r="O100" s="9"/>
      <c r="P100" s="9"/>
    </row>
    <row r="101" ht="14.25" customHeight="1">
      <c r="B101" s="17">
        <v>109936.0</v>
      </c>
      <c r="C101" s="9" t="str">
        <f>VLOOKUP(B101,'FML March 2026'!E:F,2,false)</f>
        <v>SOUR CREAM ALTERNATIVE VEGAN PLANT PERFECT</v>
      </c>
      <c r="D101" s="9" t="str">
        <f>VLOOKUP(B101,'Unit of Measure ship March 2026'!A:C,3,false)</f>
        <v>LBS</v>
      </c>
      <c r="G101" s="9"/>
      <c r="H101" s="9"/>
      <c r="J101" s="102"/>
      <c r="K101" s="9"/>
      <c r="L101" s="9"/>
      <c r="O101" s="9"/>
      <c r="P101" s="9"/>
    </row>
    <row r="102" ht="14.25" customHeight="1">
      <c r="B102" s="8">
        <v>20150.0</v>
      </c>
      <c r="C102" s="9" t="str">
        <f>VLOOKUP(B102,'FML March 2026'!E:F,2,false)</f>
        <v>SOY SAUCE 4/1 GALLON KIKKOMAN</v>
      </c>
      <c r="D102" s="9" t="str">
        <f>VLOOKUP(B102,'Unit of Measure ship March 2026'!A:C,3,false)</f>
        <v>GAL</v>
      </c>
      <c r="G102" s="9"/>
      <c r="H102" s="9"/>
      <c r="J102" s="102"/>
      <c r="K102" s="9"/>
      <c r="L102" s="9"/>
      <c r="O102" s="9"/>
      <c r="P102" s="9"/>
    </row>
    <row r="103" ht="14.25" customHeight="1">
      <c r="B103" s="17">
        <v>20151.0</v>
      </c>
      <c r="C103" s="9" t="str">
        <f>VLOOKUP(B103,'FML March 2026'!E:F,2,false)</f>
        <v>SOY SAUCE LOWER SODIUM CS6/64OZ KIKKOMAN #00130 (USA)</v>
      </c>
      <c r="D103" s="9" t="str">
        <f>VLOOKUP(B103,'Unit of Measure ship March 2026'!A:C,3,false)</f>
        <v>BTL/64OZ</v>
      </c>
      <c r="G103" s="9"/>
      <c r="H103" s="9"/>
      <c r="J103" s="102"/>
      <c r="K103" s="9"/>
      <c r="L103" s="9"/>
      <c r="O103" s="9"/>
      <c r="P103" s="9"/>
    </row>
    <row r="104" ht="14.25" customHeight="1">
      <c r="B104" s="77">
        <v>110881.0</v>
      </c>
      <c r="C104" s="33" t="str">
        <f>VLOOKUP(B104,'FML March 2026'!E:F,2,false)</f>
        <v>SOY SAUCE WHITE BTL 750ML HAMIAMATSU HOMINTO</v>
      </c>
      <c r="D104" s="33" t="str">
        <f>VLOOKUP(B104,'Unit of Measure ship March 2026'!A:C,3,false)</f>
        <v>BT/750ML</v>
      </c>
      <c r="G104" s="9"/>
      <c r="H104" s="9"/>
      <c r="J104" s="102"/>
      <c r="K104" s="9"/>
      <c r="L104" s="9"/>
      <c r="O104" s="9"/>
      <c r="P104" s="9"/>
    </row>
    <row r="105" ht="14.25" customHeight="1">
      <c r="B105" s="8">
        <v>107138.0</v>
      </c>
      <c r="C105" s="9" t="str">
        <f>VLOOKUP(B105,'FML March 2026'!E:F,2,false)</f>
        <v>SPICE SAFFRON THREADS SPANISH (SPAIN)</v>
      </c>
      <c r="D105" s="9" t="str">
        <f>VLOOKUP(B105,'Unit of Measure ship March 2026'!A:C,3,false)</f>
        <v>CAN/1-OZ</v>
      </c>
      <c r="G105" s="9"/>
      <c r="H105" s="9"/>
      <c r="J105" s="102"/>
      <c r="K105" s="9"/>
      <c r="L105" s="9"/>
      <c r="O105" s="9"/>
      <c r="P105" s="9"/>
    </row>
    <row r="106" ht="14.25" customHeight="1">
      <c r="B106" s="8">
        <v>20879.0</v>
      </c>
      <c r="C106" s="9" t="str">
        <f>VLOOKUP(B106,'FML March 2026'!E:F,2,false)</f>
        <v>SRIRACHA, HOT CHILI SAUCE, HUY FONG, 28OZ</v>
      </c>
      <c r="D106" s="9" t="str">
        <f>VLOOKUP(B106,'Unit of Measure ship March 2026'!A:C,3,false)</f>
        <v>BT/17OZ</v>
      </c>
      <c r="G106" s="9"/>
      <c r="H106" s="9"/>
      <c r="J106" s="102"/>
      <c r="K106" s="9"/>
      <c r="L106" s="9"/>
      <c r="O106" s="9"/>
      <c r="P106" s="9"/>
    </row>
    <row r="107" ht="14.25" customHeight="1">
      <c r="B107" s="8">
        <v>15646.0</v>
      </c>
      <c r="C107" s="9" t="str">
        <f>VLOOKUP(B107,'FML March 2026'!E:F,2,false)</f>
        <v>SUGAR BROWN DARK  24/1LB  DOMINO (404310) (USA)</v>
      </c>
      <c r="D107" s="9" t="str">
        <f>VLOOKUP(B107,'Unit of Measure ship March 2026'!A:C,3,false)</f>
        <v>LBS</v>
      </c>
      <c r="G107" s="9"/>
      <c r="H107" s="9"/>
      <c r="J107" s="102"/>
      <c r="K107" s="9"/>
      <c r="L107" s="9"/>
      <c r="O107" s="9"/>
      <c r="P107" s="9"/>
    </row>
    <row r="108" ht="14.25" customHeight="1">
      <c r="B108" s="8">
        <v>15642.0</v>
      </c>
      <c r="C108" s="9" t="str">
        <f>VLOOKUP(B108,'FML March 2026'!E:F,2,false)</f>
        <v>SUGAR, GRANULATED, ICUMSA 150, SUGARCANE, DRY, 1/50 LB</v>
      </c>
      <c r="D108" s="9" t="str">
        <f>VLOOKUP(B108,'Unit of Measure ship March 2026'!A:C,3,false)</f>
        <v>LBS</v>
      </c>
      <c r="G108" s="9"/>
      <c r="H108" s="9"/>
      <c r="J108" s="102"/>
      <c r="K108" s="9"/>
      <c r="L108" s="9"/>
      <c r="O108" s="9"/>
      <c r="P108" s="9"/>
    </row>
    <row r="109" ht="14.25" customHeight="1">
      <c r="B109" s="17">
        <v>15644.0</v>
      </c>
      <c r="C109" s="9" t="str">
        <f>VLOOKUP(B109,'FML March 2026'!E:F,2,false)</f>
        <v>SUGAR, POWDERED, W/ CORNSTARCH, DRY, 24/1 LB</v>
      </c>
      <c r="D109" s="9" t="str">
        <f>VLOOKUP(B109,'Unit of Measure ship March 2026'!A:C,3,false)</f>
        <v>LBS</v>
      </c>
      <c r="G109" s="9"/>
      <c r="H109" s="9"/>
      <c r="J109" s="102"/>
      <c r="K109" s="9"/>
      <c r="L109" s="9"/>
      <c r="O109" s="9"/>
      <c r="P109" s="9"/>
    </row>
    <row r="110" ht="14.25" customHeight="1">
      <c r="B110" s="17">
        <v>29904.0</v>
      </c>
      <c r="C110" s="9" t="str">
        <f>VLOOKUP(B110,'FML March 2026'!E:F,2,false)</f>
        <v>SYRUP, MAPLE, 100% PURE, GRADE A, AMBER, DRY, 4/4 LT</v>
      </c>
      <c r="D110" s="9" t="str">
        <f>VLOOKUP(B110,'Unit of Measure ship March 2026'!A:C,3,false)</f>
        <v>BOX/4LTR</v>
      </c>
      <c r="G110" s="9"/>
      <c r="H110" s="9"/>
      <c r="J110" s="102"/>
      <c r="K110" s="9"/>
      <c r="L110" s="9"/>
      <c r="O110" s="9"/>
      <c r="P110" s="9"/>
    </row>
    <row r="111" ht="14.25" customHeight="1">
      <c r="B111" s="78">
        <v>143140.0</v>
      </c>
      <c r="C111" s="33" t="str">
        <f>VLOOKUP(B111,'FML March 2026'!E:F,2,false)</f>
        <v>TOMATO, WHOLE, PEELED, IN JUICE, DRY, 6/#10</v>
      </c>
      <c r="D111" s="33" t="str">
        <f>VLOOKUP(B111,'Unit of Measure ship March 2026'!A:C,3,false)</f>
        <v>C6/6.5LB</v>
      </c>
      <c r="G111" s="9"/>
      <c r="H111" s="9"/>
      <c r="J111" s="102"/>
      <c r="K111" s="9"/>
      <c r="L111" s="9"/>
      <c r="O111" s="9"/>
      <c r="P111" s="9"/>
    </row>
    <row r="112" ht="14.25" customHeight="1">
      <c r="B112" s="77">
        <v>20844.0</v>
      </c>
      <c r="C112" s="33" t="str">
        <f>VLOOKUP(B112,'FML March 2026'!E:F,2,false)</f>
        <v>VEAL DEMI GLACE CUISINE SOLUTIONS 1003743 (NO INSPECTION NEEDED) (NETHERLANDS)</v>
      </c>
      <c r="D112" s="33" t="str">
        <f>VLOOKUP(B112,'Unit of Measure ship March 2026'!A:C,3,false)</f>
        <v>LBS</v>
      </c>
      <c r="G112" s="9"/>
      <c r="H112" s="9"/>
      <c r="J112" s="102"/>
      <c r="K112" s="9"/>
      <c r="L112" s="9"/>
      <c r="O112" s="9"/>
      <c r="P112" s="9"/>
    </row>
    <row r="113" ht="14.25" customHeight="1">
      <c r="B113" s="8">
        <v>111933.0</v>
      </c>
      <c r="C113" s="9" t="str">
        <f>VLOOKUP(B113,'FML March 2026'!E:F,2,false)</f>
        <v>VEGETABLE STOCK LIQUID  CS 4.5/ LITER SAVORY CHOICE</v>
      </c>
      <c r="D113" s="9" t="str">
        <f>VLOOKUP(B113,'Unit of Measure ship March 2026'!A:C,3,false)</f>
        <v>LT</v>
      </c>
      <c r="G113" s="9"/>
      <c r="H113" s="9"/>
      <c r="J113" s="102"/>
      <c r="K113" s="9"/>
      <c r="L113" s="9"/>
      <c r="O113" s="9"/>
      <c r="P113" s="9"/>
    </row>
    <row r="114" ht="14.25" customHeight="1">
      <c r="B114" s="77">
        <v>109665.0</v>
      </c>
      <c r="C114" s="33" t="str">
        <f>VLOOKUP(B114,'FML March 2026'!E:F,2,false)</f>
        <v>VINEGAR CABERNET SPARROW LANE</v>
      </c>
      <c r="D114" s="33" t="str">
        <f>VLOOKUP(B114,'Unit of Measure ship March 2026'!A:C,3,false)</f>
        <v>GAL</v>
      </c>
      <c r="G114" s="9"/>
      <c r="H114" s="9"/>
      <c r="J114" s="102"/>
      <c r="K114" s="9"/>
      <c r="L114" s="9"/>
      <c r="O114" s="9"/>
      <c r="P114" s="9"/>
    </row>
    <row r="115" ht="14.25" customHeight="1">
      <c r="B115" s="8">
        <v>109666.0</v>
      </c>
      <c r="C115" s="9" t="str">
        <f>VLOOKUP(B115,'FML March 2026'!E:F,2,false)</f>
        <v>VINEGAR CHAMPAGNE WINE SPARROW LANE/ PACKER</v>
      </c>
      <c r="D115" s="9" t="str">
        <f>VLOOKUP(B115,'Unit of Measure ship March 2026'!A:C,3,false)</f>
        <v>GAL</v>
      </c>
      <c r="G115" s="9"/>
      <c r="H115" s="9"/>
      <c r="J115" s="102"/>
      <c r="K115" s="9"/>
      <c r="L115" s="9"/>
      <c r="O115" s="9"/>
      <c r="P115" s="9"/>
    </row>
    <row r="116" ht="14.25" customHeight="1">
      <c r="B116" s="17">
        <v>112015.0</v>
      </c>
      <c r="C116" s="9" t="str">
        <f>VLOOKUP(B116,'FML March 2026'!E:F,2,false)</f>
        <v>VINEGAR DARK BALSAMIC CS 4/1 GAL  SPARROW LANE</v>
      </c>
      <c r="D116" s="9" t="str">
        <f>VLOOKUP(B116,'Unit of Measure ship March 2026'!A:C,3,false)</f>
        <v>GAL</v>
      </c>
      <c r="G116" s="9"/>
      <c r="H116" s="9"/>
      <c r="J116" s="102"/>
      <c r="K116" s="9"/>
      <c r="L116" s="9"/>
      <c r="O116" s="9"/>
      <c r="P116" s="9"/>
    </row>
    <row r="117" ht="14.25" customHeight="1">
      <c r="B117" s="8">
        <v>16402.0</v>
      </c>
      <c r="C117" s="9" t="str">
        <f>VLOOKUP(B117,'FML March 2026'!E:F,2,false)</f>
        <v>VINEGAR SHERRY/ XERES CS4/5 LT ROLAND</v>
      </c>
      <c r="D117" s="9" t="str">
        <f>VLOOKUP(B117,'Unit of Measure ship March 2026'!A:C,3,false)</f>
        <v>BT/750ML</v>
      </c>
      <c r="G117" s="9"/>
      <c r="H117" s="9"/>
      <c r="J117" s="102"/>
      <c r="K117" s="9"/>
      <c r="L117" s="9"/>
      <c r="O117" s="9"/>
      <c r="P117" s="9"/>
    </row>
    <row r="118" ht="14.25" customHeight="1">
      <c r="B118" s="8">
        <v>10033.0</v>
      </c>
      <c r="C118" s="9" t="str">
        <f>VLOOKUP(B118,'FML March 2026'!E:F,2,false)</f>
        <v>VINEGAR, RED WINE VINEGAR</v>
      </c>
      <c r="D118" s="9" t="str">
        <f>VLOOKUP(B118,'Unit of Measure ship March 2026'!A:C,3,false)</f>
        <v>BTL/5LT</v>
      </c>
      <c r="G118" s="9"/>
      <c r="H118" s="9"/>
      <c r="J118" s="102"/>
      <c r="K118" s="9"/>
      <c r="L118" s="9"/>
      <c r="N118" s="51"/>
      <c r="O118" s="9"/>
      <c r="P118" s="9"/>
    </row>
    <row r="119" ht="14.25" customHeight="1">
      <c r="B119" s="8">
        <v>16413.0</v>
      </c>
      <c r="C119" s="9" t="str">
        <f>VLOOKUP(B119,'FML March 2026'!E:F,2,false)</f>
        <v>VINEGAR, RICE WINE, UNSEASONED, JUG</v>
      </c>
      <c r="D119" s="9" t="str">
        <f>VLOOKUP(B119,'Unit of Measure ship March 2026'!A:C,3,false)</f>
        <v>GAL</v>
      </c>
      <c r="G119" s="9"/>
      <c r="H119" s="9"/>
      <c r="J119" s="102"/>
      <c r="K119" s="9"/>
      <c r="L119" s="9"/>
      <c r="N119" s="51"/>
      <c r="O119" s="9"/>
      <c r="P119" s="9"/>
    </row>
    <row r="120" ht="14.25" customHeight="1">
      <c r="B120" s="8">
        <v>16374.0</v>
      </c>
      <c r="C120" s="9" t="str">
        <f>VLOOKUP(B120,'FML March 2026'!E:F,2,false)</f>
        <v>VINEGAR, WHITE DISTILLED</v>
      </c>
      <c r="D120" s="9" t="str">
        <f>VLOOKUP(B120,'Unit of Measure ship March 2026'!A:C,3,false)</f>
        <v>BTL/5LT</v>
      </c>
      <c r="G120" s="9"/>
      <c r="H120" s="9"/>
      <c r="J120" s="102"/>
      <c r="K120" s="9"/>
      <c r="L120" s="9"/>
      <c r="N120" s="51"/>
      <c r="O120" s="9"/>
      <c r="P120" s="9"/>
    </row>
    <row r="121" ht="14.25" customHeight="1">
      <c r="B121" s="17">
        <v>49450.0</v>
      </c>
      <c r="C121" s="9" t="str">
        <f>VLOOKUP(B121,'FML March 2026'!E:F,2,false)</f>
        <v>WHIPPING CREAM (35% TO 36%) UHT</v>
      </c>
      <c r="D121" s="9" t="str">
        <f>VLOOKUP(B121,'Unit of Measure ship March 2026'!A:C,3,false)</f>
        <v>QRT</v>
      </c>
      <c r="G121" s="9"/>
      <c r="H121" s="9"/>
      <c r="J121" s="102"/>
      <c r="K121" s="9"/>
      <c r="L121" s="9"/>
      <c r="N121" s="51"/>
      <c r="O121" s="9"/>
      <c r="P121" s="9"/>
    </row>
    <row r="122" ht="14.25" customHeight="1">
      <c r="B122" s="17">
        <v>16387.0</v>
      </c>
      <c r="C122" s="9" t="str">
        <f>VLOOKUP(B122,'FML March 2026'!E:F,2,false)</f>
        <v>WHITE TRUFFLE OIL</v>
      </c>
      <c r="D122" s="9" t="str">
        <f>VLOOKUP(B122,'Unit of Measure ship March 2026'!A:C,3,false)</f>
        <v>BT/250ML</v>
      </c>
      <c r="G122" s="9"/>
      <c r="H122" s="9"/>
      <c r="J122" s="102"/>
      <c r="K122" s="9"/>
      <c r="L122" s="9"/>
      <c r="N122" s="51"/>
      <c r="O122" s="9"/>
      <c r="P122" s="9"/>
    </row>
    <row r="123" ht="14.25" customHeight="1">
      <c r="B123" s="8">
        <v>16358.0</v>
      </c>
      <c r="C123" s="9" t="str">
        <f>VLOOKUP(B123,'FML March 2026'!E:F,2,false)</f>
        <v>WORCESTERSHIRE SAUCE 5 OZ LEA &amp; PERRINS</v>
      </c>
      <c r="D123" s="9" t="str">
        <f>VLOOKUP(B123,'Unit of Measure ship March 2026'!A:C,3,false)</f>
        <v>BTL/5OZ</v>
      </c>
      <c r="G123" s="9"/>
      <c r="H123" s="9"/>
      <c r="J123" s="102"/>
      <c r="K123" s="9"/>
      <c r="L123" s="9"/>
      <c r="N123" s="51"/>
      <c r="O123" s="9"/>
      <c r="P123" s="9"/>
    </row>
    <row r="124" ht="14.25" customHeight="1">
      <c r="B124" s="17">
        <v>102288.0</v>
      </c>
      <c r="C124" s="9" t="str">
        <f>VLOOKUP(B124,'FML March 2026'!E:F,2,false)</f>
        <v>XANTHAN GUM (AUSTRIA)</v>
      </c>
      <c r="D124" s="9" t="str">
        <f>VLOOKUP(B124,'Unit of Measure ship March 2026'!A:C,3,false)</f>
        <v>LBS</v>
      </c>
      <c r="G124" s="9"/>
      <c r="H124" s="9"/>
      <c r="J124" s="102"/>
      <c r="K124" s="9"/>
      <c r="L124" s="9"/>
      <c r="N124" s="51"/>
      <c r="O124" s="9"/>
      <c r="P124" s="9"/>
    </row>
    <row r="125" ht="14.25" customHeight="1">
      <c r="B125" s="17">
        <v>109846.0</v>
      </c>
      <c r="C125" s="9" t="str">
        <f>VLOOKUP(B125,'FML March 2026'!E:F,2,false)</f>
        <v>YOGURT GREEK BULK</v>
      </c>
      <c r="D125" s="9" t="str">
        <f>VLOOKUP(B125,'Unit of Measure ship March 2026'!A:C,3,false)</f>
        <v>LBS</v>
      </c>
      <c r="G125" s="9"/>
      <c r="H125" s="9"/>
      <c r="J125" s="102"/>
      <c r="K125" s="9"/>
      <c r="L125" s="9"/>
      <c r="N125" s="51"/>
      <c r="O125" s="9"/>
      <c r="P125" s="9"/>
    </row>
    <row r="126" ht="14.25" customHeight="1">
      <c r="B126" s="8">
        <v>19409.0</v>
      </c>
      <c r="C126" s="9" t="str">
        <f>VLOOKUP(B126,'FML March 2026'!E:F,2,false)</f>
        <v>YUZU JUICE PURE UNSEASONED SHIBORI YAKAMI ORCHARD</v>
      </c>
      <c r="D126" s="9" t="str">
        <f>VLOOKUP(B126,'Unit of Measure ship March 2026'!A:C,3,false)</f>
        <v>BT/750ML</v>
      </c>
      <c r="G126" s="9"/>
      <c r="H126" s="9"/>
      <c r="J126" s="102"/>
      <c r="K126" s="9"/>
      <c r="L126" s="9"/>
      <c r="N126" s="51"/>
      <c r="O126" s="9"/>
      <c r="P126" s="9"/>
    </row>
    <row r="127" ht="14.25" customHeight="1">
      <c r="B127" s="58"/>
      <c r="C127" s="33"/>
      <c r="D127" s="33"/>
      <c r="G127" s="9"/>
      <c r="H127" s="9"/>
      <c r="J127" s="102"/>
      <c r="K127" s="9"/>
      <c r="L127" s="9"/>
      <c r="N127" s="51"/>
      <c r="O127" s="9"/>
      <c r="P127" s="9"/>
    </row>
    <row r="128" ht="14.25" customHeight="1">
      <c r="B128" s="58"/>
      <c r="C128" s="33"/>
      <c r="D128" s="33"/>
      <c r="G128" s="9"/>
      <c r="H128" s="9"/>
      <c r="J128" s="102"/>
      <c r="K128" s="9"/>
      <c r="L128" s="9"/>
      <c r="N128" s="51"/>
      <c r="O128" s="9"/>
      <c r="P128" s="9"/>
    </row>
    <row r="129" ht="14.25" customHeight="1">
      <c r="B129" s="58"/>
      <c r="C129" s="33"/>
      <c r="D129" s="33"/>
      <c r="G129" s="9"/>
      <c r="H129" s="9"/>
      <c r="J129" s="102"/>
      <c r="K129" s="9"/>
      <c r="L129" s="9"/>
      <c r="N129" s="51"/>
      <c r="O129" s="9"/>
      <c r="P129" s="9"/>
    </row>
    <row r="130" ht="14.25" customHeight="1">
      <c r="C130" s="9"/>
      <c r="D130" s="9"/>
      <c r="G130" s="9"/>
      <c r="H130" s="9"/>
      <c r="J130" s="102"/>
      <c r="K130" s="9"/>
      <c r="L130" s="9"/>
      <c r="N130" s="51"/>
      <c r="O130" s="9"/>
      <c r="P130" s="9"/>
    </row>
    <row r="131" ht="14.25" customHeight="1">
      <c r="C131" s="9"/>
      <c r="D131" s="9"/>
      <c r="G131" s="9"/>
      <c r="H131" s="9"/>
      <c r="J131" s="102"/>
      <c r="K131" s="9"/>
      <c r="L131" s="9"/>
      <c r="N131" s="51"/>
      <c r="O131" s="9"/>
      <c r="P131" s="9"/>
    </row>
    <row r="132" ht="14.25" customHeight="1">
      <c r="C132" s="9"/>
      <c r="D132" s="9"/>
      <c r="G132" s="9"/>
      <c r="H132" s="9"/>
      <c r="J132" s="102"/>
      <c r="K132" s="9"/>
      <c r="L132" s="9"/>
      <c r="N132" s="51"/>
      <c r="O132" s="9"/>
      <c r="P132" s="9"/>
    </row>
    <row r="133" ht="14.25" customHeight="1">
      <c r="C133" s="9"/>
      <c r="D133" s="9"/>
      <c r="G133" s="9"/>
      <c r="H133" s="9"/>
      <c r="J133" s="102"/>
      <c r="K133" s="9"/>
      <c r="L133" s="9"/>
      <c r="N133" s="51"/>
      <c r="O133" s="9"/>
      <c r="P133" s="9"/>
    </row>
    <row r="134" ht="14.25" customHeight="1">
      <c r="C134" s="9"/>
      <c r="D134" s="9"/>
      <c r="G134" s="9"/>
      <c r="H134" s="9"/>
      <c r="J134" s="102"/>
      <c r="K134" s="9"/>
      <c r="L134" s="9"/>
      <c r="N134" s="51"/>
      <c r="O134" s="9"/>
      <c r="P134" s="9"/>
    </row>
    <row r="135" ht="14.25" customHeight="1">
      <c r="C135" s="9"/>
      <c r="D135" s="9"/>
      <c r="G135" s="9"/>
      <c r="H135" s="9"/>
      <c r="J135" s="102"/>
      <c r="K135" s="9"/>
      <c r="L135" s="9"/>
      <c r="N135" s="51"/>
      <c r="O135" s="9"/>
      <c r="P135" s="9"/>
    </row>
    <row r="136" ht="14.25" customHeight="1">
      <c r="C136" s="9"/>
      <c r="D136" s="9"/>
      <c r="G136" s="9"/>
      <c r="H136" s="9"/>
      <c r="J136" s="102"/>
      <c r="K136" s="9"/>
      <c r="L136" s="9"/>
      <c r="N136" s="51"/>
      <c r="O136" s="9"/>
      <c r="P136" s="9"/>
    </row>
    <row r="137" ht="14.25" customHeight="1">
      <c r="C137" s="9"/>
      <c r="D137" s="9"/>
      <c r="G137" s="9"/>
      <c r="H137" s="9"/>
      <c r="J137" s="102"/>
      <c r="K137" s="9"/>
      <c r="L137" s="9"/>
      <c r="N137" s="51"/>
      <c r="O137" s="9"/>
      <c r="P137" s="9"/>
    </row>
    <row r="138" ht="14.25" customHeight="1">
      <c r="C138" s="9"/>
      <c r="D138" s="9"/>
      <c r="G138" s="9"/>
      <c r="H138" s="9"/>
      <c r="J138" s="102"/>
      <c r="K138" s="9"/>
      <c r="L138" s="9"/>
      <c r="N138" s="51"/>
      <c r="O138" s="9"/>
      <c r="P138" s="9"/>
    </row>
    <row r="139" ht="14.25" customHeight="1">
      <c r="C139" s="9"/>
      <c r="D139" s="9"/>
      <c r="G139" s="9"/>
      <c r="H139" s="9"/>
      <c r="J139" s="102"/>
      <c r="K139" s="9"/>
      <c r="L139" s="9"/>
      <c r="N139" s="51"/>
      <c r="O139" s="9"/>
      <c r="P139" s="9"/>
    </row>
    <row r="140" ht="14.25" customHeight="1">
      <c r="C140" s="9"/>
      <c r="D140" s="9"/>
      <c r="G140" s="9"/>
      <c r="H140" s="9"/>
      <c r="J140" s="102"/>
      <c r="K140" s="9"/>
      <c r="L140" s="9"/>
      <c r="N140" s="51"/>
      <c r="O140" s="9"/>
      <c r="P140" s="9"/>
    </row>
    <row r="141" ht="14.25" customHeight="1">
      <c r="C141" s="9"/>
      <c r="D141" s="9"/>
      <c r="G141" s="9"/>
      <c r="H141" s="9"/>
      <c r="J141" s="102"/>
      <c r="K141" s="9"/>
      <c r="L141" s="9"/>
      <c r="N141" s="51"/>
      <c r="O141" s="9"/>
      <c r="P141" s="9"/>
    </row>
    <row r="142" ht="14.25" customHeight="1">
      <c r="C142" s="9"/>
      <c r="D142" s="9"/>
      <c r="G142" s="9"/>
      <c r="H142" s="9"/>
      <c r="J142" s="102"/>
      <c r="K142" s="9"/>
      <c r="L142" s="9"/>
      <c r="N142" s="51"/>
      <c r="O142" s="9"/>
      <c r="P142" s="9"/>
    </row>
    <row r="143" ht="14.25" customHeight="1">
      <c r="C143" s="9"/>
      <c r="D143" s="9"/>
      <c r="F143" s="103"/>
      <c r="G143" s="9"/>
      <c r="H143" s="9"/>
      <c r="J143" s="102"/>
      <c r="K143" s="9"/>
      <c r="L143" s="9"/>
    </row>
    <row r="144" ht="14.25" customHeight="1">
      <c r="C144" s="9"/>
      <c r="D144" s="9"/>
      <c r="F144" s="103"/>
      <c r="G144" s="9"/>
      <c r="H144" s="9"/>
      <c r="J144" s="102"/>
      <c r="K144" s="9"/>
      <c r="L144" s="9"/>
    </row>
    <row r="145" ht="14.25" customHeight="1">
      <c r="F145" s="103"/>
      <c r="G145" s="9"/>
      <c r="H145" s="9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F1:H1"/>
    <mergeCell ref="J1:L1"/>
    <mergeCell ref="N1:P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7" width="8.71"/>
  </cols>
  <sheetData>
    <row r="1">
      <c r="A1" s="104"/>
      <c r="B1" s="105"/>
      <c r="C1" s="106" t="s">
        <v>75</v>
      </c>
      <c r="D1" s="107"/>
      <c r="E1" s="107"/>
      <c r="F1" s="107"/>
      <c r="G1" s="106" t="s">
        <v>76</v>
      </c>
      <c r="H1" s="107"/>
      <c r="I1" s="107"/>
      <c r="J1" s="107"/>
      <c r="K1" s="106" t="s">
        <v>77</v>
      </c>
      <c r="L1" s="107"/>
      <c r="M1" s="107"/>
      <c r="N1" s="107"/>
      <c r="O1" s="106" t="s">
        <v>78</v>
      </c>
      <c r="P1" s="108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>
      <c r="A2" s="109"/>
      <c r="B2" s="110" t="s">
        <v>6</v>
      </c>
      <c r="C2" s="111" t="s">
        <v>7</v>
      </c>
      <c r="D2" s="110" t="s">
        <v>8</v>
      </c>
      <c r="E2" s="109"/>
      <c r="F2" s="110" t="s">
        <v>6</v>
      </c>
      <c r="G2" s="111" t="s">
        <v>7</v>
      </c>
      <c r="H2" s="110" t="s">
        <v>8</v>
      </c>
      <c r="I2" s="109"/>
      <c r="J2" s="110" t="s">
        <v>6</v>
      </c>
      <c r="K2" s="111" t="s">
        <v>7</v>
      </c>
      <c r="L2" s="110" t="s">
        <v>8</v>
      </c>
      <c r="M2" s="109"/>
      <c r="N2" s="110" t="s">
        <v>6</v>
      </c>
      <c r="O2" s="111" t="s">
        <v>7</v>
      </c>
      <c r="P2" s="110" t="s">
        <v>8</v>
      </c>
      <c r="Q2" s="109"/>
      <c r="S2" s="109"/>
      <c r="T2" s="8"/>
      <c r="U2" s="8"/>
      <c r="V2" s="109"/>
      <c r="W2" s="109"/>
      <c r="X2" s="109"/>
      <c r="Y2" s="109"/>
      <c r="Z2" s="109"/>
      <c r="AA2" s="109"/>
    </row>
    <row r="3" ht="14.25" customHeight="1">
      <c r="A3" s="109"/>
      <c r="B3" s="112">
        <v>110951.0</v>
      </c>
      <c r="C3" s="113" t="str">
        <f>VLOOKUP(B3,'FML March 2026'!E:F,2,false)</f>
        <v>ANCHOVIES DRIED CS100/4OZ IKAN-TERI*BILIS</v>
      </c>
      <c r="D3" s="113" t="str">
        <f>VLOOKUP(B3,'Unit of Measure ship March 2026'!A:C,3,false)</f>
        <v>LBS</v>
      </c>
      <c r="E3" s="109"/>
      <c r="F3" s="114">
        <v>20895.0</v>
      </c>
      <c r="G3" s="113" t="str">
        <f>VLOOKUP(F3,'FML March 2026'!E:F,2,false)</f>
        <v>ASIAN LONG RED CHILI, FRESH MEDIUM HOT</v>
      </c>
      <c r="H3" s="113" t="str">
        <f>VLOOKUP(F3,'Unit of Measure ship March 2026'!A:C,3,false)</f>
        <v>LBS</v>
      </c>
      <c r="I3" s="109"/>
      <c r="J3" s="115">
        <v>14383.0</v>
      </c>
      <c r="K3" s="113" t="str">
        <f>VLOOKUP(J3,'FML March 2026'!E:F,2,false)</f>
        <v>BEEF CHUCK SHORT RIB USDA CHOICE (USA) NAMP-130</v>
      </c>
      <c r="L3" s="113" t="str">
        <f>VLOOKUP(J3,'Unit of Measure ship March 2026'!A:C,3,false)</f>
        <v>LBS</v>
      </c>
      <c r="M3" s="109"/>
      <c r="N3" s="116">
        <v>53699.0</v>
      </c>
      <c r="O3" s="113" t="str">
        <f>VLOOKUP(N3,'FML March 2026'!E:F,2,false)</f>
        <v>OCTOPUS, FROZEN 4-6/LB FROZEN 30 LB CS POLAR</v>
      </c>
      <c r="P3" s="113" t="str">
        <f>VLOOKUP(N3,'Unit of Measure ship March 2026'!A:C,3,false)</f>
        <v>LBS</v>
      </c>
      <c r="Q3" s="109"/>
      <c r="S3" s="109"/>
      <c r="T3" s="8"/>
      <c r="U3" s="8"/>
      <c r="V3" s="109"/>
      <c r="W3" s="109"/>
      <c r="X3" s="109"/>
      <c r="Y3" s="109"/>
      <c r="Z3" s="109"/>
      <c r="AA3" s="109"/>
    </row>
    <row r="4" ht="14.25" customHeight="1">
      <c r="A4" s="109"/>
      <c r="B4" s="114">
        <v>15016.0</v>
      </c>
      <c r="C4" s="113" t="str">
        <f>VLOOKUP(B4,'FML March 2026'!E:F,2,false)</f>
        <v>BUTTER, UNSALTED, 82% FAT, FZN, 50/200 G</v>
      </c>
      <c r="D4" s="113" t="str">
        <f>VLOOKUP(B4,'Unit of Measure ship March 2026'!A:C,3,false)</f>
        <v>LBS</v>
      </c>
      <c r="E4" s="109"/>
      <c r="F4" s="114">
        <v>15572.0</v>
      </c>
      <c r="G4" s="113" t="str">
        <f>VLOOKUP(F4,'FML March 2026'!E:F,2,false)</f>
        <v>ASPARAGUS, FRESH, LARGE, FULL 11# BOX, 17 PC/BOX</v>
      </c>
      <c r="H4" s="113" t="str">
        <f>VLOOKUP(F4,'Unit of Measure ship March 2026'!A:C,3,false)</f>
        <v>LBS</v>
      </c>
      <c r="I4" s="109"/>
      <c r="J4" s="115">
        <v>34727.0</v>
      </c>
      <c r="K4" s="113" t="str">
        <f>VLOOKUP(J4,'FML March 2026'!E:F,2,false)</f>
        <v>BEEF EXPORT RIBS, CAB CHOICE 18/DOWN 4/PC, 30D AGE,BLST/FRZN (USA) NAMP-109E</v>
      </c>
      <c r="L4" s="113" t="str">
        <f>VLOOKUP(J4,'Unit of Measure ship March 2026'!A:C,3,false)</f>
        <v>LBS</v>
      </c>
      <c r="M4" s="109"/>
      <c r="N4" s="117">
        <v>102829.0</v>
      </c>
      <c r="O4" s="113" t="str">
        <f>VLOOKUP(N4,'FML March 2026'!E:F,2,false)</f>
        <v>Scallops 10/15 CT</v>
      </c>
      <c r="P4" s="113" t="str">
        <f>VLOOKUP(N4,'Unit of Measure ship March 2026'!A:C,3,false)</f>
        <v>LBS</v>
      </c>
      <c r="Q4" s="109"/>
      <c r="S4" s="109"/>
      <c r="T4" s="8"/>
      <c r="U4" s="8"/>
      <c r="V4" s="109"/>
      <c r="W4" s="109"/>
      <c r="X4" s="109"/>
      <c r="Y4" s="109"/>
      <c r="Z4" s="109"/>
      <c r="AA4" s="109"/>
    </row>
    <row r="5" ht="14.25" customHeight="1">
      <c r="A5" s="109"/>
      <c r="B5" s="118">
        <v>16015.0</v>
      </c>
      <c r="C5" s="113" t="str">
        <f>VLOOKUP(B5,'FML March 2026'!E:F,2,false)</f>
        <v>CAPERS, NON-PAREIL, IN VINEGAR, DRY, 6X850GR</v>
      </c>
      <c r="D5" s="113" t="str">
        <f>VLOOKUP(B5,'Unit of Measure ship March 2026'!A:C,3,false)</f>
        <v>CAN/32OZ</v>
      </c>
      <c r="E5" s="109"/>
      <c r="F5" s="118">
        <v>15378.0</v>
      </c>
      <c r="G5" s="113" t="str">
        <f>VLOOKUP(F5,'FML March 2026'!E:F,2,false)</f>
        <v>AVOCADOS HASS FRESH CA-48PC FL-12/14PC 20#</v>
      </c>
      <c r="H5" s="113" t="str">
        <f>VLOOKUP(F5,'Unit of Measure ship March 2026'!A:C,3,false)</f>
        <v>LBS</v>
      </c>
      <c r="I5" s="109"/>
      <c r="J5" s="115">
        <v>110970.0</v>
      </c>
      <c r="K5" s="113" t="str">
        <f>VLOOKUP(J5,'FML March 2026'!E:F,2,false)</f>
        <v>BEEF SHORT RIBS BONELESS VV, NAMP-130A</v>
      </c>
      <c r="L5" s="113" t="str">
        <f>VLOOKUP(J5,'Unit of Measure ship March 2026'!A:C,3,false)</f>
        <v>LBS</v>
      </c>
      <c r="M5" s="109"/>
      <c r="N5" s="115">
        <v>42269.0</v>
      </c>
      <c r="O5" s="113" t="str">
        <f>VLOOKUP(N5,'FML March 2026'!E:F,2,false)</f>
        <v>SHRIMP 16/20 RAW P&amp;D TAIL-ON CS10/LB SURAM ROYAL WHITE (VIETNAM)</v>
      </c>
      <c r="P5" s="113" t="str">
        <f>VLOOKUP(N5,'Unit of Measure ship March 2026'!A:C,3,false)</f>
        <v>LBS</v>
      </c>
      <c r="Q5" s="109"/>
      <c r="R5" s="8"/>
      <c r="S5" s="109"/>
      <c r="T5" s="8"/>
      <c r="U5" s="8"/>
      <c r="V5" s="109"/>
      <c r="W5" s="109"/>
      <c r="X5" s="109"/>
      <c r="Y5" s="109"/>
      <c r="Z5" s="109"/>
      <c r="AA5" s="109"/>
    </row>
    <row r="6" ht="14.25" customHeight="1">
      <c r="A6" s="109"/>
      <c r="B6" s="77">
        <v>145538.0</v>
      </c>
      <c r="C6" s="113" t="str">
        <f>VLOOKUP(B6,'FML March 2026'!E:F,2,false)</f>
        <v>CAVIAR WHITE STURGEON CAN 250 GRAM</v>
      </c>
      <c r="D6" s="113" t="str">
        <f>VLOOKUP(B6,'Unit of Measure ship March 2026'!A:C,3,false)</f>
        <v>JAR/250G</v>
      </c>
      <c r="E6" s="109"/>
      <c r="F6" s="119">
        <v>15456.0</v>
      </c>
      <c r="G6" s="113" t="str">
        <f>VLOOKUP(F6,'FML March 2026'!E:F,2,false)</f>
        <v>CABBAGE NAPA 12CT 30#</v>
      </c>
      <c r="H6" s="113" t="str">
        <f>VLOOKUP(F6,'Unit of Measure ship March 2026'!A:C,3,false)</f>
        <v>LBS</v>
      </c>
      <c r="I6" s="109"/>
      <c r="J6" s="120">
        <v>34728.0</v>
      </c>
      <c r="K6" s="113" t="str">
        <f>VLOOKUP(J6,'FML March 2026'!E:F,2,false)</f>
        <v>BEEF, STRIPLOIN, BONELESS, 13 DWN, UPPER 2/3, CHOICE, ANGUS, 40 DAY AGED, 0X1, NAMP 180, USA ONLY, &lt;22 LB EA, FZN, 3/1 EA</v>
      </c>
      <c r="L6" s="113" t="str">
        <f>VLOOKUP(J6,'Unit of Measure ship March 2026'!A:C,3,false)</f>
        <v>LBS</v>
      </c>
      <c r="M6" s="109"/>
      <c r="N6" s="115">
        <v>14830.0</v>
      </c>
      <c r="O6" s="113" t="str">
        <f>VLOOKUP(N6,'FML March 2026'!E:F,2,false)</f>
        <v>SQUID WHOLE CLEANED 5/8 CT 4/2.5 LB CS FISHERMAN`S PRIDE (CHINA)</v>
      </c>
      <c r="P6" s="113" t="str">
        <f>VLOOKUP(N6,'Unit of Measure ship March 2026'!A:C,3,false)</f>
        <v>LBS</v>
      </c>
      <c r="Q6" s="109"/>
      <c r="R6" s="8"/>
      <c r="S6" s="109"/>
      <c r="T6" s="8"/>
      <c r="U6" s="8"/>
      <c r="V6" s="109"/>
      <c r="W6" s="109"/>
      <c r="X6" s="109"/>
      <c r="Y6" s="109"/>
      <c r="Z6" s="109"/>
      <c r="AA6" s="109"/>
    </row>
    <row r="7" ht="14.25" customHeight="1">
      <c r="A7" s="109"/>
      <c r="B7" s="121">
        <v>16570.0</v>
      </c>
      <c r="C7" s="113" t="str">
        <f>VLOOKUP(B7,'FML March 2026'!E:F,2,false)</f>
        <v>CHESTNUTS, WATER CHESTNUTS SLICED</v>
      </c>
      <c r="D7" s="113" t="str">
        <f>VLOOKUP(B7,'Unit of Measure ship March 2026'!A:C,3,false)</f>
        <v>CN/6.5LB</v>
      </c>
      <c r="E7" s="109"/>
      <c r="F7" s="114">
        <v>15458.0</v>
      </c>
      <c r="G7" s="113" t="str">
        <f>VLOOKUP(F7,'FML March 2026'!E:F,2,false)</f>
        <v>CARROTS CLIP TOP 50#</v>
      </c>
      <c r="H7" s="113" t="str">
        <f>VLOOKUP(F7,'Unit of Measure ship March 2026'!A:C,3,false)</f>
        <v>LBS</v>
      </c>
      <c r="I7" s="109"/>
      <c r="J7" s="122">
        <v>11695.0</v>
      </c>
      <c r="K7" s="113" t="str">
        <f>VLOOKUP(J7,'FML March 2026'!E:F,2,false)</f>
        <v>CHICKEN LEG/THIGH BONELESS &amp; SKINLESS FROZEN</v>
      </c>
      <c r="L7" s="113" t="str">
        <f>VLOOKUP(J7,'Unit of Measure ship March 2026'!A:C,3,false)</f>
        <v>LBS</v>
      </c>
      <c r="M7" s="109"/>
      <c r="N7" s="123"/>
      <c r="O7" s="113"/>
      <c r="P7" s="113"/>
      <c r="Q7" s="109"/>
      <c r="S7" s="109"/>
      <c r="T7" s="8"/>
      <c r="U7" s="8"/>
      <c r="V7" s="109"/>
      <c r="W7" s="109"/>
      <c r="X7" s="109"/>
      <c r="Y7" s="109"/>
      <c r="Z7" s="109"/>
      <c r="AA7" s="109"/>
    </row>
    <row r="8" ht="14.25" customHeight="1">
      <c r="A8" s="109"/>
      <c r="B8" s="114">
        <v>110039.0</v>
      </c>
      <c r="C8" s="113" t="str">
        <f>VLOOKUP(B8,'FML March 2026'!E:F,2,false)</f>
        <v>CHILI PEPPER THREADS KOREAN WHOLE PKG 1  OZ  SPICEOLOGY</v>
      </c>
      <c r="D8" s="113" t="str">
        <f>VLOOKUP(B8,'Unit of Measure ship March 2026'!A:C,3,false)</f>
        <v>OZ</v>
      </c>
      <c r="E8" s="109"/>
      <c r="F8" s="121">
        <v>10325.0</v>
      </c>
      <c r="G8" s="113" t="str">
        <f>VLOOKUP(F8,'FML March 2026'!E:F,2,false)</f>
        <v>CHESTNUTS PEELED, FRZN,10/2LB, WHITE TOQUE</v>
      </c>
      <c r="H8" s="113" t="str">
        <f>VLOOKUP(F8,'Unit of Measure ship March 2026'!A:C,3,false)</f>
        <v>LBS</v>
      </c>
      <c r="I8" s="109"/>
      <c r="J8" s="115">
        <v>24773.0</v>
      </c>
      <c r="K8" s="113" t="str">
        <f>VLOOKUP(J8,'FML March 2026'!E:F,2,false)</f>
        <v>PORK BELLY RAW RIND-ON (USA)</v>
      </c>
      <c r="L8" s="113" t="str">
        <f>VLOOKUP(J8,'Unit of Measure ship March 2026'!A:C,3,false)</f>
        <v>LBS</v>
      </c>
      <c r="M8" s="109"/>
      <c r="N8" s="124"/>
      <c r="O8" s="113"/>
      <c r="P8" s="113"/>
      <c r="Q8" s="109"/>
      <c r="R8" s="8"/>
      <c r="S8" s="109"/>
      <c r="T8" s="8"/>
      <c r="U8" s="8"/>
      <c r="V8" s="109"/>
      <c r="W8" s="109"/>
      <c r="X8" s="109"/>
      <c r="Y8" s="109"/>
      <c r="Z8" s="109"/>
      <c r="AA8" s="109"/>
    </row>
    <row r="9" ht="14.25" customHeight="1">
      <c r="A9" s="109"/>
      <c r="B9" s="119">
        <v>16253.0</v>
      </c>
      <c r="C9" s="113" t="str">
        <f>VLOOKUP(B9,'FML March 2026'!E:F,2,false)</f>
        <v>CINNAMON GROUND</v>
      </c>
      <c r="D9" s="113" t="str">
        <f>VLOOKUP(B9,'Unit of Measure ship March 2026'!A:C,3,false)</f>
        <v>LBS</v>
      </c>
      <c r="E9" s="109"/>
      <c r="F9" s="125">
        <v>109753.0</v>
      </c>
      <c r="G9" s="113" t="str">
        <f>VLOOKUP(F9,'FML March 2026'!E:F,2,false)</f>
        <v>CHILI FRESNO FRESH</v>
      </c>
      <c r="H9" s="113" t="str">
        <f>VLOOKUP(F9,'Unit of Measure ship March 2026'!A:C,3,false)</f>
        <v>LBS</v>
      </c>
      <c r="I9" s="109"/>
      <c r="J9" s="115">
        <v>10533.0</v>
      </c>
      <c r="K9" s="113" t="str">
        <f>VLOOKUP(J9,'FML March 2026'!E:F,2,false)</f>
        <v>PORK SHOULDER BUTT BONELESS</v>
      </c>
      <c r="L9" s="113" t="str">
        <f>VLOOKUP(J9,'Unit of Measure ship March 2026'!A:C,3,false)</f>
        <v>LBS</v>
      </c>
      <c r="M9" s="109"/>
      <c r="N9" s="126"/>
      <c r="P9" s="113"/>
      <c r="Q9" s="109"/>
      <c r="S9" s="109"/>
      <c r="T9" s="8"/>
      <c r="U9" s="8"/>
      <c r="V9" s="109"/>
      <c r="W9" s="109"/>
      <c r="X9" s="109"/>
      <c r="Y9" s="109"/>
      <c r="Z9" s="109"/>
      <c r="AA9" s="109"/>
    </row>
    <row r="10" ht="14.25" customHeight="1">
      <c r="A10" s="109"/>
      <c r="B10" s="114">
        <v>16184.0</v>
      </c>
      <c r="C10" s="113" t="str">
        <f>VLOOKUP(B10,'FML March 2026'!E:F,2,false)</f>
        <v>CORNSTARCH BULK</v>
      </c>
      <c r="D10" s="113" t="str">
        <f>VLOOKUP(B10,'Unit of Measure ship March 2026'!A:C,3,false)</f>
        <v>LBS</v>
      </c>
      <c r="E10" s="109"/>
      <c r="F10" s="114">
        <v>35189.0</v>
      </c>
      <c r="G10" s="113" t="str">
        <f>VLOOKUP(F10,'FML March 2026'!E:F,2,false)</f>
        <v>CHILI PEPPERS GREEN FRESH</v>
      </c>
      <c r="H10" s="113" t="str">
        <f>VLOOKUP(F10,'Unit of Measure ship March 2026'!A:C,3,false)</f>
        <v>LBS</v>
      </c>
      <c r="I10" s="109"/>
      <c r="J10" s="115"/>
      <c r="K10" s="113"/>
      <c r="L10" s="113"/>
      <c r="M10" s="109"/>
      <c r="N10" s="121"/>
      <c r="O10" s="113"/>
      <c r="P10" s="113"/>
      <c r="Q10" s="109"/>
      <c r="S10" s="109"/>
      <c r="T10" s="8"/>
      <c r="U10" s="8"/>
      <c r="V10" s="109"/>
      <c r="W10" s="109"/>
      <c r="X10" s="109"/>
      <c r="Y10" s="109"/>
      <c r="Z10" s="109"/>
      <c r="AA10" s="109"/>
    </row>
    <row r="11" ht="14.25" customHeight="1">
      <c r="A11" s="109"/>
      <c r="B11" s="118">
        <v>15814.0</v>
      </c>
      <c r="C11" s="113" t="str">
        <f>VLOOKUP(B11,'FML March 2026'!E:F,2,false)</f>
        <v>DATES PITTED DRIED</v>
      </c>
      <c r="D11" s="113" t="str">
        <f>VLOOKUP(B11,'Unit of Measure ship March 2026'!A:C,3,false)</f>
        <v>LBS</v>
      </c>
      <c r="E11" s="109"/>
      <c r="F11" s="121">
        <v>15431.0</v>
      </c>
      <c r="G11" s="113" t="str">
        <f>VLOOKUP(F11,'FML March 2026'!E:F,2,false)</f>
        <v>CILANTRO (12 BUNCH) 1 LB/CS DOMESTIC</v>
      </c>
      <c r="H11" s="113" t="str">
        <f>VLOOKUP(F11,'Unit of Measure ship March 2026'!A:C,3,false)</f>
        <v>LBS</v>
      </c>
      <c r="I11" s="109"/>
      <c r="J11" s="116"/>
      <c r="K11" s="113"/>
      <c r="L11" s="113"/>
      <c r="M11" s="109"/>
      <c r="N11" s="104"/>
      <c r="O11" s="127"/>
      <c r="P11" s="127"/>
      <c r="Q11" s="109"/>
      <c r="R11" s="8"/>
      <c r="S11" s="109"/>
      <c r="T11" s="8"/>
      <c r="U11" s="8"/>
      <c r="V11" s="109"/>
      <c r="W11" s="109"/>
      <c r="X11" s="109"/>
      <c r="Y11" s="109"/>
      <c r="Z11" s="109"/>
      <c r="AA11" s="109"/>
    </row>
    <row r="12" ht="14.25" customHeight="1">
      <c r="A12" s="109"/>
      <c r="B12" s="114">
        <v>111106.0</v>
      </c>
      <c r="C12" s="113" t="str">
        <f>VLOOKUP(B12,'FML March 2026'!E:F,2,false)</f>
        <v>DOENJANG SOY BEAN PASTE  ASSI</v>
      </c>
      <c r="D12" s="113" t="str">
        <f>VLOOKUP(B12,'Unit of Measure ship March 2026'!A:C,3,false)</f>
        <v>LBS</v>
      </c>
      <c r="E12" s="109"/>
      <c r="F12" s="121">
        <v>109754.0</v>
      </c>
      <c r="G12" s="113" t="str">
        <f>VLOOKUP(F12,'FML March 2026'!E:F,2,false)</f>
        <v>CUCUMBER ENGLISH SEEDLESS, LARGE</v>
      </c>
      <c r="H12" s="113" t="str">
        <f>VLOOKUP(F12,'Unit of Measure ship March 2026'!A:C,3,false)</f>
        <v>LBS</v>
      </c>
      <c r="I12" s="109"/>
      <c r="J12" s="116"/>
      <c r="K12" s="113"/>
      <c r="L12" s="113"/>
      <c r="M12" s="109"/>
      <c r="N12" s="104"/>
      <c r="O12" s="127"/>
      <c r="P12" s="127"/>
      <c r="Q12" s="109"/>
      <c r="R12" s="8"/>
      <c r="S12" s="109"/>
      <c r="T12" s="8"/>
      <c r="U12" s="8"/>
      <c r="V12" s="109"/>
      <c r="W12" s="109"/>
      <c r="X12" s="109"/>
      <c r="Y12" s="109"/>
      <c r="Z12" s="109"/>
      <c r="AA12" s="109"/>
    </row>
    <row r="13" ht="14.25" customHeight="1">
      <c r="A13" s="109"/>
      <c r="B13" s="114">
        <v>15022.0</v>
      </c>
      <c r="C13" s="113" t="str">
        <f>VLOOKUP(B13,'FML March 2026'!E:F,2,false)</f>
        <v>EGGS-DATED, MEDIUM, REGULAR</v>
      </c>
      <c r="D13" s="113" t="str">
        <f>VLOOKUP(B13,'Unit of Measure ship March 2026'!A:C,3,false)</f>
        <v>PC</v>
      </c>
      <c r="E13" s="109"/>
      <c r="F13" s="114">
        <v>15619.0</v>
      </c>
      <c r="G13" s="113" t="str">
        <f>VLOOKUP(F13,'FML March 2026'!E:F,2,false)</f>
        <v>DAIKON 20#/CS</v>
      </c>
      <c r="H13" s="113" t="str">
        <f>VLOOKUP(F13,'Unit of Measure ship March 2026'!A:C,3,false)</f>
        <v>LBS</v>
      </c>
      <c r="I13" s="109"/>
      <c r="J13" s="122"/>
      <c r="K13" s="113"/>
      <c r="L13" s="113"/>
      <c r="M13" s="109"/>
      <c r="N13" s="104"/>
      <c r="O13" s="127"/>
      <c r="P13" s="127"/>
      <c r="Q13" s="109"/>
      <c r="S13" s="109"/>
      <c r="T13" s="8"/>
      <c r="U13" s="8"/>
      <c r="V13" s="109"/>
      <c r="W13" s="109"/>
      <c r="X13" s="109"/>
      <c r="Y13" s="109"/>
      <c r="Z13" s="109"/>
      <c r="AA13" s="109"/>
    </row>
    <row r="14" ht="14.25" customHeight="1">
      <c r="A14" s="109"/>
      <c r="B14" s="119">
        <v>15026.0</v>
      </c>
      <c r="C14" s="113" t="str">
        <f>VLOOKUP(B14,'FML March 2026'!E:F,2,false)</f>
        <v>EGGS, WHOLE, LIQUID, W/ CITRIC ACID, NO SUGAR, 1-5 LB/1-5 LT, FZN, 6/5 LB</v>
      </c>
      <c r="D14" s="113" t="str">
        <f>VLOOKUP(B14,'Unit of Measure ship March 2026'!A:C,3,false)</f>
        <v>LBS</v>
      </c>
      <c r="E14" s="109"/>
      <c r="F14" s="114">
        <v>36433.0</v>
      </c>
      <c r="G14" s="113" t="str">
        <f>VLOOKUP(F14,'FML March 2026'!E:F,2,false)</f>
        <v>EGGPLANT JAPANESE 10#/CS</v>
      </c>
      <c r="H14" s="113" t="str">
        <f>VLOOKUP(F14,'Unit of Measure ship March 2026'!A:C,3,false)</f>
        <v>CS10/LBS</v>
      </c>
      <c r="I14" s="109"/>
      <c r="M14" s="109"/>
      <c r="N14" s="104"/>
      <c r="O14" s="127"/>
      <c r="P14" s="127"/>
      <c r="Q14" s="109"/>
      <c r="S14" s="109"/>
      <c r="T14" s="8"/>
      <c r="U14" s="8"/>
      <c r="V14" s="109"/>
      <c r="W14" s="109"/>
      <c r="X14" s="109"/>
      <c r="Y14" s="109"/>
      <c r="Z14" s="109"/>
      <c r="AA14" s="109"/>
    </row>
    <row r="15" ht="14.25" customHeight="1">
      <c r="A15" s="109"/>
      <c r="B15" s="114">
        <v>16535.0</v>
      </c>
      <c r="C15" s="113" t="str">
        <f>VLOOKUP(B15,'FML March 2026'!E:F,2,false)</f>
        <v>FISH SAUCE, BTL (REQUIRES INSPECTION)</v>
      </c>
      <c r="D15" s="113" t="str">
        <f>VLOOKUP(B15,'Unit of Measure ship March 2026'!A:C,3,false)</f>
        <v>BTL/24OZ</v>
      </c>
      <c r="E15" s="109"/>
      <c r="F15" s="119">
        <v>15547.0</v>
      </c>
      <c r="G15" s="113" t="str">
        <f>VLOOKUP(F15,'FML March 2026'!E:F,2,false)</f>
        <v>FENNEL FRESH CAL. 40#</v>
      </c>
      <c r="H15" s="113" t="str">
        <f>VLOOKUP(F15,'Unit of Measure ship March 2026'!A:C,3,false)</f>
        <v>LBS</v>
      </c>
      <c r="I15" s="109"/>
      <c r="J15" s="104"/>
      <c r="K15" s="127"/>
      <c r="L15" s="127"/>
      <c r="M15" s="109"/>
      <c r="N15" s="104"/>
      <c r="O15" s="127"/>
      <c r="P15" s="127"/>
      <c r="Q15" s="109"/>
      <c r="S15" s="109"/>
      <c r="T15" s="8"/>
      <c r="U15" s="8"/>
      <c r="V15" s="109"/>
      <c r="W15" s="109"/>
      <c r="X15" s="109"/>
      <c r="Y15" s="109"/>
      <c r="Z15" s="109"/>
      <c r="AA15" s="109"/>
    </row>
    <row r="16" ht="14.25" customHeight="1">
      <c r="A16" s="109"/>
      <c r="B16" s="114">
        <v>111865.0</v>
      </c>
      <c r="C16" s="113" t="str">
        <f>VLOOKUP(B16,'FML March 2026'!E:F,2,false)</f>
        <v>FLOUR ALL PURPOSE SIR GALAHAD BAG50/LBS KING ARTHUR</v>
      </c>
      <c r="D16" s="113" t="str">
        <f>VLOOKUP(B16,'Unit of Measure ship March 2026'!A:C,3,false)</f>
        <v>LBS</v>
      </c>
      <c r="E16" s="109"/>
      <c r="F16" s="121">
        <v>109766.0</v>
      </c>
      <c r="G16" s="113" t="str">
        <f>VLOOKUP(F16,'FML March 2026'!E:F,2,false)</f>
        <v>GARLIC BLACK PEELED</v>
      </c>
      <c r="H16" s="113" t="str">
        <f>VLOOKUP(F16,'Unit of Measure ship March 2026'!A:C,3,false)</f>
        <v>LBS</v>
      </c>
      <c r="I16" s="109"/>
      <c r="J16" s="104"/>
      <c r="K16" s="127"/>
      <c r="L16" s="127"/>
      <c r="M16" s="109"/>
      <c r="N16" s="104"/>
      <c r="O16" s="127"/>
      <c r="P16" s="127"/>
      <c r="Q16" s="109"/>
      <c r="S16" s="109"/>
      <c r="T16" s="8"/>
      <c r="U16" s="8"/>
      <c r="V16" s="109"/>
      <c r="W16" s="109"/>
      <c r="X16" s="109"/>
      <c r="Y16" s="109"/>
      <c r="Z16" s="109"/>
      <c r="AA16" s="109"/>
    </row>
    <row r="17" ht="14.25" customHeight="1">
      <c r="A17" s="109"/>
      <c r="B17" s="118">
        <v>12666.0</v>
      </c>
      <c r="C17" s="113" t="str">
        <f>VLOOKUP(B17,'FML March 2026'!E:F,2,false)</f>
        <v>GLUTEN FREE WHITE RICE FLOUR</v>
      </c>
      <c r="D17" s="113" t="str">
        <f>VLOOKUP(B17,'Unit of Measure ship March 2026'!A:C,3,false)</f>
        <v>LBS</v>
      </c>
      <c r="E17" s="109"/>
      <c r="F17" s="114">
        <v>15466.0</v>
      </c>
      <c r="G17" s="113" t="str">
        <f>VLOOKUP(F17,'FML March 2026'!E:F,2,false)</f>
        <v>GARLIC CRATE JUMBO 30# 8 CT</v>
      </c>
      <c r="H17" s="113" t="str">
        <f>VLOOKUP(F17,'Unit of Measure ship March 2026'!A:C,3,false)</f>
        <v>LBS</v>
      </c>
      <c r="I17" s="109"/>
      <c r="J17" s="104"/>
      <c r="K17" s="127"/>
      <c r="L17" s="127"/>
      <c r="M17" s="109"/>
      <c r="N17" s="104"/>
      <c r="O17" s="127"/>
      <c r="P17" s="127"/>
      <c r="Q17" s="109"/>
      <c r="S17" s="109"/>
      <c r="T17" s="8"/>
      <c r="U17" s="8"/>
      <c r="V17" s="109"/>
      <c r="W17" s="109"/>
      <c r="X17" s="109"/>
      <c r="Y17" s="109"/>
      <c r="Z17" s="109"/>
      <c r="AA17" s="109"/>
    </row>
    <row r="18" ht="14.25" customHeight="1">
      <c r="A18" s="109"/>
      <c r="B18" s="114">
        <v>110091.0</v>
      </c>
      <c r="C18" s="113" t="str">
        <f>VLOOKUP(B18,'FML March 2026'!E:F,2,false)</f>
        <v>GOCHUGARU KOREAN CHILI RED PEPPER FLAKES ASSI</v>
      </c>
      <c r="D18" s="113" t="str">
        <f>VLOOKUP(B18,'Unit of Measure ship March 2026'!A:C,3,false)</f>
        <v>CS8/5LB</v>
      </c>
      <c r="E18" s="109"/>
      <c r="F18" s="114">
        <v>30639.0</v>
      </c>
      <c r="G18" s="113" t="str">
        <f>VLOOKUP(F18,'FML March 2026'!E:F,2,false)</f>
        <v>GARLIC PEELED</v>
      </c>
      <c r="H18" s="113" t="str">
        <f>VLOOKUP(F18,'Unit of Measure ship March 2026'!A:C,3,false)</f>
        <v>LBS</v>
      </c>
      <c r="I18" s="109"/>
      <c r="J18" s="104"/>
      <c r="K18" s="127"/>
      <c r="L18" s="127"/>
      <c r="M18" s="109"/>
      <c r="N18" s="104"/>
      <c r="O18" s="127"/>
      <c r="P18" s="127"/>
      <c r="Q18" s="109"/>
      <c r="S18" s="109"/>
      <c r="T18" s="8"/>
      <c r="U18" s="8"/>
      <c r="V18" s="109"/>
      <c r="W18" s="109"/>
      <c r="X18" s="109"/>
      <c r="Y18" s="109"/>
      <c r="Z18" s="109"/>
      <c r="AA18" s="109"/>
    </row>
    <row r="19" ht="14.25" customHeight="1">
      <c r="A19" s="109"/>
      <c r="B19" s="114">
        <v>110879.0</v>
      </c>
      <c r="C19" s="113" t="str">
        <f>VLOOKUP(B19,'FML March 2026'!E:F,2,false)</f>
        <v>GOCHUJANG PASTE SEMPIO</v>
      </c>
      <c r="D19" s="113" t="str">
        <f>VLOOKUP(B19,'Unit of Measure ship March 2026'!A:C,3,false)</f>
        <v>PKG1/KG</v>
      </c>
      <c r="E19" s="109"/>
      <c r="F19" s="118">
        <v>38392.0</v>
      </c>
      <c r="G19" s="113" t="str">
        <f>VLOOKUP(F19,'FML March 2026'!E:F,2,false)</f>
        <v>GINGER FRESH</v>
      </c>
      <c r="H19" s="113" t="str">
        <f>VLOOKUP(F19,'Unit of Measure ship March 2026'!A:C,3,false)</f>
        <v>LBS</v>
      </c>
      <c r="I19" s="109"/>
      <c r="J19" s="104"/>
      <c r="K19" s="127"/>
      <c r="L19" s="127"/>
      <c r="M19" s="109"/>
      <c r="N19" s="104"/>
      <c r="O19" s="127"/>
      <c r="P19" s="127"/>
      <c r="Q19" s="109"/>
      <c r="S19" s="109"/>
      <c r="T19" s="8"/>
      <c r="U19" s="8"/>
      <c r="V19" s="109"/>
      <c r="W19" s="109"/>
      <c r="X19" s="109"/>
      <c r="Y19" s="109"/>
      <c r="Z19" s="109"/>
      <c r="AA19" s="109"/>
    </row>
    <row r="20" ht="14.25" customHeight="1">
      <c r="A20" s="109"/>
      <c r="B20" s="121">
        <v>14907.0</v>
      </c>
      <c r="C20" s="113" t="str">
        <f>VLOOKUP(B20,'FML March 2026'!E:F,2,false)</f>
        <v>HEAVY CREAM UHT LONG LIFE 38%-40% 12/1LT</v>
      </c>
      <c r="D20" s="113" t="str">
        <f>VLOOKUP(B20,'Unit of Measure ship March 2026'!A:C,3,false)</f>
        <v>LT</v>
      </c>
      <c r="E20" s="109"/>
      <c r="F20" s="112">
        <v>61703.0</v>
      </c>
      <c r="G20" s="113" t="str">
        <f>VLOOKUP(F20,'FML March 2026'!E:F,2,false)</f>
        <v>HABANERO PEPPERS FRESH</v>
      </c>
      <c r="H20" s="113" t="str">
        <f>VLOOKUP(F20,'Unit of Measure ship March 2026'!A:C,3,false)</f>
        <v>LBS</v>
      </c>
      <c r="I20" s="109"/>
      <c r="J20" s="104"/>
      <c r="K20" s="127"/>
      <c r="L20" s="127"/>
      <c r="M20" s="109"/>
      <c r="N20" s="104"/>
      <c r="O20" s="127"/>
      <c r="P20" s="127"/>
      <c r="Q20" s="109"/>
      <c r="S20" s="109"/>
      <c r="T20" s="8"/>
      <c r="U20" s="8"/>
      <c r="V20" s="109"/>
      <c r="W20" s="109"/>
      <c r="X20" s="109"/>
      <c r="Y20" s="109"/>
      <c r="Z20" s="109"/>
      <c r="AA20" s="109"/>
    </row>
    <row r="21" ht="14.25" customHeight="1">
      <c r="A21" s="109"/>
      <c r="B21" s="118">
        <v>15658.0</v>
      </c>
      <c r="C21" s="113" t="str">
        <f>VLOOKUP(B21,'FML March 2026'!E:F,2,false)</f>
        <v>HONEY 6/5 LB GROEB/MELONIA/SWEET HARVEST</v>
      </c>
      <c r="D21" s="113" t="str">
        <f>VLOOKUP(B21,'Unit of Measure ship March 2026'!A:C,3,false)</f>
        <v>KG</v>
      </c>
      <c r="E21" s="109"/>
      <c r="F21" s="114">
        <v>15609.0</v>
      </c>
      <c r="G21" s="113" t="str">
        <f>VLOOKUP(F21,'FML March 2026'!E:F,2,false)</f>
        <v>LETTUCE RED OAK, 2#/CS</v>
      </c>
      <c r="H21" s="113" t="str">
        <f>VLOOKUP(F21,'Unit of Measure ship March 2026'!A:C,3,false)</f>
        <v>LBS</v>
      </c>
      <c r="I21" s="109"/>
      <c r="J21" s="104"/>
      <c r="K21" s="127"/>
      <c r="L21" s="127"/>
      <c r="M21" s="109"/>
      <c r="N21" s="104"/>
      <c r="O21" s="127"/>
      <c r="P21" s="127"/>
      <c r="Q21" s="109"/>
      <c r="S21" s="109"/>
      <c r="T21" s="8"/>
      <c r="U21" s="8"/>
      <c r="V21" s="109"/>
      <c r="W21" s="109"/>
      <c r="X21" s="109"/>
      <c r="Y21" s="109"/>
      <c r="Z21" s="109"/>
      <c r="AA21" s="109"/>
    </row>
    <row r="22" ht="14.25" customHeight="1">
      <c r="A22" s="109"/>
      <c r="B22" s="121">
        <v>150115.0</v>
      </c>
      <c r="C22" s="113" t="str">
        <f>VLOOKUP(B22,'FML March 2026'!E:F,2,false)</f>
        <v>HS TEOKOKKI RICE CAKE STICK</v>
      </c>
      <c r="D22" s="113" t="str">
        <f>VLOOKUP(B22,'Unit of Measure ship March 2026'!A:C,3,false)</f>
        <v>LBS</v>
      </c>
      <c r="E22" s="109"/>
      <c r="F22" s="119">
        <v>19401.0</v>
      </c>
      <c r="G22" s="113" t="str">
        <f>VLOOKUP(F22,'FML March 2026'!E:F,2,false)</f>
        <v>LOTUS ROOT FRESH</v>
      </c>
      <c r="H22" s="113" t="str">
        <f>VLOOKUP(F22,'Unit of Measure ship March 2026'!A:C,3,false)</f>
        <v>LBS</v>
      </c>
      <c r="I22" s="109"/>
      <c r="J22" s="104"/>
      <c r="K22" s="127"/>
      <c r="L22" s="127"/>
      <c r="M22" s="109"/>
      <c r="N22" s="104"/>
      <c r="O22" s="127"/>
      <c r="P22" s="127"/>
      <c r="Q22" s="109"/>
      <c r="S22" s="109"/>
      <c r="T22" s="8"/>
      <c r="U22" s="8"/>
      <c r="V22" s="109"/>
      <c r="W22" s="109"/>
      <c r="X22" s="109"/>
      <c r="Y22" s="109"/>
      <c r="Z22" s="109"/>
      <c r="AA22" s="109"/>
    </row>
    <row r="23" ht="14.25" customHeight="1">
      <c r="A23" s="109"/>
      <c r="B23" s="112">
        <v>16949.0</v>
      </c>
      <c r="C23" s="113" t="str">
        <f>VLOOKUP(B23,'FML March 2026'!E:F,2,false)</f>
        <v>KOMBU SQUARE DASHI KST</v>
      </c>
      <c r="D23" s="113" t="str">
        <f>VLOOKUP(B23,'Unit of Measure ship March 2026'!A:C,3,false)</f>
        <v>PK/5LBS</v>
      </c>
      <c r="E23" s="109"/>
      <c r="F23" s="121">
        <v>111046.0</v>
      </c>
      <c r="G23" s="113" t="str">
        <f>VLOOKUP(F23,'FML March 2026'!E:F,2,false)</f>
        <v>MUSHROOM HON SHIMEJII BROIWNFRESH CS3/LB</v>
      </c>
      <c r="H23" s="113" t="str">
        <f>VLOOKUP(F23,'Unit of Measure ship March 2026'!A:C,3,false)</f>
        <v>LBS</v>
      </c>
      <c r="I23" s="109"/>
      <c r="J23" s="104"/>
      <c r="K23" s="127"/>
      <c r="L23" s="127"/>
      <c r="M23" s="109"/>
      <c r="N23" s="104"/>
      <c r="O23" s="127"/>
      <c r="P23" s="127"/>
      <c r="Q23" s="109"/>
      <c r="R23" s="8"/>
      <c r="S23" s="109"/>
      <c r="T23" s="8"/>
      <c r="U23" s="8"/>
      <c r="V23" s="109"/>
      <c r="W23" s="109"/>
      <c r="X23" s="109"/>
      <c r="Y23" s="109"/>
      <c r="Z23" s="109"/>
      <c r="AA23" s="109"/>
    </row>
    <row r="24" ht="14.25" customHeight="1">
      <c r="A24" s="109"/>
      <c r="B24" s="114">
        <v>109667.0</v>
      </c>
      <c r="C24" s="113" t="str">
        <f>VLOOKUP(B24,'FML March 2026'!E:F,2,false)</f>
        <v>MAYONNAISE, UNILEVER - HELLMANN'S, 4800126530, DRY, 4/1 GAL</v>
      </c>
      <c r="D24" s="113" t="str">
        <f>VLOOKUP(B24,'Unit of Measure ship March 2026'!A:C,3,false)</f>
        <v>GAL</v>
      </c>
      <c r="E24" s="109"/>
      <c r="F24" s="114">
        <v>15556.0</v>
      </c>
      <c r="G24" s="113" t="str">
        <f>VLOOKUP(F24,'FML March 2026'!E:F,2,false)</f>
        <v>MUSHROOMS SHIITAKE  FRESH NO 1</v>
      </c>
      <c r="H24" s="113" t="str">
        <f>VLOOKUP(F24,'Unit of Measure ship March 2026'!A:C,3,false)</f>
        <v>LBS</v>
      </c>
      <c r="I24" s="109"/>
      <c r="J24" s="104"/>
      <c r="K24" s="127"/>
      <c r="L24" s="127"/>
      <c r="M24" s="109"/>
      <c r="N24" s="104"/>
      <c r="O24" s="127"/>
      <c r="P24" s="127"/>
      <c r="Q24" s="109"/>
      <c r="R24" s="8"/>
      <c r="S24" s="109"/>
      <c r="T24" s="8"/>
      <c r="U24" s="8"/>
      <c r="V24" s="109"/>
      <c r="W24" s="109"/>
      <c r="X24" s="109"/>
      <c r="Y24" s="109"/>
      <c r="Z24" s="109"/>
      <c r="AA24" s="109"/>
    </row>
    <row r="25" ht="14.25" customHeight="1">
      <c r="A25" s="109"/>
      <c r="B25" s="112">
        <v>11940.0</v>
      </c>
      <c r="C25" s="113" t="str">
        <f>VLOOKUP(B25,'FML March 2026'!E:F,2,false)</f>
        <v>MUSHROOM SHITAKI DRY  URBANI/MARKY`S</v>
      </c>
      <c r="D25" s="113" t="str">
        <f>VLOOKUP(B25,'Unit of Measure ship March 2026'!A:C,3,false)</f>
        <v>LBS</v>
      </c>
      <c r="E25" s="109"/>
      <c r="F25" s="114">
        <v>31638.0</v>
      </c>
      <c r="G25" s="113" t="str">
        <f>VLOOKUP(F25,'FML March 2026'!E:F,2,false)</f>
        <v>MUSHROOMS, FRESH WHITE, 8 OZ CELLO PACK</v>
      </c>
      <c r="H25" s="113" t="str">
        <f>VLOOKUP(F25,'Unit of Measure ship March 2026'!A:C,3,false)</f>
        <v>LBS</v>
      </c>
      <c r="I25" s="109"/>
      <c r="J25" s="104"/>
      <c r="K25" s="127"/>
      <c r="L25" s="127"/>
      <c r="M25" s="109"/>
      <c r="N25" s="104"/>
      <c r="O25" s="127"/>
      <c r="P25" s="127"/>
      <c r="Q25" s="109"/>
      <c r="R25" s="8"/>
      <c r="S25" s="109"/>
      <c r="T25" s="8"/>
      <c r="U25" s="8"/>
      <c r="V25" s="109"/>
      <c r="W25" s="109"/>
      <c r="X25" s="109"/>
      <c r="Y25" s="109"/>
      <c r="Z25" s="109"/>
      <c r="AA25" s="109"/>
    </row>
    <row r="26" ht="14.25" customHeight="1">
      <c r="A26" s="109"/>
      <c r="B26" s="118">
        <v>16114.0</v>
      </c>
      <c r="C26" s="113" t="str">
        <f>VLOOKUP(B26,'FML March 2026'!E:F,2,false)</f>
        <v>NORI SHEETS, 50CT (FULL SHEET)</v>
      </c>
      <c r="D26" s="113" t="str">
        <f>VLOOKUP(B26,'Unit of Measure ship March 2026'!A:C,3,false)</f>
        <v>PK/50PC</v>
      </c>
      <c r="E26" s="109"/>
      <c r="F26" s="112">
        <v>46179.0</v>
      </c>
      <c r="G26" s="113" t="str">
        <f>VLOOKUP(F26,'FML March 2026'!E:F,2,false)</f>
        <v>ONION WHITE BIG FRESH</v>
      </c>
      <c r="H26" s="113" t="str">
        <f>VLOOKUP(F26,'Unit of Measure ship March 2026'!A:C,3,false)</f>
        <v>LBS</v>
      </c>
      <c r="I26" s="109"/>
      <c r="J26" s="104"/>
      <c r="K26" s="127"/>
      <c r="L26" s="127"/>
      <c r="M26" s="109"/>
      <c r="N26" s="104"/>
      <c r="O26" s="127"/>
      <c r="P26" s="127"/>
      <c r="Q26" s="109"/>
      <c r="S26" s="109"/>
      <c r="T26" s="8"/>
      <c r="U26" s="8"/>
      <c r="V26" s="109"/>
      <c r="W26" s="109"/>
      <c r="X26" s="109"/>
      <c r="Y26" s="109"/>
      <c r="Z26" s="109"/>
      <c r="AA26" s="109"/>
    </row>
    <row r="27" ht="14.25" customHeight="1">
      <c r="A27" s="109"/>
      <c r="B27" s="118">
        <v>16346.0</v>
      </c>
      <c r="C27" s="113" t="str">
        <f>VLOOKUP(B27,'FML March 2026'!E:F,2,false)</f>
        <v>OIL, 100% SESAME, TOASTED, DRY, 10/56 OZ</v>
      </c>
      <c r="D27" s="113" t="str">
        <f>VLOOKUP(B27,'Unit of Measure ship March 2026'!A:C,3,false)</f>
        <v>BT/56OZ</v>
      </c>
      <c r="E27" s="109"/>
      <c r="F27" s="119">
        <v>15497.0</v>
      </c>
      <c r="G27" s="113" t="str">
        <f>VLOOKUP(F27,'FML March 2026'!E:F,2,false)</f>
        <v>ONIONS, YELLOW, MEDIUM, SPANISH #1, 50#</v>
      </c>
      <c r="H27" s="113" t="str">
        <f>VLOOKUP(F27,'Unit of Measure ship March 2026'!A:C,3,false)</f>
        <v>LBS</v>
      </c>
      <c r="I27" s="109"/>
      <c r="J27" s="104"/>
      <c r="K27" s="127"/>
      <c r="L27" s="127"/>
      <c r="M27" s="109"/>
      <c r="N27" s="104"/>
      <c r="O27" s="127"/>
      <c r="P27" s="127"/>
      <c r="Q27" s="109"/>
      <c r="S27" s="109"/>
      <c r="T27" s="8"/>
      <c r="U27" s="8"/>
      <c r="V27" s="109"/>
      <c r="W27" s="109"/>
      <c r="X27" s="109"/>
      <c r="Y27" s="109"/>
      <c r="Z27" s="109"/>
      <c r="AA27" s="109"/>
    </row>
    <row r="28" ht="14.25" customHeight="1">
      <c r="A28" s="109"/>
      <c r="B28" s="118">
        <v>16377.0</v>
      </c>
      <c r="C28" s="113" t="str">
        <f>VLOOKUP(B28,'FML March 2026'!E:F,2,false)</f>
        <v>OIL, 100% VEGETABLE SOYBEAN, DRY, 4/5 LT</v>
      </c>
      <c r="D28" s="113" t="str">
        <f>VLOOKUP(B28,'Unit of Measure ship March 2026'!A:C,3,false)</f>
        <v>C4/5LT</v>
      </c>
      <c r="E28" s="109"/>
      <c r="F28" s="118">
        <v>110900.0</v>
      </c>
      <c r="G28" s="113" t="str">
        <f>VLOOKUP(F28,'FML March 2026'!E:F,2,false)</f>
        <v>PEARS ASIAN FRESH 12/16 CT</v>
      </c>
      <c r="H28" s="113" t="str">
        <f>VLOOKUP(F28,'Unit of Measure ship March 2026'!A:C,3,false)</f>
        <v>LBS</v>
      </c>
      <c r="I28" s="109"/>
      <c r="J28" s="104"/>
      <c r="K28" s="127"/>
      <c r="L28" s="127"/>
      <c r="M28" s="109"/>
      <c r="N28" s="104"/>
      <c r="O28" s="127"/>
      <c r="P28" s="127"/>
      <c r="Q28" s="109"/>
      <c r="R28" s="8"/>
      <c r="S28" s="109"/>
      <c r="T28" s="8"/>
      <c r="U28" s="8"/>
      <c r="V28" s="109"/>
      <c r="W28" s="109"/>
      <c r="X28" s="109"/>
      <c r="Y28" s="109"/>
      <c r="Z28" s="109"/>
      <c r="AA28" s="109"/>
    </row>
    <row r="29" ht="14.25" customHeight="1">
      <c r="A29" s="109"/>
      <c r="B29" s="118">
        <v>10265.0</v>
      </c>
      <c r="C29" s="113" t="str">
        <f>VLOOKUP(B29,'FML March 2026'!E:F,2,false)</f>
        <v>OIL, FRYING, 100% SOYBEAN, TRANS FAT FREE, FLASHPOINT &gt;600F, DRY, 4/5 LT</v>
      </c>
      <c r="D29" s="113" t="str">
        <f>VLOOKUP(B29,'Unit of Measure ship March 2026'!A:C,3,false)</f>
        <v>CS4/5LT</v>
      </c>
      <c r="E29" s="109"/>
      <c r="F29" s="128">
        <v>111047.0</v>
      </c>
      <c r="G29" s="113" t="str">
        <f>VLOOKUP(F29,'FML March 2026'!E:F,2,false)</f>
        <v>PEPPER THAI LONG GREEN FRESH  CS3/LBS</v>
      </c>
      <c r="H29" s="113" t="str">
        <f>VLOOKUP(F29,'Unit of Measure ship March 2026'!A:C,3,false)</f>
        <v>LBS</v>
      </c>
      <c r="I29" s="109"/>
      <c r="J29" s="104"/>
      <c r="K29" s="127"/>
      <c r="L29" s="127"/>
      <c r="M29" s="109"/>
      <c r="N29" s="104"/>
      <c r="O29" s="127"/>
      <c r="P29" s="127"/>
      <c r="Q29" s="109"/>
      <c r="S29" s="109"/>
      <c r="T29" s="8"/>
      <c r="U29" s="8"/>
      <c r="V29" s="109"/>
      <c r="W29" s="109"/>
      <c r="X29" s="109"/>
      <c r="Y29" s="109"/>
      <c r="Z29" s="109"/>
      <c r="AA29" s="109"/>
    </row>
    <row r="30" ht="14.25" customHeight="1">
      <c r="A30" s="109"/>
      <c r="B30" s="118">
        <v>52603.0</v>
      </c>
      <c r="C30" s="113" t="str">
        <f>VLOOKUP(B30,'FML March 2026'!E:F,2,false)</f>
        <v>OLIVE/CANOLA BLEND OIL</v>
      </c>
      <c r="D30" s="113" t="str">
        <f>VLOOKUP(B30,'Unit of Measure ship March 2026'!A:C,3,false)</f>
        <v>LT</v>
      </c>
      <c r="E30" s="109"/>
      <c r="F30" s="114">
        <v>15502.0</v>
      </c>
      <c r="G30" s="113" t="str">
        <f>VLOOKUP(F30,'FML March 2026'!E:F,2,false)</f>
        <v>PEPPERS RED, MEDIUM, 88-100 MM</v>
      </c>
      <c r="H30" s="113" t="str">
        <f>VLOOKUP(F30,'Unit of Measure ship March 2026'!A:C,3,false)</f>
        <v>LBS</v>
      </c>
      <c r="I30" s="109"/>
      <c r="J30" s="104"/>
      <c r="K30" s="127"/>
      <c r="L30" s="127"/>
      <c r="M30" s="109"/>
      <c r="N30" s="104"/>
      <c r="O30" s="127"/>
      <c r="P30" s="127"/>
      <c r="Q30" s="109"/>
      <c r="R30" s="8"/>
      <c r="S30" s="109"/>
      <c r="T30" s="8"/>
      <c r="U30" s="8"/>
      <c r="V30" s="109"/>
      <c r="W30" s="109"/>
      <c r="X30" s="109"/>
      <c r="Y30" s="109"/>
      <c r="Z30" s="109"/>
      <c r="AA30" s="109"/>
    </row>
    <row r="31" ht="14.25" customHeight="1">
      <c r="A31" s="109"/>
      <c r="B31" s="114">
        <v>108553.0</v>
      </c>
      <c r="C31" s="113" t="str">
        <f>VLOOKUP(B31,'FML March 2026'!E:F,2,false)</f>
        <v>PEPPER ARBOL  D'ALLESANDRO CS/5LB</v>
      </c>
      <c r="D31" s="113" t="str">
        <f>VLOOKUP(B31,'Unit of Measure ship March 2026'!A:C,3,false)</f>
        <v>KG</v>
      </c>
      <c r="E31" s="109"/>
      <c r="F31" s="114">
        <v>15577.0</v>
      </c>
      <c r="G31" s="113" t="str">
        <f>VLOOKUP(F31,'FML March 2026'!E:F,2,false)</f>
        <v>PEPPERS YELLOW, MEDIUM, 88-100 MM</v>
      </c>
      <c r="H31" s="113" t="str">
        <f>VLOOKUP(F31,'Unit of Measure ship March 2026'!A:C,3,false)</f>
        <v>LBS</v>
      </c>
      <c r="I31" s="109"/>
      <c r="J31" s="104"/>
      <c r="K31" s="127"/>
      <c r="L31" s="127"/>
      <c r="M31" s="109"/>
      <c r="N31" s="104"/>
      <c r="O31" s="127"/>
      <c r="P31" s="127"/>
      <c r="Q31" s="109"/>
      <c r="R31" s="8"/>
      <c r="S31" s="109"/>
      <c r="T31" s="8"/>
      <c r="U31" s="8"/>
      <c r="V31" s="109"/>
      <c r="W31" s="109"/>
      <c r="X31" s="109"/>
      <c r="Y31" s="109"/>
      <c r="Z31" s="109"/>
      <c r="AA31" s="109"/>
    </row>
    <row r="32" ht="14.25" customHeight="1">
      <c r="A32" s="109"/>
      <c r="B32" s="129">
        <v>108553.0</v>
      </c>
      <c r="C32" s="113" t="str">
        <f>VLOOKUP(B32,'FML March 2026'!E:F,2,false)</f>
        <v>PEPPER ARBOL  D'ALLESANDRO CS/5LB</v>
      </c>
      <c r="D32" s="113" t="str">
        <f>VLOOKUP(B32,'Unit of Measure ship March 2026'!A:C,3,false)</f>
        <v>KG</v>
      </c>
      <c r="E32" s="109"/>
      <c r="F32" s="119">
        <v>11856.0</v>
      </c>
      <c r="G32" s="113" t="str">
        <f>VLOOKUP(F32,'FML March 2026'!E:F,2,false)</f>
        <v>POTATOES YUKON GOLD, LARGE, FRESH</v>
      </c>
      <c r="H32" s="113" t="str">
        <f>VLOOKUP(F32,'Unit of Measure ship March 2026'!A:C,3,false)</f>
        <v>LBS</v>
      </c>
      <c r="I32" s="109"/>
      <c r="J32" s="104"/>
      <c r="K32" s="127"/>
      <c r="L32" s="127"/>
      <c r="M32" s="109"/>
      <c r="N32" s="104"/>
      <c r="O32" s="127"/>
      <c r="P32" s="127"/>
      <c r="Q32" s="109"/>
      <c r="R32" s="8"/>
      <c r="S32" s="109"/>
      <c r="T32" s="8"/>
      <c r="U32" s="8"/>
      <c r="V32" s="109"/>
      <c r="W32" s="109"/>
      <c r="X32" s="109"/>
      <c r="Y32" s="109"/>
      <c r="Z32" s="109"/>
      <c r="AA32" s="109"/>
    </row>
    <row r="33" ht="14.25" customHeight="1">
      <c r="A33" s="109"/>
      <c r="B33" s="114">
        <v>33681.0</v>
      </c>
      <c r="C33" s="113" t="str">
        <f>VLOOKUP(B33,'FML March 2026'!E:F,2,false)</f>
        <v>PEPPER BLACK GROUND BADIA (USA )</v>
      </c>
      <c r="D33" s="113" t="str">
        <f>VLOOKUP(B33,'Unit of Measure ship March 2026'!A:C,3,false)</f>
        <v>LBS</v>
      </c>
      <c r="E33" s="109"/>
      <c r="F33" s="119">
        <v>24185.0</v>
      </c>
      <c r="G33" s="113" t="str">
        <f>VLOOKUP(F33,'FML March 2026'!E:F,2,false)</f>
        <v>SCALLIONS FRESH - ICELESS</v>
      </c>
      <c r="H33" s="113" t="str">
        <f>VLOOKUP(F33,'Unit of Measure ship March 2026'!A:C,3,false)</f>
        <v>LBS</v>
      </c>
      <c r="I33" s="109"/>
      <c r="J33" s="104"/>
      <c r="K33" s="127"/>
      <c r="L33" s="127"/>
      <c r="M33" s="109"/>
      <c r="N33" s="104"/>
      <c r="O33" s="127"/>
      <c r="P33" s="127"/>
      <c r="Q33" s="109"/>
      <c r="S33" s="109"/>
      <c r="V33" s="109"/>
      <c r="W33" s="109"/>
      <c r="X33" s="109"/>
      <c r="Y33" s="109"/>
      <c r="Z33" s="109"/>
      <c r="AA33" s="109"/>
    </row>
    <row r="34" ht="14.25" customHeight="1">
      <c r="A34" s="109"/>
      <c r="B34" s="114">
        <v>16285.0</v>
      </c>
      <c r="C34" s="113" t="str">
        <f>VLOOKUP(B34,'FML March 2026'!E:F,2,false)</f>
        <v>PEPPERCORN, BLACK, WHOLE, DRY, 6/420 G</v>
      </c>
      <c r="D34" s="113" t="str">
        <f>VLOOKUP(B34,'Unit of Measure ship March 2026'!A:C,3,false)</f>
        <v>LBS</v>
      </c>
      <c r="E34" s="109"/>
      <c r="F34" s="128">
        <v>15540.0</v>
      </c>
      <c r="G34" s="113" t="str">
        <f>VLOOKUP(F34,'FML March 2026'!E:F,2,false)</f>
        <v>WATERCRESS (FULL BX) 10# 24BH "B &amp; W, FRESH, ICE PACKED" 1BX</v>
      </c>
      <c r="H34" s="113" t="str">
        <f>VLOOKUP(F34,'Unit of Measure ship March 2026'!A:C,3,false)</f>
        <v>LBS</v>
      </c>
      <c r="I34" s="109"/>
      <c r="J34" s="104"/>
      <c r="K34" s="127"/>
      <c r="L34" s="127"/>
      <c r="M34" s="109"/>
      <c r="N34" s="104"/>
      <c r="O34" s="127"/>
      <c r="P34" s="127"/>
      <c r="Q34" s="109"/>
      <c r="S34" s="109"/>
      <c r="V34" s="109"/>
      <c r="W34" s="109"/>
      <c r="X34" s="109"/>
      <c r="Y34" s="109"/>
      <c r="Z34" s="109"/>
      <c r="AA34" s="109"/>
    </row>
    <row r="35" ht="14.25" customHeight="1">
      <c r="A35" s="109"/>
      <c r="B35" s="114">
        <v>20890.0</v>
      </c>
      <c r="C35" s="113" t="str">
        <f>VLOOKUP(B35,'FML March 2026'!E:F,2,false)</f>
        <v>POTATO STARCH TOTIGI/ BOBS RED MILL</v>
      </c>
      <c r="D35" s="113" t="str">
        <f>VLOOKUP(B35,'Unit of Measure ship March 2026'!A:C,3,false)</f>
        <v>LBS</v>
      </c>
      <c r="E35" s="109"/>
      <c r="F35" s="119">
        <v>15542.0</v>
      </c>
      <c r="G35" s="113" t="str">
        <f>VLOOKUP(F35,'FML March 2026'!E:F,2,false)</f>
        <v>ZUCCHINI MEDIUM #1 FANCY 20#/CS, 180-210 MM</v>
      </c>
      <c r="H35" s="113" t="str">
        <f>VLOOKUP(F35,'Unit of Measure ship March 2026'!A:C,3,false)</f>
        <v>LBS</v>
      </c>
      <c r="I35" s="109"/>
      <c r="J35" s="104"/>
      <c r="K35" s="127"/>
      <c r="L35" s="127"/>
      <c r="M35" s="109"/>
      <c r="N35" s="104"/>
      <c r="O35" s="127"/>
      <c r="P35" s="127"/>
      <c r="Q35" s="109"/>
      <c r="S35" s="109"/>
      <c r="V35" s="109"/>
      <c r="W35" s="109"/>
      <c r="X35" s="109"/>
      <c r="Y35" s="109"/>
      <c r="Z35" s="109"/>
      <c r="AA35" s="109"/>
    </row>
    <row r="36" ht="14.25" customHeight="1">
      <c r="A36" s="109"/>
      <c r="B36" s="112">
        <v>150114.0</v>
      </c>
      <c r="C36" s="113" t="str">
        <f>VLOOKUP(B36,'FML March 2026'!E:F,2,false)</f>
        <v>RICE SYRUP CJO OLIGO CS20/700GR</v>
      </c>
      <c r="D36" s="113" t="str">
        <f>VLOOKUP(B36,'Unit of Measure ship March 2026'!A:C,3,false)</f>
        <v>BT/1.2KG</v>
      </c>
      <c r="E36" s="109"/>
      <c r="I36" s="109"/>
      <c r="J36" s="104"/>
      <c r="K36" s="127"/>
      <c r="L36" s="127"/>
      <c r="M36" s="109"/>
      <c r="N36" s="104"/>
      <c r="O36" s="127"/>
      <c r="P36" s="127"/>
      <c r="Q36" s="109"/>
      <c r="S36" s="109"/>
      <c r="V36" s="109"/>
      <c r="W36" s="109"/>
      <c r="X36" s="109"/>
      <c r="Y36" s="109"/>
      <c r="Z36" s="109"/>
      <c r="AA36" s="109"/>
    </row>
    <row r="37" ht="14.25" customHeight="1">
      <c r="A37" s="109"/>
      <c r="B37" s="118">
        <v>20143.0</v>
      </c>
      <c r="C37" s="113" t="str">
        <f>VLOOKUP(B37,'FML March 2026'!E:F,2,false)</f>
        <v>RICE TAMAKI GOLD/MATSURI KOSHIHIKARI/MARUYU</v>
      </c>
      <c r="D37" s="113" t="str">
        <f>VLOOKUP(B37,'Unit of Measure ship March 2026'!A:C,3,false)</f>
        <v>LBS</v>
      </c>
      <c r="E37" s="109"/>
      <c r="I37" s="109"/>
      <c r="J37" s="104"/>
      <c r="K37" s="127"/>
      <c r="L37" s="127"/>
      <c r="M37" s="109"/>
      <c r="N37" s="104"/>
      <c r="O37" s="127"/>
      <c r="P37" s="127"/>
      <c r="Q37" s="109"/>
      <c r="R37" s="8"/>
      <c r="S37" s="109"/>
      <c r="V37" s="109"/>
      <c r="W37" s="109"/>
      <c r="X37" s="109"/>
      <c r="Y37" s="109"/>
      <c r="Z37" s="109"/>
      <c r="AA37" s="109"/>
    </row>
    <row r="38" ht="14.25" customHeight="1">
      <c r="A38" s="109"/>
      <c r="B38" s="112">
        <v>40158.0</v>
      </c>
      <c r="C38" s="113" t="str">
        <f>VLOOKUP(B38,'FML March 2026'!E:F,2,false)</f>
        <v>RICE, JASMINE, &lt;4% BROKEN KERNELS, DRY, 1/50 LB</v>
      </c>
      <c r="D38" s="113" t="str">
        <f>VLOOKUP(B38,'Unit of Measure ship March 2026'!A:C,3,false)</f>
        <v>LBS</v>
      </c>
      <c r="E38" s="109"/>
      <c r="I38" s="109"/>
      <c r="J38" s="104"/>
      <c r="K38" s="127"/>
      <c r="L38" s="127"/>
      <c r="M38" s="109"/>
      <c r="N38" s="104"/>
      <c r="O38" s="127"/>
      <c r="P38" s="127"/>
      <c r="Q38" s="109"/>
      <c r="R38" s="8"/>
      <c r="S38" s="109"/>
      <c r="V38" s="109"/>
      <c r="W38" s="109"/>
      <c r="X38" s="109"/>
      <c r="Y38" s="109"/>
      <c r="Z38" s="109"/>
      <c r="AA38" s="109"/>
    </row>
    <row r="39" ht="14.25" customHeight="1">
      <c r="A39" s="109"/>
      <c r="B39" s="130">
        <v>16307.0</v>
      </c>
      <c r="C39" s="113" t="str">
        <f>VLOOKUP(B39,'FML March 2026'!E:F,2,false)</f>
        <v>SALT KOSHER GRANULATED</v>
      </c>
      <c r="D39" s="113" t="str">
        <f>VLOOKUP(B39,'Unit of Measure ship March 2026'!A:C,3,false)</f>
        <v>LBS</v>
      </c>
      <c r="E39" s="109"/>
      <c r="F39" s="109"/>
      <c r="G39" s="113"/>
      <c r="H39" s="104"/>
      <c r="I39" s="109"/>
      <c r="J39" s="104"/>
      <c r="K39" s="127"/>
      <c r="L39" s="127"/>
      <c r="M39" s="109"/>
      <c r="N39" s="104"/>
      <c r="O39" s="127"/>
      <c r="P39" s="127"/>
      <c r="Q39" s="109"/>
      <c r="R39" s="8"/>
      <c r="S39" s="109"/>
      <c r="T39" s="8"/>
      <c r="U39" s="8"/>
      <c r="V39" s="109"/>
      <c r="W39" s="109"/>
      <c r="X39" s="109"/>
      <c r="Y39" s="109"/>
      <c r="Z39" s="109"/>
      <c r="AA39" s="109"/>
    </row>
    <row r="40" ht="14.25" customHeight="1">
      <c r="A40" s="109"/>
      <c r="B40" s="131">
        <v>16307.0</v>
      </c>
      <c r="C40" s="132" t="str">
        <f>VLOOKUP(B40,'FML March 2026'!E:F,2,false)</f>
        <v>SALT KOSHER GRANULATED</v>
      </c>
      <c r="D40" s="113" t="str">
        <f>VLOOKUP(B40,'Unit of Measure ship March 2026'!A:C,3,false)</f>
        <v>LBS</v>
      </c>
      <c r="E40" s="109"/>
      <c r="I40" s="109"/>
      <c r="J40" s="104"/>
      <c r="K40" s="127"/>
      <c r="L40" s="127"/>
      <c r="M40" s="109"/>
      <c r="N40" s="104"/>
      <c r="O40" s="127"/>
      <c r="P40" s="127"/>
      <c r="Q40" s="109"/>
      <c r="R40" s="8"/>
      <c r="S40" s="109"/>
      <c r="T40" s="8"/>
      <c r="U40" s="8"/>
      <c r="V40" s="109"/>
      <c r="W40" s="109"/>
      <c r="X40" s="109"/>
      <c r="Y40" s="109"/>
      <c r="Z40" s="109"/>
      <c r="AA40" s="109"/>
    </row>
    <row r="41" ht="14.25" customHeight="1">
      <c r="A41" s="109"/>
      <c r="B41" s="114">
        <v>110954.0</v>
      </c>
      <c r="C41" s="113" t="str">
        <f>VLOOKUP(B41,'FML March 2026'!E:F,2,false)</f>
        <v>SESAME PASTE BLACK 1.1 LB  MARUHON</v>
      </c>
      <c r="D41" s="113" t="str">
        <f>VLOOKUP(B41,'Unit of Measure ship March 2026'!A:C,3,false)</f>
        <v>LBS</v>
      </c>
      <c r="E41" s="109"/>
      <c r="F41" s="109"/>
      <c r="G41" s="113"/>
      <c r="H41" s="127"/>
      <c r="I41" s="109"/>
      <c r="J41" s="104"/>
      <c r="K41" s="127"/>
      <c r="L41" s="127"/>
      <c r="M41" s="109"/>
      <c r="N41" s="104"/>
      <c r="O41" s="127"/>
      <c r="P41" s="127"/>
      <c r="Q41" s="109"/>
      <c r="R41" s="8"/>
      <c r="S41" s="109"/>
      <c r="T41" s="8"/>
      <c r="U41" s="8"/>
      <c r="V41" s="109"/>
      <c r="W41" s="109"/>
      <c r="X41" s="109"/>
      <c r="Y41" s="109"/>
      <c r="Z41" s="109"/>
      <c r="AA41" s="109"/>
    </row>
    <row r="42" ht="14.25" customHeight="1">
      <c r="A42" s="109"/>
      <c r="B42" s="128">
        <v>11260.0</v>
      </c>
      <c r="C42" s="113" t="str">
        <f>VLOOKUP(B42,'FML March 2026'!E:F,2,false)</f>
        <v>SESAME SEED BLACK</v>
      </c>
      <c r="D42" s="113" t="str">
        <f>VLOOKUP(B42,'Unit of Measure ship March 2026'!A:C,3,false)</f>
        <v>LBS</v>
      </c>
      <c r="E42" s="109"/>
      <c r="H42" s="104"/>
      <c r="I42" s="109"/>
      <c r="J42" s="104"/>
      <c r="K42" s="127"/>
      <c r="L42" s="127"/>
      <c r="M42" s="109"/>
      <c r="N42" s="104"/>
      <c r="O42" s="127"/>
      <c r="P42" s="127"/>
      <c r="Q42" s="109"/>
      <c r="R42" s="8"/>
      <c r="S42" s="109"/>
      <c r="T42" s="8"/>
      <c r="U42" s="8"/>
      <c r="V42" s="109"/>
      <c r="W42" s="109"/>
      <c r="X42" s="109"/>
      <c r="Y42" s="109"/>
      <c r="Z42" s="109"/>
      <c r="AA42" s="109"/>
    </row>
    <row r="43" ht="14.25" customHeight="1">
      <c r="A43" s="109"/>
      <c r="B43" s="118">
        <v>15818.0</v>
      </c>
      <c r="C43" s="113" t="str">
        <f>VLOOKUP(B43,'FML March 2026'!E:F,2,false)</f>
        <v>SESAME SEEDS WHITE BADIA (USA )</v>
      </c>
      <c r="D43" s="113" t="str">
        <f>VLOOKUP(B43,'Unit of Measure ship March 2026'!A:C,3,false)</f>
        <v>LBS</v>
      </c>
      <c r="E43" s="109"/>
      <c r="H43" s="127"/>
      <c r="I43" s="109"/>
      <c r="J43" s="104"/>
      <c r="K43" s="127"/>
      <c r="L43" s="127"/>
      <c r="M43" s="109"/>
      <c r="N43" s="104"/>
      <c r="O43" s="127"/>
      <c r="P43" s="127"/>
      <c r="Q43" s="109"/>
      <c r="R43" s="8"/>
      <c r="S43" s="109"/>
      <c r="T43" s="8"/>
      <c r="U43" s="8"/>
      <c r="V43" s="109"/>
      <c r="W43" s="109"/>
      <c r="X43" s="109"/>
      <c r="Y43" s="109"/>
      <c r="Z43" s="109"/>
      <c r="AA43" s="109"/>
    </row>
    <row r="44" ht="14.25" customHeight="1">
      <c r="A44" s="109"/>
      <c r="B44" s="131">
        <v>111194.0</v>
      </c>
      <c r="C44" s="133" t="str">
        <f>VLOOKUP(B44,'FML March 2026'!E:F,2,false)</f>
        <v>SHRIMP SALTED CS6/2 LB ASSI</v>
      </c>
      <c r="D44" s="113" t="str">
        <f>VLOOKUP(B44,'Unit of Measure ship March 2026'!A:C,3,false)</f>
        <v>LBS</v>
      </c>
      <c r="E44" s="109"/>
      <c r="F44" s="134"/>
      <c r="G44" s="135"/>
      <c r="H44" s="127"/>
      <c r="I44" s="109"/>
      <c r="J44" s="104"/>
      <c r="K44" s="127"/>
      <c r="L44" s="127"/>
      <c r="M44" s="109"/>
      <c r="N44" s="104"/>
      <c r="O44" s="127"/>
      <c r="P44" s="127"/>
      <c r="Q44" s="109"/>
      <c r="R44" s="8"/>
      <c r="S44" s="109"/>
      <c r="T44" s="8"/>
      <c r="U44" s="8"/>
      <c r="V44" s="109"/>
      <c r="W44" s="109"/>
      <c r="X44" s="109"/>
      <c r="Y44" s="109"/>
      <c r="Z44" s="109"/>
      <c r="AA44" s="109"/>
    </row>
    <row r="45" ht="14.25" customHeight="1">
      <c r="A45" s="109"/>
      <c r="B45" s="114">
        <v>111844.0</v>
      </c>
      <c r="C45" s="113" t="str">
        <f>VLOOKUP(B45,'FML March 2026'!E:F,2,false)</f>
        <v>SOY BEAN POWDER CS30/1 LB ASSI</v>
      </c>
      <c r="D45" s="113" t="str">
        <f>VLOOKUP(B45,'Unit of Measure ship March 2026'!A:C,3,false)</f>
        <v>LBS</v>
      </c>
      <c r="E45" s="109"/>
      <c r="F45" s="136"/>
      <c r="G45" s="135"/>
      <c r="H45" s="127"/>
      <c r="I45" s="109"/>
      <c r="J45" s="104"/>
      <c r="K45" s="127"/>
      <c r="L45" s="127"/>
      <c r="M45" s="109"/>
      <c r="N45" s="109"/>
      <c r="O45" s="127"/>
      <c r="P45" s="127"/>
      <c r="Q45" s="109"/>
      <c r="R45" s="8"/>
      <c r="S45" s="109"/>
      <c r="T45" s="8"/>
      <c r="U45" s="8"/>
      <c r="V45" s="109"/>
      <c r="W45" s="109"/>
      <c r="X45" s="109"/>
      <c r="Y45" s="109"/>
      <c r="Z45" s="109"/>
      <c r="AA45" s="109"/>
    </row>
    <row r="46" ht="14.25" customHeight="1">
      <c r="A46" s="109"/>
      <c r="B46" s="114">
        <v>111107.0</v>
      </c>
      <c r="C46" s="113" t="str">
        <f>VLOOKUP(B46,'FML March 2026'!E:F,2,false)</f>
        <v>SOY SAUCE BREWED GLUTEN FREE SEMPIO CS 12/930</v>
      </c>
      <c r="D46" s="113" t="str">
        <f>VLOOKUP(B46,'Unit of Measure ship March 2026'!A:C,3,false)</f>
        <v>BT/60 OZ</v>
      </c>
      <c r="E46" s="109"/>
      <c r="F46" s="136"/>
      <c r="G46" s="135"/>
      <c r="H46" s="127"/>
      <c r="I46" s="109"/>
      <c r="J46" s="104"/>
      <c r="K46" s="127"/>
      <c r="L46" s="127"/>
      <c r="M46" s="109"/>
      <c r="N46" s="137"/>
      <c r="O46" s="127"/>
      <c r="P46" s="127"/>
      <c r="Q46" s="109"/>
      <c r="R46" s="8"/>
      <c r="S46" s="109"/>
      <c r="T46" s="8"/>
      <c r="U46" s="8"/>
      <c r="V46" s="109"/>
      <c r="W46" s="109"/>
      <c r="X46" s="109"/>
      <c r="Y46" s="109"/>
      <c r="Z46" s="109"/>
      <c r="AA46" s="109"/>
    </row>
    <row r="47" ht="14.25" customHeight="1">
      <c r="A47" s="109"/>
      <c r="B47" s="114">
        <v>20151.0</v>
      </c>
      <c r="C47" s="113" t="str">
        <f>VLOOKUP(B47,'FML March 2026'!E:F,2,false)</f>
        <v>SOY SAUCE LOWER SODIUM CS6/64OZ KIKKOMAN #00130 (USA)</v>
      </c>
      <c r="D47" s="113" t="str">
        <f>VLOOKUP(B47,'Unit of Measure ship March 2026'!A:C,3,false)</f>
        <v>BTL/64OZ</v>
      </c>
      <c r="E47" s="109"/>
      <c r="F47" s="136"/>
      <c r="G47" s="135"/>
      <c r="H47" s="127"/>
      <c r="I47" s="109"/>
      <c r="J47" s="104"/>
      <c r="K47" s="127"/>
      <c r="L47" s="127"/>
      <c r="M47" s="109"/>
      <c r="N47" s="137"/>
      <c r="O47" s="127"/>
      <c r="P47" s="127"/>
      <c r="Q47" s="109"/>
      <c r="R47" s="8"/>
      <c r="S47" s="109"/>
      <c r="T47" s="8"/>
      <c r="U47" s="8"/>
      <c r="V47" s="109"/>
      <c r="W47" s="109"/>
      <c r="X47" s="109"/>
      <c r="Y47" s="109"/>
      <c r="Z47" s="109"/>
      <c r="AA47" s="109"/>
    </row>
    <row r="48" ht="14.25" customHeight="1">
      <c r="A48" s="109"/>
      <c r="B48" s="114">
        <v>110881.0</v>
      </c>
      <c r="C48" s="113" t="str">
        <f>VLOOKUP(B48,'FML March 2026'!E:F,2,false)</f>
        <v>SOY SAUCE WHITE BTL 750ML HAMIAMATSU HOMINTO</v>
      </c>
      <c r="D48" s="113" t="str">
        <f>VLOOKUP(B48,'Unit of Measure ship March 2026'!A:C,3,false)</f>
        <v>BT/750ML</v>
      </c>
      <c r="E48" s="109"/>
      <c r="F48" s="136"/>
      <c r="G48" s="135"/>
      <c r="H48" s="127"/>
      <c r="I48" s="109"/>
      <c r="J48" s="104"/>
      <c r="K48" s="127"/>
      <c r="L48" s="127"/>
      <c r="M48" s="109"/>
      <c r="N48" s="104"/>
      <c r="O48" s="127"/>
      <c r="P48" s="127"/>
      <c r="Q48" s="109"/>
      <c r="R48" s="8"/>
      <c r="S48" s="109"/>
      <c r="T48" s="8"/>
      <c r="U48" s="8"/>
      <c r="V48" s="109"/>
      <c r="W48" s="109"/>
      <c r="X48" s="109"/>
      <c r="Y48" s="109"/>
      <c r="Z48" s="109"/>
      <c r="AA48" s="109"/>
    </row>
    <row r="49" ht="14.25" customHeight="1">
      <c r="A49" s="109"/>
      <c r="B49" s="114">
        <v>20879.0</v>
      </c>
      <c r="C49" s="113" t="str">
        <f>VLOOKUP(B49,'FML March 2026'!E:F,2,false)</f>
        <v>SRIRACHA, HOT CHILI SAUCE, HUY FONG, 28OZ</v>
      </c>
      <c r="D49" s="113" t="str">
        <f>VLOOKUP(B49,'Unit of Measure ship March 2026'!A:C,3,false)</f>
        <v>BT/17OZ</v>
      </c>
      <c r="E49" s="109"/>
      <c r="F49" s="136"/>
      <c r="G49" s="135"/>
      <c r="H49" s="127"/>
      <c r="I49" s="109"/>
      <c r="J49" s="104"/>
      <c r="K49" s="127"/>
      <c r="L49" s="127"/>
      <c r="M49" s="109"/>
      <c r="N49" s="104"/>
      <c r="O49" s="127"/>
      <c r="P49" s="127"/>
      <c r="Q49" s="109"/>
      <c r="R49" s="8"/>
      <c r="S49" s="109"/>
      <c r="T49" s="8"/>
      <c r="U49" s="8"/>
      <c r="V49" s="109"/>
      <c r="W49" s="109"/>
      <c r="X49" s="109"/>
      <c r="Y49" s="109"/>
      <c r="Z49" s="109"/>
      <c r="AA49" s="109"/>
    </row>
    <row r="50" ht="14.25" customHeight="1">
      <c r="A50" s="109"/>
      <c r="B50" s="118">
        <v>15646.0</v>
      </c>
      <c r="C50" s="113" t="str">
        <f>VLOOKUP(B50,'FML March 2026'!E:F,2,false)</f>
        <v>SUGAR BROWN DARK  24/1LB  DOMINO (404310) (USA)</v>
      </c>
      <c r="D50" s="113" t="str">
        <f>VLOOKUP(B50,'Unit of Measure ship March 2026'!A:C,3,false)</f>
        <v>LBS</v>
      </c>
      <c r="E50" s="109"/>
      <c r="F50" s="136"/>
      <c r="G50" s="135"/>
      <c r="H50" s="127"/>
      <c r="I50" s="109"/>
      <c r="J50" s="104"/>
      <c r="K50" s="127"/>
      <c r="L50" s="127"/>
      <c r="M50" s="109"/>
      <c r="N50" s="104"/>
      <c r="O50" s="127"/>
      <c r="P50" s="127"/>
      <c r="Q50" s="109"/>
      <c r="R50" s="8"/>
      <c r="S50" s="109"/>
      <c r="T50" s="8"/>
      <c r="U50" s="8"/>
      <c r="V50" s="109"/>
      <c r="W50" s="109"/>
      <c r="X50" s="109"/>
      <c r="Y50" s="109"/>
      <c r="Z50" s="109"/>
      <c r="AA50" s="109"/>
    </row>
    <row r="51" ht="14.25" customHeight="1">
      <c r="A51" s="109"/>
      <c r="B51" s="112">
        <v>15642.0</v>
      </c>
      <c r="C51" s="113" t="str">
        <f>VLOOKUP(B51,'FML March 2026'!E:F,2,false)</f>
        <v>SUGAR, GRANULATED, ICUMSA 150, SUGARCANE, DRY, 1/50 LB</v>
      </c>
      <c r="D51" s="113" t="str">
        <f>VLOOKUP(B51,'Unit of Measure ship March 2026'!A:C,3,false)</f>
        <v>LBS</v>
      </c>
      <c r="E51" s="109"/>
      <c r="F51" s="136"/>
      <c r="G51" s="135"/>
      <c r="H51" s="127"/>
      <c r="I51" s="109"/>
      <c r="J51" s="104"/>
      <c r="K51" s="127"/>
      <c r="L51" s="127"/>
      <c r="M51" s="109"/>
      <c r="N51" s="104"/>
      <c r="O51" s="127"/>
      <c r="P51" s="127"/>
      <c r="Q51" s="109"/>
      <c r="R51" s="8"/>
      <c r="S51" s="109"/>
      <c r="T51" s="8"/>
      <c r="U51" s="8"/>
      <c r="V51" s="109"/>
      <c r="W51" s="109"/>
      <c r="X51" s="109"/>
      <c r="Y51" s="109"/>
      <c r="Z51" s="109"/>
      <c r="AA51" s="109"/>
    </row>
    <row r="52" ht="14.25" customHeight="1">
      <c r="A52" s="109"/>
      <c r="B52" s="118">
        <v>15644.0</v>
      </c>
      <c r="C52" s="113" t="str">
        <f>VLOOKUP(B52,'FML March 2026'!E:F,2,false)</f>
        <v>SUGAR, POWDERED, W/ CORNSTARCH, DRY, 24/1 LB</v>
      </c>
      <c r="D52" s="113" t="str">
        <f>VLOOKUP(B52,'Unit of Measure ship March 2026'!A:C,3,false)</f>
        <v>LBS</v>
      </c>
      <c r="E52" s="109"/>
      <c r="F52" s="136"/>
      <c r="G52" s="135"/>
      <c r="H52" s="127"/>
      <c r="I52" s="109"/>
      <c r="J52" s="104"/>
      <c r="K52" s="127"/>
      <c r="L52" s="127"/>
      <c r="M52" s="109"/>
      <c r="N52" s="104"/>
      <c r="O52" s="127"/>
      <c r="P52" s="127"/>
      <c r="Q52" s="109"/>
      <c r="R52" s="8"/>
      <c r="S52" s="109"/>
      <c r="T52" s="8"/>
      <c r="U52" s="8"/>
      <c r="V52" s="109"/>
      <c r="W52" s="109"/>
      <c r="X52" s="109"/>
      <c r="Y52" s="109"/>
      <c r="Z52" s="109"/>
      <c r="AA52" s="109"/>
    </row>
    <row r="53" ht="14.25" customHeight="1">
      <c r="A53" s="109"/>
      <c r="B53" s="119">
        <v>15060.0</v>
      </c>
      <c r="C53" s="113" t="str">
        <f>VLOOKUP(B53,'FML March 2026'!E:F,2,false)</f>
        <v>TOFU FIRM, TUB</v>
      </c>
      <c r="D53" s="113" t="str">
        <f>VLOOKUP(B53,'Unit of Measure ship March 2026'!A:C,3,false)</f>
        <v>PC/12OZ</v>
      </c>
      <c r="E53" s="109"/>
      <c r="F53" s="136"/>
      <c r="G53" s="135"/>
      <c r="H53" s="127"/>
      <c r="I53" s="109"/>
      <c r="J53" s="104"/>
      <c r="K53" s="127"/>
      <c r="L53" s="127"/>
      <c r="M53" s="109"/>
      <c r="N53" s="104"/>
      <c r="O53" s="127"/>
      <c r="P53" s="127"/>
      <c r="Q53" s="109"/>
      <c r="R53" s="8"/>
      <c r="S53" s="109"/>
      <c r="T53" s="8"/>
      <c r="U53" s="8"/>
      <c r="V53" s="109"/>
      <c r="W53" s="109"/>
      <c r="X53" s="109"/>
      <c r="Y53" s="109"/>
      <c r="Z53" s="109"/>
      <c r="AA53" s="109"/>
    </row>
    <row r="54" ht="14.25" customHeight="1">
      <c r="A54" s="109"/>
      <c r="B54" s="114">
        <v>16951.0</v>
      </c>
      <c r="C54" s="113" t="str">
        <f>VLOOKUP(B54,'FML March 2026'!E:F,2,false)</f>
        <v>TOFU SILKY SOFT (KINU TOFU)</v>
      </c>
      <c r="D54" s="113" t="str">
        <f>VLOOKUP(B54,'Unit of Measure ship March 2026'!A:C,3,false)</f>
        <v>PC/12OZ</v>
      </c>
      <c r="E54" s="109"/>
      <c r="F54" s="136"/>
      <c r="G54" s="135"/>
      <c r="H54" s="127"/>
      <c r="I54" s="109"/>
      <c r="J54" s="104"/>
      <c r="K54" s="127"/>
      <c r="L54" s="127"/>
      <c r="M54" s="109"/>
      <c r="N54" s="104"/>
      <c r="O54" s="127"/>
      <c r="P54" s="127"/>
      <c r="Q54" s="109"/>
      <c r="R54" s="8"/>
      <c r="S54" s="109"/>
      <c r="T54" s="8"/>
      <c r="U54" s="8"/>
      <c r="V54" s="109"/>
      <c r="W54" s="109"/>
      <c r="X54" s="109"/>
      <c r="Y54" s="109"/>
      <c r="Z54" s="109"/>
      <c r="AA54" s="109"/>
    </row>
    <row r="55" ht="14.25" customHeight="1">
      <c r="A55" s="109"/>
      <c r="B55" s="138">
        <v>16413.0</v>
      </c>
      <c r="C55" s="113" t="str">
        <f>VLOOKUP(B55,'FML March 2026'!E:F,2,false)</f>
        <v>VINEGAR, RICE WINE, UNSEASONED, JUG</v>
      </c>
      <c r="D55" s="113" t="str">
        <f>VLOOKUP(B55,'Unit of Measure ship March 2026'!A:C,3,false)</f>
        <v>GAL</v>
      </c>
      <c r="E55" s="109"/>
      <c r="F55" s="136"/>
      <c r="G55" s="135"/>
      <c r="H55" s="127"/>
      <c r="I55" s="109"/>
      <c r="J55" s="104"/>
      <c r="K55" s="127"/>
      <c r="L55" s="127"/>
      <c r="M55" s="109"/>
      <c r="N55" s="104"/>
      <c r="O55" s="127"/>
      <c r="P55" s="127"/>
      <c r="Q55" s="109"/>
      <c r="R55" s="8"/>
      <c r="S55" s="109"/>
      <c r="T55" s="8"/>
      <c r="U55" s="8"/>
      <c r="V55" s="109"/>
      <c r="W55" s="109"/>
      <c r="X55" s="109"/>
      <c r="Y55" s="109"/>
      <c r="Z55" s="109"/>
      <c r="AA55" s="109"/>
    </row>
    <row r="56" ht="14.25" customHeight="1">
      <c r="A56" s="109"/>
      <c r="B56" s="114">
        <v>16374.0</v>
      </c>
      <c r="C56" s="113" t="str">
        <f>VLOOKUP(B56,'FML March 2026'!E:F,2,false)</f>
        <v>VINEGAR, WHITE DISTILLED</v>
      </c>
      <c r="D56" s="113" t="str">
        <f>VLOOKUP(B56,'Unit of Measure ship March 2026'!A:C,3,false)</f>
        <v>BTL/5LT</v>
      </c>
      <c r="E56" s="109"/>
      <c r="F56" s="136"/>
      <c r="G56" s="135"/>
      <c r="H56" s="127"/>
      <c r="I56" s="109"/>
      <c r="J56" s="104"/>
      <c r="K56" s="127"/>
      <c r="L56" s="127"/>
      <c r="M56" s="109"/>
      <c r="N56" s="104"/>
      <c r="O56" s="127"/>
      <c r="P56" s="127"/>
      <c r="Q56" s="109"/>
      <c r="R56" s="8"/>
      <c r="S56" s="109"/>
      <c r="T56" s="8"/>
      <c r="U56" s="8"/>
      <c r="V56" s="109"/>
      <c r="W56" s="109"/>
      <c r="X56" s="109"/>
      <c r="Y56" s="109"/>
      <c r="Z56" s="109"/>
      <c r="AA56" s="109"/>
    </row>
    <row r="57" ht="14.25" customHeight="1">
      <c r="A57" s="109"/>
      <c r="E57" s="109"/>
      <c r="F57" s="136"/>
      <c r="G57" s="135"/>
      <c r="H57" s="127"/>
      <c r="I57" s="109"/>
      <c r="J57" s="104"/>
      <c r="K57" s="127"/>
      <c r="L57" s="127"/>
      <c r="M57" s="109"/>
      <c r="N57" s="104"/>
      <c r="O57" s="127"/>
      <c r="P57" s="127"/>
      <c r="Q57" s="109"/>
      <c r="R57" s="8"/>
      <c r="S57" s="109"/>
      <c r="T57" s="8"/>
      <c r="U57" s="8"/>
      <c r="V57" s="109"/>
      <c r="W57" s="109"/>
      <c r="X57" s="109"/>
      <c r="Y57" s="109"/>
      <c r="Z57" s="109"/>
      <c r="AA57" s="109"/>
    </row>
    <row r="58" ht="14.25" customHeight="1">
      <c r="A58" s="109"/>
      <c r="E58" s="109"/>
      <c r="F58" s="136"/>
      <c r="G58" s="135"/>
      <c r="H58" s="127"/>
      <c r="I58" s="109"/>
      <c r="J58" s="104"/>
      <c r="K58" s="127"/>
      <c r="L58" s="127"/>
      <c r="M58" s="109"/>
      <c r="N58" s="104"/>
      <c r="O58" s="127"/>
      <c r="P58" s="127"/>
      <c r="Q58" s="109"/>
      <c r="R58" s="8"/>
      <c r="S58" s="109"/>
      <c r="T58" s="8"/>
      <c r="U58" s="8"/>
      <c r="V58" s="109"/>
      <c r="W58" s="109"/>
      <c r="X58" s="109"/>
      <c r="Y58" s="109"/>
      <c r="Z58" s="109"/>
      <c r="AA58" s="109"/>
    </row>
    <row r="59" ht="14.25" customHeight="1">
      <c r="A59" s="109"/>
      <c r="E59" s="109"/>
      <c r="F59" s="136"/>
      <c r="G59" s="135"/>
      <c r="H59" s="127"/>
      <c r="I59" s="109"/>
      <c r="J59" s="104"/>
      <c r="K59" s="127"/>
      <c r="L59" s="127"/>
      <c r="M59" s="109"/>
      <c r="N59" s="104"/>
      <c r="O59" s="127"/>
      <c r="P59" s="127"/>
      <c r="Q59" s="109"/>
      <c r="R59" s="8"/>
      <c r="S59" s="109"/>
      <c r="T59" s="8"/>
      <c r="U59" s="8"/>
      <c r="V59" s="109"/>
      <c r="W59" s="109"/>
      <c r="X59" s="109"/>
      <c r="Y59" s="109"/>
      <c r="Z59" s="109"/>
      <c r="AA59" s="109"/>
    </row>
    <row r="60" ht="14.25" customHeight="1">
      <c r="A60" s="109"/>
      <c r="B60" s="109"/>
      <c r="C60" s="104"/>
      <c r="D60" s="104"/>
      <c r="E60" s="109"/>
      <c r="F60" s="136"/>
      <c r="G60" s="135"/>
      <c r="H60" s="127"/>
      <c r="I60" s="109"/>
      <c r="J60" s="104"/>
      <c r="K60" s="127"/>
      <c r="L60" s="127"/>
      <c r="M60" s="109"/>
      <c r="N60" s="104"/>
      <c r="O60" s="127"/>
      <c r="P60" s="127"/>
      <c r="Q60" s="109"/>
      <c r="R60" s="8"/>
      <c r="S60" s="109"/>
      <c r="T60" s="8"/>
      <c r="U60" s="8"/>
      <c r="V60" s="109"/>
      <c r="W60" s="109"/>
      <c r="X60" s="109"/>
      <c r="Y60" s="109"/>
      <c r="Z60" s="109"/>
      <c r="AA60" s="109"/>
    </row>
    <row r="61" ht="14.25" customHeight="1">
      <c r="A61" s="109"/>
      <c r="E61" s="109"/>
      <c r="F61" s="136"/>
      <c r="G61" s="135"/>
      <c r="H61" s="127"/>
      <c r="I61" s="109"/>
      <c r="J61" s="104"/>
      <c r="K61" s="127"/>
      <c r="L61" s="127"/>
      <c r="M61" s="109"/>
      <c r="N61" s="104"/>
      <c r="O61" s="127"/>
      <c r="P61" s="127"/>
      <c r="Q61" s="109"/>
      <c r="R61" s="8"/>
      <c r="S61" s="109"/>
      <c r="T61" s="8"/>
      <c r="U61" s="8"/>
      <c r="V61" s="109"/>
      <c r="W61" s="109"/>
      <c r="X61" s="109"/>
      <c r="Y61" s="109"/>
      <c r="Z61" s="109"/>
      <c r="AA61" s="109"/>
    </row>
    <row r="62" ht="14.25" customHeight="1">
      <c r="A62" s="109"/>
      <c r="B62" s="109"/>
      <c r="C62" s="104"/>
      <c r="D62" s="104"/>
      <c r="E62" s="109"/>
      <c r="F62" s="136"/>
      <c r="G62" s="135"/>
      <c r="H62" s="104"/>
      <c r="I62" s="109"/>
      <c r="J62" s="104"/>
      <c r="K62" s="104"/>
      <c r="L62" s="104"/>
      <c r="M62" s="109"/>
      <c r="N62" s="104"/>
      <c r="O62" s="127"/>
      <c r="P62" s="127"/>
      <c r="Q62" s="109"/>
      <c r="R62" s="8"/>
      <c r="S62" s="109"/>
      <c r="T62" s="8"/>
      <c r="U62" s="8"/>
      <c r="V62" s="109"/>
      <c r="W62" s="109"/>
      <c r="X62" s="109"/>
      <c r="Y62" s="109"/>
      <c r="Z62" s="109"/>
      <c r="AA62" s="109"/>
    </row>
    <row r="63" ht="14.25" customHeight="1">
      <c r="A63" s="109"/>
      <c r="B63" s="109"/>
      <c r="C63" s="104"/>
      <c r="D63" s="104"/>
      <c r="E63" s="109"/>
      <c r="F63" s="136"/>
      <c r="G63" s="135"/>
      <c r="H63" s="104"/>
      <c r="I63" s="109"/>
      <c r="J63" s="104"/>
      <c r="K63" s="104"/>
      <c r="L63" s="104"/>
      <c r="M63" s="109"/>
      <c r="N63" s="104"/>
      <c r="O63" s="127"/>
      <c r="P63" s="127"/>
      <c r="Q63" s="109"/>
      <c r="R63" s="8"/>
      <c r="S63" s="109"/>
      <c r="T63" s="8"/>
      <c r="U63" s="8"/>
      <c r="V63" s="109"/>
      <c r="W63" s="109"/>
      <c r="X63" s="109"/>
      <c r="Y63" s="109"/>
      <c r="Z63" s="109"/>
      <c r="AA63" s="109"/>
    </row>
    <row r="64" ht="14.25" customHeight="1">
      <c r="A64" s="109"/>
      <c r="B64" s="109"/>
      <c r="C64" s="104"/>
      <c r="D64" s="104"/>
      <c r="E64" s="109"/>
      <c r="F64" s="136"/>
      <c r="G64" s="135"/>
      <c r="H64" s="104"/>
      <c r="I64" s="109"/>
      <c r="J64" s="104"/>
      <c r="K64" s="104"/>
      <c r="L64" s="104"/>
      <c r="M64" s="109"/>
      <c r="N64" s="104"/>
      <c r="O64" s="127"/>
      <c r="P64" s="127"/>
      <c r="Q64" s="109"/>
      <c r="R64" s="8"/>
      <c r="S64" s="109"/>
      <c r="T64" s="8"/>
      <c r="U64" s="8"/>
      <c r="V64" s="109"/>
      <c r="W64" s="109"/>
      <c r="X64" s="109"/>
      <c r="Y64" s="109"/>
      <c r="Z64" s="109"/>
      <c r="AA64" s="109"/>
    </row>
    <row r="65" ht="14.25" customHeight="1">
      <c r="A65" s="109"/>
      <c r="B65" s="109"/>
      <c r="C65" s="104"/>
      <c r="D65" s="104"/>
      <c r="E65" s="109"/>
      <c r="F65" s="136"/>
      <c r="G65" s="135"/>
      <c r="H65" s="104"/>
      <c r="I65" s="109"/>
      <c r="J65" s="104"/>
      <c r="K65" s="104"/>
      <c r="L65" s="104"/>
      <c r="M65" s="109"/>
      <c r="N65" s="104"/>
      <c r="O65" s="127"/>
      <c r="P65" s="127"/>
      <c r="Q65" s="109"/>
      <c r="R65" s="8"/>
      <c r="S65" s="109"/>
      <c r="T65" s="8"/>
      <c r="U65" s="8"/>
      <c r="V65" s="109"/>
      <c r="W65" s="109"/>
      <c r="X65" s="109"/>
      <c r="Y65" s="109"/>
      <c r="Z65" s="109"/>
      <c r="AA65" s="109"/>
    </row>
    <row r="66" ht="14.25" customHeight="1">
      <c r="A66" s="109"/>
      <c r="B66" s="109"/>
      <c r="C66" s="104"/>
      <c r="D66" s="104"/>
      <c r="E66" s="109"/>
      <c r="F66" s="136"/>
      <c r="G66" s="135"/>
      <c r="H66" s="104"/>
      <c r="I66" s="109"/>
      <c r="J66" s="104"/>
      <c r="K66" s="104"/>
      <c r="L66" s="104"/>
      <c r="M66" s="109"/>
      <c r="N66" s="104"/>
      <c r="O66" s="127"/>
      <c r="P66" s="127"/>
      <c r="Q66" s="109"/>
      <c r="R66" s="8"/>
      <c r="S66" s="109"/>
      <c r="T66" s="8"/>
      <c r="U66" s="8"/>
      <c r="V66" s="109"/>
      <c r="W66" s="109"/>
      <c r="X66" s="109"/>
      <c r="Y66" s="109"/>
      <c r="Z66" s="109"/>
      <c r="AA66" s="109"/>
    </row>
    <row r="67" ht="14.25" customHeight="1">
      <c r="A67" s="109"/>
      <c r="B67" s="109"/>
      <c r="C67" s="104"/>
      <c r="D67" s="104"/>
      <c r="E67" s="109"/>
      <c r="F67" s="136"/>
      <c r="G67" s="135"/>
      <c r="H67" s="104"/>
      <c r="I67" s="109"/>
      <c r="J67" s="104"/>
      <c r="K67" s="104"/>
      <c r="L67" s="104"/>
      <c r="M67" s="109"/>
      <c r="N67" s="104"/>
      <c r="O67" s="127"/>
      <c r="P67" s="127"/>
      <c r="Q67" s="109"/>
      <c r="R67" s="8"/>
      <c r="S67" s="109"/>
      <c r="T67" s="8"/>
      <c r="U67" s="8"/>
      <c r="V67" s="109"/>
      <c r="W67" s="109"/>
      <c r="X67" s="109"/>
      <c r="Y67" s="109"/>
      <c r="Z67" s="109"/>
      <c r="AA67" s="109"/>
    </row>
    <row r="68" ht="14.25" customHeight="1">
      <c r="A68" s="109"/>
      <c r="B68" s="109"/>
      <c r="C68" s="104"/>
      <c r="D68" s="104"/>
      <c r="E68" s="109"/>
      <c r="F68" s="136"/>
      <c r="G68" s="135"/>
      <c r="H68" s="104"/>
      <c r="I68" s="109"/>
      <c r="J68" s="104"/>
      <c r="K68" s="104"/>
      <c r="L68" s="104"/>
      <c r="M68" s="109"/>
      <c r="N68" s="104"/>
      <c r="O68" s="127"/>
      <c r="P68" s="127"/>
      <c r="Q68" s="109"/>
      <c r="R68" s="8"/>
      <c r="S68" s="109"/>
      <c r="T68" s="8"/>
      <c r="U68" s="8"/>
      <c r="V68" s="109"/>
      <c r="W68" s="109"/>
      <c r="X68" s="109"/>
      <c r="Y68" s="109"/>
      <c r="Z68" s="109"/>
      <c r="AA68" s="109"/>
    </row>
    <row r="69" ht="14.25" customHeight="1">
      <c r="A69" s="109"/>
      <c r="B69" s="109"/>
      <c r="C69" s="104"/>
      <c r="D69" s="104"/>
      <c r="E69" s="109"/>
      <c r="F69" s="136"/>
      <c r="G69" s="135"/>
      <c r="H69" s="104"/>
      <c r="I69" s="109"/>
      <c r="J69" s="104"/>
      <c r="K69" s="104"/>
      <c r="L69" s="104"/>
      <c r="M69" s="109"/>
      <c r="N69" s="104"/>
      <c r="O69" s="127"/>
      <c r="P69" s="127"/>
      <c r="Q69" s="109"/>
      <c r="R69" s="8"/>
      <c r="S69" s="109"/>
      <c r="T69" s="8"/>
      <c r="U69" s="8"/>
      <c r="V69" s="109"/>
      <c r="W69" s="109"/>
      <c r="X69" s="109"/>
      <c r="Y69" s="109"/>
      <c r="Z69" s="109"/>
      <c r="AA69" s="109"/>
    </row>
    <row r="70" ht="14.25" customHeight="1">
      <c r="A70" s="109"/>
      <c r="B70" s="109"/>
      <c r="C70" s="104"/>
      <c r="D70" s="104"/>
      <c r="E70" s="109"/>
      <c r="F70" s="136"/>
      <c r="G70" s="135"/>
      <c r="H70" s="127"/>
      <c r="I70" s="109"/>
      <c r="J70" s="104"/>
      <c r="K70" s="104"/>
      <c r="L70" s="104"/>
      <c r="M70" s="109"/>
      <c r="N70" s="104"/>
      <c r="O70" s="127"/>
      <c r="P70" s="127"/>
      <c r="Q70" s="109"/>
      <c r="R70" s="8"/>
      <c r="S70" s="109"/>
      <c r="T70" s="8"/>
      <c r="U70" s="8"/>
      <c r="V70" s="109"/>
      <c r="W70" s="109"/>
      <c r="X70" s="109"/>
      <c r="Y70" s="109"/>
      <c r="Z70" s="109"/>
      <c r="AA70" s="109"/>
    </row>
    <row r="71" ht="14.25" customHeight="1">
      <c r="A71" s="109"/>
      <c r="B71" s="109"/>
      <c r="C71" s="104"/>
      <c r="D71" s="104"/>
      <c r="E71" s="109"/>
      <c r="F71" s="136"/>
      <c r="G71" s="135"/>
      <c r="H71" s="127"/>
      <c r="I71" s="109"/>
      <c r="J71" s="104"/>
      <c r="K71" s="104"/>
      <c r="L71" s="104"/>
      <c r="M71" s="109"/>
      <c r="N71" s="104"/>
      <c r="O71" s="127"/>
      <c r="P71" s="127"/>
      <c r="Q71" s="109"/>
      <c r="R71" s="8"/>
      <c r="S71" s="109"/>
      <c r="T71" s="8"/>
      <c r="U71" s="8"/>
      <c r="V71" s="109"/>
      <c r="W71" s="109"/>
      <c r="X71" s="109"/>
      <c r="Y71" s="109"/>
      <c r="Z71" s="109"/>
      <c r="AA71" s="109"/>
    </row>
    <row r="72" ht="14.25" customHeight="1">
      <c r="A72" s="109"/>
      <c r="B72" s="109"/>
      <c r="C72" s="104"/>
      <c r="D72" s="104"/>
      <c r="E72" s="109"/>
      <c r="F72" s="136"/>
      <c r="G72" s="135"/>
      <c r="H72" s="139"/>
      <c r="I72" s="109"/>
      <c r="J72" s="104"/>
      <c r="K72" s="104"/>
      <c r="L72" s="104"/>
      <c r="M72" s="109"/>
      <c r="N72" s="104"/>
      <c r="O72" s="127"/>
      <c r="P72" s="127"/>
      <c r="Q72" s="109"/>
      <c r="R72" s="8"/>
      <c r="S72" s="109"/>
      <c r="T72" s="8"/>
      <c r="U72" s="8"/>
      <c r="V72" s="109"/>
      <c r="W72" s="109"/>
      <c r="X72" s="109"/>
      <c r="Y72" s="109"/>
      <c r="Z72" s="109"/>
      <c r="AA72" s="109"/>
    </row>
    <row r="73" ht="14.25" customHeight="1">
      <c r="A73" s="109"/>
      <c r="B73" s="109"/>
      <c r="C73" s="104"/>
      <c r="D73" s="104"/>
      <c r="E73" s="109"/>
      <c r="F73" s="136"/>
      <c r="G73" s="135"/>
      <c r="H73" s="127"/>
      <c r="I73" s="109"/>
      <c r="J73" s="104"/>
      <c r="K73" s="104"/>
      <c r="L73" s="104"/>
      <c r="M73" s="109"/>
      <c r="N73" s="104"/>
      <c r="O73" s="127"/>
      <c r="P73" s="127"/>
      <c r="Q73" s="109"/>
      <c r="R73" s="8"/>
      <c r="S73" s="109"/>
      <c r="T73" s="8"/>
      <c r="U73" s="8"/>
      <c r="V73" s="109"/>
      <c r="W73" s="109"/>
      <c r="X73" s="109"/>
      <c r="Y73" s="109"/>
      <c r="Z73" s="109"/>
      <c r="AA73" s="109"/>
    </row>
    <row r="74" ht="14.25" customHeight="1">
      <c r="A74" s="109"/>
      <c r="B74" s="109"/>
      <c r="C74" s="104"/>
      <c r="D74" s="104"/>
      <c r="E74" s="109"/>
      <c r="F74" s="136"/>
      <c r="G74" s="135"/>
      <c r="H74" s="127"/>
      <c r="I74" s="109"/>
      <c r="J74" s="104"/>
      <c r="K74" s="104"/>
      <c r="L74" s="104"/>
      <c r="M74" s="109"/>
      <c r="N74" s="104"/>
      <c r="O74" s="127"/>
      <c r="P74" s="127"/>
      <c r="Q74" s="109"/>
      <c r="R74" s="8"/>
      <c r="S74" s="109"/>
      <c r="T74" s="8"/>
      <c r="U74" s="8"/>
      <c r="V74" s="109"/>
      <c r="W74" s="109"/>
      <c r="X74" s="109"/>
      <c r="Y74" s="109"/>
      <c r="Z74" s="109"/>
      <c r="AA74" s="109"/>
    </row>
    <row r="75" ht="14.25" customHeight="1">
      <c r="A75" s="109"/>
      <c r="B75" s="140"/>
      <c r="C75" s="127"/>
      <c r="D75" s="127"/>
      <c r="E75" s="109"/>
      <c r="F75" s="136"/>
      <c r="G75" s="135"/>
      <c r="H75" s="127"/>
      <c r="I75" s="109"/>
      <c r="J75" s="104"/>
      <c r="K75" s="104"/>
      <c r="L75" s="104"/>
      <c r="M75" s="109"/>
      <c r="N75" s="104"/>
      <c r="O75" s="127"/>
      <c r="P75" s="127"/>
      <c r="Q75" s="109"/>
      <c r="R75" s="8"/>
      <c r="S75" s="109"/>
      <c r="T75" s="8"/>
      <c r="U75" s="8"/>
      <c r="V75" s="109"/>
      <c r="W75" s="109"/>
      <c r="X75" s="109"/>
      <c r="Y75" s="109"/>
      <c r="Z75" s="109"/>
      <c r="AA75" s="109"/>
    </row>
    <row r="76" ht="14.25" customHeight="1">
      <c r="A76" s="109"/>
      <c r="B76" s="140"/>
      <c r="C76" s="127"/>
      <c r="D76" s="127"/>
      <c r="E76" s="109"/>
      <c r="F76" s="136"/>
      <c r="G76" s="135"/>
      <c r="H76" s="127"/>
      <c r="I76" s="109"/>
      <c r="J76" s="104"/>
      <c r="K76" s="104"/>
      <c r="L76" s="104"/>
      <c r="M76" s="109"/>
      <c r="N76" s="104"/>
      <c r="O76" s="127"/>
      <c r="P76" s="127"/>
      <c r="Q76" s="109"/>
      <c r="R76" s="8"/>
      <c r="S76" s="109"/>
      <c r="T76" s="8"/>
      <c r="U76" s="8"/>
      <c r="V76" s="109"/>
      <c r="W76" s="109"/>
      <c r="X76" s="109"/>
      <c r="Y76" s="109"/>
      <c r="Z76" s="109"/>
      <c r="AA76" s="109"/>
    </row>
    <row r="77" ht="14.25" customHeight="1">
      <c r="A77" s="109"/>
      <c r="B77" s="140"/>
      <c r="C77" s="127"/>
      <c r="D77" s="127"/>
      <c r="E77" s="109"/>
      <c r="F77" s="136"/>
      <c r="G77" s="135"/>
      <c r="H77" s="127"/>
      <c r="I77" s="109"/>
      <c r="J77" s="104"/>
      <c r="K77" s="104"/>
      <c r="L77" s="104"/>
      <c r="M77" s="109"/>
      <c r="N77" s="104"/>
      <c r="O77" s="127"/>
      <c r="P77" s="127"/>
      <c r="Q77" s="109"/>
      <c r="R77" s="8"/>
      <c r="S77" s="109"/>
      <c r="T77" s="8"/>
      <c r="U77" s="8"/>
      <c r="V77" s="109"/>
      <c r="W77" s="109"/>
      <c r="X77" s="109"/>
      <c r="Y77" s="109"/>
      <c r="Z77" s="109"/>
      <c r="AA77" s="109"/>
    </row>
    <row r="78" ht="14.25" customHeight="1">
      <c r="A78" s="109"/>
      <c r="B78" s="140"/>
      <c r="C78" s="127"/>
      <c r="D78" s="127"/>
      <c r="E78" s="109"/>
      <c r="F78" s="136"/>
      <c r="G78" s="135"/>
      <c r="H78" s="127"/>
      <c r="I78" s="109"/>
      <c r="J78" s="104"/>
      <c r="K78" s="104"/>
      <c r="L78" s="104"/>
      <c r="M78" s="109"/>
      <c r="N78" s="104"/>
      <c r="O78" s="127"/>
      <c r="P78" s="127"/>
      <c r="Q78" s="109"/>
      <c r="R78" s="8"/>
      <c r="S78" s="109"/>
      <c r="T78" s="8"/>
      <c r="U78" s="8"/>
      <c r="V78" s="109"/>
      <c r="W78" s="109"/>
      <c r="X78" s="109"/>
      <c r="Y78" s="109"/>
      <c r="Z78" s="109"/>
      <c r="AA78" s="109"/>
    </row>
    <row r="79" ht="14.25" customHeight="1">
      <c r="A79" s="109"/>
      <c r="B79" s="140"/>
      <c r="C79" s="127"/>
      <c r="D79" s="127"/>
      <c r="E79" s="109"/>
      <c r="F79" s="136"/>
      <c r="G79" s="135"/>
      <c r="H79" s="127"/>
      <c r="I79" s="109"/>
      <c r="J79" s="104"/>
      <c r="K79" s="104"/>
      <c r="L79" s="104"/>
      <c r="M79" s="109"/>
      <c r="N79" s="104"/>
      <c r="O79" s="127"/>
      <c r="P79" s="127"/>
      <c r="Q79" s="109"/>
      <c r="R79" s="8"/>
      <c r="S79" s="109"/>
      <c r="T79" s="8"/>
      <c r="U79" s="8"/>
      <c r="V79" s="109"/>
      <c r="W79" s="109"/>
      <c r="X79" s="109"/>
      <c r="Y79" s="109"/>
      <c r="Z79" s="109"/>
      <c r="AA79" s="109"/>
    </row>
    <row r="80" ht="14.25" customHeight="1">
      <c r="A80" s="109"/>
      <c r="B80" s="140"/>
      <c r="C80" s="127"/>
      <c r="D80" s="127"/>
      <c r="E80" s="109"/>
      <c r="F80" s="136"/>
      <c r="G80" s="135"/>
      <c r="H80" s="127"/>
      <c r="I80" s="109"/>
      <c r="J80" s="104"/>
      <c r="K80" s="104"/>
      <c r="L80" s="104"/>
      <c r="M80" s="109"/>
      <c r="N80" s="104"/>
      <c r="O80" s="127"/>
      <c r="P80" s="127"/>
      <c r="Q80" s="109"/>
      <c r="R80" s="8"/>
      <c r="S80" s="109"/>
      <c r="T80" s="8"/>
      <c r="U80" s="8"/>
      <c r="V80" s="109"/>
      <c r="W80" s="109"/>
      <c r="X80" s="109"/>
      <c r="Y80" s="109"/>
      <c r="Z80" s="109"/>
      <c r="AA80" s="109"/>
    </row>
    <row r="81" ht="14.25" customHeight="1">
      <c r="A81" s="109"/>
      <c r="B81" s="127"/>
      <c r="C81" s="127"/>
      <c r="D81" s="127"/>
      <c r="E81" s="109"/>
      <c r="F81" s="136"/>
      <c r="G81" s="135"/>
      <c r="H81" s="127"/>
      <c r="I81" s="109"/>
      <c r="J81" s="141"/>
      <c r="K81" s="141"/>
      <c r="L81" s="141"/>
      <c r="M81" s="109"/>
      <c r="N81" s="104"/>
      <c r="O81" s="127"/>
      <c r="P81" s="127"/>
      <c r="Q81" s="109"/>
      <c r="R81" s="8"/>
      <c r="S81" s="109"/>
      <c r="T81" s="8"/>
      <c r="U81" s="8"/>
      <c r="V81" s="109"/>
      <c r="W81" s="109"/>
      <c r="X81" s="109"/>
      <c r="Y81" s="109"/>
      <c r="Z81" s="109"/>
      <c r="AA81" s="109"/>
    </row>
    <row r="82" ht="14.25" customHeight="1">
      <c r="A82" s="109"/>
      <c r="B82" s="127"/>
      <c r="C82" s="127"/>
      <c r="D82" s="127"/>
      <c r="E82" s="109"/>
      <c r="F82" s="136"/>
      <c r="G82" s="135"/>
      <c r="H82" s="127"/>
      <c r="I82" s="109"/>
      <c r="J82" s="104"/>
      <c r="K82" s="127"/>
      <c r="L82" s="127"/>
      <c r="M82" s="109"/>
      <c r="N82" s="104"/>
      <c r="O82" s="127"/>
      <c r="P82" s="127"/>
      <c r="Q82" s="109"/>
      <c r="R82" s="8"/>
      <c r="S82" s="109"/>
      <c r="T82" s="8"/>
      <c r="U82" s="8"/>
      <c r="V82" s="109"/>
      <c r="W82" s="109"/>
      <c r="X82" s="109"/>
      <c r="Y82" s="109"/>
      <c r="Z82" s="109"/>
      <c r="AA82" s="109"/>
    </row>
    <row r="83" ht="14.25" customHeight="1">
      <c r="A83" s="109"/>
      <c r="B83" s="127"/>
      <c r="C83" s="127"/>
      <c r="D83" s="127"/>
      <c r="E83" s="109"/>
      <c r="H83" s="127"/>
      <c r="I83" s="109"/>
      <c r="J83" s="104"/>
      <c r="K83" s="127"/>
      <c r="L83" s="127"/>
      <c r="M83" s="109"/>
      <c r="N83" s="104"/>
      <c r="O83" s="127"/>
      <c r="P83" s="127"/>
      <c r="Q83" s="109"/>
      <c r="R83" s="8"/>
      <c r="S83" s="109"/>
      <c r="T83" s="8"/>
      <c r="U83" s="8"/>
      <c r="V83" s="109"/>
      <c r="W83" s="109"/>
      <c r="X83" s="109"/>
      <c r="Y83" s="109"/>
      <c r="Z83" s="109"/>
      <c r="AA83" s="109"/>
    </row>
    <row r="84" ht="14.25" customHeight="1">
      <c r="A84" s="109"/>
      <c r="B84" s="127"/>
      <c r="C84" s="127"/>
      <c r="D84" s="127"/>
      <c r="E84" s="109"/>
      <c r="H84" s="127"/>
      <c r="I84" s="109"/>
      <c r="J84" s="104"/>
      <c r="K84" s="127"/>
      <c r="L84" s="127"/>
      <c r="M84" s="109"/>
      <c r="N84" s="104"/>
      <c r="O84" s="127"/>
      <c r="P84" s="127"/>
      <c r="Q84" s="109"/>
      <c r="R84" s="8"/>
      <c r="S84" s="109"/>
      <c r="T84" s="8"/>
      <c r="U84" s="8"/>
      <c r="V84" s="109"/>
      <c r="W84" s="109"/>
      <c r="X84" s="109"/>
      <c r="Y84" s="109"/>
      <c r="Z84" s="109"/>
      <c r="AA84" s="109"/>
    </row>
    <row r="85" ht="14.25" customHeight="1">
      <c r="A85" s="109"/>
      <c r="B85" s="127"/>
      <c r="C85" s="127"/>
      <c r="D85" s="127"/>
      <c r="E85" s="109"/>
      <c r="H85" s="127"/>
      <c r="I85" s="109"/>
      <c r="J85" s="104"/>
      <c r="K85" s="127"/>
      <c r="L85" s="127"/>
      <c r="M85" s="109"/>
      <c r="N85" s="104"/>
      <c r="O85" s="127"/>
      <c r="P85" s="127"/>
      <c r="Q85" s="109"/>
      <c r="S85" s="109"/>
      <c r="T85" s="8"/>
      <c r="U85" s="8"/>
      <c r="V85" s="109"/>
      <c r="W85" s="109"/>
      <c r="X85" s="109"/>
      <c r="Y85" s="109"/>
      <c r="Z85" s="109"/>
      <c r="AA85" s="109"/>
    </row>
    <row r="86" ht="14.25" customHeight="1">
      <c r="A86" s="109"/>
      <c r="B86" s="127"/>
      <c r="C86" s="127"/>
      <c r="D86" s="127"/>
      <c r="E86" s="109"/>
      <c r="F86" s="8"/>
      <c r="G86" s="135"/>
      <c r="H86" s="127"/>
      <c r="I86" s="109"/>
      <c r="J86" s="104"/>
      <c r="K86" s="127"/>
      <c r="L86" s="127"/>
      <c r="M86" s="109"/>
      <c r="N86" s="104"/>
      <c r="O86" s="127"/>
      <c r="P86" s="127"/>
      <c r="Q86" s="109"/>
      <c r="S86" s="109"/>
      <c r="T86" s="8"/>
      <c r="U86" s="8"/>
      <c r="V86" s="109"/>
      <c r="W86" s="109"/>
      <c r="X86" s="109"/>
      <c r="Y86" s="109"/>
      <c r="Z86" s="109"/>
      <c r="AA86" s="109"/>
    </row>
    <row r="87" ht="14.25" customHeight="1">
      <c r="A87" s="109"/>
      <c r="B87" s="127"/>
      <c r="C87" s="127"/>
      <c r="D87" s="127"/>
      <c r="E87" s="109"/>
      <c r="H87" s="127"/>
      <c r="I87" s="109"/>
      <c r="J87" s="104"/>
      <c r="K87" s="127"/>
      <c r="L87" s="127"/>
      <c r="M87" s="109"/>
      <c r="N87" s="104"/>
      <c r="O87" s="127"/>
      <c r="P87" s="127"/>
      <c r="Q87" s="109"/>
      <c r="R87" s="8"/>
      <c r="S87" s="109"/>
      <c r="T87" s="8"/>
      <c r="U87" s="8"/>
      <c r="V87" s="109"/>
      <c r="W87" s="109"/>
      <c r="X87" s="109"/>
      <c r="Y87" s="109"/>
      <c r="Z87" s="109"/>
      <c r="AA87" s="109"/>
    </row>
    <row r="88" ht="14.25" customHeight="1">
      <c r="A88" s="109"/>
      <c r="B88" s="127"/>
      <c r="C88" s="127"/>
      <c r="D88" s="127"/>
      <c r="E88" s="109"/>
      <c r="F88" s="8"/>
      <c r="G88" s="135"/>
      <c r="H88" s="127"/>
      <c r="I88" s="109"/>
      <c r="J88" s="104"/>
      <c r="K88" s="127"/>
      <c r="L88" s="127"/>
      <c r="M88" s="109"/>
      <c r="N88" s="104"/>
      <c r="O88" s="127"/>
      <c r="P88" s="127"/>
      <c r="Q88" s="109"/>
      <c r="R88" s="8"/>
      <c r="S88" s="109"/>
      <c r="T88" s="8"/>
      <c r="U88" s="8"/>
      <c r="V88" s="109"/>
      <c r="W88" s="109"/>
      <c r="X88" s="109"/>
      <c r="Y88" s="109"/>
      <c r="Z88" s="109"/>
      <c r="AA88" s="109"/>
    </row>
    <row r="89" ht="14.25" customHeight="1">
      <c r="A89" s="109"/>
      <c r="B89" s="127"/>
      <c r="C89" s="127"/>
      <c r="D89" s="127"/>
      <c r="E89" s="109"/>
      <c r="F89" s="8"/>
      <c r="G89" s="135"/>
      <c r="H89" s="127"/>
      <c r="I89" s="109"/>
      <c r="J89" s="104"/>
      <c r="K89" s="127"/>
      <c r="L89" s="127"/>
      <c r="M89" s="109"/>
      <c r="N89" s="104"/>
      <c r="O89" s="127"/>
      <c r="P89" s="127"/>
      <c r="Q89" s="109"/>
      <c r="R89" s="8"/>
      <c r="S89" s="109"/>
      <c r="T89" s="8"/>
      <c r="U89" s="8"/>
      <c r="V89" s="109"/>
      <c r="W89" s="109"/>
      <c r="X89" s="109"/>
      <c r="Y89" s="109"/>
      <c r="Z89" s="109"/>
      <c r="AA89" s="109"/>
    </row>
    <row r="90" ht="14.25" customHeight="1">
      <c r="A90" s="109"/>
      <c r="B90" s="127"/>
      <c r="C90" s="127"/>
      <c r="D90" s="127"/>
      <c r="E90" s="109"/>
      <c r="F90" s="8"/>
      <c r="G90" s="135"/>
      <c r="H90" s="127"/>
      <c r="I90" s="109"/>
      <c r="J90" s="104"/>
      <c r="K90" s="127"/>
      <c r="L90" s="127"/>
      <c r="M90" s="109"/>
      <c r="N90" s="104"/>
      <c r="O90" s="127"/>
      <c r="P90" s="127"/>
      <c r="Q90" s="109"/>
      <c r="R90" s="8"/>
      <c r="S90" s="109"/>
      <c r="T90" s="8"/>
      <c r="U90" s="8"/>
      <c r="V90" s="109"/>
      <c r="W90" s="109"/>
      <c r="X90" s="109"/>
      <c r="Y90" s="109"/>
      <c r="Z90" s="109"/>
      <c r="AA90" s="109"/>
    </row>
    <row r="91" ht="14.25" customHeight="1">
      <c r="A91" s="109"/>
      <c r="B91" s="127"/>
      <c r="C91" s="127"/>
      <c r="D91" s="127"/>
      <c r="E91" s="109"/>
      <c r="F91" s="8"/>
      <c r="G91" s="135"/>
      <c r="H91" s="127"/>
      <c r="I91" s="109"/>
      <c r="J91" s="104"/>
      <c r="K91" s="127"/>
      <c r="L91" s="127"/>
      <c r="M91" s="109"/>
      <c r="N91" s="104"/>
      <c r="O91" s="127"/>
      <c r="P91" s="127"/>
      <c r="Q91" s="109"/>
      <c r="R91" s="8"/>
      <c r="S91" s="109"/>
      <c r="T91" s="8"/>
      <c r="U91" s="8"/>
      <c r="V91" s="109"/>
      <c r="W91" s="109"/>
      <c r="X91" s="109"/>
      <c r="Y91" s="109"/>
      <c r="Z91" s="109"/>
      <c r="AA91" s="109"/>
    </row>
    <row r="92" ht="14.25" customHeight="1">
      <c r="A92" s="109"/>
      <c r="B92" s="127"/>
      <c r="C92" s="127"/>
      <c r="D92" s="127"/>
      <c r="E92" s="109"/>
      <c r="F92" s="8"/>
      <c r="G92" s="135"/>
      <c r="H92" s="127"/>
      <c r="I92" s="109"/>
      <c r="J92" s="104"/>
      <c r="K92" s="127"/>
      <c r="L92" s="127"/>
      <c r="M92" s="109"/>
      <c r="N92" s="104"/>
      <c r="O92" s="127"/>
      <c r="P92" s="127"/>
      <c r="Q92" s="109"/>
      <c r="R92" s="8"/>
      <c r="S92" s="109"/>
      <c r="T92" s="8"/>
      <c r="U92" s="8"/>
      <c r="V92" s="109"/>
      <c r="W92" s="109"/>
      <c r="X92" s="109"/>
      <c r="Y92" s="109"/>
      <c r="Z92" s="109"/>
      <c r="AA92" s="109"/>
    </row>
    <row r="93" ht="14.25" customHeight="1">
      <c r="A93" s="109"/>
      <c r="B93" s="127"/>
      <c r="C93" s="127"/>
      <c r="D93" s="127"/>
      <c r="E93" s="109"/>
      <c r="F93" s="8"/>
      <c r="G93" s="135"/>
      <c r="H93" s="127"/>
      <c r="I93" s="109"/>
      <c r="J93" s="104"/>
      <c r="K93" s="127"/>
      <c r="L93" s="127"/>
      <c r="M93" s="109"/>
      <c r="N93" s="104"/>
      <c r="O93" s="127"/>
      <c r="P93" s="127"/>
      <c r="Q93" s="109"/>
      <c r="R93" s="8"/>
      <c r="S93" s="109"/>
      <c r="T93" s="8"/>
      <c r="U93" s="8"/>
      <c r="V93" s="109"/>
      <c r="W93" s="109"/>
      <c r="X93" s="109"/>
      <c r="Y93" s="109"/>
      <c r="Z93" s="109"/>
      <c r="AA93" s="109"/>
    </row>
    <row r="94" ht="14.25" customHeight="1">
      <c r="A94" s="109"/>
      <c r="B94" s="127"/>
      <c r="C94" s="127"/>
      <c r="D94" s="127"/>
      <c r="E94" s="109"/>
      <c r="F94" s="8"/>
      <c r="G94" s="135"/>
      <c r="H94" s="127"/>
      <c r="I94" s="109"/>
      <c r="J94" s="104"/>
      <c r="K94" s="127"/>
      <c r="L94" s="127"/>
      <c r="M94" s="109"/>
      <c r="N94" s="104"/>
      <c r="O94" s="127"/>
      <c r="P94" s="127"/>
      <c r="Q94" s="109"/>
      <c r="S94" s="109"/>
      <c r="T94" s="8"/>
      <c r="U94" s="8"/>
      <c r="V94" s="109"/>
      <c r="W94" s="109"/>
      <c r="X94" s="109"/>
      <c r="Y94" s="109"/>
      <c r="Z94" s="109"/>
      <c r="AA94" s="109"/>
    </row>
    <row r="95" ht="14.25" customHeight="1">
      <c r="A95" s="109"/>
      <c r="B95" s="127"/>
      <c r="C95" s="127"/>
      <c r="D95" s="127"/>
      <c r="E95" s="109"/>
      <c r="F95" s="8"/>
      <c r="G95" s="135"/>
      <c r="H95" s="127"/>
      <c r="I95" s="109"/>
      <c r="J95" s="104"/>
      <c r="K95" s="127"/>
      <c r="L95" s="127"/>
      <c r="M95" s="109"/>
      <c r="N95" s="104"/>
      <c r="O95" s="127"/>
      <c r="P95" s="127"/>
      <c r="Q95" s="109"/>
      <c r="R95" s="8"/>
      <c r="S95" s="109"/>
      <c r="T95" s="8"/>
      <c r="U95" s="8"/>
      <c r="V95" s="109"/>
      <c r="W95" s="109"/>
      <c r="X95" s="109"/>
      <c r="Y95" s="109"/>
      <c r="Z95" s="109"/>
      <c r="AA95" s="109"/>
    </row>
    <row r="96" ht="14.25" customHeight="1">
      <c r="A96" s="109"/>
      <c r="B96" s="127"/>
      <c r="C96" s="127"/>
      <c r="D96" s="127"/>
      <c r="E96" s="109"/>
      <c r="F96" s="8"/>
      <c r="G96" s="135"/>
      <c r="H96" s="127"/>
      <c r="I96" s="109"/>
      <c r="J96" s="104"/>
      <c r="K96" s="127"/>
      <c r="L96" s="127"/>
      <c r="M96" s="109"/>
      <c r="N96" s="104"/>
      <c r="O96" s="127"/>
      <c r="P96" s="127"/>
      <c r="Q96" s="109"/>
      <c r="R96" s="8"/>
      <c r="S96" s="109"/>
      <c r="T96" s="8"/>
      <c r="U96" s="8"/>
      <c r="V96" s="109"/>
      <c r="W96" s="109"/>
      <c r="X96" s="109"/>
      <c r="Y96" s="109"/>
      <c r="Z96" s="109"/>
      <c r="AA96" s="109"/>
    </row>
    <row r="97" ht="14.25" customHeight="1">
      <c r="A97" s="109"/>
      <c r="B97" s="127"/>
      <c r="C97" s="127"/>
      <c r="D97" s="127"/>
      <c r="E97" s="109"/>
      <c r="F97" s="8"/>
      <c r="G97" s="135"/>
      <c r="H97" s="127"/>
      <c r="I97" s="109"/>
      <c r="J97" s="104"/>
      <c r="K97" s="127"/>
      <c r="L97" s="127"/>
      <c r="M97" s="109"/>
      <c r="N97" s="104"/>
      <c r="O97" s="127"/>
      <c r="P97" s="127"/>
      <c r="Q97" s="109"/>
      <c r="R97" s="8"/>
      <c r="S97" s="109"/>
      <c r="T97" s="8"/>
      <c r="U97" s="8"/>
      <c r="V97" s="109"/>
      <c r="W97" s="109"/>
      <c r="X97" s="109"/>
      <c r="Y97" s="109"/>
      <c r="Z97" s="109"/>
      <c r="AA97" s="109"/>
    </row>
    <row r="98" ht="14.25" customHeight="1">
      <c r="A98" s="109"/>
      <c r="B98" s="127"/>
      <c r="C98" s="127"/>
      <c r="D98" s="127"/>
      <c r="E98" s="109"/>
      <c r="F98" s="8"/>
      <c r="G98" s="135"/>
      <c r="H98" s="127"/>
      <c r="I98" s="109"/>
      <c r="J98" s="104"/>
      <c r="K98" s="127"/>
      <c r="L98" s="127"/>
      <c r="M98" s="109"/>
      <c r="N98" s="104"/>
      <c r="O98" s="127"/>
      <c r="P98" s="127"/>
      <c r="Q98" s="109"/>
      <c r="R98" s="8"/>
      <c r="S98" s="109"/>
      <c r="T98" s="8"/>
      <c r="U98" s="8"/>
      <c r="V98" s="109"/>
      <c r="W98" s="109"/>
      <c r="X98" s="109"/>
      <c r="Y98" s="109"/>
      <c r="Z98" s="109"/>
      <c r="AA98" s="109"/>
    </row>
    <row r="99" ht="14.25" customHeight="1">
      <c r="A99" s="109"/>
      <c r="B99" s="127"/>
      <c r="C99" s="127"/>
      <c r="D99" s="127"/>
      <c r="E99" s="109"/>
      <c r="F99" s="8"/>
      <c r="G99" s="135"/>
      <c r="H99" s="127"/>
      <c r="I99" s="109"/>
      <c r="J99" s="104"/>
      <c r="K99" s="127"/>
      <c r="L99" s="127"/>
      <c r="M99" s="109"/>
      <c r="N99" s="104"/>
      <c r="O99" s="127"/>
      <c r="P99" s="127"/>
      <c r="Q99" s="109"/>
      <c r="R99" s="8"/>
      <c r="S99" s="109"/>
      <c r="T99" s="8"/>
      <c r="U99" s="8"/>
      <c r="V99" s="109"/>
      <c r="W99" s="109"/>
      <c r="X99" s="109"/>
      <c r="Y99" s="109"/>
      <c r="Z99" s="109"/>
      <c r="AA99" s="109"/>
    </row>
    <row r="100" ht="14.25" customHeight="1">
      <c r="A100" s="109"/>
      <c r="B100" s="127"/>
      <c r="C100" s="127"/>
      <c r="D100" s="127"/>
      <c r="E100" s="109"/>
      <c r="F100" s="8"/>
      <c r="G100" s="135"/>
      <c r="H100" s="127"/>
      <c r="I100" s="109"/>
      <c r="J100" s="104"/>
      <c r="K100" s="127"/>
      <c r="L100" s="127"/>
      <c r="M100" s="109"/>
      <c r="N100" s="104"/>
      <c r="O100" s="127"/>
      <c r="P100" s="127"/>
      <c r="Q100" s="109"/>
      <c r="R100" s="8"/>
      <c r="S100" s="109"/>
      <c r="T100" s="8"/>
      <c r="U100" s="8"/>
      <c r="V100" s="109"/>
      <c r="W100" s="109"/>
      <c r="X100" s="109"/>
      <c r="Y100" s="109"/>
      <c r="Z100" s="109"/>
      <c r="AA100" s="109"/>
    </row>
    <row r="101" ht="14.25" customHeight="1">
      <c r="A101" s="109"/>
      <c r="B101" s="127"/>
      <c r="C101" s="127"/>
      <c r="D101" s="127"/>
      <c r="E101" s="109"/>
      <c r="F101" s="8"/>
      <c r="G101" s="135"/>
      <c r="H101" s="127"/>
      <c r="I101" s="109"/>
      <c r="J101" s="104"/>
      <c r="K101" s="127"/>
      <c r="L101" s="127"/>
      <c r="M101" s="109"/>
      <c r="N101" s="104"/>
      <c r="O101" s="127"/>
      <c r="P101" s="127"/>
      <c r="Q101" s="109"/>
      <c r="R101" s="8"/>
      <c r="S101" s="109"/>
      <c r="T101" s="8"/>
      <c r="U101" s="8"/>
      <c r="V101" s="109"/>
      <c r="W101" s="109"/>
      <c r="X101" s="109"/>
      <c r="Y101" s="109"/>
      <c r="Z101" s="109"/>
      <c r="AA101" s="109"/>
    </row>
    <row r="102" ht="14.25" customHeight="1">
      <c r="A102" s="109"/>
      <c r="B102" s="127"/>
      <c r="C102" s="127"/>
      <c r="D102" s="127"/>
      <c r="E102" s="109"/>
      <c r="F102" s="8"/>
      <c r="G102" s="135"/>
      <c r="H102" s="127"/>
      <c r="I102" s="109"/>
      <c r="J102" s="104"/>
      <c r="K102" s="127"/>
      <c r="L102" s="127"/>
      <c r="M102" s="109"/>
      <c r="N102" s="104"/>
      <c r="O102" s="127"/>
      <c r="P102" s="127"/>
      <c r="Q102" s="109"/>
      <c r="R102" s="8"/>
      <c r="S102" s="109"/>
      <c r="T102" s="8"/>
      <c r="U102" s="8"/>
      <c r="V102" s="109"/>
      <c r="W102" s="109"/>
      <c r="X102" s="109"/>
      <c r="Y102" s="109"/>
      <c r="Z102" s="109"/>
      <c r="AA102" s="109"/>
    </row>
    <row r="103" ht="14.25" customHeight="1">
      <c r="A103" s="109"/>
      <c r="B103" s="127"/>
      <c r="C103" s="127"/>
      <c r="D103" s="127"/>
      <c r="E103" s="109"/>
      <c r="F103" s="8"/>
      <c r="G103" s="135"/>
      <c r="H103" s="127"/>
      <c r="I103" s="109"/>
      <c r="J103" s="104"/>
      <c r="K103" s="127"/>
      <c r="L103" s="127"/>
      <c r="M103" s="109"/>
      <c r="N103" s="104"/>
      <c r="O103" s="127"/>
      <c r="P103" s="127"/>
      <c r="Q103" s="109"/>
      <c r="R103" s="8"/>
      <c r="S103" s="109"/>
      <c r="T103" s="8"/>
      <c r="U103" s="8"/>
      <c r="V103" s="109"/>
      <c r="W103" s="109"/>
      <c r="X103" s="109"/>
      <c r="Y103" s="109"/>
      <c r="Z103" s="109"/>
      <c r="AA103" s="109"/>
    </row>
    <row r="104" ht="14.25" customHeight="1">
      <c r="A104" s="109"/>
      <c r="B104" s="127"/>
      <c r="C104" s="127"/>
      <c r="D104" s="127"/>
      <c r="E104" s="109"/>
      <c r="F104" s="8"/>
      <c r="G104" s="135"/>
      <c r="H104" s="127"/>
      <c r="I104" s="109"/>
      <c r="J104" s="104"/>
      <c r="K104" s="127"/>
      <c r="L104" s="127"/>
      <c r="M104" s="109"/>
      <c r="N104" s="104"/>
      <c r="O104" s="127"/>
      <c r="P104" s="127"/>
      <c r="Q104" s="109"/>
      <c r="S104" s="109"/>
      <c r="T104" s="8"/>
      <c r="U104" s="8"/>
      <c r="V104" s="109"/>
      <c r="W104" s="109"/>
      <c r="X104" s="109"/>
      <c r="Y104" s="109"/>
      <c r="Z104" s="109"/>
      <c r="AA104" s="109"/>
    </row>
    <row r="105" ht="14.25" customHeight="1">
      <c r="A105" s="109"/>
      <c r="B105" s="127"/>
      <c r="C105" s="127"/>
      <c r="D105" s="127"/>
      <c r="E105" s="109"/>
      <c r="F105" s="8"/>
      <c r="G105" s="135"/>
      <c r="H105" s="127"/>
      <c r="I105" s="109"/>
      <c r="J105" s="104"/>
      <c r="K105" s="127"/>
      <c r="L105" s="127"/>
      <c r="M105" s="109"/>
      <c r="N105" s="104"/>
      <c r="O105" s="127"/>
      <c r="P105" s="127"/>
      <c r="Q105" s="109"/>
      <c r="R105" s="8"/>
      <c r="S105" s="109"/>
      <c r="T105" s="8"/>
      <c r="U105" s="8"/>
      <c r="V105" s="109"/>
      <c r="W105" s="109"/>
      <c r="X105" s="109"/>
      <c r="Y105" s="109"/>
      <c r="Z105" s="109"/>
      <c r="AA105" s="109"/>
    </row>
    <row r="106" ht="14.25" customHeight="1">
      <c r="A106" s="109"/>
      <c r="B106" s="127"/>
      <c r="C106" s="127"/>
      <c r="D106" s="127"/>
      <c r="E106" s="109"/>
      <c r="F106" s="8"/>
      <c r="G106" s="135"/>
      <c r="H106" s="127"/>
      <c r="I106" s="109"/>
      <c r="J106" s="104"/>
      <c r="K106" s="127"/>
      <c r="L106" s="127"/>
      <c r="M106" s="109"/>
      <c r="N106" s="104"/>
      <c r="O106" s="127"/>
      <c r="P106" s="127"/>
      <c r="Q106" s="109"/>
      <c r="R106" s="8"/>
      <c r="S106" s="109"/>
      <c r="T106" s="8"/>
      <c r="U106" s="8"/>
      <c r="V106" s="109"/>
      <c r="W106" s="109"/>
      <c r="X106" s="109"/>
      <c r="Y106" s="109"/>
      <c r="Z106" s="109"/>
      <c r="AA106" s="109"/>
    </row>
    <row r="107" ht="14.25" customHeight="1">
      <c r="A107" s="109"/>
      <c r="B107" s="127"/>
      <c r="C107" s="127"/>
      <c r="D107" s="127"/>
      <c r="E107" s="109"/>
      <c r="H107" s="127"/>
      <c r="I107" s="109"/>
      <c r="J107" s="104"/>
      <c r="K107" s="127"/>
      <c r="L107" s="127"/>
      <c r="M107" s="109"/>
      <c r="N107" s="104"/>
      <c r="O107" s="127"/>
      <c r="P107" s="127"/>
      <c r="Q107" s="109"/>
      <c r="R107" s="8"/>
      <c r="S107" s="109"/>
      <c r="T107" s="8"/>
      <c r="U107" s="8"/>
      <c r="V107" s="109"/>
      <c r="W107" s="109"/>
      <c r="X107" s="109"/>
      <c r="Y107" s="109"/>
      <c r="Z107" s="109"/>
      <c r="AA107" s="109"/>
    </row>
    <row r="108" ht="14.25" customHeight="1">
      <c r="A108" s="109"/>
      <c r="B108" s="127"/>
      <c r="C108" s="127"/>
      <c r="D108" s="127"/>
      <c r="E108" s="109"/>
      <c r="F108" s="8"/>
      <c r="G108" s="135"/>
      <c r="H108" s="127"/>
      <c r="I108" s="109"/>
      <c r="J108" s="104"/>
      <c r="K108" s="127"/>
      <c r="L108" s="127"/>
      <c r="M108" s="109"/>
      <c r="N108" s="104"/>
      <c r="O108" s="127"/>
      <c r="P108" s="127"/>
      <c r="Q108" s="109"/>
      <c r="S108" s="109"/>
      <c r="T108" s="8"/>
      <c r="U108" s="8"/>
      <c r="V108" s="109"/>
      <c r="W108" s="109"/>
      <c r="X108" s="109"/>
      <c r="Y108" s="109"/>
      <c r="Z108" s="109"/>
      <c r="AA108" s="109"/>
    </row>
    <row r="109" ht="14.25" customHeight="1">
      <c r="A109" s="109"/>
      <c r="B109" s="127"/>
      <c r="C109" s="127"/>
      <c r="D109" s="127"/>
      <c r="E109" s="109"/>
      <c r="F109" s="8"/>
      <c r="G109" s="135"/>
      <c r="H109" s="127"/>
      <c r="I109" s="109"/>
      <c r="J109" s="104"/>
      <c r="K109" s="127"/>
      <c r="L109" s="127"/>
      <c r="M109" s="109"/>
      <c r="N109" s="104"/>
      <c r="O109" s="127"/>
      <c r="P109" s="127"/>
      <c r="Q109" s="109"/>
      <c r="R109" s="8"/>
      <c r="S109" s="109"/>
      <c r="T109" s="8"/>
      <c r="U109" s="8"/>
      <c r="V109" s="109"/>
      <c r="W109" s="109"/>
      <c r="X109" s="109"/>
      <c r="Y109" s="109"/>
      <c r="Z109" s="109"/>
      <c r="AA109" s="109"/>
    </row>
    <row r="110" ht="14.25" customHeight="1">
      <c r="A110" s="109"/>
      <c r="B110" s="127"/>
      <c r="C110" s="127"/>
      <c r="D110" s="127"/>
      <c r="E110" s="109"/>
      <c r="H110" s="127"/>
      <c r="I110" s="109"/>
      <c r="J110" s="104"/>
      <c r="K110" s="127"/>
      <c r="L110" s="127"/>
      <c r="M110" s="109"/>
      <c r="N110" s="104"/>
      <c r="O110" s="127"/>
      <c r="P110" s="127"/>
      <c r="Q110" s="109"/>
      <c r="S110" s="109"/>
      <c r="T110" s="8"/>
      <c r="U110" s="8"/>
      <c r="V110" s="109"/>
      <c r="W110" s="109"/>
      <c r="X110" s="109"/>
      <c r="Y110" s="109"/>
      <c r="Z110" s="109"/>
      <c r="AA110" s="109"/>
    </row>
    <row r="111" ht="14.25" customHeight="1">
      <c r="A111" s="109"/>
      <c r="B111" s="127"/>
      <c r="C111" s="127"/>
      <c r="D111" s="127"/>
      <c r="E111" s="109"/>
      <c r="H111" s="127"/>
      <c r="I111" s="109"/>
      <c r="J111" s="104"/>
      <c r="K111" s="127"/>
      <c r="L111" s="127"/>
      <c r="M111" s="109"/>
      <c r="N111" s="104"/>
      <c r="O111" s="127"/>
      <c r="P111" s="127"/>
      <c r="Q111" s="109"/>
      <c r="R111" s="8"/>
      <c r="S111" s="109"/>
      <c r="T111" s="8"/>
      <c r="U111" s="8"/>
      <c r="V111" s="109"/>
      <c r="W111" s="109"/>
      <c r="X111" s="109"/>
      <c r="Y111" s="109"/>
      <c r="Z111" s="109"/>
      <c r="AA111" s="109"/>
    </row>
    <row r="112" ht="14.25" customHeight="1">
      <c r="A112" s="109"/>
      <c r="B112" s="127"/>
      <c r="C112" s="127"/>
      <c r="D112" s="127"/>
      <c r="E112" s="109"/>
      <c r="H112" s="127"/>
      <c r="I112" s="109"/>
      <c r="J112" s="104"/>
      <c r="K112" s="127"/>
      <c r="L112" s="127"/>
      <c r="M112" s="109"/>
      <c r="N112" s="104"/>
      <c r="O112" s="127"/>
      <c r="P112" s="127"/>
      <c r="Q112" s="109"/>
      <c r="R112" s="8"/>
      <c r="S112" s="109"/>
      <c r="T112" s="8"/>
      <c r="U112" s="8"/>
      <c r="V112" s="109"/>
      <c r="W112" s="109"/>
      <c r="X112" s="109"/>
      <c r="Y112" s="109"/>
      <c r="Z112" s="109"/>
      <c r="AA112" s="109"/>
    </row>
    <row r="113" ht="14.25" customHeight="1">
      <c r="A113" s="109"/>
      <c r="B113" s="127"/>
      <c r="C113" s="127"/>
      <c r="D113" s="127"/>
      <c r="E113" s="109"/>
      <c r="H113" s="127"/>
      <c r="I113" s="109"/>
      <c r="J113" s="104"/>
      <c r="K113" s="127"/>
      <c r="L113" s="127"/>
      <c r="M113" s="109"/>
      <c r="N113" s="104"/>
      <c r="O113" s="127"/>
      <c r="P113" s="127"/>
      <c r="Q113" s="109"/>
      <c r="R113" s="8"/>
      <c r="S113" s="109"/>
      <c r="T113" s="8"/>
      <c r="U113" s="8"/>
      <c r="V113" s="109"/>
      <c r="W113" s="109"/>
      <c r="X113" s="109"/>
      <c r="Y113" s="109"/>
      <c r="Z113" s="109"/>
      <c r="AA113" s="109"/>
    </row>
    <row r="114" ht="14.25" customHeight="1">
      <c r="A114" s="109"/>
      <c r="B114" s="127"/>
      <c r="C114" s="127"/>
      <c r="D114" s="127"/>
      <c r="E114" s="109"/>
      <c r="H114" s="127"/>
      <c r="I114" s="109"/>
      <c r="J114" s="104"/>
      <c r="K114" s="127"/>
      <c r="L114" s="127"/>
      <c r="M114" s="109"/>
      <c r="N114" s="104"/>
      <c r="O114" s="127"/>
      <c r="P114" s="127"/>
      <c r="Q114" s="109"/>
      <c r="R114" s="8"/>
      <c r="S114" s="109"/>
      <c r="T114" s="8"/>
      <c r="U114" s="8"/>
      <c r="V114" s="109"/>
      <c r="W114" s="109"/>
      <c r="X114" s="109"/>
      <c r="Y114" s="109"/>
      <c r="Z114" s="109"/>
      <c r="AA114" s="109"/>
    </row>
    <row r="115" ht="14.25" customHeight="1">
      <c r="A115" s="109"/>
      <c r="B115" s="127"/>
      <c r="C115" s="127"/>
      <c r="D115" s="127"/>
      <c r="E115" s="109"/>
      <c r="H115" s="127"/>
      <c r="I115" s="109"/>
      <c r="J115" s="104"/>
      <c r="K115" s="127"/>
      <c r="L115" s="127"/>
      <c r="M115" s="109"/>
      <c r="N115" s="104"/>
      <c r="O115" s="127"/>
      <c r="P115" s="127"/>
      <c r="Q115" s="109"/>
      <c r="S115" s="109"/>
      <c r="T115" s="8"/>
      <c r="U115" s="8"/>
      <c r="V115" s="109"/>
      <c r="W115" s="109"/>
      <c r="X115" s="109"/>
      <c r="Y115" s="109"/>
      <c r="Z115" s="109"/>
      <c r="AA115" s="109"/>
    </row>
    <row r="116" ht="14.25" customHeight="1">
      <c r="A116" s="109"/>
      <c r="B116" s="127"/>
      <c r="C116" s="127"/>
      <c r="D116" s="127"/>
      <c r="E116" s="109"/>
      <c r="H116" s="127"/>
      <c r="I116" s="109"/>
      <c r="J116" s="104"/>
      <c r="K116" s="127"/>
      <c r="L116" s="127"/>
      <c r="M116" s="109"/>
      <c r="N116" s="104"/>
      <c r="O116" s="127"/>
      <c r="P116" s="127"/>
      <c r="Q116" s="109"/>
      <c r="S116" s="109"/>
      <c r="T116" s="8"/>
      <c r="U116" s="8"/>
      <c r="V116" s="109"/>
      <c r="W116" s="109"/>
      <c r="X116" s="109"/>
      <c r="Y116" s="109"/>
      <c r="Z116" s="109"/>
      <c r="AA116" s="109"/>
    </row>
    <row r="117" ht="14.25" customHeight="1">
      <c r="A117" s="109"/>
      <c r="B117" s="127"/>
      <c r="C117" s="127"/>
      <c r="D117" s="127"/>
      <c r="E117" s="109"/>
      <c r="H117" s="127"/>
      <c r="I117" s="109"/>
      <c r="J117" s="104"/>
      <c r="K117" s="127"/>
      <c r="L117" s="127"/>
      <c r="M117" s="109"/>
      <c r="N117" s="104"/>
      <c r="O117" s="127"/>
      <c r="P117" s="127"/>
      <c r="Q117" s="109"/>
      <c r="S117" s="109"/>
      <c r="T117" s="8"/>
      <c r="U117" s="8"/>
      <c r="V117" s="109"/>
      <c r="W117" s="109"/>
      <c r="X117" s="109"/>
      <c r="Y117" s="109"/>
      <c r="Z117" s="109"/>
      <c r="AA117" s="109"/>
    </row>
    <row r="118" ht="14.25" customHeight="1">
      <c r="A118" s="109"/>
      <c r="B118" s="127"/>
      <c r="C118" s="127"/>
      <c r="D118" s="127"/>
      <c r="E118" s="109"/>
      <c r="H118" s="127"/>
      <c r="I118" s="109"/>
      <c r="J118" s="104"/>
      <c r="K118" s="127"/>
      <c r="L118" s="127"/>
      <c r="M118" s="109"/>
      <c r="N118" s="104"/>
      <c r="O118" s="127"/>
      <c r="P118" s="127"/>
      <c r="Q118" s="109"/>
      <c r="S118" s="109"/>
      <c r="T118" s="8"/>
      <c r="U118" s="8"/>
      <c r="V118" s="109"/>
      <c r="W118" s="109"/>
      <c r="X118" s="109"/>
      <c r="Y118" s="109"/>
      <c r="Z118" s="109"/>
      <c r="AA118" s="109"/>
    </row>
    <row r="119" ht="14.25" customHeight="1">
      <c r="A119" s="109"/>
      <c r="B119" s="127"/>
      <c r="C119" s="127"/>
      <c r="D119" s="127"/>
      <c r="E119" s="109"/>
      <c r="H119" s="127"/>
      <c r="I119" s="109"/>
      <c r="J119" s="104"/>
      <c r="K119" s="127"/>
      <c r="L119" s="127"/>
      <c r="M119" s="109"/>
      <c r="N119" s="104"/>
      <c r="O119" s="127"/>
      <c r="P119" s="127"/>
      <c r="Q119" s="109"/>
      <c r="S119" s="109"/>
      <c r="T119" s="8"/>
      <c r="U119" s="8"/>
      <c r="V119" s="109"/>
      <c r="W119" s="109"/>
      <c r="X119" s="109"/>
      <c r="Y119" s="109"/>
      <c r="Z119" s="109"/>
      <c r="AA119" s="109"/>
    </row>
    <row r="120" ht="14.25" customHeight="1">
      <c r="A120" s="109"/>
      <c r="B120" s="127"/>
      <c r="C120" s="127"/>
      <c r="D120" s="127"/>
      <c r="E120" s="109"/>
      <c r="H120" s="127"/>
      <c r="I120" s="109"/>
      <c r="J120" s="104"/>
      <c r="K120" s="127"/>
      <c r="L120" s="127"/>
      <c r="M120" s="109"/>
      <c r="N120" s="104"/>
      <c r="O120" s="127"/>
      <c r="P120" s="127"/>
      <c r="Q120" s="109"/>
      <c r="R120" s="8"/>
      <c r="S120" s="109"/>
      <c r="T120" s="8"/>
      <c r="U120" s="8"/>
      <c r="V120" s="109"/>
      <c r="W120" s="109"/>
      <c r="X120" s="109"/>
      <c r="Y120" s="109"/>
      <c r="Z120" s="109"/>
      <c r="AA120" s="109"/>
    </row>
    <row r="121" ht="14.25" customHeight="1">
      <c r="A121" s="109"/>
      <c r="B121" s="127"/>
      <c r="C121" s="127"/>
      <c r="D121" s="127"/>
      <c r="E121" s="109"/>
      <c r="H121" s="127"/>
      <c r="I121" s="109"/>
      <c r="J121" s="104"/>
      <c r="K121" s="127"/>
      <c r="L121" s="127"/>
      <c r="M121" s="109"/>
      <c r="N121" s="104"/>
      <c r="O121" s="127"/>
      <c r="P121" s="127"/>
      <c r="Q121" s="109"/>
      <c r="R121" s="8"/>
      <c r="S121" s="109"/>
      <c r="T121" s="8"/>
      <c r="U121" s="8"/>
      <c r="V121" s="109"/>
      <c r="W121" s="109"/>
      <c r="X121" s="109"/>
      <c r="Y121" s="109"/>
      <c r="Z121" s="109"/>
      <c r="AA121" s="109"/>
    </row>
    <row r="122" ht="14.25" customHeight="1">
      <c r="A122" s="109"/>
      <c r="B122" s="127"/>
      <c r="C122" s="127"/>
      <c r="D122" s="127"/>
      <c r="E122" s="109"/>
      <c r="H122" s="127"/>
      <c r="I122" s="109"/>
      <c r="J122" s="104"/>
      <c r="K122" s="127"/>
      <c r="L122" s="127"/>
      <c r="M122" s="109"/>
      <c r="N122" s="104"/>
      <c r="O122" s="127"/>
      <c r="P122" s="127"/>
      <c r="Q122" s="109"/>
      <c r="R122" s="8"/>
      <c r="S122" s="109"/>
      <c r="T122" s="8"/>
      <c r="U122" s="8"/>
      <c r="V122" s="109"/>
      <c r="W122" s="109"/>
      <c r="X122" s="109"/>
      <c r="Y122" s="109"/>
      <c r="Z122" s="109"/>
      <c r="AA122" s="109"/>
    </row>
    <row r="123" ht="14.25" customHeight="1">
      <c r="A123" s="109"/>
      <c r="B123" s="127"/>
      <c r="C123" s="127"/>
      <c r="D123" s="127"/>
      <c r="E123" s="109"/>
      <c r="H123" s="127"/>
      <c r="I123" s="109"/>
      <c r="J123" s="104"/>
      <c r="K123" s="127"/>
      <c r="L123" s="127"/>
      <c r="M123" s="109"/>
      <c r="N123" s="104"/>
      <c r="O123" s="127"/>
      <c r="P123" s="127"/>
      <c r="Q123" s="109"/>
      <c r="R123" s="8"/>
      <c r="S123" s="109"/>
      <c r="T123" s="8"/>
      <c r="U123" s="8"/>
      <c r="V123" s="109"/>
      <c r="W123" s="109"/>
      <c r="X123" s="109"/>
      <c r="Y123" s="109"/>
      <c r="Z123" s="109"/>
      <c r="AA123" s="109"/>
    </row>
    <row r="124" ht="14.25" customHeight="1">
      <c r="A124" s="109"/>
      <c r="B124" s="127"/>
      <c r="C124" s="127"/>
      <c r="D124" s="127"/>
      <c r="E124" s="109"/>
      <c r="F124" s="8"/>
      <c r="G124" s="135"/>
      <c r="H124" s="127"/>
      <c r="I124" s="109"/>
      <c r="J124" s="104"/>
      <c r="K124" s="127"/>
      <c r="L124" s="127"/>
      <c r="M124" s="109"/>
      <c r="N124" s="104"/>
      <c r="O124" s="127"/>
      <c r="P124" s="127"/>
      <c r="Q124" s="109"/>
      <c r="R124" s="8"/>
      <c r="S124" s="109"/>
      <c r="T124" s="8"/>
      <c r="U124" s="8"/>
      <c r="V124" s="109"/>
      <c r="W124" s="109"/>
      <c r="X124" s="109"/>
      <c r="Y124" s="109"/>
      <c r="Z124" s="109"/>
      <c r="AA124" s="109"/>
    </row>
    <row r="125" ht="14.25" customHeight="1">
      <c r="A125" s="109"/>
      <c r="B125" s="127"/>
      <c r="C125" s="127"/>
      <c r="D125" s="127"/>
      <c r="E125" s="109"/>
      <c r="F125" s="8"/>
      <c r="G125" s="135"/>
      <c r="H125" s="127"/>
      <c r="I125" s="109"/>
      <c r="J125" s="104"/>
      <c r="K125" s="127"/>
      <c r="L125" s="127"/>
      <c r="M125" s="109"/>
      <c r="N125" s="104"/>
      <c r="O125" s="127"/>
      <c r="P125" s="127"/>
      <c r="Q125" s="109"/>
      <c r="R125" s="8"/>
      <c r="S125" s="109"/>
      <c r="T125" s="8"/>
      <c r="U125" s="8"/>
      <c r="V125" s="109"/>
      <c r="W125" s="109"/>
      <c r="X125" s="109"/>
      <c r="Y125" s="109"/>
      <c r="Z125" s="109"/>
      <c r="AA125" s="109"/>
    </row>
    <row r="126" ht="14.25" customHeight="1">
      <c r="A126" s="109"/>
      <c r="B126" s="127"/>
      <c r="C126" s="127"/>
      <c r="D126" s="127"/>
      <c r="E126" s="109"/>
      <c r="F126" s="8"/>
      <c r="G126" s="135"/>
      <c r="H126" s="127"/>
      <c r="I126" s="109"/>
      <c r="J126" s="104"/>
      <c r="K126" s="127"/>
      <c r="L126" s="127"/>
      <c r="M126" s="109"/>
      <c r="N126" s="104"/>
      <c r="O126" s="127"/>
      <c r="P126" s="127"/>
      <c r="Q126" s="109"/>
      <c r="R126" s="8"/>
      <c r="S126" s="109"/>
      <c r="T126" s="8"/>
      <c r="U126" s="8"/>
      <c r="V126" s="109"/>
      <c r="W126" s="109"/>
      <c r="X126" s="109"/>
      <c r="Y126" s="109"/>
      <c r="Z126" s="109"/>
      <c r="AA126" s="109"/>
    </row>
    <row r="127" ht="14.25" customHeight="1">
      <c r="A127" s="109"/>
      <c r="B127" s="127"/>
      <c r="C127" s="127"/>
      <c r="D127" s="127"/>
      <c r="E127" s="109"/>
      <c r="H127" s="127"/>
      <c r="I127" s="109"/>
      <c r="J127" s="104"/>
      <c r="K127" s="127"/>
      <c r="L127" s="127"/>
      <c r="M127" s="109"/>
      <c r="N127" s="104"/>
      <c r="O127" s="127"/>
      <c r="P127" s="127"/>
      <c r="Q127" s="109"/>
      <c r="R127" s="8"/>
      <c r="S127" s="109"/>
      <c r="T127" s="8"/>
      <c r="U127" s="8"/>
      <c r="V127" s="109"/>
      <c r="W127" s="109"/>
      <c r="X127" s="109"/>
      <c r="Y127" s="109"/>
      <c r="Z127" s="109"/>
      <c r="AA127" s="109"/>
    </row>
    <row r="128" ht="14.25" customHeight="1">
      <c r="A128" s="109"/>
      <c r="B128" s="127"/>
      <c r="C128" s="127"/>
      <c r="D128" s="127"/>
      <c r="E128" s="109"/>
      <c r="F128" s="8"/>
      <c r="G128" s="135"/>
      <c r="H128" s="127"/>
      <c r="I128" s="109"/>
      <c r="J128" s="104"/>
      <c r="K128" s="127"/>
      <c r="L128" s="127"/>
      <c r="M128" s="109"/>
      <c r="N128" s="104"/>
      <c r="O128" s="127"/>
      <c r="P128" s="127"/>
      <c r="Q128" s="109"/>
      <c r="R128" s="8"/>
      <c r="S128" s="109"/>
      <c r="T128" s="8"/>
      <c r="U128" s="8"/>
      <c r="V128" s="109"/>
      <c r="W128" s="109"/>
      <c r="X128" s="109"/>
      <c r="Y128" s="109"/>
      <c r="Z128" s="109"/>
      <c r="AA128" s="109"/>
    </row>
    <row r="129" ht="14.25" customHeight="1">
      <c r="A129" s="109"/>
      <c r="B129" s="127"/>
      <c r="C129" s="127"/>
      <c r="D129" s="127"/>
      <c r="E129" s="109"/>
      <c r="F129" s="8"/>
      <c r="G129" s="135"/>
      <c r="H129" s="127"/>
      <c r="I129" s="109"/>
      <c r="J129" s="104"/>
      <c r="K129" s="127"/>
      <c r="L129" s="127"/>
      <c r="M129" s="109"/>
      <c r="N129" s="104"/>
      <c r="O129" s="127"/>
      <c r="P129" s="127"/>
      <c r="Q129" s="109"/>
      <c r="R129" s="8"/>
      <c r="S129" s="109"/>
      <c r="T129" s="8"/>
      <c r="U129" s="8"/>
      <c r="V129" s="109"/>
      <c r="W129" s="109"/>
      <c r="X129" s="109"/>
      <c r="Y129" s="109"/>
      <c r="Z129" s="109"/>
      <c r="AA129" s="109"/>
    </row>
    <row r="130" ht="14.25" customHeight="1">
      <c r="A130" s="109"/>
      <c r="B130" s="127"/>
      <c r="C130" s="127"/>
      <c r="D130" s="127"/>
      <c r="E130" s="109"/>
      <c r="H130" s="127"/>
      <c r="I130" s="109"/>
      <c r="J130" s="104"/>
      <c r="K130" s="127"/>
      <c r="L130" s="127"/>
      <c r="M130" s="109"/>
      <c r="N130" s="104"/>
      <c r="O130" s="127"/>
      <c r="P130" s="127"/>
      <c r="Q130" s="109"/>
      <c r="R130" s="8"/>
      <c r="S130" s="109"/>
      <c r="T130" s="8"/>
      <c r="U130" s="8"/>
      <c r="V130" s="109"/>
      <c r="W130" s="109"/>
      <c r="X130" s="109"/>
      <c r="Y130" s="109"/>
      <c r="Z130" s="109"/>
      <c r="AA130" s="109"/>
    </row>
    <row r="131" ht="14.25" customHeight="1">
      <c r="A131" s="109"/>
      <c r="B131" s="127"/>
      <c r="C131" s="127"/>
      <c r="D131" s="127"/>
      <c r="E131" s="109"/>
      <c r="H131" s="127"/>
      <c r="I131" s="109"/>
      <c r="J131" s="104"/>
      <c r="K131" s="127"/>
      <c r="L131" s="127"/>
      <c r="M131" s="109"/>
      <c r="N131" s="104"/>
      <c r="O131" s="127"/>
      <c r="P131" s="127"/>
      <c r="Q131" s="109"/>
      <c r="R131" s="8"/>
      <c r="S131" s="109"/>
      <c r="T131" s="8"/>
      <c r="U131" s="8"/>
      <c r="V131" s="109"/>
      <c r="W131" s="109"/>
      <c r="X131" s="109"/>
      <c r="Y131" s="109"/>
      <c r="Z131" s="109"/>
      <c r="AA131" s="109"/>
    </row>
    <row r="132" ht="14.25" customHeight="1">
      <c r="A132" s="109"/>
      <c r="B132" s="127"/>
      <c r="C132" s="127"/>
      <c r="D132" s="127"/>
      <c r="E132" s="109"/>
      <c r="F132" s="8"/>
      <c r="G132" s="135"/>
      <c r="H132" s="127"/>
      <c r="I132" s="109"/>
      <c r="J132" s="104"/>
      <c r="K132" s="127"/>
      <c r="L132" s="127"/>
      <c r="M132" s="109"/>
      <c r="N132" s="104"/>
      <c r="O132" s="127"/>
      <c r="P132" s="127"/>
      <c r="Q132" s="109"/>
      <c r="R132" s="8"/>
      <c r="S132" s="109"/>
      <c r="T132" s="8"/>
      <c r="U132" s="8"/>
      <c r="V132" s="109"/>
      <c r="W132" s="109"/>
      <c r="X132" s="109"/>
      <c r="Y132" s="109"/>
      <c r="Z132" s="109"/>
      <c r="AA132" s="109"/>
    </row>
    <row r="133" ht="14.25" customHeight="1">
      <c r="A133" s="109"/>
      <c r="B133" s="127"/>
      <c r="C133" s="127"/>
      <c r="D133" s="127"/>
      <c r="E133" s="109"/>
      <c r="F133" s="8"/>
      <c r="G133" s="135"/>
      <c r="H133" s="127"/>
      <c r="I133" s="109"/>
      <c r="J133" s="104"/>
      <c r="K133" s="127"/>
      <c r="L133" s="127"/>
      <c r="M133" s="109"/>
      <c r="N133" s="104"/>
      <c r="O133" s="127"/>
      <c r="P133" s="127"/>
      <c r="Q133" s="109"/>
      <c r="R133" s="8"/>
      <c r="S133" s="109"/>
      <c r="T133" s="8"/>
      <c r="U133" s="8"/>
      <c r="V133" s="109"/>
      <c r="W133" s="109"/>
      <c r="X133" s="109"/>
      <c r="Y133" s="109"/>
      <c r="Z133" s="109"/>
      <c r="AA133" s="109"/>
    </row>
    <row r="134" ht="14.25" customHeight="1">
      <c r="A134" s="109"/>
      <c r="B134" s="127"/>
      <c r="C134" s="127"/>
      <c r="D134" s="127"/>
      <c r="E134" s="109"/>
      <c r="F134" s="8"/>
      <c r="G134" s="135"/>
      <c r="H134" s="127"/>
      <c r="I134" s="109"/>
      <c r="J134" s="104"/>
      <c r="K134" s="127"/>
      <c r="L134" s="127"/>
      <c r="M134" s="109"/>
      <c r="N134" s="104"/>
      <c r="O134" s="127"/>
      <c r="P134" s="127"/>
      <c r="Q134" s="109"/>
      <c r="R134" s="8"/>
      <c r="S134" s="109"/>
      <c r="T134" s="8"/>
      <c r="U134" s="8"/>
      <c r="V134" s="109"/>
      <c r="W134" s="109"/>
      <c r="X134" s="109"/>
      <c r="Y134" s="109"/>
      <c r="Z134" s="109"/>
      <c r="AA134" s="109"/>
    </row>
    <row r="135" ht="14.25" customHeight="1">
      <c r="A135" s="109"/>
      <c r="B135" s="104"/>
      <c r="C135" s="104"/>
      <c r="D135" s="104"/>
      <c r="E135" s="109"/>
      <c r="F135" s="8"/>
      <c r="G135" s="135"/>
      <c r="H135" s="104"/>
      <c r="I135" s="109"/>
      <c r="J135" s="104"/>
      <c r="K135" s="104"/>
      <c r="L135" s="104"/>
      <c r="M135" s="109"/>
      <c r="N135" s="104"/>
      <c r="O135" s="104"/>
      <c r="P135" s="104"/>
      <c r="Q135" s="109"/>
      <c r="R135" s="8"/>
      <c r="S135" s="109"/>
      <c r="T135" s="8"/>
      <c r="U135" s="8"/>
      <c r="V135" s="109"/>
      <c r="W135" s="109"/>
      <c r="X135" s="109"/>
      <c r="Y135" s="109"/>
      <c r="Z135" s="109"/>
      <c r="AA135" s="109"/>
    </row>
    <row r="136" ht="14.25" customHeight="1">
      <c r="A136" s="109"/>
      <c r="B136" s="104"/>
      <c r="C136" s="104"/>
      <c r="D136" s="104"/>
      <c r="E136" s="109"/>
      <c r="F136" s="8"/>
      <c r="G136" s="135"/>
      <c r="H136" s="104"/>
      <c r="I136" s="109"/>
      <c r="J136" s="104"/>
      <c r="K136" s="104"/>
      <c r="L136" s="104"/>
      <c r="M136" s="109"/>
      <c r="N136" s="104"/>
      <c r="O136" s="104"/>
      <c r="P136" s="104"/>
      <c r="Q136" s="109"/>
      <c r="R136" s="8"/>
      <c r="S136" s="109"/>
      <c r="T136" s="8"/>
      <c r="U136" s="8"/>
      <c r="V136" s="109"/>
      <c r="W136" s="109"/>
      <c r="X136" s="109"/>
      <c r="Y136" s="109"/>
      <c r="Z136" s="109"/>
      <c r="AA136" s="109"/>
    </row>
    <row r="137" ht="14.25" customHeight="1">
      <c r="A137" s="109"/>
      <c r="B137" s="104"/>
      <c r="C137" s="104"/>
      <c r="D137" s="104"/>
      <c r="E137" s="109"/>
      <c r="F137" s="8"/>
      <c r="G137" s="135"/>
      <c r="H137" s="104"/>
      <c r="I137" s="109"/>
      <c r="J137" s="104"/>
      <c r="K137" s="104"/>
      <c r="L137" s="104"/>
      <c r="M137" s="109"/>
      <c r="N137" s="104"/>
      <c r="O137" s="104"/>
      <c r="P137" s="104"/>
      <c r="Q137" s="109"/>
      <c r="R137" s="8"/>
      <c r="S137" s="109"/>
      <c r="T137" s="8"/>
      <c r="U137" s="8"/>
      <c r="V137" s="109"/>
      <c r="W137" s="109"/>
      <c r="X137" s="109"/>
      <c r="Y137" s="109"/>
      <c r="Z137" s="109"/>
      <c r="AA137" s="109"/>
    </row>
    <row r="138" ht="14.25" customHeight="1">
      <c r="A138" s="109"/>
      <c r="B138" s="104"/>
      <c r="C138" s="104"/>
      <c r="D138" s="104"/>
      <c r="E138" s="109"/>
      <c r="F138" s="8"/>
      <c r="G138" s="135"/>
      <c r="H138" s="104"/>
      <c r="I138" s="109"/>
      <c r="J138" s="104"/>
      <c r="K138" s="104"/>
      <c r="L138" s="104"/>
      <c r="M138" s="109"/>
      <c r="N138" s="104"/>
      <c r="O138" s="104"/>
      <c r="P138" s="104"/>
      <c r="Q138" s="109"/>
      <c r="R138" s="8"/>
      <c r="S138" s="109"/>
      <c r="T138" s="8"/>
      <c r="U138" s="8"/>
      <c r="V138" s="109"/>
      <c r="W138" s="109"/>
      <c r="X138" s="109"/>
      <c r="Y138" s="109"/>
      <c r="Z138" s="109"/>
      <c r="AA138" s="109"/>
    </row>
    <row r="139" ht="14.25" customHeight="1">
      <c r="A139" s="109"/>
      <c r="B139" s="104"/>
      <c r="C139" s="104"/>
      <c r="D139" s="104"/>
      <c r="E139" s="109"/>
      <c r="F139" s="8"/>
      <c r="G139" s="135"/>
      <c r="H139" s="104"/>
      <c r="I139" s="109"/>
      <c r="J139" s="104"/>
      <c r="K139" s="104"/>
      <c r="L139" s="104"/>
      <c r="M139" s="109"/>
      <c r="N139" s="104"/>
      <c r="O139" s="104"/>
      <c r="P139" s="104"/>
      <c r="Q139" s="109"/>
      <c r="R139" s="8"/>
      <c r="S139" s="109"/>
      <c r="T139" s="8"/>
      <c r="U139" s="8"/>
      <c r="V139" s="109"/>
      <c r="W139" s="109"/>
      <c r="X139" s="109"/>
      <c r="Y139" s="109"/>
      <c r="Z139" s="109"/>
      <c r="AA139" s="109"/>
    </row>
    <row r="140" ht="14.25" customHeight="1">
      <c r="A140" s="109"/>
      <c r="B140" s="104"/>
      <c r="C140" s="104"/>
      <c r="D140" s="104"/>
      <c r="E140" s="109"/>
      <c r="F140" s="8"/>
      <c r="G140" s="135"/>
      <c r="H140" s="104"/>
      <c r="I140" s="109"/>
      <c r="J140" s="104"/>
      <c r="K140" s="104"/>
      <c r="L140" s="104"/>
      <c r="M140" s="109"/>
      <c r="N140" s="104"/>
      <c r="O140" s="104"/>
      <c r="P140" s="104"/>
      <c r="Q140" s="109"/>
      <c r="R140" s="8"/>
      <c r="S140" s="109"/>
      <c r="T140" s="8"/>
      <c r="U140" s="8"/>
      <c r="V140" s="109"/>
      <c r="W140" s="109"/>
      <c r="X140" s="109"/>
      <c r="Y140" s="109"/>
      <c r="Z140" s="109"/>
      <c r="AA140" s="109"/>
    </row>
    <row r="141" ht="14.25" customHeight="1">
      <c r="A141" s="109"/>
      <c r="B141" s="104"/>
      <c r="C141" s="104"/>
      <c r="D141" s="104"/>
      <c r="E141" s="109"/>
      <c r="F141" s="8"/>
      <c r="G141" s="135"/>
      <c r="H141" s="104"/>
      <c r="I141" s="109"/>
      <c r="J141" s="104"/>
      <c r="K141" s="104"/>
      <c r="L141" s="104"/>
      <c r="M141" s="109"/>
      <c r="N141" s="104"/>
      <c r="O141" s="104"/>
      <c r="P141" s="104"/>
      <c r="Q141" s="109"/>
      <c r="R141" s="8"/>
      <c r="S141" s="109"/>
      <c r="T141" s="8"/>
      <c r="U141" s="8"/>
      <c r="V141" s="109"/>
      <c r="W141" s="109"/>
      <c r="X141" s="109"/>
      <c r="Y141" s="109"/>
      <c r="Z141" s="109"/>
      <c r="AA141" s="109"/>
    </row>
    <row r="142" ht="14.25" customHeight="1">
      <c r="A142" s="109"/>
      <c r="B142" s="104"/>
      <c r="C142" s="104"/>
      <c r="D142" s="104"/>
      <c r="E142" s="109"/>
      <c r="F142" s="8"/>
      <c r="G142" s="135"/>
      <c r="H142" s="104"/>
      <c r="I142" s="109"/>
      <c r="J142" s="104"/>
      <c r="K142" s="104"/>
      <c r="L142" s="104"/>
      <c r="M142" s="109"/>
      <c r="N142" s="104"/>
      <c r="O142" s="104"/>
      <c r="P142" s="104"/>
      <c r="Q142" s="109"/>
      <c r="R142" s="8"/>
      <c r="S142" s="109"/>
      <c r="T142" s="8"/>
      <c r="U142" s="8"/>
      <c r="V142" s="109"/>
      <c r="W142" s="109"/>
      <c r="X142" s="109"/>
      <c r="Y142" s="109"/>
      <c r="Z142" s="109"/>
      <c r="AA142" s="109"/>
    </row>
    <row r="143" ht="14.25" customHeight="1">
      <c r="A143" s="109"/>
      <c r="B143" s="104"/>
      <c r="C143" s="104"/>
      <c r="D143" s="104"/>
      <c r="E143" s="109"/>
      <c r="H143" s="104"/>
      <c r="I143" s="109"/>
      <c r="J143" s="104"/>
      <c r="K143" s="104"/>
      <c r="L143" s="104"/>
      <c r="M143" s="109"/>
      <c r="N143" s="104"/>
      <c r="O143" s="104"/>
      <c r="P143" s="104"/>
      <c r="Q143" s="109"/>
      <c r="R143" s="8"/>
      <c r="S143" s="109"/>
      <c r="T143" s="8"/>
      <c r="U143" s="8"/>
      <c r="V143" s="109"/>
      <c r="W143" s="109"/>
      <c r="X143" s="109"/>
      <c r="Y143" s="109"/>
      <c r="Z143" s="109"/>
      <c r="AA143" s="109"/>
    </row>
    <row r="144" ht="14.25" customHeight="1">
      <c r="A144" s="109"/>
      <c r="B144" s="104"/>
      <c r="C144" s="104"/>
      <c r="D144" s="104"/>
      <c r="E144" s="109"/>
      <c r="F144" s="8"/>
      <c r="G144" s="135"/>
      <c r="H144" s="104"/>
      <c r="I144" s="109"/>
      <c r="J144" s="104"/>
      <c r="K144" s="104"/>
      <c r="L144" s="104"/>
      <c r="M144" s="109"/>
      <c r="N144" s="104"/>
      <c r="O144" s="104"/>
      <c r="P144" s="104"/>
      <c r="Q144" s="109"/>
      <c r="R144" s="8"/>
      <c r="S144" s="109"/>
      <c r="T144" s="8"/>
      <c r="U144" s="8"/>
      <c r="V144" s="109"/>
      <c r="W144" s="109"/>
      <c r="X144" s="109"/>
      <c r="Y144" s="109"/>
      <c r="Z144" s="109"/>
      <c r="AA144" s="109"/>
    </row>
    <row r="145" ht="15.75" customHeight="1">
      <c r="A145" s="109"/>
      <c r="B145" s="109"/>
      <c r="C145" s="109"/>
      <c r="D145" s="109"/>
      <c r="E145" s="109"/>
      <c r="F145" s="8"/>
      <c r="G145" s="13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8"/>
      <c r="S145" s="109"/>
      <c r="T145" s="8"/>
      <c r="U145" s="8"/>
      <c r="V145" s="109"/>
      <c r="W145" s="109"/>
      <c r="X145" s="109"/>
      <c r="Y145" s="109"/>
      <c r="Z145" s="109"/>
      <c r="AA145" s="109"/>
    </row>
    <row r="146" ht="15.75" customHeight="1">
      <c r="A146" s="109"/>
      <c r="B146" s="109"/>
      <c r="C146" s="109"/>
      <c r="D146" s="109"/>
      <c r="E146" s="109"/>
      <c r="F146" s="8"/>
      <c r="G146" s="13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8"/>
      <c r="S146" s="109"/>
      <c r="T146" s="8"/>
      <c r="U146" s="8"/>
      <c r="V146" s="109"/>
      <c r="W146" s="109"/>
      <c r="X146" s="109"/>
      <c r="Y146" s="109"/>
      <c r="Z146" s="109"/>
      <c r="AA146" s="109"/>
    </row>
    <row r="147" ht="15.75" customHeight="1">
      <c r="A147" s="109"/>
      <c r="B147" s="109"/>
      <c r="C147" s="109"/>
      <c r="D147" s="109"/>
      <c r="E147" s="109"/>
      <c r="F147" s="8"/>
      <c r="G147" s="13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8"/>
      <c r="S147" s="109"/>
      <c r="T147" s="8"/>
      <c r="U147" s="8"/>
      <c r="V147" s="109"/>
      <c r="W147" s="109"/>
      <c r="X147" s="109"/>
      <c r="Y147" s="109"/>
      <c r="Z147" s="109"/>
      <c r="AA147" s="109"/>
    </row>
    <row r="148" ht="15.75" customHeight="1">
      <c r="A148" s="109"/>
      <c r="B148" s="109"/>
      <c r="C148" s="109"/>
      <c r="D148" s="109"/>
      <c r="E148" s="109"/>
      <c r="F148" s="8"/>
      <c r="G148" s="13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S148" s="109"/>
      <c r="T148" s="8"/>
      <c r="U148" s="8"/>
      <c r="V148" s="109"/>
      <c r="W148" s="109"/>
      <c r="X148" s="109"/>
      <c r="Y148" s="109"/>
      <c r="Z148" s="109"/>
      <c r="AA148" s="109"/>
    </row>
    <row r="149" ht="15.75" customHeight="1">
      <c r="A149" s="109"/>
      <c r="B149" s="109"/>
      <c r="C149" s="109"/>
      <c r="D149" s="109"/>
      <c r="E149" s="109"/>
      <c r="F149" s="8"/>
      <c r="G149" s="13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S149" s="109"/>
      <c r="T149" s="8"/>
      <c r="U149" s="8"/>
      <c r="V149" s="109"/>
      <c r="W149" s="109"/>
      <c r="X149" s="109"/>
      <c r="Y149" s="109"/>
      <c r="Z149" s="109"/>
      <c r="AA149" s="109"/>
    </row>
    <row r="150" ht="15.75" customHeight="1">
      <c r="A150" s="109"/>
      <c r="B150" s="109"/>
      <c r="C150" s="109"/>
      <c r="D150" s="109"/>
      <c r="E150" s="109"/>
      <c r="F150" s="8"/>
      <c r="G150" s="13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S150" s="109"/>
      <c r="T150" s="8"/>
      <c r="U150" s="8"/>
      <c r="V150" s="109"/>
      <c r="W150" s="109"/>
      <c r="X150" s="109"/>
      <c r="Y150" s="109"/>
      <c r="Z150" s="109"/>
      <c r="AA150" s="109"/>
    </row>
    <row r="151" ht="15.75" customHeight="1">
      <c r="A151" s="109"/>
      <c r="B151" s="109"/>
      <c r="C151" s="109"/>
      <c r="D151" s="109"/>
      <c r="E151" s="109"/>
      <c r="F151" s="8"/>
      <c r="G151" s="13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S151" s="109"/>
      <c r="T151" s="8"/>
      <c r="U151" s="8"/>
      <c r="V151" s="109"/>
      <c r="W151" s="109"/>
      <c r="X151" s="109"/>
      <c r="Y151" s="109"/>
      <c r="Z151" s="109"/>
      <c r="AA151" s="109"/>
    </row>
    <row r="152" ht="15.75" customHeight="1">
      <c r="A152" s="109"/>
      <c r="B152" s="109"/>
      <c r="C152" s="109"/>
      <c r="D152" s="109"/>
      <c r="E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S152" s="109"/>
      <c r="T152" s="8"/>
      <c r="U152" s="8"/>
      <c r="V152" s="109"/>
      <c r="W152" s="109"/>
      <c r="X152" s="109"/>
      <c r="Y152" s="109"/>
      <c r="Z152" s="109"/>
      <c r="AA152" s="109"/>
    </row>
    <row r="153" ht="15.75" customHeight="1">
      <c r="A153" s="109"/>
      <c r="B153" s="109"/>
      <c r="C153" s="109"/>
      <c r="D153" s="109"/>
      <c r="E153" s="109"/>
      <c r="F153" s="8"/>
      <c r="G153" s="13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S153" s="109"/>
      <c r="T153" s="8"/>
      <c r="U153" s="8"/>
      <c r="V153" s="109"/>
      <c r="W153" s="109"/>
      <c r="X153" s="109"/>
      <c r="Y153" s="109"/>
      <c r="Z153" s="109"/>
      <c r="AA153" s="109"/>
    </row>
    <row r="154" ht="15.75" customHeight="1">
      <c r="A154" s="109"/>
      <c r="B154" s="109"/>
      <c r="C154" s="109"/>
      <c r="D154" s="109"/>
      <c r="E154" s="109"/>
      <c r="F154" s="8"/>
      <c r="G154" s="13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S154" s="109"/>
      <c r="T154" s="8"/>
      <c r="U154" s="8"/>
      <c r="V154" s="109"/>
      <c r="W154" s="109"/>
      <c r="X154" s="109"/>
      <c r="Y154" s="109"/>
      <c r="Z154" s="109"/>
      <c r="AA154" s="109"/>
    </row>
    <row r="155" ht="15.75" customHeight="1">
      <c r="A155" s="109"/>
      <c r="B155" s="109"/>
      <c r="C155" s="109"/>
      <c r="D155" s="109"/>
      <c r="E155" s="109"/>
      <c r="F155" s="8"/>
      <c r="G155" s="13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S155" s="109"/>
      <c r="T155" s="8"/>
      <c r="U155" s="8"/>
      <c r="V155" s="109"/>
      <c r="W155" s="109"/>
      <c r="X155" s="109"/>
      <c r="Y155" s="109"/>
      <c r="Z155" s="109"/>
      <c r="AA155" s="109"/>
    </row>
    <row r="156" ht="15.75" customHeight="1">
      <c r="A156" s="109"/>
      <c r="B156" s="109"/>
      <c r="C156" s="109"/>
      <c r="D156" s="109"/>
      <c r="E156" s="109"/>
      <c r="F156" s="8"/>
      <c r="G156" s="13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S156" s="109"/>
      <c r="T156" s="8"/>
      <c r="U156" s="8"/>
      <c r="V156" s="109"/>
      <c r="W156" s="109"/>
      <c r="X156" s="109"/>
      <c r="Y156" s="109"/>
      <c r="Z156" s="109"/>
      <c r="AA156" s="109"/>
    </row>
    <row r="157" ht="15.75" customHeight="1">
      <c r="A157" s="109"/>
      <c r="B157" s="109"/>
      <c r="C157" s="109"/>
      <c r="D157" s="109"/>
      <c r="E157" s="109"/>
      <c r="F157" s="8"/>
      <c r="G157" s="13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S157" s="109"/>
      <c r="T157" s="8"/>
      <c r="U157" s="8"/>
      <c r="V157" s="109"/>
      <c r="W157" s="109"/>
      <c r="X157" s="109"/>
      <c r="Y157" s="109"/>
      <c r="Z157" s="109"/>
      <c r="AA157" s="109"/>
    </row>
    <row r="158" ht="15.75" customHeight="1">
      <c r="A158" s="109"/>
      <c r="B158" s="109"/>
      <c r="C158" s="109"/>
      <c r="D158" s="109"/>
      <c r="E158" s="109"/>
      <c r="F158" s="8"/>
      <c r="G158" s="13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S158" s="109"/>
      <c r="T158" s="8"/>
      <c r="U158" s="8"/>
      <c r="V158" s="109"/>
      <c r="W158" s="109"/>
      <c r="X158" s="109"/>
      <c r="Y158" s="109"/>
      <c r="Z158" s="109"/>
      <c r="AA158" s="109"/>
    </row>
    <row r="159" ht="15.75" customHeight="1">
      <c r="A159" s="109"/>
      <c r="B159" s="109"/>
      <c r="C159" s="109"/>
      <c r="D159" s="109"/>
      <c r="E159" s="109"/>
      <c r="F159" s="8"/>
      <c r="G159" s="13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S159" s="109"/>
      <c r="T159" s="8"/>
      <c r="U159" s="8"/>
      <c r="V159" s="109"/>
      <c r="W159" s="109"/>
      <c r="X159" s="109"/>
      <c r="Y159" s="109"/>
      <c r="Z159" s="109"/>
      <c r="AA159" s="109"/>
    </row>
    <row r="160" ht="15.75" customHeight="1">
      <c r="A160" s="109"/>
      <c r="B160" s="109"/>
      <c r="C160" s="109"/>
      <c r="D160" s="109"/>
      <c r="E160" s="109"/>
      <c r="F160" s="8"/>
      <c r="G160" s="13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S160" s="109"/>
      <c r="T160" s="8"/>
      <c r="U160" s="8"/>
      <c r="V160" s="109"/>
      <c r="W160" s="109"/>
      <c r="X160" s="109"/>
      <c r="Y160" s="109"/>
      <c r="Z160" s="109"/>
      <c r="AA160" s="109"/>
    </row>
    <row r="161" ht="15.75" customHeight="1">
      <c r="A161" s="109"/>
      <c r="B161" s="109"/>
      <c r="C161" s="109"/>
      <c r="D161" s="109"/>
      <c r="E161" s="109"/>
      <c r="F161" s="8"/>
      <c r="G161" s="13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S161" s="109"/>
      <c r="T161" s="8"/>
      <c r="U161" s="8"/>
      <c r="V161" s="109"/>
      <c r="W161" s="109"/>
      <c r="X161" s="109"/>
      <c r="Y161" s="109"/>
      <c r="Z161" s="109"/>
      <c r="AA161" s="109"/>
    </row>
    <row r="162" ht="15.75" customHeight="1">
      <c r="A162" s="109"/>
      <c r="B162" s="109"/>
      <c r="C162" s="109"/>
      <c r="D162" s="109"/>
      <c r="E162" s="109"/>
      <c r="F162" s="8"/>
      <c r="G162" s="13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S162" s="109"/>
      <c r="T162" s="8"/>
      <c r="U162" s="8"/>
      <c r="V162" s="109"/>
      <c r="W162" s="109"/>
      <c r="X162" s="109"/>
      <c r="Y162" s="109"/>
      <c r="Z162" s="109"/>
      <c r="AA162" s="109"/>
    </row>
    <row r="163" ht="15.75" customHeight="1">
      <c r="A163" s="109"/>
      <c r="B163" s="109"/>
      <c r="C163" s="109"/>
      <c r="D163" s="109"/>
      <c r="E163" s="109"/>
      <c r="F163" s="8"/>
      <c r="G163" s="13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S163" s="109"/>
      <c r="T163" s="8"/>
      <c r="U163" s="8"/>
      <c r="V163" s="109"/>
      <c r="W163" s="109"/>
      <c r="X163" s="109"/>
      <c r="Y163" s="109"/>
      <c r="Z163" s="109"/>
      <c r="AA163" s="109"/>
    </row>
    <row r="164" ht="15.75" customHeight="1">
      <c r="A164" s="109"/>
      <c r="B164" s="109"/>
      <c r="C164" s="109"/>
      <c r="D164" s="109"/>
      <c r="E164" s="109"/>
      <c r="F164" s="8"/>
      <c r="G164" s="13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S164" s="109"/>
      <c r="T164" s="8"/>
      <c r="U164" s="8"/>
      <c r="V164" s="109"/>
      <c r="W164" s="109"/>
      <c r="X164" s="109"/>
      <c r="Y164" s="109"/>
      <c r="Z164" s="109"/>
      <c r="AA164" s="109"/>
    </row>
    <row r="165" ht="15.75" customHeight="1">
      <c r="A165" s="109"/>
      <c r="B165" s="109"/>
      <c r="C165" s="109"/>
      <c r="D165" s="109"/>
      <c r="E165" s="109"/>
      <c r="F165" s="8"/>
      <c r="G165" s="13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S165" s="109"/>
      <c r="T165" s="8"/>
      <c r="U165" s="8"/>
      <c r="V165" s="109"/>
      <c r="W165" s="109"/>
      <c r="X165" s="109"/>
      <c r="Y165" s="109"/>
      <c r="Z165" s="109"/>
      <c r="AA165" s="109"/>
    </row>
    <row r="166" ht="15.75" customHeight="1">
      <c r="A166" s="109"/>
      <c r="B166" s="109"/>
      <c r="C166" s="109"/>
      <c r="D166" s="109"/>
      <c r="E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S166" s="109"/>
      <c r="T166" s="8"/>
      <c r="U166" s="8"/>
      <c r="V166" s="109"/>
      <c r="W166" s="109"/>
      <c r="X166" s="109"/>
      <c r="Y166" s="109"/>
      <c r="Z166" s="109"/>
      <c r="AA166" s="109"/>
    </row>
    <row r="167" ht="15.75" customHeight="1">
      <c r="A167" s="109"/>
      <c r="B167" s="109"/>
      <c r="C167" s="109"/>
      <c r="D167" s="109"/>
      <c r="E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8"/>
      <c r="S167" s="109"/>
      <c r="T167" s="8"/>
      <c r="U167" s="8"/>
      <c r="V167" s="109"/>
      <c r="W167" s="109"/>
      <c r="X167" s="109"/>
      <c r="Y167" s="109"/>
      <c r="Z167" s="109"/>
      <c r="AA167" s="109"/>
    </row>
    <row r="168" ht="15.75" customHeight="1">
      <c r="A168" s="109"/>
      <c r="B168" s="109"/>
      <c r="C168" s="109"/>
      <c r="D168" s="109"/>
      <c r="E168" s="109"/>
      <c r="F168" s="8"/>
      <c r="G168" s="13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S168" s="109"/>
      <c r="T168" s="8"/>
      <c r="U168" s="8"/>
      <c r="V168" s="109"/>
      <c r="W168" s="109"/>
      <c r="X168" s="109"/>
      <c r="Y168" s="109"/>
      <c r="Z168" s="109"/>
      <c r="AA168" s="109"/>
    </row>
    <row r="169" ht="15.75" customHeight="1">
      <c r="A169" s="109"/>
      <c r="B169" s="109"/>
      <c r="C169" s="109"/>
      <c r="D169" s="109"/>
      <c r="E169" s="109"/>
      <c r="F169" s="8"/>
      <c r="G169" s="13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S169" s="109"/>
      <c r="T169" s="8"/>
      <c r="U169" s="8"/>
      <c r="V169" s="109"/>
      <c r="W169" s="109"/>
      <c r="X169" s="109"/>
      <c r="Y169" s="109"/>
      <c r="Z169" s="109"/>
      <c r="AA169" s="109"/>
    </row>
    <row r="170" ht="15.75" customHeight="1">
      <c r="A170" s="109"/>
      <c r="B170" s="109"/>
      <c r="C170" s="109"/>
      <c r="D170" s="109"/>
      <c r="E170" s="109"/>
      <c r="F170" s="8"/>
      <c r="G170" s="13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S170" s="109"/>
      <c r="T170" s="8"/>
      <c r="U170" s="8"/>
      <c r="V170" s="109"/>
      <c r="W170" s="109"/>
      <c r="X170" s="109"/>
      <c r="Y170" s="109"/>
      <c r="Z170" s="109"/>
      <c r="AA170" s="109"/>
    </row>
    <row r="171" ht="15.75" customHeight="1">
      <c r="A171" s="109"/>
      <c r="B171" s="109"/>
      <c r="C171" s="109"/>
      <c r="D171" s="109"/>
      <c r="E171" s="109"/>
      <c r="F171" s="8"/>
      <c r="G171" s="13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8"/>
      <c r="S171" s="109"/>
      <c r="T171" s="8"/>
      <c r="U171" s="8"/>
      <c r="V171" s="109"/>
      <c r="W171" s="109"/>
      <c r="X171" s="109"/>
      <c r="Y171" s="109"/>
      <c r="Z171" s="109"/>
      <c r="AA171" s="109"/>
    </row>
    <row r="172" ht="15.75" customHeight="1">
      <c r="A172" s="109"/>
      <c r="B172" s="109"/>
      <c r="C172" s="109"/>
      <c r="D172" s="109"/>
      <c r="E172" s="109"/>
      <c r="F172" s="8"/>
      <c r="G172" s="13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8"/>
      <c r="S172" s="109"/>
      <c r="T172" s="8"/>
      <c r="U172" s="8"/>
      <c r="V172" s="109"/>
      <c r="W172" s="109"/>
      <c r="X172" s="109"/>
      <c r="Y172" s="109"/>
      <c r="Z172" s="109"/>
      <c r="AA172" s="109"/>
    </row>
    <row r="173" ht="15.75" customHeight="1">
      <c r="A173" s="109"/>
      <c r="B173" s="109"/>
      <c r="C173" s="109"/>
      <c r="D173" s="109"/>
      <c r="E173" s="109"/>
      <c r="F173" s="8"/>
      <c r="G173" s="13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S173" s="109"/>
      <c r="T173" s="8"/>
      <c r="U173" s="8"/>
      <c r="V173" s="109"/>
      <c r="W173" s="109"/>
      <c r="X173" s="109"/>
      <c r="Y173" s="109"/>
      <c r="Z173" s="109"/>
      <c r="AA173" s="109"/>
    </row>
    <row r="174" ht="15.75" customHeight="1">
      <c r="A174" s="109"/>
      <c r="B174" s="109"/>
      <c r="C174" s="109"/>
      <c r="D174" s="109"/>
      <c r="E174" s="109"/>
      <c r="F174" s="8"/>
      <c r="G174" s="13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8"/>
      <c r="S174" s="109"/>
      <c r="T174" s="8"/>
      <c r="U174" s="8"/>
      <c r="V174" s="109"/>
      <c r="W174" s="109"/>
      <c r="X174" s="109"/>
      <c r="Y174" s="109"/>
      <c r="Z174" s="109"/>
      <c r="AA174" s="109"/>
    </row>
    <row r="175" ht="15.75" customHeight="1">
      <c r="A175" s="109"/>
      <c r="B175" s="109"/>
      <c r="C175" s="109"/>
      <c r="D175" s="109"/>
      <c r="E175" s="109"/>
      <c r="F175" s="8"/>
      <c r="G175" s="13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8"/>
      <c r="S175" s="109"/>
      <c r="T175" s="8"/>
      <c r="U175" s="8"/>
      <c r="V175" s="109"/>
      <c r="W175" s="109"/>
      <c r="X175" s="109"/>
      <c r="Y175" s="109"/>
      <c r="Z175" s="109"/>
      <c r="AA175" s="109"/>
    </row>
    <row r="176" ht="15.75" customHeight="1">
      <c r="A176" s="109"/>
      <c r="B176" s="109"/>
      <c r="C176" s="109"/>
      <c r="D176" s="109"/>
      <c r="E176" s="109"/>
      <c r="F176" s="8"/>
      <c r="G176" s="13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8"/>
      <c r="S176" s="109"/>
      <c r="T176" s="8"/>
      <c r="U176" s="8"/>
      <c r="V176" s="109"/>
      <c r="W176" s="109"/>
      <c r="X176" s="109"/>
      <c r="Y176" s="109"/>
      <c r="Z176" s="109"/>
      <c r="AA176" s="109"/>
    </row>
    <row r="177" ht="15.75" customHeight="1">
      <c r="A177" s="109"/>
      <c r="B177" s="109"/>
      <c r="C177" s="109"/>
      <c r="D177" s="109"/>
      <c r="E177" s="109"/>
      <c r="F177" s="8"/>
      <c r="G177" s="13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S177" s="109"/>
      <c r="T177" s="8"/>
      <c r="U177" s="8"/>
      <c r="V177" s="109"/>
      <c r="W177" s="109"/>
      <c r="X177" s="109"/>
      <c r="Y177" s="109"/>
      <c r="Z177" s="109"/>
      <c r="AA177" s="109"/>
    </row>
    <row r="178" ht="15.75" customHeight="1">
      <c r="A178" s="109"/>
      <c r="B178" s="109"/>
      <c r="C178" s="109"/>
      <c r="D178" s="109"/>
      <c r="E178" s="109"/>
      <c r="F178" s="8"/>
      <c r="G178" s="13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8"/>
      <c r="S178" s="109"/>
      <c r="T178" s="8"/>
      <c r="U178" s="8"/>
      <c r="V178" s="109"/>
      <c r="W178" s="109"/>
      <c r="X178" s="109"/>
      <c r="Y178" s="109"/>
      <c r="Z178" s="109"/>
      <c r="AA178" s="109"/>
    </row>
    <row r="179" ht="15.75" customHeight="1">
      <c r="A179" s="109"/>
      <c r="B179" s="109"/>
      <c r="C179" s="109"/>
      <c r="D179" s="109"/>
      <c r="E179" s="109"/>
      <c r="F179" s="8"/>
      <c r="G179" s="13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8"/>
      <c r="S179" s="109"/>
      <c r="T179" s="8"/>
      <c r="U179" s="8"/>
      <c r="V179" s="109"/>
      <c r="W179" s="109"/>
      <c r="X179" s="109"/>
      <c r="Y179" s="109"/>
      <c r="Z179" s="109"/>
      <c r="AA179" s="109"/>
    </row>
    <row r="180" ht="15.75" customHeight="1">
      <c r="A180" s="109"/>
      <c r="B180" s="109"/>
      <c r="C180" s="109"/>
      <c r="D180" s="109"/>
      <c r="E180" s="109"/>
      <c r="F180" s="8"/>
      <c r="G180" s="13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8"/>
      <c r="S180" s="109"/>
      <c r="T180" s="8"/>
      <c r="U180" s="8"/>
      <c r="V180" s="109"/>
      <c r="W180" s="109"/>
      <c r="X180" s="109"/>
      <c r="Y180" s="109"/>
      <c r="Z180" s="109"/>
      <c r="AA180" s="109"/>
    </row>
    <row r="181" ht="15.75" customHeight="1">
      <c r="A181" s="109"/>
      <c r="B181" s="109"/>
      <c r="C181" s="109"/>
      <c r="D181" s="109"/>
      <c r="E181" s="109"/>
      <c r="F181" s="8"/>
      <c r="G181" s="13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8"/>
      <c r="S181" s="109"/>
      <c r="T181" s="8"/>
      <c r="U181" s="8"/>
      <c r="V181" s="109"/>
      <c r="W181" s="109"/>
      <c r="X181" s="109"/>
      <c r="Y181" s="109"/>
      <c r="Z181" s="109"/>
      <c r="AA181" s="109"/>
    </row>
    <row r="182" ht="15.75" customHeight="1">
      <c r="A182" s="109"/>
      <c r="B182" s="109"/>
      <c r="C182" s="109"/>
      <c r="D182" s="109"/>
      <c r="E182" s="109"/>
      <c r="F182" s="8"/>
      <c r="G182" s="13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8"/>
      <c r="S182" s="109"/>
      <c r="T182" s="8"/>
      <c r="U182" s="8"/>
      <c r="V182" s="109"/>
      <c r="W182" s="109"/>
      <c r="X182" s="109"/>
      <c r="Y182" s="109"/>
      <c r="Z182" s="109"/>
      <c r="AA182" s="109"/>
    </row>
    <row r="183" ht="15.75" customHeight="1">
      <c r="A183" s="109"/>
      <c r="B183" s="109"/>
      <c r="C183" s="109"/>
      <c r="D183" s="109"/>
      <c r="E183" s="109"/>
      <c r="F183" s="8"/>
      <c r="G183" s="13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8"/>
      <c r="S183" s="109"/>
      <c r="T183" s="8"/>
      <c r="U183" s="8"/>
      <c r="V183" s="109"/>
      <c r="W183" s="109"/>
      <c r="X183" s="109"/>
      <c r="Y183" s="109"/>
      <c r="Z183" s="109"/>
      <c r="AA183" s="109"/>
    </row>
    <row r="184" ht="15.75" customHeight="1">
      <c r="A184" s="109"/>
      <c r="B184" s="109"/>
      <c r="C184" s="109"/>
      <c r="D184" s="109"/>
      <c r="E184" s="109"/>
      <c r="F184" s="8"/>
      <c r="G184" s="135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8"/>
      <c r="S184" s="109"/>
      <c r="T184" s="8"/>
      <c r="U184" s="8"/>
      <c r="V184" s="109"/>
      <c r="W184" s="109"/>
      <c r="X184" s="109"/>
      <c r="Y184" s="109"/>
      <c r="Z184" s="109"/>
      <c r="AA184" s="109"/>
    </row>
    <row r="185" ht="15.75" customHeight="1">
      <c r="A185" s="109"/>
      <c r="B185" s="109"/>
      <c r="C185" s="109"/>
      <c r="D185" s="109"/>
      <c r="E185" s="109"/>
      <c r="F185" s="8"/>
      <c r="G185" s="135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8"/>
      <c r="S185" s="109"/>
      <c r="T185" s="8"/>
      <c r="U185" s="8"/>
      <c r="V185" s="109"/>
      <c r="W185" s="109"/>
      <c r="X185" s="109"/>
      <c r="Y185" s="109"/>
      <c r="Z185" s="109"/>
      <c r="AA185" s="109"/>
    </row>
    <row r="186" ht="15.75" customHeight="1">
      <c r="A186" s="109"/>
      <c r="B186" s="109"/>
      <c r="C186" s="109"/>
      <c r="D186" s="109"/>
      <c r="E186" s="109"/>
      <c r="F186" s="8"/>
      <c r="G186" s="135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8"/>
      <c r="S186" s="109"/>
      <c r="T186" s="8"/>
      <c r="U186" s="8"/>
      <c r="V186" s="109"/>
      <c r="W186" s="109"/>
      <c r="X186" s="109"/>
      <c r="Y186" s="109"/>
      <c r="Z186" s="109"/>
      <c r="AA186" s="109"/>
    </row>
    <row r="187" ht="15.75" customHeight="1">
      <c r="A187" s="109"/>
      <c r="B187" s="109"/>
      <c r="C187" s="109"/>
      <c r="D187" s="109"/>
      <c r="E187" s="109"/>
      <c r="F187" s="8"/>
      <c r="G187" s="135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8"/>
      <c r="S187" s="109"/>
      <c r="T187" s="8"/>
      <c r="U187" s="8"/>
      <c r="V187" s="109"/>
      <c r="W187" s="109"/>
      <c r="X187" s="109"/>
      <c r="Y187" s="109"/>
      <c r="Z187" s="109"/>
      <c r="AA187" s="109"/>
    </row>
    <row r="188" ht="15.75" customHeight="1">
      <c r="A188" s="109"/>
      <c r="B188" s="109"/>
      <c r="C188" s="109"/>
      <c r="D188" s="109"/>
      <c r="E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8"/>
      <c r="S188" s="109"/>
      <c r="T188" s="8"/>
      <c r="U188" s="8"/>
      <c r="V188" s="109"/>
      <c r="W188" s="109"/>
      <c r="X188" s="109"/>
      <c r="Y188" s="109"/>
      <c r="Z188" s="109"/>
      <c r="AA188" s="109"/>
    </row>
    <row r="189" ht="17.25" customHeight="1">
      <c r="A189" s="109"/>
      <c r="B189" s="109"/>
      <c r="C189" s="109"/>
      <c r="D189" s="109"/>
      <c r="E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8"/>
      <c r="S189" s="109"/>
      <c r="T189" s="8"/>
      <c r="U189" s="8"/>
      <c r="V189" s="109"/>
      <c r="W189" s="109"/>
      <c r="X189" s="109"/>
      <c r="Y189" s="109"/>
      <c r="Z189" s="109"/>
      <c r="AA189" s="109"/>
    </row>
    <row r="190" ht="17.25" customHeight="1">
      <c r="A190" s="109"/>
      <c r="B190" s="109"/>
      <c r="C190" s="109"/>
      <c r="D190" s="109"/>
      <c r="E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8"/>
      <c r="S190" s="109"/>
      <c r="T190" s="8"/>
      <c r="U190" s="8"/>
      <c r="V190" s="109"/>
      <c r="W190" s="109"/>
      <c r="X190" s="109"/>
      <c r="Y190" s="109"/>
      <c r="Z190" s="109"/>
      <c r="AA190" s="109"/>
    </row>
    <row r="191" ht="15.75" customHeight="1">
      <c r="A191" s="109"/>
      <c r="B191" s="109"/>
      <c r="C191" s="109"/>
      <c r="D191" s="109"/>
      <c r="E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S191" s="109"/>
      <c r="T191" s="8"/>
      <c r="U191" s="8"/>
      <c r="V191" s="109"/>
      <c r="W191" s="109"/>
      <c r="X191" s="109"/>
      <c r="Y191" s="109"/>
      <c r="Z191" s="109"/>
      <c r="AA191" s="109"/>
    </row>
    <row r="192" ht="15.75" customHeight="1">
      <c r="A192" s="109"/>
      <c r="B192" s="109"/>
      <c r="C192" s="109"/>
      <c r="D192" s="109"/>
      <c r="E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S192" s="109"/>
      <c r="T192" s="8"/>
      <c r="U192" s="8"/>
      <c r="V192" s="109"/>
      <c r="W192" s="109"/>
      <c r="X192" s="109"/>
      <c r="Y192" s="109"/>
      <c r="Z192" s="109"/>
      <c r="AA192" s="109"/>
    </row>
    <row r="193" ht="15.75" customHeight="1">
      <c r="A193" s="109"/>
      <c r="B193" s="109"/>
      <c r="C193" s="109"/>
      <c r="D193" s="109"/>
      <c r="E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S193" s="109"/>
      <c r="T193" s="8"/>
      <c r="U193" s="8"/>
      <c r="V193" s="109"/>
      <c r="W193" s="109"/>
      <c r="X193" s="109"/>
      <c r="Y193" s="109"/>
      <c r="Z193" s="109"/>
      <c r="AA193" s="109"/>
    </row>
    <row r="194" ht="15.75" customHeight="1">
      <c r="A194" s="109"/>
      <c r="B194" s="109"/>
      <c r="C194" s="109"/>
      <c r="D194" s="109"/>
      <c r="E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S194" s="109"/>
      <c r="T194" s="8"/>
      <c r="U194" s="8"/>
      <c r="V194" s="109"/>
      <c r="W194" s="109"/>
      <c r="X194" s="109"/>
      <c r="Y194" s="109"/>
      <c r="Z194" s="109"/>
      <c r="AA194" s="109"/>
    </row>
    <row r="195" ht="15.75" customHeight="1">
      <c r="A195" s="109"/>
      <c r="B195" s="109"/>
      <c r="C195" s="109"/>
      <c r="D195" s="109"/>
      <c r="E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8"/>
      <c r="S195" s="109"/>
      <c r="T195" s="8"/>
      <c r="U195" s="8"/>
      <c r="V195" s="109"/>
      <c r="W195" s="109"/>
      <c r="X195" s="109"/>
      <c r="Y195" s="109"/>
      <c r="Z195" s="109"/>
      <c r="AA195" s="109"/>
    </row>
    <row r="196" ht="15.75" customHeight="1">
      <c r="A196" s="109"/>
      <c r="B196" s="109"/>
      <c r="C196" s="109"/>
      <c r="D196" s="109"/>
      <c r="E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8"/>
      <c r="S196" s="109"/>
      <c r="T196" s="8"/>
      <c r="U196" s="8"/>
      <c r="V196" s="109"/>
      <c r="W196" s="109"/>
      <c r="X196" s="109"/>
      <c r="Y196" s="109"/>
      <c r="Z196" s="109"/>
      <c r="AA196" s="109"/>
    </row>
    <row r="197" ht="15.75" customHeight="1">
      <c r="A197" s="109"/>
      <c r="B197" s="109"/>
      <c r="C197" s="109"/>
      <c r="D197" s="109"/>
      <c r="E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8"/>
      <c r="S197" s="109"/>
      <c r="T197" s="8"/>
      <c r="U197" s="8"/>
      <c r="V197" s="109"/>
      <c r="W197" s="109"/>
      <c r="X197" s="109"/>
      <c r="Y197" s="109"/>
      <c r="Z197" s="109"/>
      <c r="AA197" s="109"/>
    </row>
    <row r="198" ht="15.75" customHeight="1">
      <c r="A198" s="109"/>
      <c r="B198" s="109"/>
      <c r="C198" s="109"/>
      <c r="D198" s="109"/>
      <c r="E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8"/>
      <c r="S198" s="109"/>
      <c r="T198" s="8"/>
      <c r="U198" s="8"/>
      <c r="V198" s="109"/>
      <c r="W198" s="109"/>
      <c r="X198" s="109"/>
      <c r="Y198" s="109"/>
      <c r="Z198" s="109"/>
      <c r="AA198" s="109"/>
    </row>
    <row r="199" ht="15.75" customHeight="1">
      <c r="A199" s="109"/>
      <c r="B199" s="109"/>
      <c r="C199" s="109"/>
      <c r="D199" s="109"/>
      <c r="E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8"/>
      <c r="S199" s="109"/>
      <c r="T199" s="8"/>
      <c r="U199" s="8"/>
      <c r="V199" s="109"/>
      <c r="W199" s="109"/>
      <c r="X199" s="109"/>
      <c r="Y199" s="109"/>
      <c r="Z199" s="109"/>
      <c r="AA199" s="109"/>
    </row>
    <row r="200" ht="15.75" customHeight="1">
      <c r="A200" s="109"/>
      <c r="B200" s="109"/>
      <c r="C200" s="109"/>
      <c r="D200" s="109"/>
      <c r="E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8"/>
      <c r="S200" s="109"/>
      <c r="T200" s="8"/>
      <c r="U200" s="8"/>
      <c r="V200" s="109"/>
      <c r="W200" s="109"/>
      <c r="X200" s="109"/>
      <c r="Y200" s="109"/>
      <c r="Z200" s="109"/>
      <c r="AA200" s="109"/>
    </row>
    <row r="201" ht="15.75" customHeight="1">
      <c r="A201" s="109"/>
      <c r="B201" s="109"/>
      <c r="C201" s="109"/>
      <c r="D201" s="109"/>
      <c r="E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8"/>
      <c r="S201" s="109"/>
      <c r="T201" s="8"/>
      <c r="U201" s="8"/>
      <c r="V201" s="109"/>
      <c r="W201" s="109"/>
      <c r="X201" s="109"/>
      <c r="Y201" s="109"/>
      <c r="Z201" s="109"/>
      <c r="AA201" s="109"/>
    </row>
    <row r="202" ht="15.75" customHeight="1">
      <c r="A202" s="109"/>
      <c r="B202" s="109"/>
      <c r="C202" s="109"/>
      <c r="D202" s="109"/>
      <c r="E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8"/>
      <c r="S202" s="109"/>
      <c r="T202" s="8"/>
      <c r="U202" s="8"/>
      <c r="V202" s="109"/>
      <c r="W202" s="109"/>
      <c r="X202" s="109"/>
      <c r="Y202" s="109"/>
      <c r="Z202" s="109"/>
      <c r="AA202" s="109"/>
    </row>
    <row r="203" ht="15.75" customHeight="1">
      <c r="A203" s="109"/>
      <c r="B203" s="109"/>
      <c r="C203" s="109"/>
      <c r="D203" s="109"/>
      <c r="E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8"/>
      <c r="S203" s="109"/>
      <c r="T203" s="8"/>
      <c r="U203" s="8"/>
      <c r="V203" s="109"/>
      <c r="W203" s="109"/>
      <c r="X203" s="109"/>
      <c r="Y203" s="109"/>
      <c r="Z203" s="109"/>
      <c r="AA203" s="109"/>
    </row>
    <row r="204" ht="15.75" customHeight="1">
      <c r="A204" s="109"/>
      <c r="B204" s="109"/>
      <c r="C204" s="109"/>
      <c r="D204" s="109"/>
      <c r="E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8"/>
      <c r="S204" s="109"/>
      <c r="T204" s="8"/>
      <c r="U204" s="8"/>
      <c r="V204" s="109"/>
      <c r="W204" s="109"/>
      <c r="X204" s="109"/>
      <c r="Y204" s="109"/>
      <c r="Z204" s="109"/>
      <c r="AA204" s="109"/>
    </row>
    <row r="205" ht="15.75" customHeight="1">
      <c r="A205" s="109"/>
      <c r="B205" s="109"/>
      <c r="C205" s="109"/>
      <c r="D205" s="109"/>
      <c r="E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S205" s="109"/>
      <c r="T205" s="8"/>
      <c r="U205" s="8"/>
      <c r="V205" s="109"/>
      <c r="W205" s="109"/>
      <c r="X205" s="109"/>
      <c r="Y205" s="109"/>
      <c r="Z205" s="109"/>
      <c r="AA205" s="109"/>
    </row>
    <row r="206" ht="15.75" customHeight="1">
      <c r="A206" s="109"/>
      <c r="B206" s="109"/>
      <c r="C206" s="109"/>
      <c r="D206" s="109"/>
      <c r="E206" s="109"/>
      <c r="F206" s="8"/>
      <c r="G206" s="135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S206" s="109"/>
      <c r="T206" s="8"/>
      <c r="U206" s="8"/>
      <c r="V206" s="109"/>
      <c r="W206" s="109"/>
      <c r="X206" s="109"/>
      <c r="Y206" s="109"/>
      <c r="Z206" s="109"/>
      <c r="AA206" s="109"/>
    </row>
    <row r="207" ht="15.75" customHeight="1">
      <c r="A207" s="109"/>
      <c r="B207" s="109"/>
      <c r="C207" s="109"/>
      <c r="D207" s="109"/>
      <c r="E207" s="109"/>
      <c r="F207" s="8"/>
      <c r="G207" s="135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S207" s="109"/>
      <c r="T207" s="8"/>
      <c r="U207" s="8"/>
      <c r="V207" s="109"/>
      <c r="W207" s="109"/>
      <c r="X207" s="109"/>
      <c r="Y207" s="109"/>
      <c r="Z207" s="109"/>
      <c r="AA207" s="109"/>
    </row>
    <row r="208" ht="15.75" customHeight="1">
      <c r="A208" s="109"/>
      <c r="B208" s="109"/>
      <c r="C208" s="109"/>
      <c r="D208" s="109"/>
      <c r="E208" s="109"/>
      <c r="F208" s="8"/>
      <c r="G208" s="135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S208" s="109"/>
      <c r="T208" s="8"/>
      <c r="U208" s="8"/>
      <c r="V208" s="109"/>
      <c r="W208" s="109"/>
      <c r="X208" s="109"/>
      <c r="Y208" s="109"/>
      <c r="Z208" s="109"/>
      <c r="AA208" s="109"/>
    </row>
    <row r="209" ht="15.75" customHeight="1">
      <c r="A209" s="109"/>
      <c r="B209" s="109"/>
      <c r="C209" s="109"/>
      <c r="D209" s="109"/>
      <c r="E209" s="109"/>
      <c r="F209" s="8"/>
      <c r="G209" s="135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S209" s="109"/>
      <c r="T209" s="8"/>
      <c r="U209" s="8"/>
      <c r="V209" s="109"/>
      <c r="W209" s="109"/>
      <c r="X209" s="109"/>
      <c r="Y209" s="109"/>
      <c r="Z209" s="109"/>
      <c r="AA209" s="109"/>
    </row>
    <row r="210" ht="15.75" customHeight="1">
      <c r="A210" s="109"/>
      <c r="B210" s="109"/>
      <c r="C210" s="109"/>
      <c r="D210" s="109"/>
      <c r="E210" s="109"/>
      <c r="F210" s="8"/>
      <c r="G210" s="135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S210" s="109"/>
      <c r="T210" s="8"/>
      <c r="U210" s="8"/>
      <c r="V210" s="109"/>
      <c r="W210" s="109"/>
      <c r="X210" s="109"/>
      <c r="Y210" s="109"/>
      <c r="Z210" s="109"/>
      <c r="AA210" s="109"/>
    </row>
    <row r="211" ht="15.75" customHeight="1">
      <c r="A211" s="109"/>
      <c r="B211" s="109"/>
      <c r="C211" s="109"/>
      <c r="D211" s="109"/>
      <c r="E211" s="109"/>
      <c r="F211" s="8"/>
      <c r="G211" s="135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S211" s="109"/>
      <c r="T211" s="8"/>
      <c r="U211" s="8"/>
      <c r="V211" s="109"/>
      <c r="W211" s="109"/>
      <c r="X211" s="109"/>
      <c r="Y211" s="109"/>
      <c r="Z211" s="109"/>
      <c r="AA211" s="109"/>
    </row>
    <row r="212" ht="15.75" customHeight="1">
      <c r="A212" s="109"/>
      <c r="B212" s="109"/>
      <c r="C212" s="109"/>
      <c r="D212" s="109"/>
      <c r="E212" s="109"/>
      <c r="F212" s="8"/>
      <c r="G212" s="135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8"/>
      <c r="S212" s="109"/>
      <c r="T212" s="8"/>
      <c r="U212" s="8"/>
      <c r="V212" s="109"/>
      <c r="W212" s="109"/>
      <c r="X212" s="109"/>
      <c r="Y212" s="109"/>
      <c r="Z212" s="109"/>
      <c r="AA212" s="109"/>
    </row>
    <row r="213" ht="15.75" customHeight="1">
      <c r="A213" s="109"/>
      <c r="B213" s="109"/>
      <c r="C213" s="109"/>
      <c r="D213" s="109"/>
      <c r="E213" s="109"/>
      <c r="F213" s="8"/>
      <c r="G213" s="135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S213" s="109"/>
      <c r="T213" s="8"/>
      <c r="U213" s="8"/>
      <c r="V213" s="109"/>
      <c r="W213" s="109"/>
      <c r="X213" s="109"/>
      <c r="Y213" s="109"/>
      <c r="Z213" s="109"/>
      <c r="AA213" s="109"/>
    </row>
    <row r="214" ht="15.75" customHeight="1">
      <c r="A214" s="109"/>
      <c r="B214" s="109"/>
      <c r="C214" s="109"/>
      <c r="D214" s="109"/>
      <c r="E214" s="109"/>
      <c r="F214" s="8"/>
      <c r="G214" s="135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8"/>
      <c r="S214" s="109"/>
      <c r="T214" s="8"/>
      <c r="U214" s="8"/>
      <c r="V214" s="109"/>
      <c r="W214" s="109"/>
      <c r="X214" s="109"/>
      <c r="Y214" s="109"/>
      <c r="Z214" s="109"/>
      <c r="AA214" s="109"/>
    </row>
    <row r="215" ht="15.75" customHeight="1">
      <c r="A215" s="109"/>
      <c r="B215" s="109"/>
      <c r="C215" s="109"/>
      <c r="D215" s="109"/>
      <c r="E215" s="109"/>
      <c r="F215" s="8"/>
      <c r="G215" s="135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S215" s="109"/>
      <c r="T215" s="8"/>
      <c r="U215" s="8"/>
      <c r="V215" s="109"/>
      <c r="W215" s="109"/>
      <c r="X215" s="109"/>
      <c r="Y215" s="109"/>
      <c r="Z215" s="109"/>
      <c r="AA215" s="109"/>
    </row>
    <row r="216" ht="15.75" customHeight="1">
      <c r="A216" s="109"/>
      <c r="B216" s="109"/>
      <c r="C216" s="109"/>
      <c r="D216" s="109"/>
      <c r="E216" s="109"/>
      <c r="F216" s="8"/>
      <c r="G216" s="135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S216" s="109"/>
      <c r="T216" s="8"/>
      <c r="U216" s="8"/>
      <c r="V216" s="109"/>
      <c r="W216" s="109"/>
      <c r="X216" s="109"/>
      <c r="Y216" s="109"/>
      <c r="Z216" s="109"/>
      <c r="AA216" s="109"/>
    </row>
    <row r="217" ht="15.75" customHeight="1">
      <c r="A217" s="109"/>
      <c r="B217" s="109"/>
      <c r="C217" s="109"/>
      <c r="D217" s="109"/>
      <c r="E217" s="109"/>
      <c r="F217" s="8"/>
      <c r="G217" s="135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S217" s="109"/>
      <c r="T217" s="8"/>
      <c r="U217" s="8"/>
      <c r="V217" s="109"/>
      <c r="W217" s="109"/>
      <c r="X217" s="109"/>
      <c r="Y217" s="109"/>
      <c r="Z217" s="109"/>
      <c r="AA217" s="109"/>
    </row>
    <row r="218" ht="15.75" customHeight="1">
      <c r="A218" s="109"/>
      <c r="B218" s="109"/>
      <c r="C218" s="109"/>
      <c r="D218" s="109"/>
      <c r="E218" s="109"/>
      <c r="F218" s="8"/>
      <c r="G218" s="135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8"/>
      <c r="S218" s="109"/>
      <c r="T218" s="8"/>
      <c r="U218" s="8"/>
      <c r="V218" s="109"/>
      <c r="W218" s="109"/>
      <c r="X218" s="109"/>
      <c r="Y218" s="109"/>
      <c r="Z218" s="109"/>
      <c r="AA218" s="109"/>
    </row>
    <row r="219" ht="15.75" customHeight="1">
      <c r="A219" s="109"/>
      <c r="B219" s="109"/>
      <c r="C219" s="109"/>
      <c r="D219" s="109"/>
      <c r="E219" s="109"/>
      <c r="F219" s="8"/>
      <c r="G219" s="135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8"/>
      <c r="S219" s="109"/>
      <c r="T219" s="8"/>
      <c r="U219" s="8"/>
      <c r="V219" s="109"/>
      <c r="W219" s="109"/>
      <c r="X219" s="109"/>
      <c r="Y219" s="109"/>
      <c r="Z219" s="109"/>
      <c r="AA219" s="109"/>
    </row>
    <row r="220" ht="15.75" customHeight="1">
      <c r="A220" s="109"/>
      <c r="B220" s="109"/>
      <c r="C220" s="109"/>
      <c r="D220" s="109"/>
      <c r="E220" s="109"/>
      <c r="F220" s="8"/>
      <c r="G220" s="135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8"/>
      <c r="S220" s="109"/>
      <c r="T220" s="8"/>
      <c r="U220" s="8"/>
      <c r="V220" s="109"/>
      <c r="W220" s="109"/>
      <c r="X220" s="109"/>
      <c r="Y220" s="109"/>
      <c r="Z220" s="109"/>
      <c r="AA220" s="109"/>
    </row>
    <row r="221" ht="15.75" customHeight="1">
      <c r="A221" s="109"/>
      <c r="B221" s="109"/>
      <c r="C221" s="109"/>
      <c r="D221" s="109"/>
      <c r="E221" s="109"/>
      <c r="F221" s="8"/>
      <c r="G221" s="135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8"/>
      <c r="S221" s="109"/>
      <c r="T221" s="8"/>
      <c r="U221" s="8"/>
      <c r="V221" s="109"/>
      <c r="W221" s="109"/>
      <c r="X221" s="109"/>
      <c r="Y221" s="109"/>
      <c r="Z221" s="109"/>
      <c r="AA221" s="109"/>
    </row>
    <row r="222" ht="15.75" customHeight="1">
      <c r="A222" s="109"/>
      <c r="B222" s="109"/>
      <c r="C222" s="109"/>
      <c r="D222" s="109"/>
      <c r="E222" s="109"/>
      <c r="F222" s="8"/>
      <c r="G222" s="135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8"/>
      <c r="S222" s="109"/>
      <c r="T222" s="8"/>
      <c r="U222" s="8"/>
      <c r="V222" s="109"/>
      <c r="W222" s="109"/>
      <c r="X222" s="109"/>
      <c r="Y222" s="109"/>
      <c r="Z222" s="109"/>
      <c r="AA222" s="109"/>
    </row>
    <row r="223" ht="15.75" customHeight="1">
      <c r="A223" s="109"/>
      <c r="B223" s="109"/>
      <c r="C223" s="109"/>
      <c r="D223" s="109"/>
      <c r="E223" s="109"/>
      <c r="F223" s="8"/>
      <c r="G223" s="135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8"/>
      <c r="S223" s="109"/>
      <c r="T223" s="8"/>
      <c r="U223" s="8"/>
      <c r="V223" s="109"/>
      <c r="W223" s="109"/>
      <c r="X223" s="109"/>
      <c r="Y223" s="109"/>
      <c r="Z223" s="109"/>
      <c r="AA223" s="109"/>
    </row>
    <row r="224" ht="15.75" customHeight="1">
      <c r="A224" s="109"/>
      <c r="B224" s="109"/>
      <c r="C224" s="109"/>
      <c r="D224" s="109"/>
      <c r="E224" s="109"/>
      <c r="F224" s="8"/>
      <c r="G224" s="135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8"/>
      <c r="S224" s="109"/>
      <c r="T224" s="8"/>
      <c r="U224" s="8"/>
      <c r="V224" s="109"/>
      <c r="W224" s="109"/>
      <c r="X224" s="109"/>
      <c r="Y224" s="109"/>
      <c r="Z224" s="109"/>
      <c r="AA224" s="109"/>
    </row>
    <row r="225" ht="15.75" customHeight="1">
      <c r="A225" s="109"/>
      <c r="B225" s="109"/>
      <c r="C225" s="109"/>
      <c r="D225" s="109"/>
      <c r="E225" s="109"/>
      <c r="F225" s="8"/>
      <c r="G225" s="135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8"/>
      <c r="S225" s="109"/>
      <c r="T225" s="8"/>
      <c r="U225" s="8"/>
      <c r="V225" s="109"/>
      <c r="W225" s="109"/>
      <c r="X225" s="109"/>
      <c r="Y225" s="109"/>
      <c r="Z225" s="109"/>
      <c r="AA225" s="109"/>
    </row>
    <row r="226" ht="15.75" customHeight="1">
      <c r="A226" s="109"/>
      <c r="B226" s="109"/>
      <c r="C226" s="109"/>
      <c r="D226" s="109"/>
      <c r="E226" s="109"/>
      <c r="F226" s="8"/>
      <c r="G226" s="135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8"/>
      <c r="S226" s="109"/>
      <c r="T226" s="8"/>
      <c r="U226" s="8"/>
      <c r="V226" s="109"/>
      <c r="W226" s="109"/>
      <c r="X226" s="109"/>
      <c r="Y226" s="109"/>
      <c r="Z226" s="109"/>
      <c r="AA226" s="109"/>
    </row>
    <row r="227" ht="15.75" customHeight="1">
      <c r="A227" s="109"/>
      <c r="B227" s="109"/>
      <c r="C227" s="109"/>
      <c r="D227" s="109"/>
      <c r="E227" s="109"/>
      <c r="F227" s="8"/>
      <c r="G227" s="135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8"/>
      <c r="S227" s="109"/>
      <c r="T227" s="8"/>
      <c r="U227" s="8"/>
      <c r="V227" s="109"/>
      <c r="W227" s="109"/>
      <c r="X227" s="109"/>
      <c r="Y227" s="109"/>
      <c r="Z227" s="109"/>
      <c r="AA227" s="109"/>
    </row>
    <row r="228" ht="15.75" customHeight="1">
      <c r="A228" s="109"/>
      <c r="B228" s="109"/>
      <c r="C228" s="109"/>
      <c r="D228" s="109"/>
      <c r="E228" s="109"/>
      <c r="F228" s="8"/>
      <c r="G228" s="135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8"/>
      <c r="S228" s="109"/>
      <c r="T228" s="8"/>
      <c r="U228" s="8"/>
      <c r="V228" s="109"/>
      <c r="W228" s="109"/>
      <c r="X228" s="109"/>
      <c r="Y228" s="109"/>
      <c r="Z228" s="109"/>
      <c r="AA228" s="109"/>
    </row>
    <row r="229" ht="15.75" customHeight="1">
      <c r="A229" s="109"/>
      <c r="B229" s="109"/>
      <c r="C229" s="109"/>
      <c r="D229" s="109"/>
      <c r="E229" s="109"/>
      <c r="F229" s="8"/>
      <c r="G229" s="135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8"/>
      <c r="S229" s="109"/>
      <c r="T229" s="8"/>
      <c r="U229" s="8"/>
      <c r="V229" s="109"/>
      <c r="W229" s="109"/>
      <c r="X229" s="109"/>
      <c r="Y229" s="109"/>
      <c r="Z229" s="109"/>
      <c r="AA229" s="109"/>
    </row>
    <row r="230" ht="15.75" customHeight="1">
      <c r="A230" s="109"/>
      <c r="B230" s="109"/>
      <c r="C230" s="109"/>
      <c r="D230" s="109"/>
      <c r="E230" s="109"/>
      <c r="F230" s="8"/>
      <c r="G230" s="135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8"/>
      <c r="S230" s="109"/>
      <c r="T230" s="8"/>
      <c r="U230" s="8"/>
      <c r="V230" s="109"/>
      <c r="W230" s="109"/>
      <c r="X230" s="109"/>
      <c r="Y230" s="109"/>
      <c r="Z230" s="109"/>
      <c r="AA230" s="109"/>
    </row>
    <row r="231" ht="15.75" customHeight="1">
      <c r="A231" s="109"/>
      <c r="B231" s="109"/>
      <c r="C231" s="109"/>
      <c r="D231" s="109"/>
      <c r="E231" s="109"/>
      <c r="F231" s="8"/>
      <c r="G231" s="135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8"/>
      <c r="S231" s="109"/>
      <c r="T231" s="8"/>
      <c r="U231" s="8"/>
      <c r="V231" s="109"/>
      <c r="W231" s="109"/>
      <c r="X231" s="109"/>
      <c r="Y231" s="109"/>
      <c r="Z231" s="109"/>
      <c r="AA231" s="109"/>
    </row>
    <row r="232" ht="15.75" customHeight="1">
      <c r="A232" s="109"/>
      <c r="B232" s="109"/>
      <c r="C232" s="109"/>
      <c r="D232" s="109"/>
      <c r="E232" s="109"/>
      <c r="F232" s="8"/>
      <c r="G232" s="135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8"/>
      <c r="S232" s="109"/>
      <c r="T232" s="8"/>
      <c r="U232" s="8"/>
      <c r="V232" s="109"/>
      <c r="W232" s="109"/>
      <c r="X232" s="109"/>
      <c r="Y232" s="109"/>
      <c r="Z232" s="109"/>
      <c r="AA232" s="109"/>
    </row>
    <row r="233" ht="15.75" customHeight="1">
      <c r="A233" s="109"/>
      <c r="B233" s="109"/>
      <c r="C233" s="109"/>
      <c r="D233" s="109"/>
      <c r="E233" s="109"/>
      <c r="F233" s="8"/>
      <c r="G233" s="135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S233" s="109"/>
      <c r="T233" s="8"/>
      <c r="U233" s="8"/>
      <c r="V233" s="109"/>
      <c r="W233" s="109"/>
      <c r="X233" s="109"/>
      <c r="Y233" s="109"/>
      <c r="Z233" s="109"/>
      <c r="AA233" s="109"/>
    </row>
    <row r="234" ht="15.75" customHeight="1">
      <c r="A234" s="109"/>
      <c r="B234" s="109"/>
      <c r="C234" s="109"/>
      <c r="D234" s="109"/>
      <c r="E234" s="109"/>
      <c r="F234" s="8"/>
      <c r="G234" s="135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S234" s="109"/>
      <c r="T234" s="8"/>
      <c r="U234" s="8"/>
      <c r="V234" s="109"/>
      <c r="W234" s="109"/>
      <c r="X234" s="109"/>
      <c r="Y234" s="109"/>
      <c r="Z234" s="109"/>
      <c r="AA234" s="109"/>
    </row>
    <row r="235" ht="15.75" customHeight="1">
      <c r="A235" s="109"/>
      <c r="B235" s="109"/>
      <c r="C235" s="109"/>
      <c r="D235" s="109"/>
      <c r="E235" s="109"/>
      <c r="F235" s="8"/>
      <c r="G235" s="135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S235" s="109"/>
      <c r="T235" s="8"/>
      <c r="U235" s="8"/>
      <c r="V235" s="109"/>
      <c r="W235" s="109"/>
      <c r="X235" s="109"/>
      <c r="Y235" s="109"/>
      <c r="Z235" s="109"/>
      <c r="AA235" s="109"/>
    </row>
    <row r="236" ht="15.75" customHeight="1">
      <c r="A236" s="109"/>
      <c r="B236" s="109"/>
      <c r="C236" s="109"/>
      <c r="D236" s="109"/>
      <c r="E236" s="109"/>
      <c r="F236" s="8"/>
      <c r="G236" s="135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8"/>
      <c r="S236" s="109"/>
      <c r="T236" s="8"/>
      <c r="U236" s="8"/>
      <c r="V236" s="109"/>
      <c r="W236" s="109"/>
      <c r="X236" s="109"/>
      <c r="Y236" s="109"/>
      <c r="Z236" s="109"/>
      <c r="AA236" s="109"/>
    </row>
    <row r="237" ht="15.75" customHeight="1">
      <c r="A237" s="109"/>
      <c r="B237" s="109"/>
      <c r="C237" s="109"/>
      <c r="D237" s="109"/>
      <c r="E237" s="109"/>
      <c r="F237" s="8"/>
      <c r="G237" s="135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8"/>
      <c r="S237" s="109"/>
      <c r="T237" s="8"/>
      <c r="U237" s="8"/>
      <c r="V237" s="109"/>
      <c r="W237" s="109"/>
      <c r="X237" s="109"/>
      <c r="Y237" s="109"/>
      <c r="Z237" s="109"/>
      <c r="AA237" s="109"/>
    </row>
    <row r="238" ht="15.75" customHeight="1">
      <c r="A238" s="109"/>
      <c r="B238" s="109"/>
      <c r="C238" s="109"/>
      <c r="D238" s="109"/>
      <c r="E238" s="109"/>
      <c r="F238" s="8"/>
      <c r="G238" s="135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8"/>
      <c r="S238" s="109"/>
      <c r="T238" s="8"/>
      <c r="U238" s="8"/>
      <c r="V238" s="109"/>
      <c r="W238" s="109"/>
      <c r="X238" s="109"/>
      <c r="Y238" s="109"/>
      <c r="Z238" s="109"/>
      <c r="AA238" s="109"/>
    </row>
    <row r="239" ht="15.75" customHeight="1">
      <c r="A239" s="109"/>
      <c r="B239" s="109"/>
      <c r="C239" s="109"/>
      <c r="D239" s="109"/>
      <c r="E239" s="109"/>
      <c r="F239" s="8"/>
      <c r="G239" s="135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8"/>
      <c r="S239" s="109"/>
      <c r="T239" s="8"/>
      <c r="U239" s="8"/>
      <c r="V239" s="109"/>
      <c r="W239" s="109"/>
      <c r="X239" s="109"/>
      <c r="Y239" s="109"/>
      <c r="Z239" s="109"/>
      <c r="AA239" s="109"/>
    </row>
    <row r="240" ht="15.75" customHeight="1">
      <c r="A240" s="109"/>
      <c r="B240" s="109"/>
      <c r="C240" s="109"/>
      <c r="D240" s="109"/>
      <c r="E240" s="109"/>
      <c r="F240" s="8"/>
      <c r="G240" s="135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8"/>
      <c r="S240" s="109"/>
      <c r="T240" s="8"/>
      <c r="U240" s="8"/>
      <c r="V240" s="109"/>
      <c r="W240" s="109"/>
      <c r="X240" s="109"/>
      <c r="Y240" s="109"/>
      <c r="Z240" s="109"/>
      <c r="AA240" s="109"/>
    </row>
    <row r="241" ht="15.75" customHeight="1">
      <c r="A241" s="109"/>
      <c r="B241" s="109"/>
      <c r="C241" s="109"/>
      <c r="D241" s="109"/>
      <c r="E241" s="109"/>
      <c r="F241" s="8"/>
      <c r="G241" s="135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8"/>
      <c r="S241" s="109"/>
      <c r="T241" s="8"/>
      <c r="U241" s="8"/>
      <c r="V241" s="109"/>
      <c r="W241" s="109"/>
      <c r="X241" s="109"/>
      <c r="Y241" s="109"/>
      <c r="Z241" s="109"/>
      <c r="AA241" s="109"/>
    </row>
    <row r="242" ht="15.75" customHeight="1">
      <c r="A242" s="109"/>
      <c r="B242" s="109"/>
      <c r="C242" s="109"/>
      <c r="D242" s="109"/>
      <c r="E242" s="109"/>
      <c r="F242" s="8"/>
      <c r="G242" s="135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8"/>
      <c r="S242" s="109"/>
      <c r="T242" s="8"/>
      <c r="U242" s="8"/>
      <c r="V242" s="109"/>
      <c r="W242" s="109"/>
      <c r="X242" s="109"/>
      <c r="Y242" s="109"/>
      <c r="Z242" s="109"/>
      <c r="AA242" s="109"/>
    </row>
    <row r="243" ht="15.75" customHeight="1">
      <c r="A243" s="109"/>
      <c r="B243" s="109"/>
      <c r="C243" s="109"/>
      <c r="D243" s="109"/>
      <c r="E243" s="109"/>
      <c r="F243" s="8"/>
      <c r="G243" s="135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8"/>
      <c r="S243" s="109"/>
      <c r="T243" s="8"/>
      <c r="U243" s="8"/>
      <c r="V243" s="109"/>
      <c r="W243" s="109"/>
      <c r="X243" s="109"/>
      <c r="Y243" s="109"/>
      <c r="Z243" s="109"/>
      <c r="AA243" s="109"/>
    </row>
    <row r="244" ht="15.75" customHeight="1">
      <c r="A244" s="109"/>
      <c r="B244" s="109"/>
      <c r="C244" s="109"/>
      <c r="D244" s="109"/>
      <c r="E244" s="109"/>
      <c r="F244" s="8"/>
      <c r="G244" s="135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S244" s="109"/>
      <c r="T244" s="8"/>
      <c r="U244" s="8"/>
      <c r="V244" s="109"/>
      <c r="W244" s="109"/>
      <c r="X244" s="109"/>
      <c r="Y244" s="109"/>
      <c r="Z244" s="109"/>
      <c r="AA244" s="109"/>
    </row>
    <row r="245" ht="15.75" customHeight="1">
      <c r="A245" s="109"/>
      <c r="B245" s="109"/>
      <c r="C245" s="109"/>
      <c r="D245" s="109"/>
      <c r="E245" s="109"/>
      <c r="F245" s="8"/>
      <c r="G245" s="135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8"/>
      <c r="S245" s="109"/>
      <c r="T245" s="8"/>
      <c r="U245" s="8"/>
      <c r="V245" s="109"/>
      <c r="W245" s="109"/>
      <c r="X245" s="109"/>
      <c r="Y245" s="109"/>
      <c r="Z245" s="109"/>
      <c r="AA245" s="109"/>
    </row>
    <row r="246" ht="15.75" customHeight="1">
      <c r="A246" s="109"/>
      <c r="B246" s="109"/>
      <c r="C246" s="109"/>
      <c r="D246" s="109"/>
      <c r="E246" s="109"/>
      <c r="F246" s="8"/>
      <c r="G246" s="135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S246" s="109"/>
      <c r="T246" s="8"/>
      <c r="U246" s="8"/>
      <c r="V246" s="109"/>
      <c r="W246" s="109"/>
      <c r="X246" s="109"/>
      <c r="Y246" s="109"/>
      <c r="Z246" s="109"/>
      <c r="AA246" s="109"/>
    </row>
    <row r="247" ht="15.75" customHeight="1">
      <c r="A247" s="109"/>
      <c r="B247" s="109"/>
      <c r="C247" s="109"/>
      <c r="D247" s="109"/>
      <c r="E247" s="109"/>
      <c r="F247" s="8"/>
      <c r="G247" s="135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S247" s="109"/>
      <c r="T247" s="8"/>
      <c r="U247" s="8"/>
      <c r="V247" s="109"/>
      <c r="W247" s="109"/>
      <c r="X247" s="109"/>
      <c r="Y247" s="109"/>
      <c r="Z247" s="109"/>
      <c r="AA247" s="109"/>
    </row>
    <row r="248" ht="15.75" customHeight="1">
      <c r="A248" s="109"/>
      <c r="B248" s="109"/>
      <c r="C248" s="109"/>
      <c r="D248" s="109"/>
      <c r="E248" s="109"/>
      <c r="F248" s="8"/>
      <c r="G248" s="135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8"/>
      <c r="S248" s="109"/>
      <c r="T248" s="8"/>
      <c r="U248" s="8"/>
      <c r="V248" s="109"/>
      <c r="W248" s="109"/>
      <c r="X248" s="109"/>
      <c r="Y248" s="109"/>
      <c r="Z248" s="109"/>
      <c r="AA248" s="109"/>
    </row>
    <row r="249" ht="15.75" customHeight="1">
      <c r="A249" s="109"/>
      <c r="B249" s="109"/>
      <c r="C249" s="109"/>
      <c r="D249" s="109"/>
      <c r="E249" s="109"/>
      <c r="F249" s="8"/>
      <c r="G249" s="135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8"/>
      <c r="S249" s="109"/>
      <c r="T249" s="8"/>
      <c r="U249" s="8"/>
      <c r="V249" s="109"/>
      <c r="W249" s="109"/>
      <c r="X249" s="109"/>
      <c r="Y249" s="109"/>
      <c r="Z249" s="109"/>
      <c r="AA249" s="109"/>
    </row>
    <row r="250" ht="15.75" customHeight="1">
      <c r="A250" s="109"/>
      <c r="B250" s="109"/>
      <c r="C250" s="109"/>
      <c r="D250" s="109"/>
      <c r="E250" s="109"/>
      <c r="F250" s="8"/>
      <c r="G250" s="135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8"/>
      <c r="S250" s="109"/>
      <c r="T250" s="8"/>
      <c r="U250" s="8"/>
      <c r="V250" s="109"/>
      <c r="W250" s="109"/>
      <c r="X250" s="109"/>
      <c r="Y250" s="109"/>
      <c r="Z250" s="109"/>
      <c r="AA250" s="109"/>
    </row>
    <row r="251" ht="15.75" customHeight="1">
      <c r="A251" s="109"/>
      <c r="B251" s="109"/>
      <c r="C251" s="109"/>
      <c r="D251" s="109"/>
      <c r="E251" s="109"/>
      <c r="F251" s="8"/>
      <c r="G251" s="135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8"/>
      <c r="S251" s="109"/>
      <c r="T251" s="8"/>
      <c r="U251" s="8"/>
      <c r="V251" s="109"/>
      <c r="W251" s="109"/>
      <c r="X251" s="109"/>
      <c r="Y251" s="109"/>
      <c r="Z251" s="109"/>
      <c r="AA251" s="109"/>
    </row>
    <row r="252" ht="15.75" customHeight="1">
      <c r="A252" s="109"/>
      <c r="B252" s="109"/>
      <c r="C252" s="109"/>
      <c r="D252" s="109"/>
      <c r="E252" s="109"/>
      <c r="F252" s="8"/>
      <c r="G252" s="135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8"/>
      <c r="S252" s="109"/>
      <c r="T252" s="8"/>
      <c r="U252" s="8"/>
      <c r="V252" s="109"/>
      <c r="W252" s="109"/>
      <c r="X252" s="109"/>
      <c r="Y252" s="109"/>
      <c r="Z252" s="109"/>
      <c r="AA252" s="109"/>
    </row>
    <row r="253" ht="15.75" customHeight="1">
      <c r="A253" s="109"/>
      <c r="B253" s="109"/>
      <c r="C253" s="109"/>
      <c r="D253" s="109"/>
      <c r="E253" s="109"/>
      <c r="F253" s="8"/>
      <c r="G253" s="135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8"/>
      <c r="S253" s="109"/>
      <c r="T253" s="8"/>
      <c r="U253" s="8"/>
      <c r="V253" s="109"/>
      <c r="W253" s="109"/>
      <c r="X253" s="109"/>
      <c r="Y253" s="109"/>
      <c r="Z253" s="109"/>
      <c r="AA253" s="109"/>
    </row>
    <row r="254" ht="15.75" customHeight="1">
      <c r="A254" s="109"/>
      <c r="B254" s="109"/>
      <c r="C254" s="109"/>
      <c r="D254" s="109"/>
      <c r="E254" s="109"/>
      <c r="F254" s="8"/>
      <c r="G254" s="135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8"/>
      <c r="S254" s="109"/>
      <c r="T254" s="8"/>
      <c r="U254" s="8"/>
      <c r="V254" s="109"/>
      <c r="W254" s="109"/>
      <c r="X254" s="109"/>
      <c r="Y254" s="109"/>
      <c r="Z254" s="109"/>
      <c r="AA254" s="109"/>
    </row>
    <row r="255" ht="15.75" customHeight="1">
      <c r="A255" s="109"/>
      <c r="B255" s="109"/>
      <c r="C255" s="109"/>
      <c r="D255" s="109"/>
      <c r="E255" s="109"/>
      <c r="F255" s="8"/>
      <c r="G255" s="135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8"/>
      <c r="S255" s="109"/>
      <c r="T255" s="8"/>
      <c r="U255" s="8"/>
      <c r="V255" s="109"/>
      <c r="W255" s="109"/>
      <c r="X255" s="109"/>
      <c r="Y255" s="109"/>
      <c r="Z255" s="109"/>
      <c r="AA255" s="109"/>
    </row>
    <row r="256" ht="15.75" customHeight="1">
      <c r="A256" s="109"/>
      <c r="B256" s="109"/>
      <c r="C256" s="109"/>
      <c r="D256" s="109"/>
      <c r="E256" s="109"/>
      <c r="F256" s="8"/>
      <c r="G256" s="135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8"/>
      <c r="S256" s="109"/>
      <c r="T256" s="8"/>
      <c r="U256" s="8"/>
      <c r="V256" s="109"/>
      <c r="W256" s="109"/>
      <c r="X256" s="109"/>
      <c r="Y256" s="109"/>
      <c r="Z256" s="109"/>
      <c r="AA256" s="109"/>
    </row>
    <row r="257" ht="15.75" customHeight="1">
      <c r="A257" s="109"/>
      <c r="B257" s="109"/>
      <c r="C257" s="109"/>
      <c r="D257" s="109"/>
      <c r="E257" s="109"/>
      <c r="F257" s="8"/>
      <c r="G257" s="135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8"/>
      <c r="S257" s="109"/>
      <c r="T257" s="8"/>
      <c r="U257" s="8"/>
      <c r="V257" s="109"/>
      <c r="W257" s="109"/>
      <c r="X257" s="109"/>
      <c r="Y257" s="109"/>
      <c r="Z257" s="109"/>
      <c r="AA257" s="109"/>
    </row>
    <row r="258" ht="15.75" customHeight="1">
      <c r="A258" s="109"/>
      <c r="B258" s="109"/>
      <c r="C258" s="109"/>
      <c r="D258" s="109"/>
      <c r="E258" s="109"/>
      <c r="F258" s="8"/>
      <c r="G258" s="135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8"/>
      <c r="S258" s="109"/>
      <c r="T258" s="8"/>
      <c r="U258" s="8"/>
      <c r="V258" s="109"/>
      <c r="W258" s="109"/>
      <c r="X258" s="109"/>
      <c r="Y258" s="109"/>
      <c r="Z258" s="109"/>
      <c r="AA258" s="109"/>
    </row>
    <row r="259" ht="15.75" customHeight="1">
      <c r="A259" s="109"/>
      <c r="B259" s="109"/>
      <c r="C259" s="109"/>
      <c r="D259" s="109"/>
      <c r="E259" s="109"/>
      <c r="F259" s="8"/>
      <c r="G259" s="135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8"/>
      <c r="S259" s="109"/>
      <c r="T259" s="8"/>
      <c r="U259" s="8"/>
      <c r="V259" s="109"/>
      <c r="W259" s="109"/>
      <c r="X259" s="109"/>
      <c r="Y259" s="109"/>
      <c r="Z259" s="109"/>
      <c r="AA259" s="109"/>
    </row>
    <row r="260" ht="15.75" customHeight="1">
      <c r="A260" s="109"/>
      <c r="B260" s="109"/>
      <c r="C260" s="109"/>
      <c r="D260" s="109"/>
      <c r="E260" s="109"/>
      <c r="F260" s="8"/>
      <c r="G260" s="135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8"/>
      <c r="S260" s="109"/>
      <c r="T260" s="8"/>
      <c r="U260" s="8"/>
      <c r="V260" s="109"/>
      <c r="W260" s="109"/>
      <c r="X260" s="109"/>
      <c r="Y260" s="109"/>
      <c r="Z260" s="109"/>
      <c r="AA260" s="109"/>
    </row>
    <row r="261" ht="15.75" customHeight="1">
      <c r="A261" s="109"/>
      <c r="B261" s="109"/>
      <c r="C261" s="109"/>
      <c r="D261" s="109"/>
      <c r="E261" s="109"/>
      <c r="F261" s="8"/>
      <c r="G261" s="135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8"/>
      <c r="S261" s="109"/>
      <c r="T261" s="8"/>
      <c r="U261" s="8"/>
      <c r="V261" s="109"/>
      <c r="W261" s="109"/>
      <c r="X261" s="109"/>
      <c r="Y261" s="109"/>
      <c r="Z261" s="109"/>
      <c r="AA261" s="109"/>
    </row>
    <row r="262" ht="15.75" customHeight="1">
      <c r="A262" s="109"/>
      <c r="B262" s="109"/>
      <c r="C262" s="109"/>
      <c r="D262" s="109"/>
      <c r="E262" s="109"/>
      <c r="F262" s="8"/>
      <c r="G262" s="135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8"/>
      <c r="S262" s="109"/>
      <c r="T262" s="8"/>
      <c r="U262" s="8"/>
      <c r="V262" s="109"/>
      <c r="W262" s="109"/>
      <c r="X262" s="109"/>
      <c r="Y262" s="109"/>
      <c r="Z262" s="109"/>
      <c r="AA262" s="109"/>
    </row>
    <row r="263" ht="15.75" customHeight="1">
      <c r="A263" s="109"/>
      <c r="B263" s="109"/>
      <c r="C263" s="109"/>
      <c r="D263" s="109"/>
      <c r="E263" s="109"/>
      <c r="F263" s="8"/>
      <c r="G263" s="135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8"/>
      <c r="S263" s="109"/>
      <c r="T263" s="8"/>
      <c r="U263" s="8"/>
      <c r="V263" s="109"/>
      <c r="W263" s="109"/>
      <c r="X263" s="109"/>
      <c r="Y263" s="109"/>
      <c r="Z263" s="109"/>
      <c r="AA263" s="109"/>
    </row>
    <row r="264" ht="15.75" customHeight="1">
      <c r="A264" s="109"/>
      <c r="B264" s="109"/>
      <c r="C264" s="109"/>
      <c r="D264" s="109"/>
      <c r="E264" s="109"/>
      <c r="F264" s="8"/>
      <c r="G264" s="135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8"/>
      <c r="S264" s="109"/>
      <c r="T264" s="8"/>
      <c r="U264" s="8"/>
      <c r="V264" s="109"/>
      <c r="W264" s="109"/>
      <c r="X264" s="109"/>
      <c r="Y264" s="109"/>
      <c r="Z264" s="109"/>
      <c r="AA264" s="109"/>
    </row>
    <row r="265" ht="15.75" customHeight="1">
      <c r="A265" s="109"/>
      <c r="B265" s="109"/>
      <c r="C265" s="109"/>
      <c r="D265" s="109"/>
      <c r="E265" s="109"/>
      <c r="F265" s="8"/>
      <c r="G265" s="135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8"/>
      <c r="S265" s="109"/>
      <c r="T265" s="8"/>
      <c r="U265" s="8"/>
      <c r="V265" s="109"/>
      <c r="W265" s="109"/>
      <c r="X265" s="109"/>
      <c r="Y265" s="109"/>
      <c r="Z265" s="109"/>
      <c r="AA265" s="109"/>
    </row>
    <row r="266" ht="15.75" customHeight="1">
      <c r="A266" s="109"/>
      <c r="B266" s="109"/>
      <c r="C266" s="109"/>
      <c r="D266" s="109"/>
      <c r="E266" s="109"/>
      <c r="F266" s="8"/>
      <c r="G266" s="135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8"/>
      <c r="S266" s="109"/>
      <c r="T266" s="8"/>
      <c r="U266" s="8"/>
      <c r="V266" s="109"/>
      <c r="W266" s="109"/>
      <c r="X266" s="109"/>
      <c r="Y266" s="109"/>
      <c r="Z266" s="109"/>
      <c r="AA266" s="109"/>
    </row>
    <row r="267" ht="15.75" customHeight="1">
      <c r="A267" s="109"/>
      <c r="B267" s="109"/>
      <c r="C267" s="109"/>
      <c r="D267" s="109"/>
      <c r="E267" s="109"/>
      <c r="F267" s="8"/>
      <c r="G267" s="135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S267" s="109"/>
      <c r="T267" s="8"/>
      <c r="U267" s="8"/>
      <c r="V267" s="109"/>
      <c r="W267" s="109"/>
      <c r="X267" s="109"/>
      <c r="Y267" s="109"/>
      <c r="Z267" s="109"/>
      <c r="AA267" s="109"/>
    </row>
    <row r="268" ht="15.75" customHeight="1">
      <c r="A268" s="109"/>
      <c r="B268" s="109"/>
      <c r="C268" s="109"/>
      <c r="D268" s="109"/>
      <c r="E268" s="109"/>
      <c r="F268" s="8"/>
      <c r="G268" s="135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S268" s="109"/>
      <c r="T268" s="8"/>
      <c r="U268" s="8"/>
      <c r="V268" s="109"/>
      <c r="W268" s="109"/>
      <c r="X268" s="109"/>
      <c r="Y268" s="109"/>
      <c r="Z268" s="109"/>
      <c r="AA268" s="109"/>
    </row>
    <row r="269" ht="15.75" customHeight="1">
      <c r="A269" s="109"/>
      <c r="B269" s="109"/>
      <c r="C269" s="109"/>
      <c r="D269" s="109"/>
      <c r="E269" s="109"/>
      <c r="F269" s="8"/>
      <c r="G269" s="135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S269" s="109"/>
      <c r="T269" s="8"/>
      <c r="U269" s="8"/>
      <c r="V269" s="109"/>
      <c r="W269" s="109"/>
      <c r="X269" s="109"/>
      <c r="Y269" s="109"/>
      <c r="Z269" s="109"/>
      <c r="AA269" s="109"/>
    </row>
    <row r="270" ht="15.75" customHeight="1">
      <c r="A270" s="109"/>
      <c r="B270" s="109"/>
      <c r="C270" s="109"/>
      <c r="D270" s="109"/>
      <c r="E270" s="109"/>
      <c r="F270" s="8"/>
      <c r="G270" s="135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8"/>
      <c r="S270" s="109"/>
      <c r="T270" s="8"/>
      <c r="U270" s="8"/>
      <c r="V270" s="109"/>
      <c r="W270" s="109"/>
      <c r="X270" s="109"/>
      <c r="Y270" s="109"/>
      <c r="Z270" s="109"/>
      <c r="AA270" s="109"/>
    </row>
    <row r="271" ht="15.75" customHeight="1">
      <c r="A271" s="109"/>
      <c r="B271" s="109"/>
      <c r="C271" s="109"/>
      <c r="D271" s="109"/>
      <c r="E271" s="109"/>
      <c r="F271" s="8"/>
      <c r="G271" s="135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8"/>
      <c r="S271" s="109"/>
      <c r="T271" s="8"/>
      <c r="U271" s="8"/>
      <c r="V271" s="109"/>
      <c r="W271" s="109"/>
      <c r="X271" s="109"/>
      <c r="Y271" s="109"/>
      <c r="Z271" s="109"/>
      <c r="AA271" s="109"/>
    </row>
    <row r="272" ht="15.75" customHeight="1">
      <c r="A272" s="109"/>
      <c r="B272" s="109"/>
      <c r="C272" s="109"/>
      <c r="D272" s="109"/>
      <c r="E272" s="109"/>
      <c r="F272" s="8"/>
      <c r="G272" s="135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S272" s="109"/>
      <c r="T272" s="8"/>
      <c r="U272" s="8"/>
      <c r="V272" s="109"/>
      <c r="W272" s="109"/>
      <c r="X272" s="109"/>
      <c r="Y272" s="109"/>
      <c r="Z272" s="109"/>
      <c r="AA272" s="109"/>
    </row>
    <row r="273" ht="15.75" customHeight="1">
      <c r="A273" s="109"/>
      <c r="B273" s="109"/>
      <c r="C273" s="109"/>
      <c r="D273" s="109"/>
      <c r="E273" s="109"/>
      <c r="F273" s="8"/>
      <c r="G273" s="135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S273" s="109"/>
      <c r="T273" s="8"/>
      <c r="U273" s="8"/>
      <c r="V273" s="109"/>
      <c r="W273" s="109"/>
      <c r="X273" s="109"/>
      <c r="Y273" s="109"/>
      <c r="Z273" s="109"/>
      <c r="AA273" s="109"/>
    </row>
    <row r="274" ht="15.75" customHeight="1">
      <c r="A274" s="109"/>
      <c r="B274" s="109"/>
      <c r="C274" s="109"/>
      <c r="D274" s="109"/>
      <c r="E274" s="109"/>
      <c r="F274" s="8"/>
      <c r="G274" s="135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S274" s="109"/>
      <c r="T274" s="8"/>
      <c r="U274" s="8"/>
      <c r="V274" s="109"/>
      <c r="W274" s="109"/>
      <c r="X274" s="109"/>
      <c r="Y274" s="109"/>
      <c r="Z274" s="109"/>
      <c r="AA274" s="109"/>
    </row>
    <row r="275" ht="15.75" customHeight="1">
      <c r="A275" s="109"/>
      <c r="B275" s="109"/>
      <c r="C275" s="109"/>
      <c r="D275" s="109"/>
      <c r="E275" s="109"/>
      <c r="F275" s="8"/>
      <c r="G275" s="135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S275" s="109"/>
      <c r="T275" s="8"/>
      <c r="U275" s="8"/>
      <c r="V275" s="109"/>
      <c r="W275" s="109"/>
      <c r="X275" s="109"/>
      <c r="Y275" s="109"/>
      <c r="Z275" s="109"/>
      <c r="AA275" s="109"/>
    </row>
    <row r="276" ht="15.75" customHeight="1">
      <c r="A276" s="109"/>
      <c r="B276" s="109"/>
      <c r="C276" s="109"/>
      <c r="D276" s="109"/>
      <c r="E276" s="109"/>
      <c r="F276" s="8"/>
      <c r="G276" s="135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S276" s="109"/>
      <c r="T276" s="8"/>
      <c r="U276" s="8"/>
      <c r="V276" s="109"/>
      <c r="W276" s="109"/>
      <c r="X276" s="109"/>
      <c r="Y276" s="109"/>
      <c r="Z276" s="109"/>
      <c r="AA276" s="109"/>
    </row>
    <row r="277" ht="15.75" customHeight="1">
      <c r="A277" s="109"/>
      <c r="B277" s="109"/>
      <c r="C277" s="109"/>
      <c r="D277" s="109"/>
      <c r="E277" s="109"/>
      <c r="F277" s="8"/>
      <c r="G277" s="135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S277" s="109"/>
      <c r="T277" s="8"/>
      <c r="U277" s="8"/>
      <c r="V277" s="109"/>
      <c r="W277" s="109"/>
      <c r="X277" s="109"/>
      <c r="Y277" s="109"/>
      <c r="Z277" s="109"/>
      <c r="AA277" s="109"/>
    </row>
    <row r="278" ht="15.75" customHeight="1">
      <c r="A278" s="109"/>
      <c r="B278" s="109"/>
      <c r="C278" s="109"/>
      <c r="D278" s="109"/>
      <c r="E278" s="109"/>
      <c r="F278" s="8"/>
      <c r="G278" s="135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52"/>
      <c r="S278" s="109"/>
      <c r="T278" s="8"/>
      <c r="U278" s="8"/>
      <c r="V278" s="109"/>
      <c r="W278" s="109"/>
      <c r="X278" s="109"/>
      <c r="Y278" s="109"/>
      <c r="Z278" s="109"/>
      <c r="AA278" s="109"/>
    </row>
    <row r="279" ht="15.75" customHeight="1">
      <c r="A279" s="109"/>
      <c r="B279" s="109"/>
      <c r="C279" s="109"/>
      <c r="D279" s="109"/>
      <c r="E279" s="109"/>
      <c r="F279" s="8"/>
      <c r="G279" s="135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52"/>
      <c r="S279" s="109"/>
      <c r="T279" s="8"/>
      <c r="U279" s="8"/>
      <c r="V279" s="109"/>
      <c r="W279" s="109"/>
      <c r="X279" s="109"/>
      <c r="Y279" s="109"/>
      <c r="Z279" s="109"/>
      <c r="AA279" s="109"/>
    </row>
    <row r="280" ht="15.75" customHeight="1">
      <c r="A280" s="109"/>
      <c r="B280" s="109"/>
      <c r="C280" s="109"/>
      <c r="D280" s="109"/>
      <c r="E280" s="109"/>
      <c r="F280" s="8"/>
      <c r="G280" s="135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52"/>
      <c r="S280" s="109"/>
      <c r="T280" s="8"/>
      <c r="U280" s="8"/>
      <c r="V280" s="109"/>
      <c r="W280" s="109"/>
      <c r="X280" s="109"/>
      <c r="Y280" s="109"/>
      <c r="Z280" s="109"/>
      <c r="AA280" s="109"/>
    </row>
    <row r="281" ht="15.75" customHeight="1">
      <c r="A281" s="109"/>
      <c r="B281" s="109"/>
      <c r="C281" s="109"/>
      <c r="D281" s="109"/>
      <c r="E281" s="109"/>
      <c r="F281" s="8"/>
      <c r="G281" s="135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52"/>
      <c r="S281" s="109"/>
      <c r="T281" s="8"/>
      <c r="U281" s="8"/>
      <c r="V281" s="109"/>
      <c r="W281" s="109"/>
      <c r="X281" s="109"/>
      <c r="Y281" s="109"/>
      <c r="Z281" s="109"/>
      <c r="AA281" s="109"/>
    </row>
    <row r="282" ht="15.75" customHeight="1">
      <c r="A282" s="109"/>
      <c r="B282" s="109"/>
      <c r="C282" s="109"/>
      <c r="D282" s="109"/>
      <c r="E282" s="109"/>
      <c r="F282" s="8"/>
      <c r="G282" s="135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52"/>
      <c r="S282" s="109"/>
      <c r="T282" s="8"/>
      <c r="U282" s="8"/>
      <c r="V282" s="109"/>
      <c r="W282" s="109"/>
      <c r="X282" s="109"/>
      <c r="Y282" s="109"/>
      <c r="Z282" s="109"/>
      <c r="AA282" s="109"/>
    </row>
    <row r="283" ht="15.75" customHeight="1">
      <c r="A283" s="109"/>
      <c r="B283" s="109"/>
      <c r="C283" s="109"/>
      <c r="D283" s="109"/>
      <c r="E283" s="109"/>
      <c r="F283" s="8"/>
      <c r="G283" s="135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52"/>
      <c r="S283" s="109"/>
      <c r="T283" s="8"/>
      <c r="U283" s="8"/>
      <c r="V283" s="109"/>
      <c r="W283" s="109"/>
      <c r="X283" s="109"/>
      <c r="Y283" s="109"/>
      <c r="Z283" s="109"/>
      <c r="AA283" s="109"/>
    </row>
    <row r="284" ht="15.75" customHeight="1">
      <c r="A284" s="109"/>
      <c r="B284" s="109"/>
      <c r="C284" s="109"/>
      <c r="D284" s="109"/>
      <c r="E284" s="109"/>
      <c r="F284" s="8"/>
      <c r="G284" s="135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52"/>
      <c r="S284" s="109"/>
      <c r="T284" s="8"/>
      <c r="U284" s="8"/>
      <c r="V284" s="109"/>
      <c r="W284" s="109"/>
      <c r="X284" s="109"/>
      <c r="Y284" s="109"/>
      <c r="Z284" s="109"/>
      <c r="AA284" s="109"/>
    </row>
    <row r="285" ht="15.75" customHeight="1">
      <c r="A285" s="109"/>
      <c r="B285" s="109"/>
      <c r="C285" s="109"/>
      <c r="D285" s="109"/>
      <c r="E285" s="109"/>
      <c r="F285" s="8"/>
      <c r="G285" s="135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52"/>
      <c r="S285" s="109"/>
      <c r="T285" s="8"/>
      <c r="U285" s="8"/>
      <c r="V285" s="109"/>
      <c r="W285" s="109"/>
      <c r="X285" s="109"/>
      <c r="Y285" s="109"/>
      <c r="Z285" s="109"/>
      <c r="AA285" s="109"/>
    </row>
    <row r="286" ht="15.75" customHeight="1">
      <c r="A286" s="109"/>
      <c r="B286" s="109"/>
      <c r="C286" s="109"/>
      <c r="D286" s="109"/>
      <c r="E286" s="109"/>
      <c r="F286" s="8"/>
      <c r="G286" s="135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52"/>
      <c r="S286" s="109"/>
      <c r="T286" s="8"/>
      <c r="U286" s="8"/>
      <c r="V286" s="109"/>
      <c r="W286" s="109"/>
      <c r="X286" s="109"/>
      <c r="Y286" s="109"/>
      <c r="Z286" s="109"/>
      <c r="AA286" s="109"/>
    </row>
    <row r="287" ht="15.75" customHeight="1">
      <c r="A287" s="109"/>
      <c r="B287" s="109"/>
      <c r="C287" s="109"/>
      <c r="D287" s="109"/>
      <c r="E287" s="109"/>
      <c r="F287" s="8"/>
      <c r="G287" s="135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52"/>
      <c r="S287" s="109"/>
      <c r="T287" s="8"/>
      <c r="U287" s="8"/>
      <c r="V287" s="109"/>
      <c r="W287" s="109"/>
      <c r="X287" s="109"/>
      <c r="Y287" s="109"/>
      <c r="Z287" s="109"/>
      <c r="AA287" s="109"/>
    </row>
    <row r="288" ht="15.75" customHeight="1">
      <c r="A288" s="109"/>
      <c r="B288" s="109"/>
      <c r="C288" s="109"/>
      <c r="D288" s="109"/>
      <c r="E288" s="109"/>
      <c r="F288" s="8"/>
      <c r="G288" s="135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52"/>
      <c r="S288" s="109"/>
      <c r="T288" s="8"/>
      <c r="U288" s="8"/>
      <c r="V288" s="109"/>
      <c r="W288" s="109"/>
      <c r="X288" s="109"/>
      <c r="Y288" s="109"/>
      <c r="Z288" s="109"/>
      <c r="AA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8"/>
      <c r="S289" s="8"/>
      <c r="T289" s="8"/>
      <c r="U289" s="8"/>
      <c r="V289" s="109"/>
      <c r="W289" s="109"/>
      <c r="X289" s="109"/>
      <c r="Y289" s="109"/>
      <c r="Z289" s="109"/>
      <c r="AA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8"/>
      <c r="S290" s="8"/>
      <c r="T290" s="8"/>
      <c r="U290" s="8"/>
      <c r="V290" s="109"/>
      <c r="W290" s="109"/>
      <c r="X290" s="109"/>
      <c r="Y290" s="109"/>
      <c r="Z290" s="109"/>
      <c r="AA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8"/>
      <c r="S291" s="8"/>
      <c r="T291" s="8"/>
      <c r="U291" s="8"/>
      <c r="V291" s="109"/>
      <c r="W291" s="109"/>
      <c r="X291" s="109"/>
      <c r="Y291" s="109"/>
      <c r="Z291" s="109"/>
      <c r="AA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8"/>
      <c r="S292" s="8"/>
      <c r="V292" s="109"/>
      <c r="W292" s="109"/>
      <c r="X292" s="109"/>
      <c r="Y292" s="109"/>
      <c r="Z292" s="109"/>
      <c r="AA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8"/>
      <c r="S293" s="8"/>
      <c r="V293" s="109"/>
      <c r="W293" s="109"/>
      <c r="X293" s="109"/>
      <c r="Y293" s="109"/>
      <c r="Z293" s="109"/>
      <c r="AA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8"/>
      <c r="S294" s="8"/>
      <c r="V294" s="109"/>
      <c r="W294" s="109"/>
      <c r="X294" s="109"/>
      <c r="Y294" s="109"/>
      <c r="Z294" s="109"/>
      <c r="AA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8"/>
      <c r="S295" s="8"/>
      <c r="V295" s="109"/>
      <c r="W295" s="109"/>
      <c r="X295" s="109"/>
      <c r="Y295" s="109"/>
      <c r="Z295" s="109"/>
      <c r="AA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8"/>
      <c r="S296" s="8"/>
      <c r="V296" s="109"/>
      <c r="W296" s="109"/>
      <c r="X296" s="109"/>
      <c r="Y296" s="109"/>
      <c r="Z296" s="109"/>
      <c r="AA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8"/>
      <c r="S297" s="8"/>
      <c r="V297" s="109"/>
      <c r="W297" s="109"/>
      <c r="X297" s="109"/>
      <c r="Y297" s="109"/>
      <c r="Z297" s="109"/>
      <c r="AA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8"/>
      <c r="S298" s="8"/>
      <c r="V298" s="109"/>
      <c r="W298" s="109"/>
      <c r="X298" s="109"/>
      <c r="Y298" s="109"/>
      <c r="Z298" s="109"/>
      <c r="AA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8"/>
      <c r="S299" s="8"/>
      <c r="V299" s="109"/>
      <c r="W299" s="109"/>
      <c r="X299" s="109"/>
      <c r="Y299" s="109"/>
      <c r="Z299" s="109"/>
      <c r="AA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8"/>
      <c r="S300" s="8"/>
      <c r="V300" s="109"/>
      <c r="W300" s="109"/>
      <c r="X300" s="109"/>
      <c r="Y300" s="109"/>
      <c r="Z300" s="109"/>
      <c r="AA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8"/>
      <c r="S301" s="109"/>
      <c r="V301" s="109"/>
      <c r="W301" s="109"/>
      <c r="X301" s="109"/>
      <c r="Y301" s="109"/>
      <c r="Z301" s="109"/>
      <c r="AA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8"/>
      <c r="S302" s="109"/>
      <c r="V302" s="109"/>
      <c r="W302" s="109"/>
      <c r="X302" s="109"/>
      <c r="Y302" s="109"/>
      <c r="Z302" s="109"/>
      <c r="AA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8"/>
      <c r="S303" s="109"/>
      <c r="V303" s="109"/>
      <c r="W303" s="109"/>
      <c r="X303" s="109"/>
      <c r="Y303" s="109"/>
      <c r="Z303" s="109"/>
      <c r="AA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8"/>
      <c r="S304" s="109"/>
      <c r="V304" s="109"/>
      <c r="W304" s="109"/>
      <c r="X304" s="109"/>
      <c r="Y304" s="109"/>
      <c r="Z304" s="109"/>
      <c r="AA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8"/>
      <c r="S305" s="109"/>
      <c r="V305" s="109"/>
      <c r="W305" s="109"/>
      <c r="X305" s="109"/>
      <c r="Y305" s="109"/>
      <c r="Z305" s="109"/>
      <c r="AA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8"/>
      <c r="S306" s="109"/>
      <c r="V306" s="109"/>
      <c r="W306" s="109"/>
      <c r="X306" s="109"/>
      <c r="Y306" s="109"/>
      <c r="Z306" s="109"/>
      <c r="AA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8"/>
      <c r="S307" s="109"/>
      <c r="V307" s="109"/>
      <c r="W307" s="109"/>
      <c r="X307" s="109"/>
      <c r="Y307" s="109"/>
      <c r="Z307" s="109"/>
      <c r="AA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8"/>
      <c r="S308" s="109"/>
      <c r="V308" s="109"/>
      <c r="W308" s="109"/>
      <c r="X308" s="109"/>
      <c r="Y308" s="109"/>
      <c r="Z308" s="109"/>
      <c r="AA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8"/>
      <c r="S309" s="109"/>
      <c r="V309" s="109"/>
      <c r="W309" s="109"/>
      <c r="X309" s="109"/>
      <c r="Y309" s="109"/>
      <c r="Z309" s="109"/>
      <c r="AA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8"/>
      <c r="S310" s="109"/>
      <c r="V310" s="109"/>
      <c r="W310" s="109"/>
      <c r="X310" s="109"/>
      <c r="Y310" s="109"/>
      <c r="Z310" s="109"/>
      <c r="AA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8"/>
      <c r="S311" s="109"/>
      <c r="V311" s="109"/>
      <c r="W311" s="109"/>
      <c r="X311" s="109"/>
      <c r="Y311" s="109"/>
      <c r="Z311" s="109"/>
      <c r="AA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8"/>
      <c r="S312" s="109"/>
      <c r="V312" s="109"/>
      <c r="W312" s="109"/>
      <c r="X312" s="109"/>
      <c r="Y312" s="109"/>
      <c r="Z312" s="109"/>
      <c r="AA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8"/>
      <c r="S313" s="109"/>
      <c r="V313" s="109"/>
      <c r="W313" s="109"/>
      <c r="X313" s="109"/>
      <c r="Y313" s="109"/>
      <c r="Z313" s="109"/>
      <c r="AA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8"/>
      <c r="S314" s="109"/>
      <c r="V314" s="109"/>
      <c r="W314" s="109"/>
      <c r="X314" s="109"/>
      <c r="Y314" s="109"/>
      <c r="Z314" s="109"/>
      <c r="AA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8"/>
      <c r="S315" s="109"/>
      <c r="V315" s="109"/>
      <c r="W315" s="109"/>
      <c r="X315" s="109"/>
      <c r="Y315" s="109"/>
      <c r="Z315" s="109"/>
      <c r="AA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8"/>
      <c r="S316" s="109"/>
      <c r="V316" s="109"/>
      <c r="W316" s="109"/>
      <c r="X316" s="109"/>
      <c r="Y316" s="109"/>
      <c r="Z316" s="109"/>
      <c r="AA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8"/>
      <c r="S317" s="109"/>
      <c r="V317" s="109"/>
      <c r="W317" s="109"/>
      <c r="X317" s="109"/>
      <c r="Y317" s="109"/>
      <c r="Z317" s="109"/>
      <c r="AA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8"/>
      <c r="S318" s="109"/>
      <c r="V318" s="109"/>
      <c r="W318" s="109"/>
      <c r="X318" s="109"/>
      <c r="Y318" s="109"/>
      <c r="Z318" s="109"/>
      <c r="AA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8"/>
      <c r="S319" s="109"/>
      <c r="V319" s="109"/>
      <c r="W319" s="109"/>
      <c r="X319" s="109"/>
      <c r="Y319" s="109"/>
      <c r="Z319" s="109"/>
      <c r="AA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8"/>
      <c r="S320" s="109"/>
      <c r="V320" s="109"/>
      <c r="W320" s="109"/>
      <c r="X320" s="109"/>
      <c r="Y320" s="109"/>
      <c r="Z320" s="109"/>
      <c r="AA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8"/>
      <c r="S321" s="109"/>
      <c r="V321" s="109"/>
      <c r="W321" s="109"/>
      <c r="X321" s="109"/>
      <c r="Y321" s="109"/>
      <c r="Z321" s="109"/>
      <c r="AA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8"/>
      <c r="S322" s="109"/>
      <c r="V322" s="109"/>
      <c r="W322" s="109"/>
      <c r="X322" s="109"/>
      <c r="Y322" s="109"/>
      <c r="Z322" s="109"/>
      <c r="AA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8"/>
      <c r="S323" s="109"/>
      <c r="V323" s="109"/>
      <c r="W323" s="109"/>
      <c r="X323" s="109"/>
      <c r="Y323" s="109"/>
      <c r="Z323" s="109"/>
      <c r="AA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8"/>
      <c r="S324" s="109"/>
      <c r="V324" s="109"/>
      <c r="W324" s="109"/>
      <c r="X324" s="109"/>
      <c r="Y324" s="109"/>
      <c r="Z324" s="109"/>
      <c r="AA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8"/>
      <c r="S325" s="109"/>
      <c r="V325" s="109"/>
      <c r="W325" s="109"/>
      <c r="X325" s="109"/>
      <c r="Y325" s="109"/>
      <c r="Z325" s="109"/>
      <c r="AA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8"/>
      <c r="S326" s="109"/>
      <c r="V326" s="109"/>
      <c r="W326" s="109"/>
      <c r="X326" s="109"/>
      <c r="Y326" s="109"/>
      <c r="Z326" s="109"/>
      <c r="AA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8"/>
      <c r="S327" s="109"/>
      <c r="V327" s="109"/>
      <c r="W327" s="109"/>
      <c r="X327" s="109"/>
      <c r="Y327" s="109"/>
      <c r="Z327" s="109"/>
      <c r="AA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8"/>
      <c r="S328" s="109"/>
      <c r="V328" s="109"/>
      <c r="W328" s="109"/>
      <c r="X328" s="109"/>
      <c r="Y328" s="109"/>
      <c r="Z328" s="109"/>
      <c r="AA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8"/>
      <c r="S329" s="109"/>
      <c r="V329" s="109"/>
      <c r="W329" s="109"/>
      <c r="X329" s="109"/>
      <c r="Y329" s="109"/>
      <c r="Z329" s="109"/>
      <c r="AA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8"/>
      <c r="S330" s="109"/>
      <c r="V330" s="109"/>
      <c r="W330" s="109"/>
      <c r="X330" s="109"/>
      <c r="Y330" s="109"/>
      <c r="Z330" s="109"/>
      <c r="AA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8"/>
      <c r="S331" s="109"/>
      <c r="V331" s="109"/>
      <c r="W331" s="109"/>
      <c r="X331" s="109"/>
      <c r="Y331" s="109"/>
      <c r="Z331" s="109"/>
      <c r="AA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8"/>
      <c r="S332" s="109"/>
      <c r="V332" s="109"/>
      <c r="W332" s="109"/>
      <c r="X332" s="109"/>
      <c r="Y332" s="109"/>
      <c r="Z332" s="109"/>
      <c r="AA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8"/>
      <c r="S333" s="109"/>
      <c r="V333" s="109"/>
      <c r="W333" s="109"/>
      <c r="X333" s="109"/>
      <c r="Y333" s="109"/>
      <c r="Z333" s="109"/>
      <c r="AA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8"/>
      <c r="S334" s="109"/>
      <c r="V334" s="109"/>
      <c r="W334" s="109"/>
      <c r="X334" s="109"/>
      <c r="Y334" s="109"/>
      <c r="Z334" s="109"/>
      <c r="AA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8"/>
      <c r="S335" s="109"/>
      <c r="V335" s="109"/>
      <c r="W335" s="109"/>
      <c r="X335" s="109"/>
      <c r="Y335" s="109"/>
      <c r="Z335" s="109"/>
      <c r="AA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8"/>
      <c r="S336" s="109"/>
      <c r="V336" s="109"/>
      <c r="W336" s="109"/>
      <c r="X336" s="109"/>
      <c r="Y336" s="109"/>
      <c r="Z336" s="109"/>
      <c r="AA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8"/>
      <c r="S337" s="109"/>
      <c r="V337" s="109"/>
      <c r="W337" s="109"/>
      <c r="X337" s="109"/>
      <c r="Y337" s="109"/>
      <c r="Z337" s="109"/>
      <c r="AA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8"/>
      <c r="S338" s="109"/>
      <c r="V338" s="109"/>
      <c r="W338" s="109"/>
      <c r="X338" s="109"/>
      <c r="Y338" s="109"/>
      <c r="Z338" s="109"/>
      <c r="AA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8"/>
      <c r="S339" s="109"/>
      <c r="V339" s="109"/>
      <c r="W339" s="109"/>
      <c r="X339" s="109"/>
      <c r="Y339" s="109"/>
      <c r="Z339" s="109"/>
      <c r="AA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8"/>
      <c r="S340" s="109"/>
      <c r="V340" s="109"/>
      <c r="W340" s="109"/>
      <c r="X340" s="109"/>
      <c r="Y340" s="109"/>
      <c r="Z340" s="109"/>
      <c r="AA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8"/>
      <c r="S341" s="109"/>
      <c r="V341" s="109"/>
      <c r="W341" s="109"/>
      <c r="X341" s="109"/>
      <c r="Y341" s="109"/>
      <c r="Z341" s="109"/>
      <c r="AA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8"/>
      <c r="S342" s="109"/>
      <c r="V342" s="109"/>
      <c r="W342" s="109"/>
      <c r="X342" s="109"/>
      <c r="Y342" s="109"/>
      <c r="Z342" s="109"/>
      <c r="AA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8"/>
      <c r="S343" s="109"/>
      <c r="V343" s="109"/>
      <c r="W343" s="109"/>
      <c r="X343" s="109"/>
      <c r="Y343" s="109"/>
      <c r="Z343" s="109"/>
      <c r="AA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8"/>
      <c r="S344" s="109"/>
      <c r="V344" s="109"/>
      <c r="W344" s="109"/>
      <c r="X344" s="109"/>
      <c r="Y344" s="109"/>
      <c r="Z344" s="109"/>
      <c r="AA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8"/>
      <c r="S345" s="109"/>
      <c r="V345" s="109"/>
      <c r="W345" s="109"/>
      <c r="X345" s="109"/>
      <c r="Y345" s="109"/>
      <c r="Z345" s="109"/>
      <c r="AA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8"/>
      <c r="S346" s="109"/>
      <c r="V346" s="109"/>
      <c r="W346" s="109"/>
      <c r="X346" s="109"/>
      <c r="Y346" s="109"/>
      <c r="Z346" s="109"/>
      <c r="AA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8"/>
      <c r="S347" s="109"/>
      <c r="V347" s="109"/>
      <c r="W347" s="109"/>
      <c r="X347" s="109"/>
      <c r="Y347" s="109"/>
      <c r="Z347" s="109"/>
      <c r="AA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8"/>
      <c r="S348" s="109"/>
      <c r="V348" s="109"/>
      <c r="W348" s="109"/>
      <c r="X348" s="109"/>
      <c r="Y348" s="109"/>
      <c r="Z348" s="109"/>
      <c r="AA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8"/>
      <c r="S349" s="109"/>
      <c r="V349" s="109"/>
      <c r="W349" s="109"/>
      <c r="X349" s="109"/>
      <c r="Y349" s="109"/>
      <c r="Z349" s="109"/>
      <c r="AA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8"/>
      <c r="S350" s="109"/>
      <c r="V350" s="109"/>
      <c r="W350" s="109"/>
      <c r="X350" s="109"/>
      <c r="Y350" s="109"/>
      <c r="Z350" s="109"/>
      <c r="AA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8"/>
      <c r="S351" s="109"/>
      <c r="V351" s="109"/>
      <c r="W351" s="109"/>
      <c r="X351" s="109"/>
      <c r="Y351" s="109"/>
      <c r="Z351" s="109"/>
      <c r="AA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8"/>
      <c r="S352" s="109"/>
      <c r="V352" s="109"/>
      <c r="W352" s="109"/>
      <c r="X352" s="109"/>
      <c r="Y352" s="109"/>
      <c r="Z352" s="109"/>
      <c r="AA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8"/>
      <c r="S353" s="109"/>
      <c r="V353" s="109"/>
      <c r="W353" s="109"/>
      <c r="X353" s="109"/>
      <c r="Y353" s="109"/>
      <c r="Z353" s="109"/>
      <c r="AA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8"/>
      <c r="S354" s="109"/>
      <c r="V354" s="109"/>
      <c r="W354" s="109"/>
      <c r="X354" s="109"/>
      <c r="Y354" s="109"/>
      <c r="Z354" s="109"/>
      <c r="AA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8"/>
      <c r="S355" s="109"/>
      <c r="V355" s="109"/>
      <c r="W355" s="109"/>
      <c r="X355" s="109"/>
      <c r="Y355" s="109"/>
      <c r="Z355" s="109"/>
      <c r="AA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8"/>
      <c r="S356" s="109"/>
      <c r="V356" s="109"/>
      <c r="W356" s="109"/>
      <c r="X356" s="109"/>
      <c r="Y356" s="109"/>
      <c r="Z356" s="109"/>
      <c r="AA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8"/>
      <c r="S357" s="109"/>
      <c r="V357" s="109"/>
      <c r="W357" s="109"/>
      <c r="X357" s="109"/>
      <c r="Y357" s="109"/>
      <c r="Z357" s="109"/>
      <c r="AA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8"/>
      <c r="S358" s="109"/>
      <c r="V358" s="109"/>
      <c r="W358" s="109"/>
      <c r="X358" s="109"/>
      <c r="Y358" s="109"/>
      <c r="Z358" s="109"/>
      <c r="AA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8"/>
      <c r="S359" s="109"/>
      <c r="V359" s="109"/>
      <c r="W359" s="109"/>
      <c r="X359" s="109"/>
      <c r="Y359" s="109"/>
      <c r="Z359" s="109"/>
      <c r="AA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8"/>
      <c r="S360" s="109"/>
      <c r="V360" s="109"/>
      <c r="W360" s="109"/>
      <c r="X360" s="109"/>
      <c r="Y360" s="109"/>
      <c r="Z360" s="109"/>
      <c r="AA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8"/>
      <c r="S361" s="109"/>
      <c r="V361" s="109"/>
      <c r="W361" s="109"/>
      <c r="X361" s="109"/>
      <c r="Y361" s="109"/>
      <c r="Z361" s="109"/>
      <c r="AA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8"/>
      <c r="S362" s="109"/>
      <c r="V362" s="109"/>
      <c r="W362" s="109"/>
      <c r="X362" s="109"/>
      <c r="Y362" s="109"/>
      <c r="Z362" s="109"/>
      <c r="AA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8"/>
      <c r="S363" s="109"/>
      <c r="V363" s="109"/>
      <c r="W363" s="109"/>
      <c r="X363" s="109"/>
      <c r="Y363" s="109"/>
      <c r="Z363" s="109"/>
      <c r="AA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8"/>
      <c r="S364" s="109"/>
      <c r="V364" s="109"/>
      <c r="W364" s="109"/>
      <c r="X364" s="109"/>
      <c r="Y364" s="109"/>
      <c r="Z364" s="109"/>
      <c r="AA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8"/>
      <c r="S365" s="109"/>
      <c r="V365" s="109"/>
      <c r="W365" s="109"/>
      <c r="X365" s="109"/>
      <c r="Y365" s="109"/>
      <c r="Z365" s="109"/>
      <c r="AA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8"/>
      <c r="S366" s="109"/>
      <c r="V366" s="109"/>
      <c r="W366" s="109"/>
      <c r="X366" s="109"/>
      <c r="Y366" s="109"/>
      <c r="Z366" s="109"/>
      <c r="AA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8"/>
      <c r="S367" s="109"/>
      <c r="V367" s="109"/>
      <c r="W367" s="109"/>
      <c r="X367" s="109"/>
      <c r="Y367" s="109"/>
      <c r="Z367" s="109"/>
      <c r="AA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8"/>
      <c r="S368" s="109"/>
      <c r="V368" s="109"/>
      <c r="W368" s="109"/>
      <c r="X368" s="109"/>
      <c r="Y368" s="109"/>
      <c r="Z368" s="109"/>
      <c r="AA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8"/>
      <c r="S369" s="109"/>
      <c r="V369" s="109"/>
      <c r="W369" s="109"/>
      <c r="X369" s="109"/>
      <c r="Y369" s="109"/>
      <c r="Z369" s="109"/>
      <c r="AA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8"/>
      <c r="S370" s="109"/>
      <c r="V370" s="109"/>
      <c r="W370" s="109"/>
      <c r="X370" s="109"/>
      <c r="Y370" s="109"/>
      <c r="Z370" s="109"/>
      <c r="AA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8"/>
      <c r="S371" s="109"/>
      <c r="V371" s="109"/>
      <c r="W371" s="109"/>
      <c r="X371" s="109"/>
      <c r="Y371" s="109"/>
      <c r="Z371" s="109"/>
      <c r="AA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8"/>
      <c r="S372" s="109"/>
      <c r="V372" s="109"/>
      <c r="W372" s="109"/>
      <c r="X372" s="109"/>
      <c r="Y372" s="109"/>
      <c r="Z372" s="109"/>
      <c r="AA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8"/>
      <c r="S373" s="109"/>
      <c r="V373" s="109"/>
      <c r="W373" s="109"/>
      <c r="X373" s="109"/>
      <c r="Y373" s="109"/>
      <c r="Z373" s="109"/>
      <c r="AA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8"/>
      <c r="S374" s="109"/>
      <c r="V374" s="109"/>
      <c r="W374" s="109"/>
      <c r="X374" s="109"/>
      <c r="Y374" s="109"/>
      <c r="Z374" s="109"/>
      <c r="AA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8"/>
      <c r="S375" s="109"/>
      <c r="V375" s="109"/>
      <c r="W375" s="109"/>
      <c r="X375" s="109"/>
      <c r="Y375" s="109"/>
      <c r="Z375" s="109"/>
      <c r="AA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8"/>
      <c r="S376" s="109"/>
      <c r="V376" s="109"/>
      <c r="W376" s="109"/>
      <c r="X376" s="109"/>
      <c r="Y376" s="109"/>
      <c r="Z376" s="109"/>
      <c r="AA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8"/>
      <c r="S377" s="109"/>
      <c r="V377" s="109"/>
      <c r="W377" s="109"/>
      <c r="X377" s="109"/>
      <c r="Y377" s="109"/>
      <c r="Z377" s="109"/>
      <c r="AA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8"/>
      <c r="S378" s="109"/>
      <c r="V378" s="109"/>
      <c r="W378" s="109"/>
      <c r="X378" s="109"/>
      <c r="Y378" s="109"/>
      <c r="Z378" s="109"/>
      <c r="AA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8"/>
      <c r="S379" s="109"/>
      <c r="V379" s="109"/>
      <c r="W379" s="109"/>
      <c r="X379" s="109"/>
      <c r="Y379" s="109"/>
      <c r="Z379" s="109"/>
      <c r="AA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8"/>
      <c r="S380" s="109"/>
      <c r="V380" s="109"/>
      <c r="W380" s="109"/>
      <c r="X380" s="109"/>
      <c r="Y380" s="109"/>
      <c r="Z380" s="109"/>
      <c r="AA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8"/>
      <c r="S381" s="109"/>
      <c r="V381" s="109"/>
      <c r="W381" s="109"/>
      <c r="X381" s="109"/>
      <c r="Y381" s="109"/>
      <c r="Z381" s="109"/>
      <c r="AA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8"/>
      <c r="S382" s="109"/>
      <c r="V382" s="109"/>
      <c r="W382" s="109"/>
      <c r="X382" s="109"/>
      <c r="Y382" s="109"/>
      <c r="Z382" s="109"/>
      <c r="AA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8"/>
      <c r="S383" s="109"/>
      <c r="V383" s="109"/>
      <c r="W383" s="109"/>
      <c r="X383" s="109"/>
      <c r="Y383" s="109"/>
      <c r="Z383" s="109"/>
      <c r="AA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8"/>
      <c r="S384" s="109"/>
      <c r="V384" s="109"/>
      <c r="W384" s="109"/>
      <c r="X384" s="109"/>
      <c r="Y384" s="109"/>
      <c r="Z384" s="109"/>
      <c r="AA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8"/>
      <c r="S385" s="109"/>
      <c r="V385" s="109"/>
      <c r="W385" s="109"/>
      <c r="X385" s="109"/>
      <c r="Y385" s="109"/>
      <c r="Z385" s="109"/>
      <c r="AA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8"/>
      <c r="S386" s="109"/>
      <c r="V386" s="109"/>
      <c r="W386" s="109"/>
      <c r="X386" s="109"/>
      <c r="Y386" s="109"/>
      <c r="Z386" s="109"/>
      <c r="AA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8"/>
      <c r="S387" s="109"/>
      <c r="V387" s="109"/>
      <c r="W387" s="109"/>
      <c r="X387" s="109"/>
      <c r="Y387" s="109"/>
      <c r="Z387" s="109"/>
      <c r="AA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8"/>
      <c r="S388" s="109"/>
      <c r="V388" s="109"/>
      <c r="W388" s="109"/>
      <c r="X388" s="109"/>
      <c r="Y388" s="109"/>
      <c r="Z388" s="109"/>
      <c r="AA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8"/>
      <c r="S389" s="109"/>
      <c r="V389" s="109"/>
      <c r="W389" s="109"/>
      <c r="X389" s="109"/>
      <c r="Y389" s="109"/>
      <c r="Z389" s="109"/>
      <c r="AA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8"/>
      <c r="S390" s="109"/>
      <c r="V390" s="109"/>
      <c r="W390" s="109"/>
      <c r="X390" s="109"/>
      <c r="Y390" s="109"/>
      <c r="Z390" s="109"/>
      <c r="AA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8"/>
      <c r="S391" s="109"/>
      <c r="V391" s="109"/>
      <c r="W391" s="109"/>
      <c r="X391" s="109"/>
      <c r="Y391" s="109"/>
      <c r="Z391" s="109"/>
      <c r="AA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8"/>
      <c r="S392" s="109"/>
      <c r="V392" s="109"/>
      <c r="W392" s="109"/>
      <c r="X392" s="109"/>
      <c r="Y392" s="109"/>
      <c r="Z392" s="109"/>
      <c r="AA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8"/>
      <c r="S393" s="109"/>
      <c r="V393" s="109"/>
      <c r="W393" s="109"/>
      <c r="X393" s="109"/>
      <c r="Y393" s="109"/>
      <c r="Z393" s="109"/>
      <c r="AA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8"/>
      <c r="S394" s="109"/>
      <c r="V394" s="109"/>
      <c r="W394" s="109"/>
      <c r="X394" s="109"/>
      <c r="Y394" s="109"/>
      <c r="Z394" s="109"/>
      <c r="AA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52"/>
      <c r="S395" s="109"/>
      <c r="V395" s="109"/>
      <c r="W395" s="109"/>
      <c r="X395" s="109"/>
      <c r="Y395" s="109"/>
      <c r="Z395" s="109"/>
      <c r="AA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52"/>
      <c r="S396" s="109"/>
      <c r="V396" s="109"/>
      <c r="W396" s="109"/>
      <c r="X396" s="109"/>
      <c r="Y396" s="109"/>
      <c r="Z396" s="109"/>
      <c r="AA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52"/>
      <c r="S397" s="109"/>
      <c r="V397" s="109"/>
      <c r="W397" s="109"/>
      <c r="X397" s="109"/>
      <c r="Y397" s="109"/>
      <c r="Z397" s="109"/>
      <c r="AA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52"/>
      <c r="S398" s="109"/>
      <c r="V398" s="109"/>
      <c r="W398" s="109"/>
      <c r="X398" s="109"/>
      <c r="Y398" s="109"/>
      <c r="Z398" s="109"/>
      <c r="AA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52"/>
      <c r="S399" s="109"/>
      <c r="V399" s="109"/>
      <c r="W399" s="109"/>
      <c r="X399" s="109"/>
      <c r="Y399" s="109"/>
      <c r="Z399" s="109"/>
      <c r="AA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52"/>
      <c r="S400" s="109"/>
      <c r="V400" s="109"/>
      <c r="W400" s="109"/>
      <c r="X400" s="109"/>
      <c r="Y400" s="109"/>
      <c r="Z400" s="109"/>
      <c r="AA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52"/>
      <c r="S401" s="109"/>
      <c r="V401" s="109"/>
      <c r="W401" s="109"/>
      <c r="X401" s="109"/>
      <c r="Y401" s="109"/>
      <c r="Z401" s="109"/>
      <c r="AA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52"/>
      <c r="S402" s="109"/>
      <c r="V402" s="109"/>
      <c r="W402" s="109"/>
      <c r="X402" s="109"/>
      <c r="Y402" s="109"/>
      <c r="Z402" s="109"/>
      <c r="AA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52"/>
      <c r="S403" s="109"/>
      <c r="T403" s="8"/>
      <c r="U403" s="8"/>
      <c r="V403" s="109"/>
      <c r="W403" s="109"/>
      <c r="X403" s="109"/>
      <c r="Y403" s="109"/>
      <c r="Z403" s="109"/>
      <c r="AA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52"/>
      <c r="S404" s="109"/>
      <c r="T404" s="8"/>
      <c r="U404" s="8"/>
      <c r="V404" s="109"/>
      <c r="W404" s="109"/>
      <c r="X404" s="109"/>
      <c r="Y404" s="109"/>
      <c r="Z404" s="109"/>
      <c r="AA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52"/>
      <c r="S405" s="109"/>
      <c r="T405" s="8"/>
      <c r="U405" s="8"/>
      <c r="V405" s="109"/>
      <c r="W405" s="109"/>
      <c r="X405" s="109"/>
      <c r="Y405" s="109"/>
      <c r="Z405" s="109"/>
      <c r="AA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52"/>
      <c r="S406" s="109"/>
      <c r="T406" s="8"/>
      <c r="U406" s="8"/>
      <c r="V406" s="109"/>
      <c r="W406" s="109"/>
      <c r="X406" s="109"/>
      <c r="Y406" s="109"/>
      <c r="Z406" s="109"/>
      <c r="AA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8"/>
      <c r="S407" s="109"/>
      <c r="T407" s="8"/>
      <c r="U407" s="8"/>
      <c r="V407" s="109"/>
      <c r="W407" s="109"/>
      <c r="X407" s="109"/>
      <c r="Y407" s="109"/>
      <c r="Z407" s="109"/>
      <c r="AA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8"/>
      <c r="S408" s="109"/>
      <c r="T408" s="8"/>
      <c r="U408" s="8"/>
      <c r="V408" s="109"/>
      <c r="W408" s="109"/>
      <c r="X408" s="109"/>
      <c r="Y408" s="109"/>
      <c r="Z408" s="109"/>
      <c r="AA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8"/>
      <c r="S409" s="109"/>
      <c r="T409" s="109"/>
      <c r="U409" s="109"/>
      <c r="V409" s="109"/>
      <c r="W409" s="109"/>
      <c r="X409" s="109"/>
      <c r="Y409" s="109"/>
      <c r="Z409" s="109"/>
      <c r="AA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8"/>
      <c r="S410" s="109"/>
      <c r="T410" s="109"/>
      <c r="U410" s="109"/>
      <c r="V410" s="109"/>
      <c r="W410" s="109"/>
      <c r="X410" s="109"/>
      <c r="Y410" s="109"/>
      <c r="Z410" s="109"/>
      <c r="AA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8"/>
      <c r="S411" s="109"/>
      <c r="T411" s="109"/>
      <c r="U411" s="109"/>
      <c r="V411" s="109"/>
      <c r="W411" s="109"/>
      <c r="X411" s="109"/>
      <c r="Y411" s="109"/>
      <c r="Z411" s="109"/>
      <c r="AA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8"/>
      <c r="S412" s="109"/>
      <c r="T412" s="109"/>
      <c r="U412" s="109"/>
      <c r="V412" s="109"/>
      <c r="W412" s="109"/>
      <c r="X412" s="109"/>
      <c r="Y412" s="109"/>
      <c r="Z412" s="109"/>
      <c r="AA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8"/>
      <c r="S413" s="109"/>
      <c r="T413" s="109"/>
      <c r="U413" s="109"/>
      <c r="V413" s="109"/>
      <c r="W413" s="109"/>
      <c r="X413" s="109"/>
      <c r="Y413" s="109"/>
      <c r="Z413" s="109"/>
      <c r="AA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8"/>
      <c r="S414" s="109"/>
      <c r="T414" s="109"/>
      <c r="U414" s="109"/>
      <c r="V414" s="109"/>
      <c r="W414" s="109"/>
      <c r="X414" s="109"/>
      <c r="Y414" s="109"/>
      <c r="Z414" s="109"/>
      <c r="AA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8"/>
      <c r="S415" s="109"/>
      <c r="T415" s="109"/>
      <c r="U415" s="109"/>
      <c r="V415" s="109"/>
      <c r="W415" s="109"/>
      <c r="X415" s="109"/>
      <c r="Y415" s="109"/>
      <c r="Z415" s="109"/>
      <c r="AA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8"/>
      <c r="S416" s="109"/>
      <c r="T416" s="109"/>
      <c r="U416" s="109"/>
      <c r="V416" s="109"/>
      <c r="W416" s="109"/>
      <c r="X416" s="109"/>
      <c r="Y416" s="109"/>
      <c r="Z416" s="109"/>
      <c r="AA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8"/>
      <c r="S417" s="109"/>
      <c r="T417" s="109"/>
      <c r="U417" s="109"/>
      <c r="V417" s="109"/>
      <c r="W417" s="109"/>
      <c r="X417" s="109"/>
      <c r="Y417" s="109"/>
      <c r="Z417" s="109"/>
      <c r="AA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8"/>
      <c r="S418" s="109"/>
      <c r="T418" s="109"/>
      <c r="U418" s="109"/>
      <c r="V418" s="109"/>
      <c r="W418" s="109"/>
      <c r="X418" s="109"/>
      <c r="Y418" s="109"/>
      <c r="Z418" s="109"/>
      <c r="AA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8"/>
      <c r="S419" s="109"/>
      <c r="T419" s="109"/>
      <c r="U419" s="109"/>
      <c r="V419" s="109"/>
      <c r="W419" s="109"/>
      <c r="X419" s="109"/>
      <c r="Y419" s="109"/>
      <c r="Z419" s="109"/>
      <c r="AA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8"/>
      <c r="S420" s="109"/>
      <c r="T420" s="109"/>
      <c r="U420" s="109"/>
      <c r="V420" s="109"/>
      <c r="W420" s="109"/>
      <c r="X420" s="109"/>
      <c r="Y420" s="109"/>
      <c r="Z420" s="109"/>
      <c r="AA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8"/>
      <c r="S421" s="109"/>
      <c r="T421" s="109"/>
      <c r="U421" s="109"/>
      <c r="V421" s="109"/>
      <c r="W421" s="109"/>
      <c r="X421" s="109"/>
      <c r="Y421" s="109"/>
      <c r="Z421" s="109"/>
      <c r="AA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8"/>
      <c r="S422" s="109"/>
      <c r="T422" s="109"/>
      <c r="U422" s="109"/>
      <c r="V422" s="109"/>
      <c r="W422" s="109"/>
      <c r="X422" s="109"/>
      <c r="Y422" s="109"/>
      <c r="Z422" s="109"/>
      <c r="AA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8"/>
      <c r="S423" s="109"/>
      <c r="T423" s="109"/>
      <c r="U423" s="109"/>
      <c r="V423" s="109"/>
      <c r="W423" s="109"/>
      <c r="X423" s="109"/>
      <c r="Y423" s="109"/>
      <c r="Z423" s="109"/>
      <c r="AA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8"/>
      <c r="S424" s="109"/>
      <c r="T424" s="109"/>
      <c r="U424" s="109"/>
      <c r="V424" s="109"/>
      <c r="W424" s="109"/>
      <c r="X424" s="109"/>
      <c r="Y424" s="109"/>
      <c r="Z424" s="109"/>
      <c r="AA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8"/>
      <c r="S425" s="109"/>
      <c r="T425" s="109"/>
      <c r="U425" s="109"/>
      <c r="V425" s="109"/>
      <c r="W425" s="109"/>
      <c r="X425" s="109"/>
      <c r="Y425" s="109"/>
      <c r="Z425" s="109"/>
      <c r="AA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8"/>
      <c r="S426" s="109"/>
      <c r="T426" s="109"/>
      <c r="U426" s="109"/>
      <c r="V426" s="109"/>
      <c r="W426" s="109"/>
      <c r="X426" s="109"/>
      <c r="Y426" s="109"/>
      <c r="Z426" s="109"/>
      <c r="AA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8"/>
      <c r="S427" s="109"/>
      <c r="T427" s="109"/>
      <c r="U427" s="109"/>
      <c r="V427" s="109"/>
      <c r="W427" s="109"/>
      <c r="X427" s="109"/>
      <c r="Y427" s="109"/>
      <c r="Z427" s="109"/>
      <c r="AA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8"/>
      <c r="S428" s="109"/>
      <c r="T428" s="109"/>
      <c r="U428" s="109"/>
      <c r="V428" s="109"/>
      <c r="W428" s="109"/>
      <c r="X428" s="109"/>
      <c r="Y428" s="109"/>
      <c r="Z428" s="109"/>
      <c r="AA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8"/>
      <c r="S429" s="109"/>
      <c r="T429" s="109"/>
      <c r="U429" s="109"/>
      <c r="V429" s="109"/>
      <c r="W429" s="109"/>
      <c r="X429" s="109"/>
      <c r="Y429" s="109"/>
      <c r="Z429" s="109"/>
      <c r="AA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8"/>
      <c r="S430" s="109"/>
      <c r="T430" s="109"/>
      <c r="U430" s="109"/>
      <c r="V430" s="109"/>
      <c r="W430" s="109"/>
      <c r="X430" s="109"/>
      <c r="Y430" s="109"/>
      <c r="Z430" s="109"/>
      <c r="AA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8"/>
      <c r="S431" s="109"/>
      <c r="T431" s="109"/>
      <c r="U431" s="109"/>
      <c r="V431" s="109"/>
      <c r="W431" s="109"/>
      <c r="X431" s="109"/>
      <c r="Y431" s="109"/>
      <c r="Z431" s="109"/>
      <c r="AA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8"/>
      <c r="S432" s="109"/>
      <c r="T432" s="109"/>
      <c r="U432" s="109"/>
      <c r="V432" s="109"/>
      <c r="W432" s="109"/>
      <c r="X432" s="109"/>
      <c r="Y432" s="109"/>
      <c r="Z432" s="109"/>
      <c r="AA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8"/>
      <c r="S433" s="109"/>
      <c r="T433" s="109"/>
      <c r="U433" s="109"/>
      <c r="V433" s="109"/>
      <c r="W433" s="109"/>
      <c r="X433" s="109"/>
      <c r="Y433" s="109"/>
      <c r="Z433" s="109"/>
      <c r="AA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8"/>
      <c r="S434" s="109"/>
      <c r="T434" s="109"/>
      <c r="U434" s="109"/>
      <c r="V434" s="109"/>
      <c r="W434" s="109"/>
      <c r="X434" s="109"/>
      <c r="Y434" s="109"/>
      <c r="Z434" s="109"/>
      <c r="AA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8"/>
      <c r="S435" s="109"/>
      <c r="T435" s="109"/>
      <c r="U435" s="109"/>
      <c r="V435" s="109"/>
      <c r="W435" s="109"/>
      <c r="X435" s="109"/>
      <c r="Y435" s="109"/>
      <c r="Z435" s="109"/>
      <c r="AA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8"/>
      <c r="S436" s="109"/>
      <c r="T436" s="109"/>
      <c r="U436" s="109"/>
      <c r="V436" s="109"/>
      <c r="W436" s="109"/>
      <c r="X436" s="109"/>
      <c r="Y436" s="109"/>
      <c r="Z436" s="109"/>
      <c r="AA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8"/>
      <c r="S437" s="109"/>
      <c r="T437" s="109"/>
      <c r="U437" s="109"/>
      <c r="V437" s="109"/>
      <c r="W437" s="109"/>
      <c r="X437" s="109"/>
      <c r="Y437" s="109"/>
      <c r="Z437" s="109"/>
      <c r="AA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8"/>
      <c r="S438" s="109"/>
      <c r="T438" s="109"/>
      <c r="U438" s="109"/>
      <c r="V438" s="109"/>
      <c r="W438" s="109"/>
      <c r="X438" s="109"/>
      <c r="Y438" s="109"/>
      <c r="Z438" s="109"/>
      <c r="AA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8"/>
      <c r="S439" s="109"/>
      <c r="T439" s="109"/>
      <c r="U439" s="109"/>
      <c r="V439" s="109"/>
      <c r="W439" s="109"/>
      <c r="X439" s="109"/>
      <c r="Y439" s="109"/>
      <c r="Z439" s="109"/>
      <c r="AA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8"/>
      <c r="S440" s="109"/>
      <c r="T440" s="109"/>
      <c r="U440" s="109"/>
      <c r="V440" s="109"/>
      <c r="W440" s="109"/>
      <c r="X440" s="109"/>
      <c r="Y440" s="109"/>
      <c r="Z440" s="109"/>
      <c r="AA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8"/>
      <c r="S441" s="109"/>
      <c r="T441" s="109"/>
      <c r="U441" s="109"/>
      <c r="V441" s="109"/>
      <c r="W441" s="109"/>
      <c r="X441" s="109"/>
      <c r="Y441" s="109"/>
      <c r="Z441" s="109"/>
      <c r="AA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8"/>
      <c r="S442" s="109"/>
      <c r="T442" s="109"/>
      <c r="U442" s="109"/>
      <c r="V442" s="109"/>
      <c r="W442" s="109"/>
      <c r="X442" s="109"/>
      <c r="Y442" s="109"/>
      <c r="Z442" s="109"/>
      <c r="AA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8"/>
      <c r="S443" s="109"/>
      <c r="T443" s="109"/>
      <c r="U443" s="109"/>
      <c r="V443" s="109"/>
      <c r="W443" s="109"/>
      <c r="X443" s="109"/>
      <c r="Y443" s="109"/>
      <c r="Z443" s="109"/>
      <c r="AA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8"/>
      <c r="S444" s="109"/>
      <c r="T444" s="109"/>
      <c r="U444" s="109"/>
      <c r="V444" s="109"/>
      <c r="W444" s="109"/>
      <c r="X444" s="109"/>
      <c r="Y444" s="109"/>
      <c r="Z444" s="109"/>
      <c r="AA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8"/>
      <c r="S445" s="109"/>
      <c r="T445" s="109"/>
      <c r="U445" s="109"/>
      <c r="V445" s="109"/>
      <c r="W445" s="109"/>
      <c r="X445" s="109"/>
      <c r="Y445" s="109"/>
      <c r="Z445" s="109"/>
      <c r="AA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8"/>
      <c r="S446" s="109"/>
      <c r="T446" s="109"/>
      <c r="U446" s="109"/>
      <c r="V446" s="109"/>
      <c r="W446" s="109"/>
      <c r="X446" s="109"/>
      <c r="Y446" s="109"/>
      <c r="Z446" s="109"/>
      <c r="AA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8"/>
      <c r="S447" s="109"/>
      <c r="T447" s="109"/>
      <c r="U447" s="109"/>
      <c r="V447" s="109"/>
      <c r="W447" s="109"/>
      <c r="X447" s="109"/>
      <c r="Y447" s="109"/>
      <c r="Z447" s="109"/>
      <c r="AA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8"/>
      <c r="S448" s="109"/>
      <c r="T448" s="109"/>
      <c r="U448" s="109"/>
      <c r="V448" s="109"/>
      <c r="W448" s="109"/>
      <c r="X448" s="109"/>
      <c r="Y448" s="109"/>
      <c r="Z448" s="109"/>
      <c r="AA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8"/>
      <c r="S449" s="109"/>
      <c r="T449" s="109"/>
      <c r="U449" s="109"/>
      <c r="V449" s="109"/>
      <c r="W449" s="109"/>
      <c r="X449" s="109"/>
      <c r="Y449" s="109"/>
      <c r="Z449" s="109"/>
      <c r="AA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8"/>
      <c r="S450" s="109"/>
      <c r="T450" s="109"/>
      <c r="U450" s="109"/>
      <c r="V450" s="109"/>
      <c r="W450" s="109"/>
      <c r="X450" s="109"/>
      <c r="Y450" s="109"/>
      <c r="Z450" s="109"/>
      <c r="AA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8"/>
      <c r="S451" s="109"/>
      <c r="T451" s="109"/>
      <c r="U451" s="109"/>
      <c r="V451" s="109"/>
      <c r="W451" s="109"/>
      <c r="X451" s="109"/>
      <c r="Y451" s="109"/>
      <c r="Z451" s="109"/>
      <c r="AA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8"/>
      <c r="S452" s="109"/>
      <c r="T452" s="109"/>
      <c r="U452" s="109"/>
      <c r="V452" s="109"/>
      <c r="W452" s="109"/>
      <c r="X452" s="109"/>
      <c r="Y452" s="109"/>
      <c r="Z452" s="109"/>
      <c r="AA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8"/>
      <c r="S453" s="109"/>
      <c r="T453" s="109"/>
      <c r="U453" s="109"/>
      <c r="V453" s="109"/>
      <c r="W453" s="109"/>
      <c r="X453" s="109"/>
      <c r="Y453" s="109"/>
      <c r="Z453" s="109"/>
      <c r="AA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8"/>
      <c r="S454" s="109"/>
      <c r="T454" s="109"/>
      <c r="U454" s="109"/>
      <c r="V454" s="109"/>
      <c r="W454" s="109"/>
      <c r="X454" s="109"/>
      <c r="Y454" s="109"/>
      <c r="Z454" s="109"/>
      <c r="AA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8"/>
      <c r="S455" s="109"/>
      <c r="T455" s="109"/>
      <c r="U455" s="109"/>
      <c r="V455" s="109"/>
      <c r="W455" s="109"/>
      <c r="X455" s="109"/>
      <c r="Y455" s="109"/>
      <c r="Z455" s="109"/>
      <c r="AA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8"/>
      <c r="S456" s="109"/>
      <c r="T456" s="109"/>
      <c r="U456" s="109"/>
      <c r="V456" s="109"/>
      <c r="W456" s="109"/>
      <c r="X456" s="109"/>
      <c r="Y456" s="109"/>
      <c r="Z456" s="109"/>
      <c r="AA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8"/>
      <c r="S457" s="109"/>
      <c r="T457" s="109"/>
      <c r="U457" s="109"/>
      <c r="V457" s="109"/>
      <c r="W457" s="109"/>
      <c r="X457" s="109"/>
      <c r="Y457" s="109"/>
      <c r="Z457" s="109"/>
      <c r="AA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8"/>
      <c r="S458" s="109"/>
      <c r="T458" s="109"/>
      <c r="U458" s="109"/>
      <c r="V458" s="109"/>
      <c r="W458" s="109"/>
      <c r="X458" s="109"/>
      <c r="Y458" s="109"/>
      <c r="Z458" s="109"/>
      <c r="AA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8"/>
      <c r="S459" s="109"/>
      <c r="T459" s="109"/>
      <c r="U459" s="109"/>
      <c r="V459" s="109"/>
      <c r="W459" s="109"/>
      <c r="X459" s="109"/>
      <c r="Y459" s="109"/>
      <c r="Z459" s="109"/>
      <c r="AA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8"/>
      <c r="S460" s="109"/>
      <c r="T460" s="109"/>
      <c r="U460" s="109"/>
      <c r="V460" s="109"/>
      <c r="W460" s="109"/>
      <c r="X460" s="109"/>
      <c r="Y460" s="109"/>
      <c r="Z460" s="109"/>
      <c r="AA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8"/>
      <c r="S461" s="109"/>
      <c r="T461" s="109"/>
      <c r="U461" s="109"/>
      <c r="V461" s="109"/>
      <c r="W461" s="109"/>
      <c r="X461" s="109"/>
      <c r="Y461" s="109"/>
      <c r="Z461" s="109"/>
      <c r="AA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8"/>
      <c r="S462" s="109"/>
      <c r="T462" s="109"/>
      <c r="U462" s="109"/>
      <c r="V462" s="109"/>
      <c r="W462" s="109"/>
      <c r="X462" s="109"/>
      <c r="Y462" s="109"/>
      <c r="Z462" s="109"/>
      <c r="AA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8"/>
      <c r="S463" s="109"/>
      <c r="T463" s="109"/>
      <c r="U463" s="109"/>
      <c r="V463" s="109"/>
      <c r="W463" s="109"/>
      <c r="X463" s="109"/>
      <c r="Y463" s="109"/>
      <c r="Z463" s="109"/>
      <c r="AA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8"/>
      <c r="S464" s="109"/>
      <c r="T464" s="109"/>
      <c r="U464" s="109"/>
      <c r="V464" s="109"/>
      <c r="W464" s="109"/>
      <c r="X464" s="109"/>
      <c r="Y464" s="109"/>
      <c r="Z464" s="109"/>
      <c r="AA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8"/>
      <c r="S465" s="109"/>
      <c r="T465" s="109"/>
      <c r="U465" s="109"/>
      <c r="V465" s="109"/>
      <c r="W465" s="109"/>
      <c r="X465" s="109"/>
      <c r="Y465" s="109"/>
      <c r="Z465" s="109"/>
      <c r="AA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8"/>
      <c r="S466" s="109"/>
      <c r="T466" s="109"/>
      <c r="U466" s="109"/>
      <c r="V466" s="109"/>
      <c r="W466" s="109"/>
      <c r="X466" s="109"/>
      <c r="Y466" s="109"/>
      <c r="Z466" s="109"/>
      <c r="AA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8"/>
      <c r="S467" s="109"/>
      <c r="T467" s="109"/>
      <c r="U467" s="109"/>
      <c r="V467" s="109"/>
      <c r="W467" s="109"/>
      <c r="X467" s="109"/>
      <c r="Y467" s="109"/>
      <c r="Z467" s="109"/>
      <c r="AA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8"/>
      <c r="S468" s="109"/>
      <c r="T468" s="109"/>
      <c r="U468" s="109"/>
      <c r="V468" s="109"/>
      <c r="W468" s="109"/>
      <c r="X468" s="109"/>
      <c r="Y468" s="109"/>
      <c r="Z468" s="109"/>
      <c r="AA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8"/>
      <c r="S469" s="109"/>
      <c r="T469" s="109"/>
      <c r="U469" s="109"/>
      <c r="V469" s="109"/>
      <c r="W469" s="109"/>
      <c r="X469" s="109"/>
      <c r="Y469" s="109"/>
      <c r="Z469" s="109"/>
      <c r="AA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8"/>
      <c r="S470" s="109"/>
      <c r="T470" s="109"/>
      <c r="U470" s="109"/>
      <c r="V470" s="109"/>
      <c r="W470" s="109"/>
      <c r="X470" s="109"/>
      <c r="Y470" s="109"/>
      <c r="Z470" s="109"/>
      <c r="AA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8"/>
      <c r="S471" s="109"/>
      <c r="T471" s="109"/>
      <c r="U471" s="109"/>
      <c r="V471" s="109"/>
      <c r="W471" s="109"/>
      <c r="X471" s="109"/>
      <c r="Y471" s="109"/>
      <c r="Z471" s="109"/>
      <c r="AA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8"/>
      <c r="S472" s="109"/>
      <c r="T472" s="109"/>
      <c r="U472" s="109"/>
      <c r="V472" s="109"/>
      <c r="W472" s="109"/>
      <c r="X472" s="109"/>
      <c r="Y472" s="109"/>
      <c r="Z472" s="109"/>
      <c r="AA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8"/>
      <c r="S473" s="109"/>
      <c r="T473" s="109"/>
      <c r="U473" s="109"/>
      <c r="V473" s="109"/>
      <c r="W473" s="109"/>
      <c r="X473" s="109"/>
      <c r="Y473" s="109"/>
      <c r="Z473" s="109"/>
      <c r="AA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8"/>
      <c r="S474" s="109"/>
      <c r="T474" s="109"/>
      <c r="U474" s="109"/>
      <c r="V474" s="109"/>
      <c r="W474" s="109"/>
      <c r="X474" s="109"/>
      <c r="Y474" s="109"/>
      <c r="Z474" s="109"/>
      <c r="AA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8"/>
      <c r="S475" s="109"/>
      <c r="T475" s="109"/>
      <c r="U475" s="109"/>
      <c r="V475" s="109"/>
      <c r="W475" s="109"/>
      <c r="X475" s="109"/>
      <c r="Y475" s="109"/>
      <c r="Z475" s="109"/>
      <c r="AA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8"/>
      <c r="S476" s="109"/>
      <c r="T476" s="109"/>
      <c r="U476" s="109"/>
      <c r="V476" s="109"/>
      <c r="W476" s="109"/>
      <c r="X476" s="109"/>
      <c r="Y476" s="109"/>
      <c r="Z476" s="109"/>
      <c r="AA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8"/>
      <c r="S477" s="109"/>
      <c r="T477" s="109"/>
      <c r="U477" s="109"/>
      <c r="V477" s="109"/>
      <c r="W477" s="109"/>
      <c r="X477" s="109"/>
      <c r="Y477" s="109"/>
      <c r="Z477" s="109"/>
      <c r="AA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8"/>
      <c r="S478" s="109"/>
      <c r="T478" s="109"/>
      <c r="U478" s="109"/>
      <c r="V478" s="109"/>
      <c r="W478" s="109"/>
      <c r="X478" s="109"/>
      <c r="Y478" s="109"/>
      <c r="Z478" s="109"/>
      <c r="AA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8"/>
      <c r="S479" s="109"/>
      <c r="T479" s="109"/>
      <c r="U479" s="109"/>
      <c r="V479" s="109"/>
      <c r="W479" s="109"/>
      <c r="X479" s="109"/>
      <c r="Y479" s="109"/>
      <c r="Z479" s="109"/>
      <c r="AA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8"/>
      <c r="S480" s="109"/>
      <c r="T480" s="109"/>
      <c r="U480" s="109"/>
      <c r="V480" s="109"/>
      <c r="W480" s="109"/>
      <c r="X480" s="109"/>
      <c r="Y480" s="109"/>
      <c r="Z480" s="109"/>
      <c r="AA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8"/>
      <c r="S481" s="109"/>
      <c r="T481" s="109"/>
      <c r="U481" s="109"/>
      <c r="V481" s="109"/>
      <c r="W481" s="109"/>
      <c r="X481" s="109"/>
      <c r="Y481" s="109"/>
      <c r="Z481" s="109"/>
      <c r="AA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8"/>
      <c r="S482" s="109"/>
      <c r="T482" s="109"/>
      <c r="U482" s="109"/>
      <c r="V482" s="109"/>
      <c r="W482" s="109"/>
      <c r="X482" s="109"/>
      <c r="Y482" s="109"/>
      <c r="Z482" s="109"/>
      <c r="AA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8"/>
      <c r="S483" s="109"/>
      <c r="T483" s="109"/>
      <c r="U483" s="109"/>
      <c r="V483" s="109"/>
      <c r="W483" s="109"/>
      <c r="X483" s="109"/>
      <c r="Y483" s="109"/>
      <c r="Z483" s="109"/>
      <c r="AA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8"/>
      <c r="S484" s="109"/>
      <c r="T484" s="109"/>
      <c r="U484" s="109"/>
      <c r="V484" s="109"/>
      <c r="W484" s="109"/>
      <c r="X484" s="109"/>
      <c r="Y484" s="109"/>
      <c r="Z484" s="109"/>
      <c r="AA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8"/>
      <c r="S485" s="109"/>
      <c r="T485" s="109"/>
      <c r="U485" s="109"/>
      <c r="V485" s="109"/>
      <c r="W485" s="109"/>
      <c r="X485" s="109"/>
      <c r="Y485" s="109"/>
      <c r="Z485" s="109"/>
      <c r="AA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8"/>
      <c r="S486" s="109"/>
      <c r="T486" s="109"/>
      <c r="U486" s="109"/>
      <c r="V486" s="109"/>
      <c r="W486" s="109"/>
      <c r="X486" s="109"/>
      <c r="Y486" s="109"/>
      <c r="Z486" s="109"/>
      <c r="AA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8"/>
      <c r="S487" s="109"/>
      <c r="T487" s="109"/>
      <c r="U487" s="109"/>
      <c r="V487" s="109"/>
      <c r="W487" s="109"/>
      <c r="X487" s="109"/>
      <c r="Y487" s="109"/>
      <c r="Z487" s="109"/>
      <c r="AA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8"/>
      <c r="S488" s="109"/>
      <c r="T488" s="109"/>
      <c r="U488" s="109"/>
      <c r="V488" s="109"/>
      <c r="W488" s="109"/>
      <c r="X488" s="109"/>
      <c r="Y488" s="109"/>
      <c r="Z488" s="109"/>
      <c r="AA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8"/>
      <c r="S489" s="109"/>
      <c r="T489" s="109"/>
      <c r="U489" s="109"/>
      <c r="V489" s="109"/>
      <c r="W489" s="109"/>
      <c r="X489" s="109"/>
      <c r="Y489" s="109"/>
      <c r="Z489" s="109"/>
      <c r="AA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8"/>
      <c r="S490" s="109"/>
      <c r="T490" s="109"/>
      <c r="U490" s="109"/>
      <c r="V490" s="109"/>
      <c r="W490" s="109"/>
      <c r="X490" s="109"/>
      <c r="Y490" s="109"/>
      <c r="Z490" s="109"/>
      <c r="AA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8"/>
      <c r="S491" s="109"/>
      <c r="T491" s="109"/>
      <c r="U491" s="109"/>
      <c r="V491" s="109"/>
      <c r="W491" s="109"/>
      <c r="X491" s="109"/>
      <c r="Y491" s="109"/>
      <c r="Z491" s="109"/>
      <c r="AA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8"/>
      <c r="S492" s="109"/>
      <c r="T492" s="109"/>
      <c r="U492" s="109"/>
      <c r="V492" s="109"/>
      <c r="W492" s="109"/>
      <c r="X492" s="109"/>
      <c r="Y492" s="109"/>
      <c r="Z492" s="109"/>
      <c r="AA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8"/>
      <c r="S493" s="109"/>
      <c r="T493" s="109"/>
      <c r="U493" s="109"/>
      <c r="V493" s="109"/>
      <c r="W493" s="109"/>
      <c r="X493" s="109"/>
      <c r="Y493" s="109"/>
      <c r="Z493" s="109"/>
      <c r="AA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8"/>
      <c r="S494" s="109"/>
      <c r="T494" s="109"/>
      <c r="U494" s="109"/>
      <c r="V494" s="109"/>
      <c r="W494" s="109"/>
      <c r="X494" s="109"/>
      <c r="Y494" s="109"/>
      <c r="Z494" s="109"/>
      <c r="AA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8"/>
      <c r="S495" s="109"/>
      <c r="T495" s="109"/>
      <c r="U495" s="109"/>
      <c r="V495" s="109"/>
      <c r="W495" s="109"/>
      <c r="X495" s="109"/>
      <c r="Y495" s="109"/>
      <c r="Z495" s="109"/>
      <c r="AA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8"/>
      <c r="S496" s="109"/>
      <c r="T496" s="109"/>
      <c r="U496" s="109"/>
      <c r="V496" s="109"/>
      <c r="W496" s="109"/>
      <c r="X496" s="109"/>
      <c r="Y496" s="109"/>
      <c r="Z496" s="109"/>
      <c r="AA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8"/>
      <c r="S497" s="109"/>
      <c r="T497" s="109"/>
      <c r="U497" s="109"/>
      <c r="V497" s="109"/>
      <c r="W497" s="109"/>
      <c r="X497" s="109"/>
      <c r="Y497" s="109"/>
      <c r="Z497" s="109"/>
      <c r="AA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8"/>
      <c r="S498" s="109"/>
      <c r="T498" s="109"/>
      <c r="U498" s="109"/>
      <c r="V498" s="109"/>
      <c r="W498" s="109"/>
      <c r="X498" s="109"/>
      <c r="Y498" s="109"/>
      <c r="Z498" s="109"/>
      <c r="AA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8"/>
      <c r="S499" s="109"/>
      <c r="T499" s="109"/>
      <c r="U499" s="109"/>
      <c r="V499" s="109"/>
      <c r="W499" s="109"/>
      <c r="X499" s="109"/>
      <c r="Y499" s="109"/>
      <c r="Z499" s="109"/>
      <c r="AA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8"/>
      <c r="S500" s="109"/>
      <c r="T500" s="109"/>
      <c r="U500" s="109"/>
      <c r="V500" s="109"/>
      <c r="W500" s="109"/>
      <c r="X500" s="109"/>
      <c r="Y500" s="109"/>
      <c r="Z500" s="109"/>
      <c r="AA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8"/>
      <c r="S501" s="109"/>
      <c r="T501" s="109"/>
      <c r="U501" s="109"/>
      <c r="V501" s="109"/>
      <c r="W501" s="109"/>
      <c r="X501" s="109"/>
      <c r="Y501" s="109"/>
      <c r="Z501" s="109"/>
      <c r="AA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8"/>
      <c r="S502" s="109"/>
      <c r="T502" s="109"/>
      <c r="U502" s="109"/>
      <c r="V502" s="109"/>
      <c r="W502" s="109"/>
      <c r="X502" s="109"/>
      <c r="Y502" s="109"/>
      <c r="Z502" s="109"/>
      <c r="AA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8"/>
      <c r="S503" s="109"/>
      <c r="T503" s="109"/>
      <c r="U503" s="109"/>
      <c r="V503" s="109"/>
      <c r="W503" s="109"/>
      <c r="X503" s="109"/>
      <c r="Y503" s="109"/>
      <c r="Z503" s="109"/>
      <c r="AA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8"/>
      <c r="S504" s="109"/>
      <c r="T504" s="109"/>
      <c r="U504" s="109"/>
      <c r="V504" s="109"/>
      <c r="W504" s="109"/>
      <c r="X504" s="109"/>
      <c r="Y504" s="109"/>
      <c r="Z504" s="109"/>
      <c r="AA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8"/>
      <c r="S505" s="109"/>
      <c r="T505" s="109"/>
      <c r="U505" s="109"/>
      <c r="V505" s="109"/>
      <c r="W505" s="109"/>
      <c r="X505" s="109"/>
      <c r="Y505" s="109"/>
      <c r="Z505" s="109"/>
      <c r="AA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8"/>
      <c r="S506" s="109"/>
      <c r="T506" s="109"/>
      <c r="U506" s="109"/>
      <c r="V506" s="109"/>
      <c r="W506" s="109"/>
      <c r="X506" s="109"/>
      <c r="Y506" s="109"/>
      <c r="Z506" s="109"/>
      <c r="AA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8"/>
      <c r="S507" s="109"/>
      <c r="T507" s="109"/>
      <c r="U507" s="109"/>
      <c r="V507" s="109"/>
      <c r="W507" s="109"/>
      <c r="X507" s="109"/>
      <c r="Y507" s="109"/>
      <c r="Z507" s="109"/>
      <c r="AA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8"/>
      <c r="S508" s="109"/>
      <c r="T508" s="109"/>
      <c r="U508" s="109"/>
      <c r="V508" s="109"/>
      <c r="W508" s="109"/>
      <c r="X508" s="109"/>
      <c r="Y508" s="109"/>
      <c r="Z508" s="109"/>
      <c r="AA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8"/>
      <c r="S509" s="109"/>
      <c r="T509" s="109"/>
      <c r="U509" s="109"/>
      <c r="V509" s="109"/>
      <c r="W509" s="109"/>
      <c r="X509" s="109"/>
      <c r="Y509" s="109"/>
      <c r="Z509" s="109"/>
      <c r="AA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8"/>
      <c r="S510" s="109"/>
      <c r="T510" s="109"/>
      <c r="U510" s="109"/>
      <c r="V510" s="109"/>
      <c r="W510" s="109"/>
      <c r="X510" s="109"/>
      <c r="Y510" s="109"/>
      <c r="Z510" s="109"/>
      <c r="AA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8"/>
      <c r="S511" s="109"/>
      <c r="T511" s="109"/>
      <c r="U511" s="109"/>
      <c r="V511" s="109"/>
      <c r="W511" s="109"/>
      <c r="X511" s="109"/>
      <c r="Y511" s="109"/>
      <c r="Z511" s="109"/>
      <c r="AA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8"/>
      <c r="S512" s="109"/>
      <c r="T512" s="109"/>
      <c r="U512" s="109"/>
      <c r="V512" s="109"/>
      <c r="W512" s="109"/>
      <c r="X512" s="109"/>
      <c r="Y512" s="109"/>
      <c r="Z512" s="109"/>
      <c r="AA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8"/>
      <c r="S513" s="109"/>
      <c r="T513" s="109"/>
      <c r="U513" s="109"/>
      <c r="V513" s="109"/>
      <c r="W513" s="109"/>
      <c r="X513" s="109"/>
      <c r="Y513" s="109"/>
      <c r="Z513" s="109"/>
      <c r="AA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8"/>
      <c r="S514" s="109"/>
      <c r="T514" s="109"/>
      <c r="U514" s="109"/>
      <c r="V514" s="109"/>
      <c r="W514" s="109"/>
      <c r="X514" s="109"/>
      <c r="Y514" s="109"/>
      <c r="Z514" s="109"/>
      <c r="AA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8"/>
      <c r="S515" s="109"/>
      <c r="T515" s="109"/>
      <c r="U515" s="109"/>
      <c r="V515" s="109"/>
      <c r="W515" s="109"/>
      <c r="X515" s="109"/>
      <c r="Y515" s="109"/>
      <c r="Z515" s="109"/>
      <c r="AA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8"/>
      <c r="S516" s="109"/>
      <c r="T516" s="109"/>
      <c r="U516" s="109"/>
      <c r="V516" s="109"/>
      <c r="W516" s="109"/>
      <c r="X516" s="109"/>
      <c r="Y516" s="109"/>
      <c r="Z516" s="109"/>
      <c r="AA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8"/>
      <c r="S517" s="109"/>
      <c r="T517" s="109"/>
      <c r="U517" s="109"/>
      <c r="V517" s="109"/>
      <c r="W517" s="109"/>
      <c r="X517" s="109"/>
      <c r="Y517" s="109"/>
      <c r="Z517" s="109"/>
      <c r="AA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8"/>
      <c r="S518" s="109"/>
      <c r="T518" s="109"/>
      <c r="U518" s="109"/>
      <c r="V518" s="109"/>
      <c r="W518" s="109"/>
      <c r="X518" s="109"/>
      <c r="Y518" s="109"/>
      <c r="Z518" s="109"/>
      <c r="AA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8"/>
      <c r="S519" s="109"/>
      <c r="T519" s="109"/>
      <c r="U519" s="109"/>
      <c r="V519" s="109"/>
      <c r="W519" s="109"/>
      <c r="X519" s="109"/>
      <c r="Y519" s="109"/>
      <c r="Z519" s="109"/>
      <c r="AA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8"/>
      <c r="S520" s="109"/>
      <c r="T520" s="109"/>
      <c r="U520" s="109"/>
      <c r="V520" s="109"/>
      <c r="W520" s="109"/>
      <c r="X520" s="109"/>
      <c r="Y520" s="109"/>
      <c r="Z520" s="109"/>
      <c r="AA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8"/>
      <c r="S521" s="109"/>
      <c r="T521" s="109"/>
      <c r="U521" s="109"/>
      <c r="V521" s="109"/>
      <c r="W521" s="109"/>
      <c r="X521" s="109"/>
      <c r="Y521" s="109"/>
      <c r="Z521" s="109"/>
      <c r="AA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8"/>
      <c r="S522" s="109"/>
      <c r="T522" s="109"/>
      <c r="U522" s="109"/>
      <c r="V522" s="109"/>
      <c r="W522" s="109"/>
      <c r="X522" s="109"/>
      <c r="Y522" s="109"/>
      <c r="Z522" s="109"/>
      <c r="AA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8"/>
      <c r="S523" s="109"/>
      <c r="T523" s="109"/>
      <c r="U523" s="109"/>
      <c r="V523" s="109"/>
      <c r="W523" s="109"/>
      <c r="X523" s="109"/>
      <c r="Y523" s="109"/>
      <c r="Z523" s="109"/>
      <c r="AA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8"/>
      <c r="S524" s="109"/>
      <c r="T524" s="109"/>
      <c r="U524" s="109"/>
      <c r="V524" s="109"/>
      <c r="W524" s="109"/>
      <c r="X524" s="109"/>
      <c r="Y524" s="109"/>
      <c r="Z524" s="109"/>
      <c r="AA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8"/>
      <c r="S525" s="109"/>
      <c r="T525" s="109"/>
      <c r="U525" s="109"/>
      <c r="V525" s="109"/>
      <c r="W525" s="109"/>
      <c r="X525" s="109"/>
      <c r="Y525" s="109"/>
      <c r="Z525" s="109"/>
      <c r="AA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8"/>
      <c r="S526" s="109"/>
      <c r="T526" s="109"/>
      <c r="U526" s="109"/>
      <c r="V526" s="109"/>
      <c r="W526" s="109"/>
      <c r="X526" s="109"/>
      <c r="Y526" s="109"/>
      <c r="Z526" s="109"/>
      <c r="AA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8"/>
      <c r="S527" s="109"/>
      <c r="T527" s="109"/>
      <c r="U527" s="109"/>
      <c r="V527" s="109"/>
      <c r="W527" s="109"/>
      <c r="X527" s="109"/>
      <c r="Y527" s="109"/>
      <c r="Z527" s="109"/>
      <c r="AA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8"/>
      <c r="S528" s="109"/>
      <c r="T528" s="109"/>
      <c r="U528" s="109"/>
      <c r="V528" s="109"/>
      <c r="W528" s="109"/>
      <c r="X528" s="109"/>
      <c r="Y528" s="109"/>
      <c r="Z528" s="109"/>
      <c r="AA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8"/>
      <c r="S529" s="109"/>
      <c r="T529" s="109"/>
      <c r="U529" s="109"/>
      <c r="V529" s="109"/>
      <c r="W529" s="109"/>
      <c r="X529" s="109"/>
      <c r="Y529" s="109"/>
      <c r="Z529" s="109"/>
      <c r="AA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8"/>
      <c r="S530" s="109"/>
      <c r="T530" s="109"/>
      <c r="U530" s="109"/>
      <c r="V530" s="109"/>
      <c r="W530" s="109"/>
      <c r="X530" s="109"/>
      <c r="Y530" s="109"/>
      <c r="Z530" s="109"/>
      <c r="AA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8"/>
      <c r="S531" s="109"/>
      <c r="T531" s="109"/>
      <c r="U531" s="109"/>
      <c r="V531" s="109"/>
      <c r="W531" s="109"/>
      <c r="X531" s="109"/>
      <c r="Y531" s="109"/>
      <c r="Z531" s="109"/>
      <c r="AA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8"/>
      <c r="S532" s="109"/>
      <c r="T532" s="109"/>
      <c r="U532" s="109"/>
      <c r="V532" s="109"/>
      <c r="W532" s="109"/>
      <c r="X532" s="109"/>
      <c r="Y532" s="109"/>
      <c r="Z532" s="109"/>
      <c r="AA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8"/>
      <c r="S533" s="109"/>
      <c r="T533" s="109"/>
      <c r="U533" s="109"/>
      <c r="V533" s="109"/>
      <c r="W533" s="109"/>
      <c r="X533" s="109"/>
      <c r="Y533" s="109"/>
      <c r="Z533" s="109"/>
      <c r="AA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8"/>
      <c r="S534" s="109"/>
      <c r="T534" s="109"/>
      <c r="U534" s="109"/>
      <c r="V534" s="109"/>
      <c r="W534" s="109"/>
      <c r="X534" s="109"/>
      <c r="Y534" s="109"/>
      <c r="Z534" s="109"/>
      <c r="AA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8"/>
      <c r="S535" s="109"/>
      <c r="T535" s="109"/>
      <c r="U535" s="109"/>
      <c r="V535" s="109"/>
      <c r="W535" s="109"/>
      <c r="X535" s="109"/>
      <c r="Y535" s="109"/>
      <c r="Z535" s="109"/>
      <c r="AA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8"/>
      <c r="S536" s="109"/>
      <c r="T536" s="109"/>
      <c r="U536" s="109"/>
      <c r="V536" s="109"/>
      <c r="W536" s="109"/>
      <c r="X536" s="109"/>
      <c r="Y536" s="109"/>
      <c r="Z536" s="109"/>
      <c r="AA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8"/>
      <c r="S537" s="109"/>
      <c r="T537" s="109"/>
      <c r="U537" s="109"/>
      <c r="V537" s="109"/>
      <c r="W537" s="109"/>
      <c r="X537" s="109"/>
      <c r="Y537" s="109"/>
      <c r="Z537" s="109"/>
      <c r="AA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8"/>
      <c r="S538" s="109"/>
      <c r="T538" s="109"/>
      <c r="U538" s="109"/>
      <c r="V538" s="109"/>
      <c r="W538" s="109"/>
      <c r="X538" s="109"/>
      <c r="Y538" s="109"/>
      <c r="Z538" s="109"/>
      <c r="AA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8"/>
      <c r="S539" s="109"/>
      <c r="T539" s="109"/>
      <c r="U539" s="109"/>
      <c r="V539" s="109"/>
      <c r="W539" s="109"/>
      <c r="X539" s="109"/>
      <c r="Y539" s="109"/>
      <c r="Z539" s="109"/>
      <c r="AA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8"/>
      <c r="S540" s="109"/>
      <c r="T540" s="109"/>
      <c r="U540" s="109"/>
      <c r="V540" s="109"/>
      <c r="W540" s="109"/>
      <c r="X540" s="109"/>
      <c r="Y540" s="109"/>
      <c r="Z540" s="109"/>
      <c r="AA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8"/>
      <c r="S541" s="109"/>
      <c r="T541" s="109"/>
      <c r="U541" s="109"/>
      <c r="V541" s="109"/>
      <c r="W541" s="109"/>
      <c r="X541" s="109"/>
      <c r="Y541" s="109"/>
      <c r="Z541" s="109"/>
      <c r="AA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8"/>
      <c r="S542" s="109"/>
      <c r="T542" s="109"/>
      <c r="U542" s="109"/>
      <c r="V542" s="109"/>
      <c r="W542" s="109"/>
      <c r="X542" s="109"/>
      <c r="Y542" s="109"/>
      <c r="Z542" s="109"/>
      <c r="AA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8"/>
      <c r="S543" s="109"/>
      <c r="T543" s="109"/>
      <c r="U543" s="109"/>
      <c r="V543" s="109"/>
      <c r="W543" s="109"/>
      <c r="X543" s="109"/>
      <c r="Y543" s="109"/>
      <c r="Z543" s="109"/>
      <c r="AA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8"/>
      <c r="S544" s="109"/>
      <c r="T544" s="109"/>
      <c r="U544" s="109"/>
      <c r="V544" s="109"/>
      <c r="W544" s="109"/>
      <c r="X544" s="109"/>
      <c r="Y544" s="109"/>
      <c r="Z544" s="109"/>
      <c r="AA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8"/>
      <c r="S545" s="109"/>
      <c r="T545" s="109"/>
      <c r="U545" s="109"/>
      <c r="V545" s="109"/>
      <c r="W545" s="109"/>
      <c r="X545" s="109"/>
      <c r="Y545" s="109"/>
      <c r="Z545" s="109"/>
      <c r="AA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8"/>
      <c r="S546" s="109"/>
      <c r="T546" s="109"/>
      <c r="U546" s="109"/>
      <c r="V546" s="109"/>
      <c r="W546" s="109"/>
      <c r="X546" s="109"/>
      <c r="Y546" s="109"/>
      <c r="Z546" s="109"/>
      <c r="AA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8"/>
      <c r="S547" s="109"/>
      <c r="T547" s="109"/>
      <c r="U547" s="109"/>
      <c r="V547" s="109"/>
      <c r="W547" s="109"/>
      <c r="X547" s="109"/>
      <c r="Y547" s="109"/>
      <c r="Z547" s="109"/>
      <c r="AA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8"/>
      <c r="S548" s="109"/>
      <c r="T548" s="109"/>
      <c r="U548" s="109"/>
      <c r="V548" s="109"/>
      <c r="W548" s="109"/>
      <c r="X548" s="109"/>
      <c r="Y548" s="109"/>
      <c r="Z548" s="109"/>
      <c r="AA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8"/>
      <c r="S549" s="109"/>
      <c r="T549" s="109"/>
      <c r="U549" s="109"/>
      <c r="V549" s="109"/>
      <c r="W549" s="109"/>
      <c r="X549" s="109"/>
      <c r="Y549" s="109"/>
      <c r="Z549" s="109"/>
      <c r="AA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8"/>
      <c r="S550" s="109"/>
      <c r="T550" s="109"/>
      <c r="U550" s="109"/>
      <c r="V550" s="109"/>
      <c r="W550" s="109"/>
      <c r="X550" s="109"/>
      <c r="Y550" s="109"/>
      <c r="Z550" s="109"/>
      <c r="AA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8"/>
      <c r="S551" s="109"/>
      <c r="T551" s="109"/>
      <c r="U551" s="109"/>
      <c r="V551" s="109"/>
      <c r="W551" s="109"/>
      <c r="X551" s="109"/>
      <c r="Y551" s="109"/>
      <c r="Z551" s="109"/>
      <c r="AA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8"/>
      <c r="S552" s="109"/>
      <c r="T552" s="109"/>
      <c r="U552" s="109"/>
      <c r="V552" s="109"/>
      <c r="W552" s="109"/>
      <c r="X552" s="109"/>
      <c r="Y552" s="109"/>
      <c r="Z552" s="109"/>
      <c r="AA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8"/>
      <c r="S553" s="109"/>
      <c r="T553" s="109"/>
      <c r="U553" s="109"/>
      <c r="V553" s="109"/>
      <c r="W553" s="109"/>
      <c r="X553" s="109"/>
      <c r="Y553" s="109"/>
      <c r="Z553" s="109"/>
      <c r="AA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8"/>
      <c r="S554" s="109"/>
      <c r="T554" s="109"/>
      <c r="U554" s="109"/>
      <c r="V554" s="109"/>
      <c r="W554" s="109"/>
      <c r="X554" s="109"/>
      <c r="Y554" s="109"/>
      <c r="Z554" s="109"/>
      <c r="AA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8"/>
      <c r="S555" s="109"/>
      <c r="T555" s="109"/>
      <c r="U555" s="109"/>
      <c r="V555" s="109"/>
      <c r="W555" s="109"/>
      <c r="X555" s="109"/>
      <c r="Y555" s="109"/>
      <c r="Z555" s="109"/>
      <c r="AA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8"/>
      <c r="S556" s="109"/>
      <c r="T556" s="109"/>
      <c r="U556" s="109"/>
      <c r="V556" s="109"/>
      <c r="W556" s="109"/>
      <c r="X556" s="109"/>
      <c r="Y556" s="109"/>
      <c r="Z556" s="109"/>
      <c r="AA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8"/>
      <c r="S557" s="109"/>
      <c r="T557" s="109"/>
      <c r="U557" s="109"/>
      <c r="V557" s="109"/>
      <c r="W557" s="109"/>
      <c r="X557" s="109"/>
      <c r="Y557" s="109"/>
      <c r="Z557" s="109"/>
      <c r="AA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8"/>
      <c r="S558" s="109"/>
      <c r="T558" s="109"/>
      <c r="U558" s="109"/>
      <c r="V558" s="109"/>
      <c r="W558" s="109"/>
      <c r="X558" s="109"/>
      <c r="Y558" s="109"/>
      <c r="Z558" s="109"/>
      <c r="AA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8"/>
      <c r="S559" s="109"/>
      <c r="T559" s="109"/>
      <c r="U559" s="109"/>
      <c r="V559" s="109"/>
      <c r="W559" s="109"/>
      <c r="X559" s="109"/>
      <c r="Y559" s="109"/>
      <c r="Z559" s="109"/>
      <c r="AA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8"/>
      <c r="S560" s="109"/>
      <c r="T560" s="109"/>
      <c r="U560" s="109"/>
      <c r="V560" s="109"/>
      <c r="W560" s="109"/>
      <c r="X560" s="109"/>
      <c r="Y560" s="109"/>
      <c r="Z560" s="109"/>
      <c r="AA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8"/>
      <c r="S561" s="109"/>
      <c r="T561" s="109"/>
      <c r="U561" s="109"/>
      <c r="V561" s="109"/>
      <c r="W561" s="109"/>
      <c r="X561" s="109"/>
      <c r="Y561" s="109"/>
      <c r="Z561" s="109"/>
      <c r="AA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8"/>
      <c r="S562" s="109"/>
      <c r="T562" s="109"/>
      <c r="U562" s="109"/>
      <c r="V562" s="109"/>
      <c r="W562" s="109"/>
      <c r="X562" s="109"/>
      <c r="Y562" s="109"/>
      <c r="Z562" s="109"/>
      <c r="AA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8"/>
      <c r="S563" s="109"/>
      <c r="T563" s="109"/>
      <c r="U563" s="109"/>
      <c r="V563" s="109"/>
      <c r="W563" s="109"/>
      <c r="X563" s="109"/>
      <c r="Y563" s="109"/>
      <c r="Z563" s="109"/>
      <c r="AA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8"/>
      <c r="S564" s="109"/>
      <c r="T564" s="109"/>
      <c r="U564" s="109"/>
      <c r="V564" s="109"/>
      <c r="W564" s="109"/>
      <c r="X564" s="109"/>
      <c r="Y564" s="109"/>
      <c r="Z564" s="109"/>
      <c r="AA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8"/>
      <c r="S565" s="109"/>
      <c r="T565" s="109"/>
      <c r="U565" s="109"/>
      <c r="V565" s="109"/>
      <c r="W565" s="109"/>
      <c r="X565" s="109"/>
      <c r="Y565" s="109"/>
      <c r="Z565" s="109"/>
      <c r="AA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8"/>
      <c r="S566" s="109"/>
      <c r="T566" s="109"/>
      <c r="U566" s="109"/>
      <c r="V566" s="109"/>
      <c r="W566" s="109"/>
      <c r="X566" s="109"/>
      <c r="Y566" s="109"/>
      <c r="Z566" s="109"/>
      <c r="AA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8"/>
      <c r="S567" s="109"/>
      <c r="T567" s="109"/>
      <c r="U567" s="109"/>
      <c r="V567" s="109"/>
      <c r="W567" s="109"/>
      <c r="X567" s="109"/>
      <c r="Y567" s="109"/>
      <c r="Z567" s="109"/>
      <c r="AA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8"/>
      <c r="S568" s="109"/>
      <c r="T568" s="109"/>
      <c r="U568" s="109"/>
      <c r="V568" s="109"/>
      <c r="W568" s="109"/>
      <c r="X568" s="109"/>
      <c r="Y568" s="109"/>
      <c r="Z568" s="109"/>
      <c r="AA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8"/>
      <c r="S569" s="109"/>
      <c r="T569" s="109"/>
      <c r="U569" s="109"/>
      <c r="V569" s="109"/>
      <c r="W569" s="109"/>
      <c r="X569" s="109"/>
      <c r="Y569" s="109"/>
      <c r="Z569" s="109"/>
      <c r="AA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8"/>
      <c r="S570" s="109"/>
      <c r="T570" s="109"/>
      <c r="U570" s="109"/>
      <c r="V570" s="109"/>
      <c r="W570" s="109"/>
      <c r="X570" s="109"/>
      <c r="Y570" s="109"/>
      <c r="Z570" s="109"/>
      <c r="AA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8"/>
      <c r="S571" s="109"/>
      <c r="T571" s="109"/>
      <c r="U571" s="109"/>
      <c r="V571" s="109"/>
      <c r="W571" s="109"/>
      <c r="X571" s="109"/>
      <c r="Y571" s="109"/>
      <c r="Z571" s="109"/>
      <c r="AA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8"/>
      <c r="S572" s="109"/>
      <c r="T572" s="109"/>
      <c r="U572" s="109"/>
      <c r="V572" s="109"/>
      <c r="W572" s="109"/>
      <c r="X572" s="109"/>
      <c r="Y572" s="109"/>
      <c r="Z572" s="109"/>
      <c r="AA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8"/>
      <c r="S573" s="109"/>
      <c r="T573" s="109"/>
      <c r="U573" s="109"/>
      <c r="V573" s="109"/>
      <c r="W573" s="109"/>
      <c r="X573" s="109"/>
      <c r="Y573" s="109"/>
      <c r="Z573" s="109"/>
      <c r="AA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8"/>
      <c r="S574" s="109"/>
      <c r="T574" s="109"/>
      <c r="U574" s="109"/>
      <c r="V574" s="109"/>
      <c r="W574" s="109"/>
      <c r="X574" s="109"/>
      <c r="Y574" s="109"/>
      <c r="Z574" s="109"/>
      <c r="AA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8"/>
      <c r="S575" s="109"/>
      <c r="T575" s="109"/>
      <c r="U575" s="109"/>
      <c r="V575" s="109"/>
      <c r="W575" s="109"/>
      <c r="X575" s="109"/>
      <c r="Y575" s="109"/>
      <c r="Z575" s="109"/>
      <c r="AA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8"/>
      <c r="S576" s="109"/>
      <c r="T576" s="109"/>
      <c r="U576" s="109"/>
      <c r="V576" s="109"/>
      <c r="W576" s="109"/>
      <c r="X576" s="109"/>
      <c r="Y576" s="109"/>
      <c r="Z576" s="109"/>
      <c r="AA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8"/>
      <c r="S577" s="109"/>
      <c r="T577" s="109"/>
      <c r="U577" s="109"/>
      <c r="V577" s="109"/>
      <c r="W577" s="109"/>
      <c r="X577" s="109"/>
      <c r="Y577" s="109"/>
      <c r="Z577" s="109"/>
      <c r="AA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8"/>
      <c r="S578" s="109"/>
      <c r="T578" s="109"/>
      <c r="U578" s="109"/>
      <c r="V578" s="109"/>
      <c r="W578" s="109"/>
      <c r="X578" s="109"/>
      <c r="Y578" s="109"/>
      <c r="Z578" s="109"/>
      <c r="AA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8"/>
      <c r="S579" s="109"/>
      <c r="T579" s="109"/>
      <c r="U579" s="109"/>
      <c r="V579" s="109"/>
      <c r="W579" s="109"/>
      <c r="X579" s="109"/>
      <c r="Y579" s="109"/>
      <c r="Z579" s="109"/>
      <c r="AA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8"/>
      <c r="S580" s="109"/>
      <c r="T580" s="109"/>
      <c r="U580" s="109"/>
      <c r="V580" s="109"/>
      <c r="W580" s="109"/>
      <c r="X580" s="109"/>
      <c r="Y580" s="109"/>
      <c r="Z580" s="109"/>
      <c r="AA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8"/>
      <c r="S581" s="109"/>
      <c r="T581" s="109"/>
      <c r="U581" s="109"/>
      <c r="V581" s="109"/>
      <c r="W581" s="109"/>
      <c r="X581" s="109"/>
      <c r="Y581" s="109"/>
      <c r="Z581" s="109"/>
      <c r="AA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8"/>
      <c r="S582" s="109"/>
      <c r="T582" s="109"/>
      <c r="U582" s="109"/>
      <c r="V582" s="109"/>
      <c r="W582" s="109"/>
      <c r="X582" s="109"/>
      <c r="Y582" s="109"/>
      <c r="Z582" s="109"/>
      <c r="AA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8"/>
      <c r="S583" s="109"/>
      <c r="T583" s="109"/>
      <c r="U583" s="109"/>
      <c r="V583" s="109"/>
      <c r="W583" s="109"/>
      <c r="X583" s="109"/>
      <c r="Y583" s="109"/>
      <c r="Z583" s="109"/>
      <c r="AA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8"/>
      <c r="S584" s="109"/>
      <c r="T584" s="109"/>
      <c r="U584" s="109"/>
      <c r="V584" s="109"/>
      <c r="W584" s="109"/>
      <c r="X584" s="109"/>
      <c r="Y584" s="109"/>
      <c r="Z584" s="109"/>
      <c r="AA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8"/>
      <c r="S585" s="109"/>
      <c r="T585" s="109"/>
      <c r="U585" s="109"/>
      <c r="V585" s="109"/>
      <c r="W585" s="109"/>
      <c r="X585" s="109"/>
      <c r="Y585" s="109"/>
      <c r="Z585" s="109"/>
      <c r="AA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8"/>
      <c r="S586" s="109"/>
      <c r="T586" s="109"/>
      <c r="U586" s="109"/>
      <c r="V586" s="109"/>
      <c r="W586" s="109"/>
      <c r="X586" s="109"/>
      <c r="Y586" s="109"/>
      <c r="Z586" s="109"/>
      <c r="AA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8"/>
      <c r="S587" s="109"/>
      <c r="T587" s="109"/>
      <c r="U587" s="109"/>
      <c r="V587" s="109"/>
      <c r="W587" s="109"/>
      <c r="X587" s="109"/>
      <c r="Y587" s="109"/>
      <c r="Z587" s="109"/>
      <c r="AA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8"/>
      <c r="S588" s="109"/>
      <c r="T588" s="109"/>
      <c r="U588" s="109"/>
      <c r="V588" s="109"/>
      <c r="W588" s="109"/>
      <c r="X588" s="109"/>
      <c r="Y588" s="109"/>
      <c r="Z588" s="109"/>
      <c r="AA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8"/>
      <c r="S589" s="109"/>
      <c r="T589" s="109"/>
      <c r="U589" s="109"/>
      <c r="V589" s="109"/>
      <c r="W589" s="109"/>
      <c r="X589" s="109"/>
      <c r="Y589" s="109"/>
      <c r="Z589" s="109"/>
      <c r="AA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8"/>
      <c r="S590" s="109"/>
      <c r="T590" s="109"/>
      <c r="U590" s="109"/>
      <c r="V590" s="109"/>
      <c r="W590" s="109"/>
      <c r="X590" s="109"/>
      <c r="Y590" s="109"/>
      <c r="Z590" s="109"/>
      <c r="AA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8"/>
      <c r="S591" s="109"/>
      <c r="T591" s="109"/>
      <c r="U591" s="109"/>
      <c r="V591" s="109"/>
      <c r="W591" s="109"/>
      <c r="X591" s="109"/>
      <c r="Y591" s="109"/>
      <c r="Z591" s="109"/>
      <c r="AA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8"/>
      <c r="S592" s="109"/>
      <c r="T592" s="109"/>
      <c r="U592" s="109"/>
      <c r="V592" s="109"/>
      <c r="W592" s="109"/>
      <c r="X592" s="109"/>
      <c r="Y592" s="109"/>
      <c r="Z592" s="109"/>
      <c r="AA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8"/>
      <c r="S593" s="109"/>
      <c r="T593" s="109"/>
      <c r="U593" s="109"/>
      <c r="V593" s="109"/>
      <c r="W593" s="109"/>
      <c r="X593" s="109"/>
      <c r="Y593" s="109"/>
      <c r="Z593" s="109"/>
      <c r="AA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8"/>
      <c r="S594" s="109"/>
      <c r="T594" s="109"/>
      <c r="U594" s="109"/>
      <c r="V594" s="109"/>
      <c r="W594" s="109"/>
      <c r="X594" s="109"/>
      <c r="Y594" s="109"/>
      <c r="Z594" s="109"/>
      <c r="AA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8"/>
      <c r="S595" s="109"/>
      <c r="T595" s="109"/>
      <c r="U595" s="109"/>
      <c r="V595" s="109"/>
      <c r="W595" s="109"/>
      <c r="X595" s="109"/>
      <c r="Y595" s="109"/>
      <c r="Z595" s="109"/>
      <c r="AA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8"/>
      <c r="S596" s="109"/>
      <c r="T596" s="109"/>
      <c r="U596" s="109"/>
      <c r="V596" s="109"/>
      <c r="W596" s="109"/>
      <c r="X596" s="109"/>
      <c r="Y596" s="109"/>
      <c r="Z596" s="109"/>
      <c r="AA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8"/>
      <c r="S597" s="109"/>
      <c r="T597" s="109"/>
      <c r="U597" s="109"/>
      <c r="V597" s="109"/>
      <c r="W597" s="109"/>
      <c r="X597" s="109"/>
      <c r="Y597" s="109"/>
      <c r="Z597" s="109"/>
      <c r="AA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8"/>
      <c r="S598" s="109"/>
      <c r="T598" s="109"/>
      <c r="U598" s="109"/>
      <c r="V598" s="109"/>
      <c r="W598" s="109"/>
      <c r="X598" s="109"/>
      <c r="Y598" s="109"/>
      <c r="Z598" s="109"/>
      <c r="AA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8"/>
      <c r="S599" s="109"/>
      <c r="T599" s="109"/>
      <c r="U599" s="109"/>
      <c r="V599" s="109"/>
      <c r="W599" s="109"/>
      <c r="X599" s="109"/>
      <c r="Y599" s="109"/>
      <c r="Z599" s="109"/>
      <c r="AA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8"/>
      <c r="S600" s="109"/>
      <c r="T600" s="109"/>
      <c r="U600" s="109"/>
      <c r="V600" s="109"/>
      <c r="W600" s="109"/>
      <c r="X600" s="109"/>
      <c r="Y600" s="109"/>
      <c r="Z600" s="109"/>
      <c r="AA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8"/>
      <c r="S601" s="109"/>
      <c r="T601" s="109"/>
      <c r="U601" s="109"/>
      <c r="V601" s="109"/>
      <c r="W601" s="109"/>
      <c r="X601" s="109"/>
      <c r="Y601" s="109"/>
      <c r="Z601" s="109"/>
      <c r="AA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8"/>
      <c r="S602" s="109"/>
      <c r="T602" s="109"/>
      <c r="U602" s="109"/>
      <c r="V602" s="109"/>
      <c r="W602" s="109"/>
      <c r="X602" s="109"/>
      <c r="Y602" s="109"/>
      <c r="Z602" s="109"/>
      <c r="AA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8"/>
      <c r="S603" s="109"/>
      <c r="T603" s="109"/>
      <c r="U603" s="109"/>
      <c r="V603" s="109"/>
      <c r="W603" s="109"/>
      <c r="X603" s="109"/>
      <c r="Y603" s="109"/>
      <c r="Z603" s="109"/>
      <c r="AA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8"/>
      <c r="S604" s="109"/>
      <c r="T604" s="109"/>
      <c r="U604" s="109"/>
      <c r="V604" s="109"/>
      <c r="W604" s="109"/>
      <c r="X604" s="109"/>
      <c r="Y604" s="109"/>
      <c r="Z604" s="109"/>
      <c r="AA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8"/>
      <c r="S605" s="109"/>
      <c r="T605" s="109"/>
      <c r="U605" s="109"/>
      <c r="V605" s="109"/>
      <c r="W605" s="109"/>
      <c r="X605" s="109"/>
      <c r="Y605" s="109"/>
      <c r="Z605" s="109"/>
      <c r="AA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8"/>
      <c r="S606" s="109"/>
      <c r="T606" s="109"/>
      <c r="U606" s="109"/>
      <c r="V606" s="109"/>
      <c r="W606" s="109"/>
      <c r="X606" s="109"/>
      <c r="Y606" s="109"/>
      <c r="Z606" s="109"/>
      <c r="AA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8"/>
      <c r="S607" s="109"/>
      <c r="T607" s="109"/>
      <c r="U607" s="109"/>
      <c r="V607" s="109"/>
      <c r="W607" s="109"/>
      <c r="X607" s="109"/>
      <c r="Y607" s="109"/>
      <c r="Z607" s="109"/>
      <c r="AA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8"/>
      <c r="S608" s="109"/>
      <c r="T608" s="109"/>
      <c r="U608" s="109"/>
      <c r="V608" s="109"/>
      <c r="W608" s="109"/>
      <c r="X608" s="109"/>
      <c r="Y608" s="109"/>
      <c r="Z608" s="109"/>
      <c r="AA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79</v>
      </c>
      <c r="D1" s="142"/>
      <c r="E1" s="144"/>
      <c r="F1" s="142"/>
      <c r="G1" s="143" t="s">
        <v>80</v>
      </c>
      <c r="H1" s="142"/>
      <c r="I1" s="144"/>
      <c r="J1" s="142"/>
      <c r="K1" s="143" t="s">
        <v>81</v>
      </c>
      <c r="L1" s="142"/>
      <c r="M1" s="144"/>
      <c r="N1" s="142"/>
      <c r="O1" s="143" t="s">
        <v>82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B3" s="17">
        <v>51236.0</v>
      </c>
      <c r="C3" s="9" t="str">
        <f>VLOOKUP(B3,'FML March 2026'!E:F,2,false)</f>
        <v>ACID CITRIC  1 KG L. FRANCOIS CUISINE TECH</v>
      </c>
      <c r="D3" s="9" t="str">
        <f>VLOOKUP(B3,'Unit of Measure ship March 2026'!A:C,3,false)</f>
        <v>LBS</v>
      </c>
      <c r="F3" s="17">
        <v>23757.0</v>
      </c>
      <c r="G3" s="9" t="str">
        <f>VLOOKUP(F3,'FML March 2026'!E:F,2,false)</f>
        <v>APPLES GRANNY SMITH 88CT 40#/CS</v>
      </c>
      <c r="H3" s="9" t="str">
        <f>VLOOKUP(F3,'Unit of Measure ship March 2026'!A:C,3,false)</f>
        <v>LBS</v>
      </c>
      <c r="J3" s="17">
        <v>110970.0</v>
      </c>
      <c r="K3" s="9" t="str">
        <f>VLOOKUP(J3,'FML March 2026'!E:F,2,false)</f>
        <v>BEEF SHORT RIBS BONELESS VV, NAMP-130A</v>
      </c>
      <c r="L3" s="9" t="str">
        <f>VLOOKUP(J3,'Unit of Measure ship March 2026'!A:C,3,false)</f>
        <v>LBS</v>
      </c>
      <c r="N3" s="17">
        <v>14852.0</v>
      </c>
      <c r="O3" s="9" t="str">
        <f>VLOOKUP(N3,'FML March 2026'!E:F,2,false)</f>
        <v>SEA BASS EUROPEAN/ BRANZINO HEAD-ON GUTTED  FINISHED WEIGHT 800-1000GR POLY WRAP (HOLLAND)</v>
      </c>
      <c r="P3" s="9" t="str">
        <f>VLOOKUP(N3,'Unit of Measure ship March 2026'!A:C,3,false)</f>
        <v>LBS</v>
      </c>
    </row>
    <row r="4" ht="14.25" customHeight="1">
      <c r="B4" s="8">
        <v>110102.0</v>
      </c>
      <c r="C4" s="9" t="str">
        <f>VLOOKUP(B4,'FML March 2026'!E:F,2,false)</f>
        <v>AGAVE RAW AMBER MADHAVA</v>
      </c>
      <c r="D4" s="9" t="str">
        <f>VLOOKUP(B4,'Unit of Measure ship March 2026'!A:C,3,false)</f>
        <v>LBS</v>
      </c>
      <c r="F4" s="17">
        <v>24182.0</v>
      </c>
      <c r="G4" s="9" t="str">
        <f>VLOOKUP(F4,'FML March 2026'!E:F,2,false)</f>
        <v>ARUGULA, BABY</v>
      </c>
      <c r="H4" s="9" t="str">
        <f>VLOOKUP(F4,'Unit of Measure ship March 2026'!A:C,3,false)</f>
        <v>LBS</v>
      </c>
      <c r="N4" s="17">
        <v>14651.0</v>
      </c>
      <c r="O4" s="9" t="str">
        <f>VLOOKUP(N4,'FML March 2026'!E:F,2,false)</f>
        <v>TUNA LOIN SKINLESS FROZEN,  (IP IS FTZ) (YEMEN)</v>
      </c>
      <c r="P4" s="9" t="str">
        <f>VLOOKUP(N4,'Unit of Measure ship March 2026'!A:C,3,false)</f>
        <v>LBS</v>
      </c>
    </row>
    <row r="5" ht="14.25" customHeight="1">
      <c r="B5" s="8">
        <v>16304.0</v>
      </c>
      <c r="C5" s="9" t="str">
        <f>VLOOKUP(B5,'FML March 2026'!E:F,2,false)</f>
        <v>ANISE STAR BADIA</v>
      </c>
      <c r="D5" s="9" t="str">
        <f>VLOOKUP(B5,'Unit of Measure ship March 2026'!A:C,3,false)</f>
        <v>UNIT/8OZ</v>
      </c>
      <c r="F5" s="17">
        <v>15378.0</v>
      </c>
      <c r="G5" s="9" t="str">
        <f>VLOOKUP(F5,'FML March 2026'!E:F,2,false)</f>
        <v>AVOCADOS HASS FRESH CA-48PC FL-12/14PC 20#</v>
      </c>
      <c r="H5" s="9" t="str">
        <f>VLOOKUP(F5,'Unit of Measure ship March 2026'!A:C,3,false)</f>
        <v>LBS</v>
      </c>
      <c r="J5" s="49"/>
      <c r="K5" s="9"/>
      <c r="L5" s="9"/>
      <c r="N5" s="49"/>
      <c r="O5" s="9"/>
      <c r="P5" s="9"/>
    </row>
    <row r="6" ht="14.25" customHeight="1">
      <c r="B6" s="8">
        <v>108988.0</v>
      </c>
      <c r="C6" s="9" t="str">
        <f>VLOOKUP(B6,'FML March 2026'!E:F,2,false)</f>
        <v>ASAFOETIDA // HING</v>
      </c>
      <c r="D6" s="35" t="s">
        <v>42</v>
      </c>
      <c r="F6" s="8">
        <v>16250.0</v>
      </c>
      <c r="G6" s="9" t="str">
        <f>VLOOKUP(F6,'FML March 2026'!E:F,2,false)</f>
        <v>BAY LEAVES WHOLE D`ALLESANDRO/ SPICECO</v>
      </c>
      <c r="H6" s="9" t="str">
        <f>VLOOKUP(F6,'Unit of Measure ship March 2026'!A:C,3,false)</f>
        <v>LBS</v>
      </c>
      <c r="J6" s="49"/>
      <c r="K6" s="9"/>
      <c r="L6" s="9"/>
      <c r="N6" s="49"/>
      <c r="O6" s="9"/>
      <c r="P6" s="9"/>
    </row>
    <row r="7" ht="14.25" customHeight="1">
      <c r="B7" s="17">
        <v>15652.0</v>
      </c>
      <c r="C7" s="9" t="str">
        <f>VLOOKUP(B7,'FML March 2026'!E:F,2,false)</f>
        <v>BAKING SODA</v>
      </c>
      <c r="D7" s="9" t="str">
        <f>VLOOKUP(B7,'Unit of Measure ship March 2026'!A:C,3,false)</f>
        <v>LBS</v>
      </c>
      <c r="F7" s="17">
        <v>15455.0</v>
      </c>
      <c r="G7" s="9" t="str">
        <f>VLOOKUP(F7,'FML March 2026'!E:F,2,false)</f>
        <v>CABBAGE RED COMM MED/LG TRIMMED 50#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B8" s="8">
        <v>15016.0</v>
      </c>
      <c r="C8" s="9" t="str">
        <f>VLOOKUP(B8,'FML March 2026'!E:F,2,false)</f>
        <v>BUTTER, UNSALTED, 82% FAT, FZN, 50/200 G</v>
      </c>
      <c r="D8" s="9" t="str">
        <f>VLOOKUP(B8,'Unit of Measure ship March 2026'!A:C,3,false)</f>
        <v>LBS</v>
      </c>
      <c r="F8" s="17">
        <v>110064.0</v>
      </c>
      <c r="G8" s="9" t="str">
        <f>VLOOKUP(F8,'FML March 2026'!E:F,2,false)</f>
        <v>CARROTS RAINBOW FRESH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8">
        <v>111011.0</v>
      </c>
      <c r="C9" s="9" t="str">
        <f>VLOOKUP(B9,'FML March 2026'!E:F,2,false)</f>
        <v>CARDAMOM POD GREEN TERRA SPICE</v>
      </c>
      <c r="D9" s="9" t="str">
        <f>VLOOKUP(B9,'Unit of Measure ship March 2026'!A:C,3,false)</f>
        <v>JR32/OZ</v>
      </c>
      <c r="F9" s="17">
        <v>15459.0</v>
      </c>
      <c r="G9" s="9" t="str">
        <f>VLOOKUP(F9,'FML March 2026'!E:F,2,false)</f>
        <v>CAULIFLOWER #1 CAL. 12 CT 25#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17">
        <v>19408.0</v>
      </c>
      <c r="C10" s="9" t="str">
        <f>VLOOKUP(B10,'FML March 2026'!E:F,2,false)</f>
        <v>CHIPOTLE PEPPER CANNED SAN MARCOS IN ADOBO</v>
      </c>
      <c r="D10" s="9" t="str">
        <f>VLOOKUP(B10,'Unit of Measure ship March 2026'!A:C,3,false)</f>
        <v>CAN/7OZ</v>
      </c>
      <c r="F10" s="8">
        <v>110078.0</v>
      </c>
      <c r="G10" s="9" t="str">
        <f>VLOOKUP(F10,'FML March 2026'!E:F,2,false)</f>
        <v>CAULIFLOWER PURPLR FRESH</v>
      </c>
      <c r="H10" s="9" t="str">
        <f>VLOOKUP(F10,'Unit of Measure ship March 2026'!A:C,3,false)</f>
        <v>EA</v>
      </c>
      <c r="J10" s="49"/>
      <c r="K10" s="9"/>
      <c r="L10" s="9"/>
      <c r="N10" s="49"/>
      <c r="O10" s="9"/>
      <c r="P10" s="9"/>
    </row>
    <row r="11" ht="14.25" customHeight="1">
      <c r="B11" s="8">
        <v>16267.0</v>
      </c>
      <c r="C11" s="9" t="str">
        <f>VLOOKUP(B11,'FML March 2026'!E:F,2,false)</f>
        <v>CINNAMON STICKS BADIA (USA)</v>
      </c>
      <c r="D11" s="9" t="str">
        <f>VLOOKUP(B11,'Unit of Measure ship March 2026'!A:C,3,false)</f>
        <v>LBS</v>
      </c>
      <c r="F11" s="17">
        <v>15562.0</v>
      </c>
      <c r="G11" s="9" t="str">
        <f>VLOOKUP(F11,'FML March 2026'!E:F,2,false)</f>
        <v>CELERIAC (CELERY ROOT) 20#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15">
        <v>62920.0</v>
      </c>
      <c r="C12" s="9" t="str">
        <f>VLOOKUP(B12,'FML March 2026'!E:F,2,false)</f>
        <v>COCONUT MILK CS24/14OZ  17% TO 18%</v>
      </c>
      <c r="D12" s="9" t="str">
        <f>VLOOKUP(B12,'Unit of Measure ship March 2026'!A:C,3,false)</f>
        <v>PC/13.5Z</v>
      </c>
      <c r="F12" s="17">
        <v>15431.0</v>
      </c>
      <c r="G12" s="9" t="str">
        <f>VLOOKUP(F12,'FML March 2026'!E:F,2,false)</f>
        <v>CILANTRO (12 BUNCH) 1 LB/CS DOMESTIC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8">
        <v>109675.0</v>
      </c>
      <c r="C13" s="9" t="str">
        <f>VLOOKUP(B13,'FML March 2026'!E:F,2,false)</f>
        <v>COCONUT OIL LA TOURANGELLE</v>
      </c>
      <c r="D13" s="9" t="str">
        <f>VLOOKUP(B13,'Unit of Measure ship March 2026'!A:C,3,false)</f>
        <v>GAL</v>
      </c>
      <c r="F13" s="8">
        <v>111175.0</v>
      </c>
      <c r="G13" s="9" t="str">
        <f>VLOOKUP(F13,'FML March 2026'!E:F,2,false)</f>
        <v>CILANTRO MICRO FRESH HARPKE FAMILY FARM PK/5 OZ PACKED IN 60 OZ SIZE CLAM SHELL</v>
      </c>
      <c r="H13" s="9" t="str">
        <f>VLOOKUP(F13,'Unit of Measure ship March 2026'!A:C,3,false)</f>
        <v>EA</v>
      </c>
      <c r="J13" s="49"/>
      <c r="K13" s="9"/>
      <c r="L13" s="9"/>
      <c r="N13" s="49"/>
      <c r="O13" s="9"/>
      <c r="P13" s="9"/>
    </row>
    <row r="14" ht="14.25" customHeight="1">
      <c r="B14" s="8">
        <v>16289.0</v>
      </c>
      <c r="C14" s="9" t="str">
        <f>VLOOKUP(B14,'FML March 2026'!E:F,2,false)</f>
        <v>CORIANDER GROUND BADIA (USA )</v>
      </c>
      <c r="D14" s="9" t="str">
        <f>VLOOKUP(B14,'Unit of Measure ship March 2026'!A:C,3,false)</f>
        <v>LBS</v>
      </c>
      <c r="F14" s="17">
        <v>10013.0</v>
      </c>
      <c r="G14" s="9" t="str">
        <f>VLOOKUP(F14,'FML March 2026'!E:F,2,false)</f>
        <v>CORN ON THE COB FRESH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17">
        <v>16256.0</v>
      </c>
      <c r="C15" s="9" t="str">
        <f>VLOOKUP(B15,'FML March 2026'!E:F,2,false)</f>
        <v>CUMIN GROUND D`ALLESANDRO/ SPICECO (USA )</v>
      </c>
      <c r="D15" s="9" t="str">
        <f>VLOOKUP(B15,'Unit of Measure ship March 2026'!A:C,3,false)</f>
        <v>LBS</v>
      </c>
      <c r="F15" s="8">
        <v>30024.0</v>
      </c>
      <c r="G15" s="9" t="str">
        <f>VLOOKUP(F15,'FML March 2026'!E:F,2,false)</f>
        <v>CURRY LEAVES</v>
      </c>
      <c r="H15" s="9" t="str">
        <f>VLOOKUP(F15,'Unit of Measure ship March 2026'!A:C,3,false)</f>
        <v>KG</v>
      </c>
      <c r="J15" s="49"/>
      <c r="K15" s="9"/>
      <c r="L15" s="9"/>
      <c r="N15" s="49"/>
      <c r="O15" s="9"/>
      <c r="P15" s="9"/>
    </row>
    <row r="16" ht="14.25" customHeight="1">
      <c r="B16" s="17">
        <v>16264.0</v>
      </c>
      <c r="C16" s="9" t="str">
        <f>VLOOKUP(B16,'FML March 2026'!E:F,2,false)</f>
        <v>CUMIN SEED WHOLE BADIA (USA )</v>
      </c>
      <c r="D16" s="9" t="str">
        <f>VLOOKUP(B16,'Unit of Measure ship March 2026'!A:C,3,false)</f>
        <v>LBS</v>
      </c>
      <c r="F16" s="17">
        <v>15547.0</v>
      </c>
      <c r="G16" s="9" t="str">
        <f>VLOOKUP(F16,'FML March 2026'!E:F,2,false)</f>
        <v>FENNEL FRESH CAL. 40#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17">
        <v>15814.0</v>
      </c>
      <c r="C17" s="9" t="str">
        <f>VLOOKUP(B17,'FML March 2026'!E:F,2,false)</f>
        <v>DATES PITTED DRIED</v>
      </c>
      <c r="D17" s="9" t="str">
        <f>VLOOKUP(B17,'Unit of Measure ship March 2026'!A:C,3,false)</f>
        <v>LBS</v>
      </c>
      <c r="F17" s="15">
        <v>15466.0</v>
      </c>
      <c r="G17" s="9" t="str">
        <f>VLOOKUP(F17,'FML March 2026'!E:F,2,false)</f>
        <v>GARLIC CRATE JUMBO 30# 8 CT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17">
        <v>15022.0</v>
      </c>
      <c r="C18" s="9" t="str">
        <f>VLOOKUP(B18,'FML March 2026'!E:F,2,false)</f>
        <v>EGGS-DATED, MEDIUM, REGULAR</v>
      </c>
      <c r="D18" s="9" t="str">
        <f>VLOOKUP(B18,'Unit of Measure ship March 2026'!A:C,3,false)</f>
        <v>PC</v>
      </c>
      <c r="F18" s="17">
        <v>30639.0</v>
      </c>
      <c r="G18" s="9" t="str">
        <f>VLOOKUP(F18,'FML March 2026'!E:F,2,false)</f>
        <v>GARLIC PEELED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17">
        <v>16259.0</v>
      </c>
      <c r="C19" s="9" t="str">
        <f>VLOOKUP(B19,'FML March 2026'!E:F,2,false)</f>
        <v>FENNEL SEED WHOLE BADIA (USA )</v>
      </c>
      <c r="D19" s="9" t="str">
        <f>VLOOKUP(B19,'Unit of Measure ship March 2026'!A:C,3,false)</f>
        <v>LBS</v>
      </c>
      <c r="F19" s="17">
        <v>38392.0</v>
      </c>
      <c r="G19" s="9" t="str">
        <f>VLOOKUP(F19,'FML March 2026'!E:F,2,false)</f>
        <v>GINGER FRESH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8">
        <v>111865.0</v>
      </c>
      <c r="C20" s="9" t="str">
        <f>VLOOKUP(B20,'FML March 2026'!E:F,2,false)</f>
        <v>FLOUR ALL PURPOSE SIR GALAHAD BAG50/LBS KING ARTHUR</v>
      </c>
      <c r="D20" s="9" t="str">
        <f>VLOOKUP(B20,'Unit of Measure ship March 2026'!A:C,3,false)</f>
        <v>LBS</v>
      </c>
      <c r="F20" s="17">
        <v>61703.0</v>
      </c>
      <c r="G20" s="9" t="str">
        <f>VLOOKUP(F20,'FML March 2026'!E:F,2,false)</f>
        <v>HABANERO PEPPERS FRESH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17">
        <v>15741.0</v>
      </c>
      <c r="C21" s="9" t="str">
        <f>VLOOKUP(B21,'FML March 2026'!E:F,2,false)</f>
        <v>FLOUR SEMOLINA BAG 50/LBS DURAKOTA/BAY STATE (USA)</v>
      </c>
      <c r="D21" s="9" t="str">
        <f>VLOOKUP(B21,'Unit of Measure ship March 2026'!A:C,3,false)</f>
        <v>LBS</v>
      </c>
      <c r="F21" s="17">
        <v>15397.0</v>
      </c>
      <c r="G21" s="9" t="str">
        <f>VLOOKUP(F21,'FML March 2026'!E:F,2,false)</f>
        <v>LEMONS FRESH FIRM FANCY CALIF. SUNKIST #1 200CT 40#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8">
        <v>16337.0</v>
      </c>
      <c r="C22" s="9" t="str">
        <f>VLOOKUP(B22,'FML March 2026'!E:F,2,false)</f>
        <v>GARAM MASALA POWDER INDIAN SPICE D`ALLESANDRO/MAYA</v>
      </c>
      <c r="D22" s="9" t="str">
        <f>VLOOKUP(B22,'Unit of Measure ship March 2026'!A:C,3,false)</f>
        <v>LBS</v>
      </c>
      <c r="F22" s="17">
        <v>15399.0</v>
      </c>
      <c r="G22" s="9" t="str">
        <f>VLOOKUP(F22,'FML March 2026'!E:F,2,false)</f>
        <v>LIMES, FRESH, FIRM #1 200CT 40#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8">
        <v>16260.0</v>
      </c>
      <c r="C23" s="9" t="str">
        <f>VLOOKUP(B23,'FML March 2026'!E:F,2,false)</f>
        <v>GARLIC, POWDER, DRY, 12/16 OZ</v>
      </c>
      <c r="D23" s="9" t="str">
        <f>VLOOKUP(B23,'Unit of Measure ship March 2026'!A:C,3,false)</f>
        <v>LBS</v>
      </c>
      <c r="F23" s="8">
        <v>110068.0</v>
      </c>
      <c r="G23" s="9" t="str">
        <f>VLOOKUP(F23,'FML March 2026'!E:F,2,false)</f>
        <v>MAITAKE MUSHROOM FRESH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12672.0</v>
      </c>
      <c r="C24" s="9" t="str">
        <f>VLOOKUP(B24,'FML March 2026'!E:F,2,false)</f>
        <v>GLUTEN FREE CHICKPEA FLOUR SONALI/ PARIVAR</v>
      </c>
      <c r="D24" s="9" t="str">
        <f>VLOOKUP(B24,'Unit of Measure ship March 2026'!A:C,3,false)</f>
        <v>LBS</v>
      </c>
      <c r="F24" s="17">
        <v>15436.0</v>
      </c>
      <c r="G24" s="9" t="str">
        <f>VLOOKUP(F24,'FML March 2026'!E:F,2,false)</f>
        <v>MINT (12 BUNCH), 1 LB/CS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8">
        <v>142508.0</v>
      </c>
      <c r="C25" s="9" t="str">
        <f>VLOOKUP(B25,'FML March 2026'!E:F,2,false)</f>
        <v>KASHMIRI CHILLI POWDER INDIAN SPICE - SWAD  14 OZ</v>
      </c>
      <c r="D25" s="9" t="str">
        <f>VLOOKUP(B25,'Unit of Measure ship March 2026'!A:C,3,false)</f>
        <v>LBS</v>
      </c>
      <c r="F25" s="17">
        <v>15556.0</v>
      </c>
      <c r="G25" s="9" t="str">
        <f>VLOOKUP(F25,'FML March 2026'!E:F,2,false)</f>
        <v>MUSHROOMS SHIITAKE  FRESH NO 1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8">
        <v>108981.0</v>
      </c>
      <c r="C26" s="9" t="str">
        <f>VLOOKUP(B26,'FML March 2026'!E:F,2,false)</f>
        <v>LENTILS - URAD DAL VV</v>
      </c>
      <c r="D26" s="9" t="str">
        <f>VLOOKUP(B26,'Unit of Measure ship March 2026'!A:C,3,false)</f>
        <v>LBS</v>
      </c>
      <c r="F26" s="17">
        <v>15624.0</v>
      </c>
      <c r="G26" s="9" t="str">
        <f>VLOOKUP(F26,'FML March 2026'!E:F,2,false)</f>
        <v>OKRA FRESH 10#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8">
        <v>109668.0</v>
      </c>
      <c r="C27" s="9" t="str">
        <f>VLOOKUP(B27,'FML March 2026'!E:F,2,false)</f>
        <v>MAYONNAISE VEGAN FOLLOW YOUR HEART</v>
      </c>
      <c r="D27" s="9" t="str">
        <f>VLOOKUP(B27,'Unit of Measure ship March 2026'!A:C,3,false)</f>
        <v>GAL</v>
      </c>
      <c r="F27" s="8">
        <v>46179.0</v>
      </c>
      <c r="G27" s="9" t="str">
        <f>VLOOKUP(F27,'FML March 2026'!E:F,2,false)</f>
        <v>ONION WHITE BIG FRESH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17">
        <v>16426.0</v>
      </c>
      <c r="C28" s="9" t="str">
        <f>VLOOKUP(B28,'FML March 2026'!E:F,2,false)</f>
        <v>MUSTARD  TUB GREY POUPON - DIJON MUSTARD PLAIN (FRANCE)</v>
      </c>
      <c r="D28" s="9" t="str">
        <f>VLOOKUP(B28,'Unit of Measure ship March 2026'!A:C,3,false)</f>
        <v>JAR/48OZ</v>
      </c>
      <c r="F28" s="17">
        <v>15500.0</v>
      </c>
      <c r="G28" s="9" t="str">
        <f>VLOOKUP(F28,'FML March 2026'!E:F,2,false)</f>
        <v>PARSLEY ITALIAN,  20#/CS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17">
        <v>16320.0</v>
      </c>
      <c r="C29" s="9" t="str">
        <f>VLOOKUP(B29,'FML March 2026'!E:F,2,false)</f>
        <v>MUSTARD SEED 24 OZ D`ALLESANDRO/ SPICECO</v>
      </c>
      <c r="D29" s="9" t="str">
        <f>VLOOKUP(B29,'Unit of Measure ship March 2026'!A:C,3,false)</f>
        <v>LBS</v>
      </c>
      <c r="F29" s="17">
        <v>15316.0</v>
      </c>
      <c r="G29" s="9" t="str">
        <f>VLOOKUP(F29,'FML March 2026'!E:F,2,false)</f>
        <v>POMEGRANATE 20-35 CT. 22#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17">
        <v>16869.0</v>
      </c>
      <c r="C30" s="9" t="str">
        <f>VLOOKUP(B30,'FML March 2026'!E:F,2,false)</f>
        <v>NUTS PEANUTS DRY ROASTED UNSALTED PLANTERS, 6/52 OZ</v>
      </c>
      <c r="D30" s="9" t="str">
        <f>VLOOKUP(B30,'Unit of Measure ship March 2026'!A:C,3,false)</f>
        <v>PC/52OZ</v>
      </c>
      <c r="F30" s="17">
        <v>15513.0</v>
      </c>
      <c r="G30" s="9" t="str">
        <f>VLOOKUP(F30,'FML March 2026'!E:F,2,false)</f>
        <v>POTATOES CHEF (BAG) 50#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17">
        <v>16420.0</v>
      </c>
      <c r="C31" s="9" t="str">
        <f>VLOOKUP(B31,'FML March 2026'!E:F,2,false)</f>
        <v>OIL GRAPESEED (USA)</v>
      </c>
      <c r="D31" s="9" t="str">
        <f>VLOOKUP(B31,'Unit of Measure ship March 2026'!A:C,3,false)</f>
        <v>BTL/17OZ</v>
      </c>
      <c r="F31" s="8">
        <v>111808.0</v>
      </c>
      <c r="G31" s="9" t="str">
        <f>VLOOKUP(F31,'FML March 2026'!E:F,2,false)</f>
        <v>RADISH SPROUT MICRO PURPLE FRESH HARPKE FARMS - PK/6 OZ PACKED IN 60 OZ CLAM SHELL SIZE</v>
      </c>
      <c r="H31" s="9" t="str">
        <f>VLOOKUP(F31,'Unit of Measure ship March 2026'!A:C,3,false)</f>
        <v>EA</v>
      </c>
      <c r="J31" s="49"/>
      <c r="K31" s="9"/>
      <c r="L31" s="9"/>
      <c r="N31" s="49"/>
      <c r="O31" s="9"/>
      <c r="P31" s="9"/>
    </row>
    <row r="32" ht="14.25" customHeight="1">
      <c r="B32" s="8">
        <v>16346.0</v>
      </c>
      <c r="C32" s="9" t="str">
        <f>VLOOKUP(B32,'FML March 2026'!E:F,2,false)</f>
        <v>OIL, 100% SESAME, TOASTED, DRY, 10/56 OZ</v>
      </c>
      <c r="D32" s="9" t="str">
        <f>VLOOKUP(B32,'Unit of Measure ship March 2026'!A:C,3,false)</f>
        <v>BT/56OZ</v>
      </c>
      <c r="F32" s="17">
        <v>15518.0</v>
      </c>
      <c r="G32" s="9" t="str">
        <f>VLOOKUP(F32,'FML March 2026'!E:F,2,false)</f>
        <v>RADISHES, FRESH, BULK 40#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17">
        <v>16377.0</v>
      </c>
      <c r="C33" s="9" t="str">
        <f>VLOOKUP(B33,'FML March 2026'!E:F,2,false)</f>
        <v>OIL, 100% VEGETABLE SOYBEAN, DRY, 4/5 LT</v>
      </c>
      <c r="D33" s="9" t="str">
        <f>VLOOKUP(B33,'Unit of Measure ship March 2026'!A:C,3,false)</f>
        <v>C4/5LT</v>
      </c>
      <c r="F33" s="17">
        <v>24185.0</v>
      </c>
      <c r="G33" s="9" t="str">
        <f>VLOOKUP(F33,'FML March 2026'!E:F,2,false)</f>
        <v>SCALLIONS FRESH - ICELESS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17">
        <v>10265.0</v>
      </c>
      <c r="C34" s="9" t="str">
        <f>VLOOKUP(B34,'FML March 2026'!E:F,2,false)</f>
        <v>OIL, FRYING, 100% SOYBEAN, TRANS FAT FREE, FLASHPOINT &gt;600F, DRY, 4/5 LT</v>
      </c>
      <c r="D34" s="9" t="str">
        <f>VLOOKUP(B34,'Unit of Measure ship March 2026'!A:C,3,false)</f>
        <v>CS4/5LT</v>
      </c>
      <c r="F34" s="8">
        <v>61705.0</v>
      </c>
      <c r="G34" s="9" t="str">
        <f>VLOOKUP(F34,'FML March 2026'!E:F,2,false)</f>
        <v>SERRANO PEPPERS FRESH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17">
        <v>52603.0</v>
      </c>
      <c r="C35" s="9" t="str">
        <f>VLOOKUP(B35,'FML March 2026'!E:F,2,false)</f>
        <v>OLIVE/CANOLA BLEND OIL</v>
      </c>
      <c r="D35" s="9" t="str">
        <f>VLOOKUP(B35,'Unit of Measure ship March 2026'!A:C,3,false)</f>
        <v>LT</v>
      </c>
      <c r="F35" s="8">
        <v>110066.0</v>
      </c>
      <c r="G35" s="9" t="str">
        <f>VLOOKUP(F35,'FML March 2026'!E:F,2,false)</f>
        <v>SHISHITO PEPPER FRESH</v>
      </c>
      <c r="H35" s="9" t="str">
        <f>VLOOKUP(F35,'Unit of Measure ship March 2026'!A:C,3,false)</f>
        <v>LBS</v>
      </c>
      <c r="J35" s="49"/>
      <c r="K35" s="9"/>
      <c r="L35" s="9"/>
      <c r="O35" s="9"/>
      <c r="P35" s="9"/>
    </row>
    <row r="36" ht="14.25" customHeight="1">
      <c r="B36" s="8">
        <v>62951.0</v>
      </c>
      <c r="C36" s="9" t="str">
        <f>VLOOKUP(B36,'FML March 2026'!E:F,2,false)</f>
        <v>ONION POWDER</v>
      </c>
      <c r="D36" s="9" t="str">
        <f>VLOOKUP(B36,'Unit of Measure ship March 2026'!A:C,3,false)</f>
        <v>LBS</v>
      </c>
      <c r="F36" s="17">
        <v>18613.0</v>
      </c>
      <c r="G36" s="9" t="str">
        <f>VLOOKUP(F36,'FML March 2026'!E:F,2,false)</f>
        <v>SNOW PEAS, FRESH</v>
      </c>
      <c r="H36" s="9" t="str">
        <f>VLOOKUP(F36,'Unit of Measure ship March 2026'!A:C,3,false)</f>
        <v>LBS</v>
      </c>
      <c r="J36" s="149"/>
      <c r="K36" s="9"/>
      <c r="L36" s="9"/>
      <c r="O36" s="9"/>
      <c r="P36" s="9"/>
    </row>
    <row r="37" ht="14.25" customHeight="1">
      <c r="B37" s="8">
        <v>110837.0</v>
      </c>
      <c r="C37" s="9" t="str">
        <f>VLOOKUP(B37,'FML March 2026'!E:F,2,false)</f>
        <v>PANI PURI (CR) UNCOOKED READY TO FRY 200GR</v>
      </c>
      <c r="D37" s="9" t="str">
        <f>VLOOKUP(B37,'Unit of Measure ship March 2026'!A:C,3,false)</f>
        <v>PK/200GR</v>
      </c>
      <c r="F37" s="17">
        <v>15528.0</v>
      </c>
      <c r="G37" s="9" t="str">
        <f>VLOOKUP(F37,'FML March 2026'!E:F,2,false)</f>
        <v>SQUASH BUTTERNUT 40#</v>
      </c>
      <c r="H37" s="9" t="str">
        <f>VLOOKUP(F37,'Unit of Measure ship March 2026'!A:C,3,false)</f>
        <v>LBS</v>
      </c>
      <c r="J37" s="149"/>
      <c r="K37" s="9"/>
      <c r="L37" s="9"/>
      <c r="O37" s="9"/>
      <c r="P37" s="9"/>
    </row>
    <row r="38" ht="14.25" customHeight="1">
      <c r="B38" s="17">
        <v>16285.0</v>
      </c>
      <c r="C38" s="9" t="str">
        <f>VLOOKUP(B38,'FML March 2026'!E:F,2,false)</f>
        <v>PEPPERCORN, BLACK, WHOLE, DRY, 6/420 G</v>
      </c>
      <c r="D38" s="9" t="str">
        <f>VLOOKUP(B38,'Unit of Measure ship March 2026'!A:C,3,false)</f>
        <v>LBS</v>
      </c>
      <c r="F38" s="17">
        <v>109755.0</v>
      </c>
      <c r="G38" s="9" t="str">
        <f>VLOOKUP(F38,'FML March 2026'!E:F,2,false)</f>
        <v>SWEET POTATOES PURPLE YAM OR UBE</v>
      </c>
      <c r="H38" s="9" t="str">
        <f>VLOOKUP(F38,'Unit of Measure ship March 2026'!A:C,3,false)</f>
        <v>LBS</v>
      </c>
      <c r="J38" s="149"/>
      <c r="K38" s="9"/>
      <c r="L38" s="9"/>
      <c r="O38" s="9"/>
      <c r="P38" s="9"/>
    </row>
    <row r="39" ht="14.25" customHeight="1">
      <c r="B39" s="8">
        <v>111998.0</v>
      </c>
      <c r="C39" s="9" t="str">
        <f>VLOOKUP(B39,'FML March 2026'!E:F,2,false)</f>
        <v>PUREE TAMARIND CS6/30 OZ PERFECT PUREE</v>
      </c>
      <c r="D39" s="9" t="str">
        <f>VLOOKUP(B39,'Unit of Measure ship March 2026'!A:C,3,false)</f>
        <v>LBS</v>
      </c>
      <c r="F39" s="32">
        <v>15537.0</v>
      </c>
      <c r="G39" s="9" t="str">
        <f>VLOOKUP(F39,'FML March 2026'!E:F,2,false)</f>
        <v>TOMATOES 6X6 #1 18# RED RIPE, FIRM (LAYERED), 55-65 MM</v>
      </c>
      <c r="H39" s="9" t="str">
        <f>VLOOKUP(F39,'Unit of Measure ship March 2026'!A:C,3,false)</f>
        <v>LBS</v>
      </c>
      <c r="J39" s="149"/>
      <c r="K39" s="9"/>
      <c r="L39" s="9"/>
      <c r="N39" s="49"/>
      <c r="O39" s="9"/>
      <c r="P39" s="9"/>
    </row>
    <row r="40" ht="14.25" customHeight="1">
      <c r="B40" s="8">
        <v>38014.0</v>
      </c>
      <c r="C40" s="9" t="str">
        <f>VLOOKUP(B40,'FML March 2026'!E:F,2,false)</f>
        <v>RICE, BASMATI, FULL GRAIN, AGED, DRY, 1/40 LB</v>
      </c>
      <c r="D40" s="9" t="str">
        <f>VLOOKUP(B40,'Unit of Measure ship March 2026'!A:C,3,false)</f>
        <v>LBS</v>
      </c>
      <c r="F40" s="17">
        <v>109765.0</v>
      </c>
      <c r="G40" s="9" t="str">
        <f>VLOOKUP(F40,'FML March 2026'!E:F,2,false)</f>
        <v>TOMATOES CHERRY MIXED HEIRLOOM</v>
      </c>
      <c r="H40" s="9" t="str">
        <f>VLOOKUP(F40,'Unit of Measure ship March 2026'!A:C,3,false)</f>
        <v>LBS</v>
      </c>
      <c r="J40" s="149"/>
      <c r="K40" s="9"/>
      <c r="L40" s="9"/>
      <c r="N40" s="101"/>
      <c r="O40" s="9"/>
      <c r="P40" s="9"/>
    </row>
    <row r="41" ht="14.25" customHeight="1">
      <c r="B41" s="17">
        <v>16307.0</v>
      </c>
      <c r="C41" s="9" t="str">
        <f>VLOOKUP(B41,'FML March 2026'!E:F,2,false)</f>
        <v>SALT KOSHER GRANULATED</v>
      </c>
      <c r="D41" s="9" t="str">
        <f>VLOOKUP(B41,'Unit of Measure ship March 2026'!A:C,3,false)</f>
        <v>LBS</v>
      </c>
      <c r="F41" s="17">
        <v>102794.0</v>
      </c>
      <c r="G41" s="9" t="str">
        <f>VLOOKUP(F41,'FML March 2026'!E:F,2,false)</f>
        <v>TURMERIC FRESH</v>
      </c>
      <c r="H41" s="9" t="str">
        <f>VLOOKUP(F41,'Unit of Measure ship March 2026'!A:C,3,false)</f>
        <v>LBS</v>
      </c>
      <c r="J41" s="149"/>
      <c r="K41" s="9"/>
      <c r="L41" s="9"/>
      <c r="N41" s="101"/>
      <c r="O41" s="9"/>
      <c r="P41" s="9"/>
    </row>
    <row r="42" ht="14.25" customHeight="1">
      <c r="B42" s="8">
        <v>16409.0</v>
      </c>
      <c r="C42" s="9" t="str">
        <f>VLOOKUP(B42,'FML March 2026'!E:F,2,false)</f>
        <v>SAMBAL OELEK CHILI SAUCE</v>
      </c>
      <c r="D42" s="9" t="str">
        <f>VLOOKUP(B42,'Unit of Measure ship March 2026'!A:C,3,false)</f>
        <v>BT/18OZ</v>
      </c>
      <c r="G42" s="9"/>
      <c r="H42" s="9"/>
      <c r="J42" s="149"/>
      <c r="K42" s="9"/>
      <c r="L42" s="9"/>
      <c r="N42" s="101"/>
      <c r="O42" s="9"/>
      <c r="P42" s="9"/>
    </row>
    <row r="43" ht="14.25" customHeight="1">
      <c r="B43" s="17">
        <v>20887.0</v>
      </c>
      <c r="C43" s="9" t="str">
        <f>VLOOKUP(B43,'FML March 2026'!E:F,2,false)</f>
        <v>SHICHIMI TOGARASHI CHINESE 7 FLAVOR CHILI PEPPERS</v>
      </c>
      <c r="D43" s="9" t="str">
        <f>VLOOKUP(B43,'Unit of Measure ship March 2026'!A:C,3,false)</f>
        <v>LBS</v>
      </c>
      <c r="G43" s="9"/>
      <c r="H43" s="9"/>
      <c r="J43" s="149"/>
      <c r="K43" s="9"/>
      <c r="L43" s="9"/>
      <c r="N43" s="101"/>
      <c r="O43" s="9"/>
      <c r="P43" s="9"/>
    </row>
    <row r="44" ht="14.25" customHeight="1">
      <c r="B44" s="17">
        <v>14883.0</v>
      </c>
      <c r="C44" s="9" t="str">
        <f>VLOOKUP(B44,'FML March 2026'!E:F,2,false)</f>
        <v>SOUR CREAM LONG LIFE 24% 6/5#</v>
      </c>
      <c r="D44" s="9" t="str">
        <f>VLOOKUP(B44,'Unit of Measure ship March 2026'!A:C,3,false)</f>
        <v>LBS</v>
      </c>
      <c r="G44" s="9"/>
      <c r="H44" s="9"/>
      <c r="J44" s="149"/>
      <c r="K44" s="9"/>
      <c r="L44" s="9"/>
      <c r="N44" s="101"/>
      <c r="O44" s="9"/>
      <c r="P44" s="9"/>
    </row>
    <row r="45" ht="14.25" customHeight="1">
      <c r="B45" s="8">
        <v>20150.0</v>
      </c>
      <c r="C45" s="9" t="str">
        <f>VLOOKUP(B45,'FML March 2026'!E:F,2,false)</f>
        <v>SOY SAUCE 4/1 GALLON KIKKOMAN</v>
      </c>
      <c r="D45" s="9" t="str">
        <f>VLOOKUP(B45,'Unit of Measure ship March 2026'!A:C,3,false)</f>
        <v>GAL</v>
      </c>
      <c r="G45" s="9"/>
      <c r="H45" s="9"/>
      <c r="J45" s="149"/>
      <c r="K45" s="9"/>
      <c r="L45" s="9"/>
      <c r="N45" s="101"/>
      <c r="O45" s="9"/>
      <c r="P45" s="9"/>
    </row>
    <row r="46" ht="14.25" customHeight="1">
      <c r="B46" s="8">
        <v>110881.0</v>
      </c>
      <c r="C46" s="9" t="str">
        <f>VLOOKUP(B46,'FML March 2026'!E:F,2,false)</f>
        <v>SOY SAUCE WHITE BTL 750ML HAMIAMATSU HOMINTO</v>
      </c>
      <c r="D46" s="9" t="str">
        <f>VLOOKUP(B46,'Unit of Measure ship March 2026'!A:C,3,false)</f>
        <v>BT/750ML</v>
      </c>
      <c r="G46" s="9"/>
      <c r="H46" s="9"/>
      <c r="J46" s="149"/>
      <c r="K46" s="9"/>
      <c r="L46" s="9"/>
      <c r="N46" s="149"/>
      <c r="O46" s="9"/>
      <c r="P46" s="9"/>
    </row>
    <row r="47" ht="14.25" customHeight="1">
      <c r="B47" s="8">
        <v>111762.0</v>
      </c>
      <c r="C47" s="9" t="str">
        <f>VLOOKUP(B47,'FML March 2026'!E:F,2,false)</f>
        <v>SPICE KASOORI METHIMDH/ EVEREST</v>
      </c>
      <c r="D47" s="9" t="str">
        <f>VLOOKUP(B47,'Unit of Measure ship March 2026'!A:C,3,false)</f>
        <v>KG</v>
      </c>
      <c r="G47" s="9"/>
      <c r="H47" s="9"/>
      <c r="J47" s="149"/>
      <c r="K47" s="9"/>
      <c r="L47" s="9"/>
    </row>
    <row r="48" ht="14.25" customHeight="1">
      <c r="B48" s="17">
        <v>15646.0</v>
      </c>
      <c r="C48" s="9" t="str">
        <f>VLOOKUP(B48,'FML March 2026'!E:F,2,false)</f>
        <v>SUGAR BROWN DARK  24/1LB  DOMINO (404310) (USA)</v>
      </c>
      <c r="D48" s="9" t="str">
        <f>VLOOKUP(B48,'Unit of Measure ship March 2026'!A:C,3,false)</f>
        <v>LBS</v>
      </c>
      <c r="G48" s="9"/>
      <c r="H48" s="9"/>
      <c r="J48" s="149"/>
      <c r="K48" s="9"/>
      <c r="L48" s="9"/>
    </row>
    <row r="49" ht="15.75" customHeight="1">
      <c r="B49" s="17">
        <v>15642.0</v>
      </c>
      <c r="C49" s="9" t="str">
        <f>VLOOKUP(B49,'FML March 2026'!E:F,2,false)</f>
        <v>SUGAR, GRANULATED, ICUMSA 150, SUGARCANE, DRY, 1/50 LB</v>
      </c>
      <c r="D49" s="9" t="str">
        <f>VLOOKUP(B49,'Unit of Measure ship March 2026'!A:C,3,false)</f>
        <v>LBS</v>
      </c>
    </row>
    <row r="50" ht="15.75" customHeight="1">
      <c r="B50" s="78">
        <v>143140.0</v>
      </c>
      <c r="C50" s="9" t="str">
        <f>VLOOKUP(B50,'FML March 2026'!E:F,2,false)</f>
        <v>TOMATO, WHOLE, PEELED, IN JUICE, DRY, 6/#10</v>
      </c>
      <c r="D50" s="9" t="str">
        <f>VLOOKUP(B50,'Unit of Measure ship March 2026'!A:C,3,false)</f>
        <v>C6/6.5LB</v>
      </c>
    </row>
    <row r="51" ht="15.75" customHeight="1">
      <c r="B51" s="8">
        <v>102794.0</v>
      </c>
      <c r="C51" s="9" t="str">
        <f>VLOOKUP(B51,'FML March 2026'!E:F,2,false)</f>
        <v>TURMERIC FRESH</v>
      </c>
      <c r="D51" s="9" t="str">
        <f>VLOOKUP(B51,'Unit of Measure ship March 2026'!A:C,3,false)</f>
        <v>LBS</v>
      </c>
    </row>
    <row r="52" ht="15.75" customHeight="1">
      <c r="B52" s="8">
        <v>16310.0</v>
      </c>
      <c r="C52" s="9" t="str">
        <f>VLOOKUP(B52,'FML March 2026'!E:F,2,false)</f>
        <v>TURMERIC GROUND</v>
      </c>
      <c r="D52" s="9" t="str">
        <f>VLOOKUP(B52,'Unit of Measure ship March 2026'!A:C,3,false)</f>
        <v>LBS</v>
      </c>
    </row>
    <row r="53" ht="15.75" customHeight="1">
      <c r="B53" s="17">
        <v>20844.0</v>
      </c>
      <c r="C53" s="9" t="str">
        <f>VLOOKUP(B53,'FML March 2026'!E:F,2,false)</f>
        <v>VEAL DEMI GLACE CUISINE SOLUTIONS 1003743 (NO INSPECTION NEEDED) (NETHERLANDS)</v>
      </c>
      <c r="D53" s="9" t="str">
        <f>VLOOKUP(B53,'Unit of Measure ship March 2026'!A:C,3,false)</f>
        <v>LBS</v>
      </c>
    </row>
    <row r="54" ht="15.75" customHeight="1">
      <c r="B54" s="8">
        <v>109846.0</v>
      </c>
      <c r="C54" s="9" t="str">
        <f>VLOOKUP(B54,'FML March 2026'!E:F,2,false)</f>
        <v>YOGURT GREEK BULK</v>
      </c>
      <c r="D54" s="9" t="str">
        <f>VLOOKUP(B54,'Unit of Measure ship March 2026'!A:C,3,false)</f>
        <v>LBS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83</v>
      </c>
      <c r="D1" s="142"/>
      <c r="E1" s="144"/>
      <c r="F1" s="142"/>
      <c r="G1" s="143" t="s">
        <v>84</v>
      </c>
      <c r="H1" s="142"/>
      <c r="I1" s="144"/>
      <c r="J1" s="142"/>
      <c r="K1" s="143" t="s">
        <v>85</v>
      </c>
      <c r="L1" s="142"/>
      <c r="M1" s="144"/>
      <c r="N1" s="142"/>
      <c r="O1" s="143" t="s">
        <v>86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B3" s="17">
        <v>40136.0</v>
      </c>
      <c r="C3" s="9" t="str">
        <f>VLOOKUP(B3,'FML March 2026'!E:F,2,false)</f>
        <v>ALMONDS SLIVERED BLANCHED 5 LBS</v>
      </c>
      <c r="D3" s="9" t="str">
        <f>VLOOKUP(B3,'Unit of Measure ship March 2026'!A:C,3,false)</f>
        <v>LBS</v>
      </c>
      <c r="F3" s="17">
        <v>53697.0</v>
      </c>
      <c r="G3" s="9" t="str">
        <f>VLOOKUP(F3,'FML March 2026'!E:F,2,false)</f>
        <v>ARTICHOKE, JERUSALEM, FRESH</v>
      </c>
      <c r="H3" s="9" t="str">
        <f>VLOOKUP(F3,'Unit of Measure ship March 2026'!A:C,3,false)</f>
        <v>LBS</v>
      </c>
      <c r="J3" s="48">
        <v>14576.0</v>
      </c>
      <c r="K3" s="9" t="str">
        <f>VLOOKUP(J3,'FML March 2026'!E:F,2,false)</f>
        <v>CHICKEN, FRYER, WOG, IND WRAPPED, NON-INJECTED, 2.50-3.25 LB EA, FZN, 12/1 EA</v>
      </c>
      <c r="L3" s="9" t="str">
        <f>VLOOKUP(J3,'Unit of Measure ship March 2026'!A:C,3,false)</f>
        <v>LBS</v>
      </c>
      <c r="N3" s="48">
        <v>14852.0</v>
      </c>
      <c r="O3" s="9" t="str">
        <f>VLOOKUP(N3,'FML March 2026'!E:F,2,false)</f>
        <v>SEA BASS EUROPEAN/ BRANZINO HEAD-ON GUTTED  FINISHED WEIGHT 800-1000GR POLY WRAP (HOLLAND)</v>
      </c>
      <c r="P3" s="9" t="str">
        <f>VLOOKUP(N3,'Unit of Measure ship March 2026'!A:C,3,false)</f>
        <v>LBS</v>
      </c>
    </row>
    <row r="4" ht="14.25" customHeight="1">
      <c r="B4" s="17">
        <v>15231.0</v>
      </c>
      <c r="C4" s="9" t="str">
        <f>VLOOKUP(B4,'FML March 2026'!E:F,2,false)</f>
        <v>ARTICHOKE, BOTTOMS, WHOLE, IQF, FRZN</v>
      </c>
      <c r="D4" s="9" t="str">
        <f>VLOOKUP(B4,'Unit of Measure ship March 2026'!A:C,3,false)</f>
        <v>LBS</v>
      </c>
      <c r="F4" s="48">
        <v>53697.0</v>
      </c>
      <c r="G4" s="9" t="str">
        <f>VLOOKUP(F4,'FML March 2026'!E:F,2,false)</f>
        <v>ARTICHOKE, JERUSALEM, FRESH</v>
      </c>
      <c r="H4" s="9" t="str">
        <f>VLOOKUP(F4,'Unit of Measure ship March 2026'!A:C,3,false)</f>
        <v>LBS</v>
      </c>
      <c r="J4" s="49"/>
      <c r="K4" s="9"/>
      <c r="L4" s="9"/>
      <c r="N4" s="49"/>
      <c r="O4" s="9"/>
      <c r="P4" s="9"/>
    </row>
    <row r="5" ht="14.25" customHeight="1">
      <c r="B5" s="17">
        <v>15016.0</v>
      </c>
      <c r="C5" s="9" t="str">
        <f>VLOOKUP(B5,'FML March 2026'!E:F,2,false)</f>
        <v>BUTTER, UNSALTED, 82% FAT, FZN, 50/200 G</v>
      </c>
      <c r="D5" s="9" t="str">
        <f>VLOOKUP(B5,'Unit of Measure ship March 2026'!A:C,3,false)</f>
        <v>LBS</v>
      </c>
      <c r="F5" s="17">
        <v>24182.0</v>
      </c>
      <c r="G5" s="9" t="str">
        <f>VLOOKUP(F5,'FML March 2026'!E:F,2,false)</f>
        <v>ARUGULA, BABY</v>
      </c>
      <c r="H5" s="9" t="str">
        <f>VLOOKUP(F5,'Unit of Measure ship March 2026'!A:C,3,false)</f>
        <v>LBS</v>
      </c>
      <c r="J5" s="49"/>
      <c r="K5" s="9"/>
      <c r="L5" s="9"/>
      <c r="N5" s="49"/>
      <c r="O5" s="9"/>
      <c r="P5" s="9"/>
    </row>
    <row r="6" ht="14.25" customHeight="1">
      <c r="B6" s="17">
        <v>16015.0</v>
      </c>
      <c r="C6" s="9" t="str">
        <f>VLOOKUP(B6,'FML March 2026'!E:F,2,false)</f>
        <v>CAPERS, NON-PAREIL, IN VINEGAR, DRY, 6X850GR</v>
      </c>
      <c r="D6" s="9" t="str">
        <f>VLOOKUP(B6,'Unit of Measure ship March 2026'!A:C,3,false)</f>
        <v>CAN/32OZ</v>
      </c>
      <c r="F6" s="17">
        <v>15378.0</v>
      </c>
      <c r="G6" s="9" t="str">
        <f>VLOOKUP(F6,'FML March 2026'!E:F,2,false)</f>
        <v>AVOCADOS HASS FRESH CA-48PC FL-12/14PC 20#</v>
      </c>
      <c r="H6" s="9" t="str">
        <f>VLOOKUP(F6,'Unit of Measure ship March 2026'!A:C,3,false)</f>
        <v>LBS</v>
      </c>
      <c r="J6" s="49"/>
      <c r="K6" s="9"/>
      <c r="L6" s="9"/>
      <c r="N6" s="49"/>
      <c r="O6" s="9"/>
      <c r="P6" s="9"/>
    </row>
    <row r="7" ht="14.25" customHeight="1">
      <c r="B7" s="17">
        <v>15816.0</v>
      </c>
      <c r="C7" s="9" t="str">
        <f>VLOOKUP(B7,'FML March 2026'!E:F,2,false)</f>
        <v>CARAWAY SEEDS WHOLE 16 OZ D BADIA</v>
      </c>
      <c r="D7" s="9" t="str">
        <f>VLOOKUP(B7,'Unit of Measure ship March 2026'!A:C,3,false)</f>
        <v>LBS</v>
      </c>
      <c r="F7" s="48">
        <v>15429.0</v>
      </c>
      <c r="G7" s="9" t="str">
        <f>VLOOKUP(F7,'FML March 2026'!E:F,2,false)</f>
        <v>BASIL (12 BUNCH) HYDROPONIC OR REGULAR 1 LB/CS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B8" s="17">
        <v>27418.0</v>
      </c>
      <c r="C8" s="9" t="str">
        <f>VLOOKUP(B8,'FML March 2026'!E:F,2,false)</f>
        <v>CHEESE, PARMIGIANO REGGIANO, DOP, QUARTERS, 18-20 LB EA, CHL, 2/1 EA</v>
      </c>
      <c r="D8" s="9" t="str">
        <f>VLOOKUP(B8,'Unit of Measure ship March 2026'!A:C,3,false)</f>
        <v>LBS</v>
      </c>
      <c r="F8" s="17">
        <v>15450.0</v>
      </c>
      <c r="G8" s="9" t="str">
        <f>VLOOKUP(F8,'FML March 2026'!E:F,2,false)</f>
        <v>BROCCOLI LARGE FANCY, GREEN UMBRELLA 14 CT 20#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8">
        <v>47179.0</v>
      </c>
      <c r="C9" s="9" t="str">
        <f>VLOOKUP(B9,'FML March 2026'!E:F,2,false)</f>
        <v>CHEESE, PECORINO ROMANO</v>
      </c>
      <c r="D9" s="9" t="str">
        <f>VLOOKUP(B9,'Unit of Measure ship March 2026'!A:C,3,false)</f>
        <v>LBS</v>
      </c>
      <c r="F9" s="17">
        <v>38191.0</v>
      </c>
      <c r="G9" s="9" t="str">
        <f>VLOOKUP(F9,'FML March 2026'!E:F,2,false)</f>
        <v>BRUSSELS SPROUTS SMALL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17">
        <v>16289.0</v>
      </c>
      <c r="C10" s="9" t="str">
        <f>VLOOKUP(B10,'FML March 2026'!E:F,2,false)</f>
        <v>CORIANDER GROUND BADIA (USA )</v>
      </c>
      <c r="D10" s="9" t="str">
        <f>VLOOKUP(B10,'Unit of Measure ship March 2026'!A:C,3,false)</f>
        <v>LBS</v>
      </c>
      <c r="F10" s="17">
        <v>110064.0</v>
      </c>
      <c r="G10" s="9" t="str">
        <f>VLOOKUP(F10,'FML March 2026'!E:F,2,false)</f>
        <v>CARROTS RAINBOW FRESH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B11" s="17">
        <v>16288.0</v>
      </c>
      <c r="C11" s="9" t="str">
        <f>VLOOKUP(B11,'FML March 2026'!E:F,2,false)</f>
        <v>CORIANDER WHOLE BADIA (USA )</v>
      </c>
      <c r="D11" s="9" t="str">
        <f>VLOOKUP(B11,'Unit of Measure ship March 2026'!A:C,3,false)</f>
        <v>LBS</v>
      </c>
      <c r="F11" s="17">
        <v>15459.0</v>
      </c>
      <c r="G11" s="9" t="str">
        <f>VLOOKUP(F11,'FML March 2026'!E:F,2,false)</f>
        <v>CAULIFLOWER #1 CAL. 12 CT 25#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17">
        <v>40202.0</v>
      </c>
      <c r="C12" s="9" t="str">
        <f>VLOOKUP(B12,'FML March 2026'!E:F,2,false)</f>
        <v>COUSCOUS ISRAELI TRADITIONAL LARGE GRAIN</v>
      </c>
      <c r="D12" s="9" t="str">
        <f>VLOOKUP(B12,'Unit of Measure ship March 2026'!A:C,3,false)</f>
        <v>KG</v>
      </c>
      <c r="F12" s="17">
        <v>110917.0</v>
      </c>
      <c r="G12" s="9" t="str">
        <f>VLOOKUP(F12,'FML March 2026'!E:F,2,false)</f>
        <v>CAULIFLOWER ORANGE 12CT (28LB)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17">
        <v>16256.0</v>
      </c>
      <c r="C13" s="9" t="str">
        <f>VLOOKUP(B13,'FML March 2026'!E:F,2,false)</f>
        <v>CUMIN GROUND D`ALLESANDRO/ SPICECO (USA )</v>
      </c>
      <c r="D13" s="9" t="str">
        <f>VLOOKUP(B13,'Unit of Measure ship March 2026'!A:C,3,false)</f>
        <v>LBS</v>
      </c>
      <c r="F13" s="17">
        <v>110078.0</v>
      </c>
      <c r="G13" s="9" t="str">
        <f>VLOOKUP(F13,'FML March 2026'!E:F,2,false)</f>
        <v>CAULIFLOWER PURPLR FRESH</v>
      </c>
      <c r="H13" s="9" t="str">
        <f>VLOOKUP(F13,'Unit of Measure ship March 2026'!A:C,3,false)</f>
        <v>EA</v>
      </c>
      <c r="J13" s="49"/>
      <c r="K13" s="9"/>
      <c r="L13" s="9"/>
      <c r="N13" s="49"/>
      <c r="O13" s="9"/>
      <c r="P13" s="9"/>
    </row>
    <row r="14" ht="14.25" customHeight="1">
      <c r="B14" s="17">
        <v>109630.0</v>
      </c>
      <c r="C14" s="9" t="str">
        <f>VLOOKUP(B14,'FML March 2026'!E:F,2,false)</f>
        <v>CURRANTS DRIED HIALEAH</v>
      </c>
      <c r="D14" s="9" t="str">
        <f>VLOOKUP(B14,'Unit of Measure ship March 2026'!A:C,3,false)</f>
        <v>KG</v>
      </c>
      <c r="F14" s="17">
        <v>15543.0</v>
      </c>
      <c r="G14" s="9" t="str">
        <f>VLOOKUP(F14,'FML March 2026'!E:F,2,false)</f>
        <v>CHERVIL, FRESH, 12BU 1 LB/CS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8">
        <v>16257.0</v>
      </c>
      <c r="C15" s="9" t="str">
        <f>VLOOKUP(B15,'FML March 2026'!E:F,2,false)</f>
        <v>CURRY POWDER BADIA (USA )</v>
      </c>
      <c r="D15" s="9" t="str">
        <f>VLOOKUP(B15,'Unit of Measure ship March 2026'!A:C,3,false)</f>
        <v>LBS</v>
      </c>
      <c r="F15" s="17">
        <v>109753.0</v>
      </c>
      <c r="G15" s="9" t="str">
        <f>VLOOKUP(F15,'FML March 2026'!E:F,2,false)</f>
        <v>CHILI FRESNO FRESH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17">
        <v>15022.0</v>
      </c>
      <c r="C16" s="9" t="str">
        <f>VLOOKUP(B16,'FML March 2026'!E:F,2,false)</f>
        <v>EGGS-DATED, MEDIUM, REGULAR</v>
      </c>
      <c r="D16" s="9" t="str">
        <f>VLOOKUP(B16,'Unit of Measure ship March 2026'!A:C,3,false)</f>
        <v>PC</v>
      </c>
      <c r="F16" s="17">
        <v>15438.0</v>
      </c>
      <c r="G16" s="9" t="str">
        <f>VLOOKUP(F16,'FML March 2026'!E:F,2,false)</f>
        <v>CHIVES (12 BUNCH), 1 LB/CS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17">
        <v>16259.0</v>
      </c>
      <c r="C17" s="9" t="str">
        <f>VLOOKUP(B17,'FML March 2026'!E:F,2,false)</f>
        <v>FENNEL SEED WHOLE BADIA (USA )</v>
      </c>
      <c r="D17" s="9" t="str">
        <f>VLOOKUP(B17,'Unit of Measure ship March 2026'!A:C,3,false)</f>
        <v>LBS</v>
      </c>
      <c r="F17" s="17">
        <v>15431.0</v>
      </c>
      <c r="G17" s="9" t="str">
        <f>VLOOKUP(F17,'FML March 2026'!E:F,2,false)</f>
        <v>CILANTRO (12 BUNCH) 1 LB/CS DOMESTIC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17">
        <v>31226.0</v>
      </c>
      <c r="C18" s="9" t="str">
        <f>VLOOKUP(B18,'FML March 2026'!E:F,2,false)</f>
        <v>FLEUR DE SEL / SEL DE GUERANDE 1 KG PAIL</v>
      </c>
      <c r="D18" s="9" t="str">
        <f>VLOOKUP(B18,'Unit of Measure ship March 2026'!A:C,3,false)</f>
        <v>LBS</v>
      </c>
      <c r="F18" s="17">
        <v>15466.0</v>
      </c>
      <c r="G18" s="9" t="str">
        <f>VLOOKUP(F18,'FML March 2026'!E:F,2,false)</f>
        <v>GARLIC CRATE JUMBO 30# 8 CT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17">
        <v>111865.0</v>
      </c>
      <c r="C19" s="9" t="str">
        <f>VLOOKUP(B19,'FML March 2026'!E:F,2,false)</f>
        <v>FLOUR ALL PURPOSE SIR GALAHAD BAG50/LBS KING ARTHUR</v>
      </c>
      <c r="D19" s="9" t="str">
        <f>VLOOKUP(B19,'Unit of Measure ship March 2026'!A:C,3,false)</f>
        <v>LBS</v>
      </c>
      <c r="F19" s="8">
        <v>15466.0</v>
      </c>
      <c r="G19" s="9" t="str">
        <f>VLOOKUP(F19,'FML March 2026'!E:F,2,false)</f>
        <v>GARLIC CRATE JUMBO 30# 8 CT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17">
        <v>15658.0</v>
      </c>
      <c r="C20" s="9" t="str">
        <f>VLOOKUP(B20,'FML March 2026'!E:F,2,false)</f>
        <v>HONEY 6/5 LB GROEB/MELONIA/SWEET HARVEST</v>
      </c>
      <c r="D20" s="9" t="str">
        <f>VLOOKUP(B20,'Unit of Measure ship March 2026'!A:C,3,false)</f>
        <v>KG</v>
      </c>
      <c r="F20" s="15">
        <v>30639.0</v>
      </c>
      <c r="G20" s="9" t="str">
        <f>VLOOKUP(F20,'FML March 2026'!E:F,2,false)</f>
        <v>GARLIC PEELED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17">
        <v>16316.0</v>
      </c>
      <c r="C21" s="9" t="str">
        <f>VLOOKUP(B21,'FML March 2026'!E:F,2,false)</f>
        <v>LIQUID SMOKE WRIGHTS</v>
      </c>
      <c r="D21" s="9" t="str">
        <f>VLOOKUP(B21,'Unit of Measure ship March 2026'!A:C,3,false)</f>
        <v>GAL</v>
      </c>
      <c r="F21" s="48">
        <v>30025.0</v>
      </c>
      <c r="G21" s="9" t="str">
        <f>VLOOKUP(F21,'FML March 2026'!E:F,2,false)</f>
        <v>KAFFIR LIME LEAVES FRESH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17">
        <v>109667.0</v>
      </c>
      <c r="C22" s="9" t="str">
        <f>VLOOKUP(B22,'FML March 2026'!E:F,2,false)</f>
        <v>MAYONNAISE, UNILEVER - HELLMANN'S, 4800126530, DRY, 4/1 GAL</v>
      </c>
      <c r="D22" s="9" t="str">
        <f>VLOOKUP(B22,'Unit of Measure ship March 2026'!A:C,3,false)</f>
        <v>GAL</v>
      </c>
      <c r="F22" s="17">
        <v>110907.0</v>
      </c>
      <c r="G22" s="9" t="str">
        <f>VLOOKUP(F22,'FML March 2026'!E:F,2,false)</f>
        <v>KALE GREEN  FRESH CS15/LBS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111702.0</v>
      </c>
      <c r="C23" s="9" t="str">
        <f>VLOOKUP(B23,'FML March 2026'!E:F,2,false)</f>
        <v>MOLASSES POMEGRANATE CS12/10OZ AL WADI</v>
      </c>
      <c r="D23" s="9" t="str">
        <f>VLOOKUP(B23,'Unit of Measure ship March 2026'!A:C,3,false)</f>
        <v>LBS</v>
      </c>
      <c r="F23" s="17">
        <v>15397.0</v>
      </c>
      <c r="G23" s="9" t="str">
        <f>VLOOKUP(F23,'FML March 2026'!E:F,2,false)</f>
        <v>LEMONS FRESH FIRM FANCY CALIF. SUNKIST #1 200CT 40#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141988.0</v>
      </c>
      <c r="C24" s="9" t="str">
        <f>VLOOKUP(B24,'FML March 2026'!E:F,2,false)</f>
        <v>MOZZARELLA BURRATA</v>
      </c>
      <c r="D24" s="9" t="str">
        <f>VLOOKUP(B24,'Unit of Measure ship March 2026'!A:C,3,false)</f>
        <v>LBS</v>
      </c>
      <c r="F24" s="8">
        <v>15397.0</v>
      </c>
      <c r="G24" s="9" t="str">
        <f>VLOOKUP(F24,'FML March 2026'!E:F,2,false)</f>
        <v>LEMONS FRESH FIRM FANCY CALIF. SUNKIST #1 200CT 40#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8">
        <v>16420.0</v>
      </c>
      <c r="C25" s="9" t="str">
        <f>VLOOKUP(B25,'FML March 2026'!E:F,2,false)</f>
        <v>OIL GRAPESEED (USA)</v>
      </c>
      <c r="D25" s="9" t="str">
        <f>VLOOKUP(B25,'Unit of Measure ship March 2026'!A:C,3,false)</f>
        <v>BTL/17OZ</v>
      </c>
      <c r="F25" s="17">
        <v>15399.0</v>
      </c>
      <c r="G25" s="9" t="str">
        <f>VLOOKUP(F25,'FML March 2026'!E:F,2,false)</f>
        <v>LIMES, FRESH, FIRM #1 200CT 40#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17">
        <v>16377.0</v>
      </c>
      <c r="C26" s="9" t="str">
        <f>VLOOKUP(B26,'FML March 2026'!E:F,2,false)</f>
        <v>OIL, 100% VEGETABLE SOYBEAN, DRY, 4/5 LT</v>
      </c>
      <c r="D26" s="9" t="str">
        <f>VLOOKUP(B26,'Unit of Measure ship March 2026'!A:C,3,false)</f>
        <v>C4/5LT</v>
      </c>
      <c r="F26" s="15">
        <v>15399.0</v>
      </c>
      <c r="G26" s="9" t="str">
        <f>VLOOKUP(F26,'FML March 2026'!E:F,2,false)</f>
        <v>LIMES, FRESH, FIRM #1 200CT 40#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17">
        <v>52603.0</v>
      </c>
      <c r="C27" s="9" t="str">
        <f>VLOOKUP(B27,'FML March 2026'!E:F,2,false)</f>
        <v>OLIVE/CANOLA BLEND OIL</v>
      </c>
      <c r="D27" s="9" t="str">
        <f>VLOOKUP(B27,'Unit of Measure ship March 2026'!A:C,3,false)</f>
        <v>LT</v>
      </c>
      <c r="F27" s="17">
        <v>110911.0</v>
      </c>
      <c r="G27" s="9" t="str">
        <f>VLOOKUP(F27,'FML March 2026'!E:F,2,false)</f>
        <v>MICRO GREEN PLUM SORREL PURPLR PKG 8 OZ</v>
      </c>
      <c r="H27" s="9" t="str">
        <f>VLOOKUP(F27,'Unit of Measure ship March 2026'!A:C,3,false)</f>
        <v>PKG4/OZ</v>
      </c>
      <c r="J27" s="49"/>
      <c r="K27" s="9"/>
      <c r="L27" s="9"/>
      <c r="N27" s="49"/>
      <c r="O27" s="9"/>
      <c r="P27" s="9"/>
    </row>
    <row r="28" ht="14.25" customHeight="1">
      <c r="B28" s="17">
        <v>16431.0</v>
      </c>
      <c r="C28" s="9" t="str">
        <f>VLOOKUP(B28,'FML March 2026'!E:F,2,false)</f>
        <v>OLIVES KALAMATA PITTED AMBROSIA 16122 (8X5) (TURKEY)</v>
      </c>
      <c r="D28" s="9" t="str">
        <f>VLOOKUP(B28,'Unit of Measure ship March 2026'!A:C,3,false)</f>
        <v>CAN/2KG</v>
      </c>
      <c r="F28" s="17">
        <v>15500.0</v>
      </c>
      <c r="G28" s="9" t="str">
        <f>VLOOKUP(F28,'FML March 2026'!E:F,2,false)</f>
        <v>PARSLEY ITALIAN,  20#/CS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17">
        <v>109697.0</v>
      </c>
      <c r="C29" s="9" t="str">
        <f>VLOOKUP(B29,'FML March 2026'!E:F,2,false)</f>
        <v>PAPRIKA SMOKED PKG 26.46  OZ LA CHINATA</v>
      </c>
      <c r="D29" s="9" t="str">
        <f>VLOOKUP(B29,'Unit of Measure ship March 2026'!A:C,3,false)</f>
        <v>KG</v>
      </c>
      <c r="F29" s="17">
        <v>109763.0</v>
      </c>
      <c r="G29" s="9" t="str">
        <f>VLOOKUP(F29,'FML March 2026'!E:F,2,false)</f>
        <v>PEA SHOOTS  FRESH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17">
        <v>33681.0</v>
      </c>
      <c r="C30" s="9" t="str">
        <f>VLOOKUP(B30,'FML March 2026'!E:F,2,false)</f>
        <v>PEPPER BLACK GROUND BADIA (USA )</v>
      </c>
      <c r="D30" s="9" t="str">
        <f>VLOOKUP(B30,'Unit of Measure ship March 2026'!A:C,3,false)</f>
        <v>LBS</v>
      </c>
      <c r="F30" s="17">
        <v>15316.0</v>
      </c>
      <c r="G30" s="9" t="str">
        <f>VLOOKUP(F30,'FML March 2026'!E:F,2,false)</f>
        <v>POMEGRANATE 20-35 CT. 22#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17">
        <v>16285.0</v>
      </c>
      <c r="C31" s="9" t="str">
        <f>VLOOKUP(B31,'FML March 2026'!E:F,2,false)</f>
        <v>PEPPERCORN, BLACK, WHOLE, DRY, 6/420 G</v>
      </c>
      <c r="D31" s="9" t="str">
        <f>VLOOKUP(B31,'Unit of Measure ship March 2026'!A:C,3,false)</f>
        <v>LBS</v>
      </c>
      <c r="F31" s="17">
        <v>15518.0</v>
      </c>
      <c r="G31" s="9" t="str">
        <f>VLOOKUP(F31,'FML March 2026'!E:F,2,false)</f>
        <v>RADISHES, FRESH, BULK 40#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17">
        <v>109709.0</v>
      </c>
      <c r="C32" s="9" t="str">
        <f>VLOOKUP(B32,'FML March 2026'!E:F,2,false)</f>
        <v>PIERRE POIVRE PEPPER (LA BOITE A EPICE BRAND)</v>
      </c>
      <c r="D32" s="9" t="str">
        <f>VLOOKUP(B32,'Unit of Measure ship March 2026'!A:C,3,false)</f>
        <v>UNT/16OZ</v>
      </c>
      <c r="F32" s="8">
        <v>15427.0</v>
      </c>
      <c r="G32" s="9" t="str">
        <f>VLOOKUP(F32,'FML March 2026'!E:F,2,false)</f>
        <v>ROSEMARY (12 BUNCH) 1 LB/CS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17">
        <v>16422.0</v>
      </c>
      <c r="C33" s="9" t="str">
        <f>VLOOKUP(B33,'FML March 2026'!E:F,2,false)</f>
        <v>PINE NUTS WHOLE</v>
      </c>
      <c r="D33" s="9" t="str">
        <f>VLOOKUP(B33,'Unit of Measure ship March 2026'!A:C,3,false)</f>
        <v>LBS</v>
      </c>
      <c r="F33" s="17">
        <v>15522.0</v>
      </c>
      <c r="G33" s="9" t="str">
        <f>VLOOKUP(F33,'FML March 2026'!E:F,2,false)</f>
        <v>SHALLOTS CLOVES #1 FRESH 5#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48">
        <v>53666.0</v>
      </c>
      <c r="C34" s="9" t="str">
        <f>VLOOKUP(B34,'FML March 2026'!E:F,2,false)</f>
        <v>PIQUILLO PIMIENTOS WHOLE ROASTED &amp; PEELED 6/#10</v>
      </c>
      <c r="D34" s="9" t="str">
        <f>VLOOKUP(B34,'Unit of Measure ship March 2026'!A:C,3,false)</f>
        <v>CAN/3KG</v>
      </c>
      <c r="F34" s="8">
        <v>15522.0</v>
      </c>
      <c r="G34" s="9" t="str">
        <f>VLOOKUP(F34,'FML March 2026'!E:F,2,false)</f>
        <v>SHALLOTS CLOVES #1 FRESH 5#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15">
        <v>111998.0</v>
      </c>
      <c r="C35" s="9" t="str">
        <f>VLOOKUP(B35,'FML March 2026'!E:F,2,false)</f>
        <v>PUREE TAMARIND CS6/30 OZ PERFECT PUREE</v>
      </c>
      <c r="D35" s="9" t="str">
        <f>VLOOKUP(B35,'Unit of Measure ship March 2026'!A:C,3,false)</f>
        <v>LBS</v>
      </c>
      <c r="F35" s="48">
        <v>15528.0</v>
      </c>
      <c r="G35" s="9" t="str">
        <f>VLOOKUP(F35,'FML March 2026'!E:F,2,false)</f>
        <v>SQUASH BUTTERNUT 40#</v>
      </c>
      <c r="H35" s="9" t="str">
        <f>VLOOKUP(F35,'Unit of Measure ship March 2026'!A:C,3,false)</f>
        <v>LBS</v>
      </c>
      <c r="J35" s="49"/>
      <c r="K35" s="9"/>
      <c r="L35" s="9"/>
      <c r="O35" s="9"/>
      <c r="P35" s="9"/>
    </row>
    <row r="36" ht="14.25" customHeight="1">
      <c r="B36" s="17">
        <v>16307.0</v>
      </c>
      <c r="C36" s="9" t="str">
        <f>VLOOKUP(B36,'FML March 2026'!E:F,2,false)</f>
        <v>SALT KOSHER GRANULATED</v>
      </c>
      <c r="D36" s="9" t="str">
        <f>VLOOKUP(B36,'Unit of Measure ship March 2026'!A:C,3,false)</f>
        <v>LBS</v>
      </c>
      <c r="F36" s="17">
        <v>110072.0</v>
      </c>
      <c r="G36" s="9" t="str">
        <f>VLOOKUP(F36,'FML March 2026'!E:F,2,false)</f>
        <v>SQUASH KABOCHA FRESH</v>
      </c>
      <c r="H36" s="9" t="str">
        <f>VLOOKUP(F36,'Unit of Measure ship March 2026'!A:C,3,false)</f>
        <v>LBS</v>
      </c>
      <c r="J36" s="149"/>
      <c r="K36" s="9"/>
      <c r="L36" s="9"/>
      <c r="O36" s="9"/>
      <c r="P36" s="9"/>
    </row>
    <row r="37" ht="14.25" customHeight="1">
      <c r="B37" s="17">
        <v>20887.0</v>
      </c>
      <c r="C37" s="9" t="str">
        <f>VLOOKUP(B37,'FML March 2026'!E:F,2,false)</f>
        <v>SHICHIMI TOGARASHI CHINESE 7 FLAVOR CHILI PEPPERS</v>
      </c>
      <c r="D37" s="9" t="str">
        <f>VLOOKUP(B37,'Unit of Measure ship March 2026'!A:C,3,false)</f>
        <v>LBS</v>
      </c>
      <c r="F37" s="17">
        <v>15442.0</v>
      </c>
      <c r="G37" s="9" t="str">
        <f>VLOOKUP(F37,'FML March 2026'!E:F,2,false)</f>
        <v>TARRAGON (12 BUNCH), 1 LB/CS</v>
      </c>
      <c r="H37" s="9" t="str">
        <f>VLOOKUP(F37,'Unit of Measure ship March 2026'!A:C,3,false)</f>
        <v>LBS</v>
      </c>
      <c r="J37" s="149"/>
      <c r="K37" s="9"/>
      <c r="L37" s="9"/>
      <c r="O37" s="9"/>
      <c r="P37" s="9"/>
    </row>
    <row r="38" ht="14.25" customHeight="1">
      <c r="B38" s="17">
        <v>20879.0</v>
      </c>
      <c r="C38" s="9" t="str">
        <f>VLOOKUP(B38,'FML March 2026'!E:F,2,false)</f>
        <v>SRIRACHA, HOT CHILI SAUCE, HUY FONG, 28OZ</v>
      </c>
      <c r="D38" s="9" t="str">
        <f>VLOOKUP(B38,'Unit of Measure ship March 2026'!A:C,3,false)</f>
        <v>BT/17OZ</v>
      </c>
      <c r="F38" s="17">
        <v>15446.0</v>
      </c>
      <c r="G38" s="9" t="str">
        <f>VLOOKUP(F38,'FML March 2026'!E:F,2,false)</f>
        <v>THYME FRESH</v>
      </c>
      <c r="H38" s="9" t="str">
        <f>VLOOKUP(F38,'Unit of Measure ship March 2026'!A:C,3,false)</f>
        <v>LBS</v>
      </c>
      <c r="J38" s="149"/>
      <c r="K38" s="9"/>
      <c r="L38" s="9"/>
      <c r="O38" s="9"/>
      <c r="P38" s="9"/>
    </row>
    <row r="39" ht="14.25" customHeight="1">
      <c r="B39" s="17">
        <v>15642.0</v>
      </c>
      <c r="C39" s="9" t="str">
        <f>VLOOKUP(B39,'FML March 2026'!E:F,2,false)</f>
        <v>SUGAR, GRANULATED, ICUMSA 150, SUGARCANE, DRY, 1/50 LB</v>
      </c>
      <c r="D39" s="9" t="str">
        <f>VLOOKUP(B39,'Unit of Measure ship March 2026'!A:C,3,false)</f>
        <v>LBS</v>
      </c>
      <c r="F39" s="8">
        <v>15446.0</v>
      </c>
      <c r="G39" s="9" t="str">
        <f>VLOOKUP(F39,'FML March 2026'!E:F,2,false)</f>
        <v>THYME FRESH</v>
      </c>
      <c r="H39" s="9" t="str">
        <f>VLOOKUP(F39,'Unit of Measure ship March 2026'!A:C,3,false)</f>
        <v>LBS</v>
      </c>
      <c r="J39" s="149"/>
      <c r="K39" s="9"/>
      <c r="L39" s="9"/>
      <c r="N39" s="49"/>
      <c r="O39" s="9"/>
      <c r="P39" s="9"/>
    </row>
    <row r="40" ht="14.25" customHeight="1">
      <c r="B40" s="17">
        <v>20844.0</v>
      </c>
      <c r="C40" s="9" t="str">
        <f>VLOOKUP(B40,'FML March 2026'!E:F,2,false)</f>
        <v>VEAL DEMI GLACE CUISINE SOLUTIONS 1003743 (NO INSPECTION NEEDED) (NETHERLANDS)</v>
      </c>
      <c r="D40" s="9" t="str">
        <f>VLOOKUP(B40,'Unit of Measure ship March 2026'!A:C,3,false)</f>
        <v>LBS</v>
      </c>
      <c r="F40" s="17">
        <v>15537.0</v>
      </c>
      <c r="G40" s="9" t="str">
        <f>VLOOKUP(F40,'FML March 2026'!E:F,2,false)</f>
        <v>TOMATOES 6X6 #1 18# RED RIPE, FIRM (LAYERED), 55-65 MM</v>
      </c>
      <c r="H40" s="9" t="str">
        <f>VLOOKUP(F40,'Unit of Measure ship March 2026'!A:C,3,false)</f>
        <v>LBS</v>
      </c>
      <c r="J40" s="149"/>
      <c r="K40" s="9"/>
      <c r="L40" s="9"/>
      <c r="N40" s="101"/>
      <c r="O40" s="9"/>
      <c r="P40" s="9"/>
    </row>
    <row r="41" ht="14.25" customHeight="1">
      <c r="B41" s="48">
        <v>111933.0</v>
      </c>
      <c r="C41" s="9" t="str">
        <f>VLOOKUP(B41,'FML March 2026'!E:F,2,false)</f>
        <v>VEGETABLE STOCK LIQUID  CS 4.5/ LITER SAVORY CHOICE</v>
      </c>
      <c r="D41" s="9" t="str">
        <f>VLOOKUP(B41,'Unit of Measure ship March 2026'!A:C,3,false)</f>
        <v>LT</v>
      </c>
      <c r="F41" s="17">
        <v>109765.0</v>
      </c>
      <c r="G41" s="9" t="str">
        <f>VLOOKUP(F41,'FML March 2026'!E:F,2,false)</f>
        <v>TOMATOES CHERRY MIXED HEIRLOOM</v>
      </c>
      <c r="H41" s="9" t="str">
        <f>VLOOKUP(F41,'Unit of Measure ship March 2026'!A:C,3,false)</f>
        <v>LBS</v>
      </c>
      <c r="J41" s="149"/>
      <c r="K41" s="9"/>
      <c r="L41" s="9"/>
      <c r="N41" s="101"/>
      <c r="O41" s="9"/>
      <c r="P41" s="9"/>
    </row>
    <row r="42" ht="14.25" customHeight="1">
      <c r="B42" s="15">
        <v>102288.0</v>
      </c>
      <c r="C42" s="9" t="str">
        <f>VLOOKUP(B42,'FML March 2026'!E:F,2,false)</f>
        <v>XANTHAN GUM (AUSTRIA)</v>
      </c>
      <c r="D42" s="9" t="str">
        <f>VLOOKUP(B42,'Unit of Measure ship March 2026'!A:C,3,false)</f>
        <v>LBS</v>
      </c>
      <c r="F42" s="101"/>
      <c r="G42" s="9"/>
      <c r="H42" s="9"/>
      <c r="J42" s="149"/>
      <c r="K42" s="9"/>
      <c r="L42" s="9"/>
      <c r="N42" s="101"/>
      <c r="O42" s="9"/>
      <c r="P42" s="9"/>
    </row>
    <row r="43" ht="14.25" customHeight="1">
      <c r="B43" s="17">
        <v>109846.0</v>
      </c>
      <c r="C43" s="9" t="str">
        <f>VLOOKUP(B43,'FML March 2026'!E:F,2,false)</f>
        <v>YOGURT GREEK BULK</v>
      </c>
      <c r="D43" s="9" t="str">
        <f>VLOOKUP(B43,'Unit of Measure ship March 2026'!A:C,3,false)</f>
        <v>LBS</v>
      </c>
      <c r="F43" s="101"/>
      <c r="G43" s="9"/>
      <c r="H43" s="9"/>
      <c r="J43" s="149"/>
      <c r="K43" s="9"/>
      <c r="L43" s="9"/>
      <c r="N43" s="101"/>
      <c r="O43" s="9"/>
      <c r="P43" s="9"/>
    </row>
    <row r="44" ht="14.25" customHeight="1">
      <c r="C44" s="9"/>
      <c r="D44" s="9"/>
      <c r="F44" s="101"/>
      <c r="G44" s="9"/>
      <c r="H44" s="9"/>
      <c r="J44" s="149"/>
      <c r="K44" s="9"/>
      <c r="L44" s="9"/>
      <c r="N44" s="101"/>
      <c r="O44" s="9"/>
      <c r="P44" s="9"/>
    </row>
    <row r="45" ht="14.25" customHeight="1">
      <c r="C45" s="9"/>
      <c r="D45" s="9"/>
      <c r="F45" s="101"/>
      <c r="G45" s="9"/>
      <c r="H45" s="9"/>
      <c r="J45" s="149"/>
      <c r="K45" s="9"/>
      <c r="L45" s="9"/>
      <c r="N45" s="101"/>
      <c r="O45" s="9"/>
      <c r="P45" s="9"/>
    </row>
    <row r="46" ht="14.25" customHeight="1">
      <c r="C46" s="9"/>
      <c r="D46" s="9"/>
      <c r="F46" s="101"/>
      <c r="G46" s="9"/>
      <c r="H46" s="9"/>
      <c r="J46" s="149"/>
      <c r="K46" s="9"/>
      <c r="L46" s="9"/>
      <c r="N46" s="149"/>
      <c r="O46" s="9"/>
      <c r="P46" s="9"/>
    </row>
    <row r="47" ht="14.25" customHeight="1">
      <c r="F47" s="101"/>
      <c r="G47" s="9"/>
      <c r="H47" s="9"/>
      <c r="J47" s="149"/>
      <c r="K47" s="9"/>
      <c r="L47" s="9"/>
    </row>
    <row r="48" ht="14.25" customHeight="1">
      <c r="F48" s="101"/>
      <c r="G48" s="9"/>
      <c r="H48" s="9"/>
      <c r="J48" s="149"/>
      <c r="K48" s="9"/>
      <c r="L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87</v>
      </c>
      <c r="D1" s="142"/>
      <c r="E1" s="144"/>
      <c r="F1" s="142"/>
      <c r="G1" s="143" t="s">
        <v>88</v>
      </c>
      <c r="H1" s="142"/>
      <c r="I1" s="144"/>
      <c r="J1" s="142"/>
      <c r="K1" s="143" t="s">
        <v>89</v>
      </c>
      <c r="L1" s="142"/>
      <c r="M1" s="144"/>
      <c r="N1" s="142"/>
      <c r="O1" s="143" t="s">
        <v>90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50" t="s">
        <v>6</v>
      </c>
      <c r="C2" s="151" t="s">
        <v>7</v>
      </c>
      <c r="D2" s="150" t="s">
        <v>8</v>
      </c>
      <c r="E2" s="76"/>
      <c r="F2" s="150" t="s">
        <v>6</v>
      </c>
      <c r="G2" s="151" t="s">
        <v>7</v>
      </c>
      <c r="H2" s="150" t="s">
        <v>8</v>
      </c>
      <c r="I2" s="76"/>
      <c r="J2" s="150" t="s">
        <v>6</v>
      </c>
      <c r="K2" s="151" t="s">
        <v>7</v>
      </c>
      <c r="L2" s="150" t="s">
        <v>8</v>
      </c>
      <c r="M2" s="76"/>
      <c r="N2" s="150" t="s">
        <v>6</v>
      </c>
      <c r="O2" s="151" t="s">
        <v>7</v>
      </c>
      <c r="P2" s="150" t="s">
        <v>8</v>
      </c>
    </row>
    <row r="3" ht="14.25" customHeight="1">
      <c r="B3" s="8">
        <v>111803.0</v>
      </c>
      <c r="C3" s="9" t="str">
        <f>VLOOKUP(B3,'FML March 2026'!E:F,2,false)</f>
        <v>A&amp;S SALT PRETZEL (A&amp;S USA &amp; A&amp;S 10607.02) (GERMANY )</v>
      </c>
      <c r="D3" s="9" t="str">
        <f>VLOOKUP(B3,'Unit of Measure ship March 2026'!A:C,3,false)</f>
        <v>LBS</v>
      </c>
      <c r="E3" s="76"/>
      <c r="F3" s="8">
        <v>15378.0</v>
      </c>
      <c r="G3" s="9" t="str">
        <f>VLOOKUP(F3,'FML March 2026'!E:F,2,false)</f>
        <v>AVOCADOS HASS FRESH CA-48PC FL-12/14PC 20#</v>
      </c>
      <c r="H3" s="9" t="str">
        <f>VLOOKUP(F3,'Unit of Measure ship March 2026'!A:C,3,false)</f>
        <v>LBS</v>
      </c>
      <c r="I3" s="76"/>
      <c r="J3" s="17">
        <v>14443.0</v>
      </c>
      <c r="K3" s="9" t="str">
        <f>VLOOKUP(J3,'FML March 2026'!E:F,2,false)</f>
        <v>PORK LOIN BACK RIBS 1-1/2# DOWN DOMESTIC NAMP 422 (USA)</v>
      </c>
      <c r="L3" s="9" t="str">
        <f>VLOOKUP(J3,'Unit of Measure ship March 2026'!A:C,3,false)</f>
        <v>LBS</v>
      </c>
      <c r="M3" s="76"/>
      <c r="N3" s="48">
        <v>10052.0</v>
      </c>
      <c r="O3" s="9" t="str">
        <f>VLOOKUP(N3,'FML March 2026'!E:F,2,false)</f>
        <v>COD FILLET BERING SEA 16/32 OZ FROZEN (PCH) (CHINA)</v>
      </c>
      <c r="P3" s="9" t="str">
        <f>VLOOKUP(N3,'Unit of Measure ship March 2026'!A:C,3,false)</f>
        <v>LBS</v>
      </c>
    </row>
    <row r="4" ht="14.25" customHeight="1">
      <c r="B4" s="8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8">
        <v>15449.0</v>
      </c>
      <c r="G4" s="9" t="str">
        <f>VLOOKUP(F4,'FML March 2026'!E:F,2,false)</f>
        <v>BEET ROOTS LARGE 1/25#</v>
      </c>
      <c r="H4" s="9" t="str">
        <f>VLOOKUP(F4,'Unit of Measure ship March 2026'!A:C,3,false)</f>
        <v>LBS</v>
      </c>
      <c r="J4" s="17"/>
      <c r="K4" s="9"/>
      <c r="L4" s="9"/>
      <c r="N4" s="49"/>
      <c r="O4" s="9"/>
      <c r="P4" s="9"/>
    </row>
    <row r="5" ht="14.25" customHeight="1">
      <c r="B5" s="8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17">
        <v>38191.0</v>
      </c>
      <c r="G5" s="9" t="str">
        <f>VLOOKUP(F5,'FML March 2026'!E:F,2,false)</f>
        <v>BRUSSELS SPROUTS SMALL</v>
      </c>
      <c r="H5" s="9" t="str">
        <f>VLOOKUP(F5,'Unit of Measure ship March 2026'!A:C,3,false)</f>
        <v>LBS</v>
      </c>
      <c r="J5" s="49"/>
      <c r="K5" s="9"/>
      <c r="L5" s="9"/>
      <c r="N5" s="49"/>
      <c r="O5" s="9"/>
      <c r="P5" s="9"/>
    </row>
    <row r="6" ht="14.25" customHeight="1">
      <c r="B6" s="8">
        <v>109664.0</v>
      </c>
      <c r="C6" s="9" t="str">
        <f>VLOOKUP(B6,'FML March 2026'!E:F,2,false)</f>
        <v>APPLE CIDER VINEGAR SPARROW LANE V</v>
      </c>
      <c r="D6" s="9" t="str">
        <f>VLOOKUP(B6,'Unit of Measure ship March 2026'!A:C,3,false)</f>
        <v>GAL</v>
      </c>
      <c r="F6" s="8">
        <v>109753.0</v>
      </c>
      <c r="G6" s="9" t="str">
        <f>VLOOKUP(F6,'FML March 2026'!E:F,2,false)</f>
        <v>CHILI FRESNO FRESH</v>
      </c>
      <c r="H6" s="9" t="str">
        <f>VLOOKUP(F6,'Unit of Measure ship March 2026'!A:C,3,false)</f>
        <v>LBS</v>
      </c>
      <c r="J6" s="49"/>
      <c r="K6" s="9"/>
      <c r="L6" s="9"/>
      <c r="N6" s="49"/>
      <c r="O6" s="9"/>
      <c r="P6" s="9"/>
    </row>
    <row r="7" ht="14.25" customHeight="1">
      <c r="B7" s="17">
        <v>109686.0</v>
      </c>
      <c r="C7" s="9" t="str">
        <f>VLOOKUP(B7,'FML March 2026'!E:F,2,false)</f>
        <v>BACON, NUESKE 24 HOUR  APPLEWOOD SMOKED BACON (NUESKI 2131)</v>
      </c>
      <c r="D7" s="9" t="str">
        <f>VLOOKUP(B7,'Unit of Measure ship March 2026'!A:C,3,false)</f>
        <v>LBS</v>
      </c>
      <c r="F7" s="17">
        <v>15438.0</v>
      </c>
      <c r="G7" s="9" t="str">
        <f>VLOOKUP(F7,'FML March 2026'!E:F,2,false)</f>
        <v>CHIVES (12 BUNCH), 1 LB/CS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B8" s="17">
        <v>15651.0</v>
      </c>
      <c r="C8" s="9" t="str">
        <f>VLOOKUP(B8,'FML March 2026'!E:F,2,false)</f>
        <v>BAKING POWDER 50 LB</v>
      </c>
      <c r="D8" s="9" t="str">
        <f>VLOOKUP(B8,'Unit of Measure ship March 2026'!A:C,3,false)</f>
        <v>LBS</v>
      </c>
      <c r="F8" s="17">
        <v>15431.0</v>
      </c>
      <c r="G8" s="9" t="str">
        <f>VLOOKUP(F8,'FML March 2026'!E:F,2,false)</f>
        <v>CILANTRO (12 BUNCH) 1 LB/CS DOMESTIC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17">
        <v>12284.0</v>
      </c>
      <c r="C9" s="9" t="str">
        <f>VLOOKUP(B9,'FML March 2026'!E:F,2,false)</f>
        <v>BARBEQUE SAUCE, HICKORY</v>
      </c>
      <c r="D9" s="9" t="str">
        <f>VLOOKUP(B9,'Unit of Measure ship March 2026'!A:C,3,false)</f>
        <v>GAL</v>
      </c>
      <c r="F9" s="17">
        <v>15433.0</v>
      </c>
      <c r="G9" s="9" t="str">
        <f>VLOOKUP(F9,'FML March 2026'!E:F,2,false)</f>
        <v>DILL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8">
        <v>16250.0</v>
      </c>
      <c r="C10" s="9" t="str">
        <f>VLOOKUP(B10,'FML March 2026'!E:F,2,false)</f>
        <v>BAY LEAVES WHOLE D`ALLESANDRO/ SPICECO</v>
      </c>
      <c r="D10" s="9" t="str">
        <f>VLOOKUP(B10,'Unit of Measure ship March 2026'!A:C,3,false)</f>
        <v>LBS</v>
      </c>
      <c r="F10" s="17">
        <v>30639.0</v>
      </c>
      <c r="G10" s="9" t="str">
        <f>VLOOKUP(F10,'FML March 2026'!E:F,2,false)</f>
        <v>GARLIC PEELED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B11" s="8">
        <v>32730.0</v>
      </c>
      <c r="C11" s="9" t="str">
        <f>VLOOKUP(B11,'FML March 2026'!E:F,2,false)</f>
        <v>BEANS BLACK, 6/#10 CAN</v>
      </c>
      <c r="D11" s="9" t="str">
        <f>VLOOKUP(B11,'Unit of Measure ship March 2026'!A:C,3,false)</f>
        <v>CN/6.5LB</v>
      </c>
      <c r="F11" s="8">
        <v>38392.0</v>
      </c>
      <c r="G11" s="9" t="str">
        <f>VLOOKUP(F11,'FML March 2026'!E:F,2,false)</f>
        <v>GINGER FRESH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8">
        <v>16579.0</v>
      </c>
      <c r="C12" s="9" t="str">
        <f>VLOOKUP(B12,'FML March 2026'!E:F,2,false)</f>
        <v>BEANS RED KIDNEY DARK 6/10 CANS (SPAIN)</v>
      </c>
      <c r="D12" s="9" t="str">
        <f>VLOOKUP(B12,'Unit of Measure ship March 2026'!A:C,3,false)</f>
        <v>CN/6.5LB</v>
      </c>
      <c r="F12" s="17">
        <v>15397.0</v>
      </c>
      <c r="G12" s="9" t="str">
        <f>VLOOKUP(F12,'FML March 2026'!E:F,2,false)</f>
        <v>LEMONS FRESH FIRM FANCY CALIF. SUNKIST #1 200CT 40#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15">
        <v>16530.0</v>
      </c>
      <c r="C13" s="9" t="str">
        <f>VLOOKUP(B13,'FML March 2026'!E:F,2,false)</f>
        <v>BEANS, BAKED, VEGETARIAN, DRY, 6/#10</v>
      </c>
      <c r="D13" s="9" t="str">
        <f>VLOOKUP(B13,'Unit of Measure ship March 2026'!A:C,3,false)</f>
        <v>CN/6.5LB</v>
      </c>
      <c r="F13" s="17">
        <v>15399.0</v>
      </c>
      <c r="G13" s="9" t="str">
        <f>VLOOKUP(F13,'FML March 2026'!E:F,2,false)</f>
        <v>LIMES, FRESH, FIRM #1 200CT 40#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B14" s="8">
        <v>24910.0</v>
      </c>
      <c r="C14" s="9" t="str">
        <f>VLOOKUP(B14,'FML March 2026'!E:F,2,false)</f>
        <v>BEANS, PINTO DRY (VV)</v>
      </c>
      <c r="D14" s="9" t="str">
        <f>VLOOKUP(B14,'Unit of Measure ship March 2026'!A:C,3,false)</f>
        <v>LBS</v>
      </c>
      <c r="F14" s="17">
        <v>15496.0</v>
      </c>
      <c r="G14" s="9" t="str">
        <f>VLOOKUP(F14,'FML March 2026'!E:F,2,false)</f>
        <v>ONIONS RED, MEDIUM 25#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8">
        <v>20884.0</v>
      </c>
      <c r="C15" s="9" t="str">
        <f>VLOOKUP(B15,'FML March 2026'!E:F,2,false)</f>
        <v>BREAD CRUMBS PANKO 25 LB KIKKOMAN #05010 (USA)</v>
      </c>
      <c r="D15" s="9" t="str">
        <f>VLOOKUP(B15,'Unit of Measure ship March 2026'!A:C,3,false)</f>
        <v>LBS</v>
      </c>
      <c r="F15" s="17">
        <v>15497.0</v>
      </c>
      <c r="G15" s="9" t="str">
        <f>VLOOKUP(F15,'FML March 2026'!E:F,2,false)</f>
        <v>ONIONS, YELLOW, MEDIUM, SPANISH #1, 50#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17">
        <v>15016.0</v>
      </c>
      <c r="C16" s="9" t="str">
        <f>VLOOKUP(B16,'FML March 2026'!E:F,2,false)</f>
        <v>BUTTER, UNSALTED, 82% FAT, FZN, 50/200 G</v>
      </c>
      <c r="D16" s="9" t="str">
        <f>VLOOKUP(B16,'Unit of Measure ship March 2026'!A:C,3,false)</f>
        <v>LBS</v>
      </c>
      <c r="F16" s="17">
        <v>15500.0</v>
      </c>
      <c r="G16" s="9" t="str">
        <f>VLOOKUP(F16,'FML March 2026'!E:F,2,false)</f>
        <v>PARSLEY ITALIAN,  20#/CS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8">
        <v>14893.0</v>
      </c>
      <c r="C17" s="9" t="str">
        <f>VLOOKUP(B17,'FML March 2026'!E:F,2,false)</f>
        <v>BUTTERMILK LOCAL 10 DAYS CS9/HGAL</v>
      </c>
      <c r="D17" s="9" t="str">
        <f>VLOOKUP(B17,'Unit of Measure ship March 2026'!A:C,3,false)</f>
        <v>QRT</v>
      </c>
      <c r="F17" s="17">
        <v>111047.0</v>
      </c>
      <c r="G17" s="9" t="str">
        <f>VLOOKUP(F17,'FML March 2026'!E:F,2,false)</f>
        <v>PEPPER THAI LONG GREEN FRESH  CS3/LBS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8">
        <v>111126.0</v>
      </c>
      <c r="C18" s="9" t="str">
        <f>VLOOKUP(B18,'FML March 2026'!E:F,2,false)</f>
        <v>CANNELLINI BEANS CS12/15 OZ FIELD DAY</v>
      </c>
      <c r="D18" s="9" t="str">
        <f>VLOOKUP(B18,'Unit of Measure ship March 2026'!A:C,3,false)</f>
        <v>CAN15/OZ</v>
      </c>
      <c r="F18" s="17">
        <v>15504.0</v>
      </c>
      <c r="G18" s="9" t="str">
        <f>VLOOKUP(F18,'FML March 2026'!E:F,2,false)</f>
        <v>PEPPERS HOT, JALAPENOS 10#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17">
        <v>15893.0</v>
      </c>
      <c r="C19" s="9" t="str">
        <f>VLOOKUP(B19,'FML March 2026'!E:F,2,false)</f>
        <v>CASHEWS, RAW, WHOLE, #320, DRY, 1/50 LB</v>
      </c>
      <c r="D19" s="9" t="str">
        <f>VLOOKUP(B19,'Unit of Measure ship March 2026'!A:C,3,false)</f>
        <v>LBS</v>
      </c>
      <c r="F19" s="17">
        <v>15502.0</v>
      </c>
      <c r="G19" s="9" t="str">
        <f>VLOOKUP(F19,'FML March 2026'!E:F,2,false)</f>
        <v>PEPPERS RED, MEDIUM, 88-100 MM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17">
        <v>14984.0</v>
      </c>
      <c r="C20" s="9" t="str">
        <f>VLOOKUP(B20,'FML March 2026'!E:F,2,false)</f>
        <v>CHEDDAR BLOCK YELLOW IMP.4/11</v>
      </c>
      <c r="D20" s="9" t="str">
        <f>VLOOKUP(B20,'Unit of Measure ship March 2026'!A:C,3,false)</f>
        <v>LBS</v>
      </c>
      <c r="F20" s="17">
        <v>15506.0</v>
      </c>
      <c r="G20" s="9" t="str">
        <f>VLOOKUP(F20,'FML March 2026'!E:F,2,false)</f>
        <v>PLANTAINS, GREEN 50#</v>
      </c>
      <c r="H20" s="9" t="str">
        <f>VLOOKUP(F20,'Unit of Measure ship March 2026'!A:C,3,false)</f>
        <v>KG</v>
      </c>
      <c r="J20" s="49"/>
      <c r="K20" s="9"/>
      <c r="L20" s="9"/>
      <c r="N20" s="49"/>
      <c r="O20" s="9"/>
      <c r="P20" s="9"/>
    </row>
    <row r="21" ht="14.25" customHeight="1">
      <c r="B21" s="8">
        <v>111964.0</v>
      </c>
      <c r="C21" s="9" t="str">
        <f>VLOOKUP(B21,'FML March 2026'!E:F,2,false)</f>
        <v>CHEESE COTIJA QUESO CASE 2/5 LB SUPREMO VV</v>
      </c>
      <c r="D21" s="9" t="str">
        <f>VLOOKUP(B21,'Unit of Measure ship March 2026'!A:C,3,false)</f>
        <v>LBS</v>
      </c>
      <c r="F21" s="17">
        <v>61705.0</v>
      </c>
      <c r="G21" s="9" t="str">
        <f>VLOOKUP(F21,'FML March 2026'!E:F,2,false)</f>
        <v>SERRANO PEPPERS FRESH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17">
        <v>16252.0</v>
      </c>
      <c r="C22" s="9" t="str">
        <f>VLOOKUP(B22,'FML March 2026'!E:F,2,false)</f>
        <v>CHILI POWDER 16 OZ D`ALLESANDRO/ SPICECO</v>
      </c>
      <c r="D22" s="9" t="str">
        <f>VLOOKUP(B22,'Unit of Measure ship March 2026'!A:C,3,false)</f>
        <v>LBS</v>
      </c>
      <c r="F22" s="15">
        <v>15522.0</v>
      </c>
      <c r="G22" s="9" t="str">
        <f>VLOOKUP(F22,'FML March 2026'!E:F,2,false)</f>
        <v>SHALLOTS CLOVES #1 FRESH 5#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10883.0</v>
      </c>
      <c r="C23" s="9" t="str">
        <f>VLOOKUP(B23,'FML March 2026'!E:F,2,false)</f>
        <v>CHIPS, TORTILLA, TRIANGLE FOR NACHOS</v>
      </c>
      <c r="D23" s="9" t="str">
        <f>VLOOKUP(B23,'Unit of Measure ship March 2026'!A:C,3,false)</f>
        <v>PKG16/OZ</v>
      </c>
      <c r="F23" s="15">
        <v>15575.0</v>
      </c>
      <c r="G23" s="9" t="str">
        <f>VLOOKUP(F23,'FML March 2026'!E:F,2,false)</f>
        <v>SWISS CHARD 24 BU 20#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8">
        <v>16267.0</v>
      </c>
      <c r="C24" s="9" t="str">
        <f>VLOOKUP(B24,'FML March 2026'!E:F,2,false)</f>
        <v>CINNAMON STICKS BADIA (USA)</v>
      </c>
      <c r="D24" s="9" t="str">
        <f>VLOOKUP(B24,'Unit of Measure ship March 2026'!A:C,3,false)</f>
        <v>LBS</v>
      </c>
      <c r="F24" s="17">
        <v>15442.0</v>
      </c>
      <c r="G24" s="9" t="str">
        <f>VLOOKUP(F24,'FML March 2026'!E:F,2,false)</f>
        <v>TARRAGON (12 BUNCH), 1 LB/CS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8">
        <v>16288.0</v>
      </c>
      <c r="C25" s="9" t="str">
        <f>VLOOKUP(B25,'FML March 2026'!E:F,2,false)</f>
        <v>CORIANDER WHOLE BADIA (USA )</v>
      </c>
      <c r="D25" s="9" t="str">
        <f>VLOOKUP(B25,'Unit of Measure ship March 2026'!A:C,3,false)</f>
        <v>LBS</v>
      </c>
      <c r="F25" s="17">
        <v>15537.0</v>
      </c>
      <c r="G25" s="9" t="str">
        <f>VLOOKUP(F25,'FML March 2026'!E:F,2,false)</f>
        <v>TOMATOES 6X6 #1 18# RED RIPE, FIRM (LAYERED), 55-65 MM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17">
        <v>14987.0</v>
      </c>
      <c r="C26" s="9" t="str">
        <f>VLOOKUP(B26,'FML March 2026'!E:F,2,false)</f>
        <v>CREAM CHEESE QUESCREM/PHILADELPHIA FOR BAKERY</v>
      </c>
      <c r="D26" s="9" t="str">
        <f>VLOOKUP(B26,'Unit of Measure ship March 2026'!A:C,3,false)</f>
        <v>LBS</v>
      </c>
      <c r="G26" s="9"/>
      <c r="H26" s="9"/>
      <c r="J26" s="49"/>
      <c r="K26" s="9"/>
      <c r="L26" s="9"/>
      <c r="N26" s="49"/>
      <c r="O26" s="9"/>
      <c r="P26" s="9"/>
    </row>
    <row r="27" ht="14.25" customHeight="1">
      <c r="B27" s="8">
        <v>16256.0</v>
      </c>
      <c r="C27" s="9" t="str">
        <f>VLOOKUP(B27,'FML March 2026'!E:F,2,false)</f>
        <v>CUMIN GROUND D`ALLESANDRO/ SPICECO (USA )</v>
      </c>
      <c r="D27" s="9" t="str">
        <f>VLOOKUP(B27,'Unit of Measure ship March 2026'!A:C,3,false)</f>
        <v>LBS</v>
      </c>
      <c r="G27" s="9"/>
      <c r="H27" s="9"/>
      <c r="J27" s="49"/>
      <c r="K27" s="9"/>
      <c r="L27" s="9"/>
      <c r="N27" s="49"/>
      <c r="O27" s="9"/>
      <c r="P27" s="9"/>
    </row>
    <row r="28" ht="14.25" customHeight="1">
      <c r="B28" s="8">
        <v>16259.0</v>
      </c>
      <c r="C28" s="9" t="str">
        <f>VLOOKUP(B28,'FML March 2026'!E:F,2,false)</f>
        <v>FENNEL SEED WHOLE BADIA (USA )</v>
      </c>
      <c r="D28" s="9" t="str">
        <f>VLOOKUP(B28,'Unit of Measure ship March 2026'!A:C,3,false)</f>
        <v>LBS</v>
      </c>
      <c r="G28" s="9"/>
      <c r="H28" s="9"/>
      <c r="J28" s="49"/>
      <c r="K28" s="9"/>
      <c r="L28" s="9"/>
      <c r="N28" s="49"/>
      <c r="O28" s="9"/>
      <c r="P28" s="9"/>
    </row>
    <row r="29" ht="14.25" customHeight="1">
      <c r="B29" s="8">
        <v>31226.0</v>
      </c>
      <c r="C29" s="9" t="str">
        <f>VLOOKUP(B29,'FML March 2026'!E:F,2,false)</f>
        <v>FLEUR DE SEL / SEL DE GUERANDE 1 KG PAIL</v>
      </c>
      <c r="D29" s="9" t="str">
        <f>VLOOKUP(B29,'Unit of Measure ship March 2026'!A:C,3,false)</f>
        <v>LBS</v>
      </c>
      <c r="G29" s="9"/>
      <c r="H29" s="9"/>
      <c r="J29" s="49"/>
      <c r="K29" s="9"/>
      <c r="L29" s="9"/>
      <c r="N29" s="49"/>
      <c r="O29" s="9"/>
      <c r="P29" s="9"/>
    </row>
    <row r="30" ht="14.25" customHeight="1">
      <c r="B30" s="8">
        <v>111865.0</v>
      </c>
      <c r="C30" s="9" t="str">
        <f>VLOOKUP(B30,'FML March 2026'!E:F,2,false)</f>
        <v>FLOUR ALL PURPOSE SIR GALAHAD BAG50/LBS KING ARTHUR</v>
      </c>
      <c r="D30" s="9" t="str">
        <f>VLOOKUP(B30,'Unit of Measure ship March 2026'!A:C,3,false)</f>
        <v>LBS</v>
      </c>
      <c r="G30" s="9"/>
      <c r="H30" s="9"/>
      <c r="J30" s="49"/>
      <c r="K30" s="9"/>
      <c r="L30" s="9"/>
      <c r="N30" s="49"/>
      <c r="O30" s="9"/>
      <c r="P30" s="9"/>
    </row>
    <row r="31" ht="14.25" customHeight="1">
      <c r="B31" s="8">
        <v>109639.0</v>
      </c>
      <c r="C31" s="9" t="str">
        <f>VLOOKUP(B31,'FML March 2026'!E:F,2,false)</f>
        <v>FLOUR SIR LANCELOT HIGH GLUTEN  50 LB KING ARTHUR</v>
      </c>
      <c r="D31" s="9" t="str">
        <f>VLOOKUP(B31,'Unit of Measure ship March 2026'!A:C,3,false)</f>
        <v>KG</v>
      </c>
      <c r="G31" s="9"/>
      <c r="H31" s="9"/>
      <c r="J31" s="49"/>
      <c r="K31" s="9"/>
      <c r="L31" s="9"/>
      <c r="N31" s="49"/>
      <c r="O31" s="9"/>
      <c r="P31" s="9"/>
    </row>
    <row r="32" ht="14.25" customHeight="1">
      <c r="B32" s="8">
        <v>111794.0</v>
      </c>
      <c r="C32" s="9" t="str">
        <f>VLOOKUP(B32,'FML March 2026'!E:F,2,false)</f>
        <v>FRENCH FRIES SEASHORE STYLE SEASONED SKIN-ON CS 6/5 LB LAMB WESTON SS101</v>
      </c>
      <c r="D32" s="9" t="str">
        <f>VLOOKUP(B32,'Unit of Measure ship March 2026'!A:C,3,false)</f>
        <v>LBS</v>
      </c>
      <c r="G32" s="9"/>
      <c r="H32" s="9"/>
      <c r="J32" s="49"/>
      <c r="K32" s="9"/>
      <c r="L32" s="9"/>
      <c r="N32" s="49"/>
      <c r="O32" s="9"/>
      <c r="P32" s="9"/>
    </row>
    <row r="33" ht="14.25" customHeight="1">
      <c r="B33" s="8">
        <v>16578.0</v>
      </c>
      <c r="C33" s="9" t="str">
        <f>VLOOKUP(B33,'FML March 2026'!E:F,2,false)</f>
        <v>GARBANZO BEANS 6/10 CANS (SPAIN)</v>
      </c>
      <c r="D33" s="9" t="str">
        <f>VLOOKUP(B33,'Unit of Measure ship March 2026'!A:C,3,false)</f>
        <v>CN/6.5LB</v>
      </c>
      <c r="G33" s="9"/>
      <c r="H33" s="9"/>
      <c r="J33" s="49"/>
      <c r="K33" s="9"/>
      <c r="L33" s="9"/>
      <c r="N33" s="49"/>
      <c r="O33" s="9"/>
      <c r="P33" s="9"/>
    </row>
    <row r="34" ht="14.25" customHeight="1">
      <c r="B34" s="17">
        <v>16260.0</v>
      </c>
      <c r="C34" s="9" t="str">
        <f>VLOOKUP(B34,'FML March 2026'!E:F,2,false)</f>
        <v>GARLIC, POWDER, DRY, 12/16 OZ</v>
      </c>
      <c r="D34" s="9" t="str">
        <f>VLOOKUP(B34,'Unit of Measure ship March 2026'!A:C,3,false)</f>
        <v>LBS</v>
      </c>
      <c r="G34" s="9"/>
      <c r="H34" s="9"/>
      <c r="J34" s="49"/>
      <c r="K34" s="9"/>
      <c r="L34" s="9"/>
      <c r="N34" s="49"/>
      <c r="O34" s="9"/>
      <c r="P34" s="9"/>
    </row>
    <row r="35" ht="14.25" customHeight="1">
      <c r="B35" s="17">
        <v>12666.0</v>
      </c>
      <c r="C35" s="9" t="str">
        <f>VLOOKUP(B35,'FML March 2026'!E:F,2,false)</f>
        <v>GLUTEN FREE WHITE RICE FLOUR</v>
      </c>
      <c r="D35" s="9" t="str">
        <f>VLOOKUP(B35,'Unit of Measure ship March 2026'!A:C,3,false)</f>
        <v>LBS</v>
      </c>
      <c r="G35" s="9"/>
      <c r="H35" s="9"/>
      <c r="J35" s="49"/>
      <c r="K35" s="9"/>
      <c r="L35" s="9"/>
      <c r="O35" s="9"/>
      <c r="P35" s="9"/>
    </row>
    <row r="36" ht="14.25" customHeight="1">
      <c r="B36" s="8">
        <v>23904.0</v>
      </c>
      <c r="C36" s="9" t="str">
        <f>VLOOKUP(B36,'FML March 2026'!E:F,2,false)</f>
        <v>HEAVENLY ORGANICS, 100% RAW ACACIA HONEY ORGANIC</v>
      </c>
      <c r="D36" s="9" t="str">
        <f>VLOOKUP(B36,'Unit of Measure ship March 2026'!A:C,3,false)</f>
        <v>PC/13OZ</v>
      </c>
      <c r="G36" s="9"/>
      <c r="H36" s="9"/>
      <c r="J36" s="149"/>
      <c r="K36" s="9"/>
      <c r="L36" s="9"/>
      <c r="O36" s="9"/>
      <c r="P36" s="9"/>
    </row>
    <row r="37" ht="14.25" customHeight="1">
      <c r="B37" s="17">
        <v>14907.0</v>
      </c>
      <c r="C37" s="9" t="str">
        <f>VLOOKUP(B37,'FML March 2026'!E:F,2,false)</f>
        <v>HEAVY CREAM UHT LONG LIFE 38%-40% 12/1LT</v>
      </c>
      <c r="D37" s="9" t="str">
        <f>VLOOKUP(B37,'Unit of Measure ship March 2026'!A:C,3,false)</f>
        <v>LT</v>
      </c>
      <c r="G37" s="9"/>
      <c r="H37" s="9"/>
      <c r="J37" s="149"/>
      <c r="K37" s="9"/>
      <c r="L37" s="9"/>
      <c r="O37" s="9"/>
      <c r="P37" s="9"/>
    </row>
    <row r="38" ht="14.25" customHeight="1">
      <c r="B38" s="17">
        <v>15658.0</v>
      </c>
      <c r="C38" s="9" t="str">
        <f>VLOOKUP(B38,'FML March 2026'!E:F,2,false)</f>
        <v>HONEY 6/5 LB GROEB/MELONIA/SWEET HARVEST</v>
      </c>
      <c r="D38" s="9" t="str">
        <f>VLOOKUP(B38,'Unit of Measure ship March 2026'!A:C,3,false)</f>
        <v>KG</v>
      </c>
      <c r="G38" s="9"/>
      <c r="H38" s="9"/>
      <c r="J38" s="149"/>
      <c r="K38" s="9"/>
      <c r="L38" s="9"/>
      <c r="O38" s="9"/>
      <c r="P38" s="9"/>
    </row>
    <row r="39" ht="14.25" customHeight="1">
      <c r="B39" s="8">
        <v>39757.0</v>
      </c>
      <c r="C39" s="9" t="str">
        <f>VLOOKUP(B39,'FML March 2026'!E:F,2,false)</f>
        <v>JUICE, 100% APPLE, FROM CONC, DRY, 12/1 LT</v>
      </c>
      <c r="D39" s="9" t="str">
        <f>VLOOKUP(B39,'Unit of Measure ship March 2026'!A:C,3,false)</f>
        <v>LT</v>
      </c>
      <c r="G39" s="9"/>
      <c r="H39" s="9"/>
      <c r="J39" s="149"/>
      <c r="K39" s="9"/>
      <c r="L39" s="9"/>
      <c r="N39" s="49"/>
      <c r="O39" s="9"/>
      <c r="P39" s="9"/>
    </row>
    <row r="40" ht="14.25" customHeight="1">
      <c r="B40" s="17">
        <v>16349.0</v>
      </c>
      <c r="C40" s="9" t="str">
        <f>VLOOKUP(B40,'FML March 2026'!E:F,2,false)</f>
        <v>KETCHUP, HEINZ, 51290, DRY, 6/#10</v>
      </c>
      <c r="D40" s="9" t="str">
        <f>VLOOKUP(B40,'Unit of Measure ship March 2026'!A:C,3,false)</f>
        <v>CN/6.5LB</v>
      </c>
      <c r="G40" s="9"/>
      <c r="H40" s="9"/>
      <c r="J40" s="149"/>
      <c r="K40" s="9"/>
      <c r="L40" s="9"/>
      <c r="N40" s="101"/>
      <c r="O40" s="9"/>
      <c r="P40" s="9"/>
    </row>
    <row r="41" ht="14.25" customHeight="1">
      <c r="B41" s="8">
        <v>109624.0</v>
      </c>
      <c r="C41" s="9" t="str">
        <f>VLOOKUP(B41,'FML March 2026'!E:F,2,false)</f>
        <v>MALT POWDER NON-DIASTATIC CS/50LB  MODERNIST PANTRY</v>
      </c>
      <c r="D41" s="9" t="str">
        <f>VLOOKUP(B41,'Unit of Measure ship March 2026'!A:C,3,false)</f>
        <v>KG</v>
      </c>
      <c r="G41" s="9"/>
      <c r="H41" s="9"/>
      <c r="J41" s="149"/>
      <c r="K41" s="9"/>
      <c r="L41" s="9"/>
      <c r="N41" s="101"/>
      <c r="O41" s="9"/>
      <c r="P41" s="9"/>
    </row>
    <row r="42" ht="14.25" customHeight="1">
      <c r="B42" s="8">
        <v>109667.0</v>
      </c>
      <c r="C42" s="9" t="str">
        <f>VLOOKUP(B42,'FML March 2026'!E:F,2,false)</f>
        <v>MAYONNAISE, UNILEVER - HELLMANN'S, 4800126530, DRY, 4/1 GAL</v>
      </c>
      <c r="D42" s="9" t="str">
        <f>VLOOKUP(B42,'Unit of Measure ship March 2026'!A:C,3,false)</f>
        <v>GAL</v>
      </c>
      <c r="G42" s="9"/>
      <c r="H42" s="9"/>
      <c r="J42" s="149"/>
      <c r="K42" s="9"/>
      <c r="L42" s="9"/>
      <c r="N42" s="101"/>
      <c r="O42" s="9"/>
      <c r="P42" s="9"/>
    </row>
    <row r="43" ht="14.25" customHeight="1">
      <c r="B43" s="17">
        <v>15711.0</v>
      </c>
      <c r="C43" s="9" t="str">
        <f>VLOOKUP(B43,'FML March 2026'!E:F,2,false)</f>
        <v>MOLASSES 4/1 GALLON GRANDMAS/ TORINO (USA )</v>
      </c>
      <c r="D43" s="9" t="str">
        <f>VLOOKUP(B43,'Unit of Measure ship March 2026'!A:C,3,false)</f>
        <v>GAL</v>
      </c>
      <c r="G43" s="9"/>
      <c r="H43" s="9"/>
      <c r="J43" s="149"/>
      <c r="K43" s="9"/>
      <c r="L43" s="9"/>
      <c r="N43" s="101"/>
      <c r="O43" s="9"/>
      <c r="P43" s="9"/>
    </row>
    <row r="44" ht="14.25" customHeight="1">
      <c r="B44" s="8">
        <v>11940.0</v>
      </c>
      <c r="C44" s="9" t="str">
        <f>VLOOKUP(B44,'FML March 2026'!E:F,2,false)</f>
        <v>MUSHROOM SHITAKI DRY  URBANI/MARKY`S</v>
      </c>
      <c r="D44" s="9" t="str">
        <f>VLOOKUP(B44,'Unit of Measure ship March 2026'!A:C,3,false)</f>
        <v>LBS</v>
      </c>
      <c r="G44" s="9"/>
      <c r="H44" s="9"/>
      <c r="J44" s="149"/>
      <c r="K44" s="9"/>
      <c r="L44" s="9"/>
      <c r="N44" s="101"/>
      <c r="O44" s="9"/>
      <c r="P44" s="9"/>
    </row>
    <row r="45" ht="14.25" customHeight="1">
      <c r="B45" s="17">
        <v>16426.0</v>
      </c>
      <c r="C45" s="9" t="str">
        <f>VLOOKUP(B45,'FML March 2026'!E:F,2,false)</f>
        <v>MUSTARD  TUB GREY POUPON - DIJON MUSTARD PLAIN (FRANCE)</v>
      </c>
      <c r="D45" s="9" t="str">
        <f>VLOOKUP(B45,'Unit of Measure ship March 2026'!A:C,3,false)</f>
        <v>JAR/48OZ</v>
      </c>
      <c r="G45" s="9"/>
      <c r="H45" s="9"/>
      <c r="J45" s="149"/>
      <c r="K45" s="9"/>
      <c r="L45" s="9"/>
      <c r="N45" s="101"/>
      <c r="O45" s="9"/>
      <c r="P45" s="9"/>
    </row>
    <row r="46" ht="14.25" customHeight="1">
      <c r="B46" s="8">
        <v>16258.0</v>
      </c>
      <c r="C46" s="9" t="str">
        <f>VLOOKUP(B46,'FML March 2026'!E:F,2,false)</f>
        <v>MUSTARD POWDER ENGLISH 12/16 OZ COLEMAN</v>
      </c>
      <c r="D46" s="9" t="str">
        <f>VLOOKUP(B46,'Unit of Measure ship March 2026'!A:C,3,false)</f>
        <v>LBS</v>
      </c>
      <c r="G46" s="9"/>
      <c r="H46" s="9"/>
      <c r="J46" s="149"/>
      <c r="K46" s="9"/>
      <c r="L46" s="9"/>
      <c r="N46" s="149"/>
      <c r="O46" s="9"/>
      <c r="P46" s="9"/>
    </row>
    <row r="47" ht="14.25" customHeight="1">
      <c r="B47" s="8">
        <v>16320.0</v>
      </c>
      <c r="C47" s="9" t="str">
        <f>VLOOKUP(B47,'FML March 2026'!E:F,2,false)</f>
        <v>MUSTARD SEED 24 OZ D`ALLESANDRO/ SPICECO</v>
      </c>
      <c r="D47" s="9" t="str">
        <f>VLOOKUP(B47,'Unit of Measure ship March 2026'!A:C,3,false)</f>
        <v>LBS</v>
      </c>
      <c r="G47" s="9"/>
      <c r="H47" s="9"/>
      <c r="J47" s="149"/>
      <c r="K47" s="9"/>
      <c r="L47" s="9"/>
    </row>
    <row r="48" ht="14.25" customHeight="1">
      <c r="B48" s="17">
        <v>16350.0</v>
      </c>
      <c r="C48" s="9" t="str">
        <f>VLOOKUP(B48,'FML March 2026'!E:F,2,false)</f>
        <v>MUSTARD YELLOW, PREPARED, GAL FRENCH`S</v>
      </c>
      <c r="D48" s="9" t="str">
        <f>VLOOKUP(B48,'Unit of Measure ship March 2026'!A:C,3,false)</f>
        <v>GAL</v>
      </c>
      <c r="G48" s="9"/>
      <c r="H48" s="9"/>
      <c r="J48" s="149"/>
      <c r="K48" s="9"/>
      <c r="L48" s="9"/>
    </row>
    <row r="49" ht="15.75" customHeight="1">
      <c r="B49" s="8">
        <v>109227.0</v>
      </c>
      <c r="C49" s="9" t="str">
        <f>VLOOKUP(B49,'FML March 2026'!E:F,2,false)</f>
        <v>NUTRITIONAL YEAST FLAKES VEGAN C6/5OZ BOBS RED ,MILL (USA)</v>
      </c>
      <c r="D49" s="9" t="str">
        <f>VLOOKUP(B49,'Unit of Measure ship March 2026'!A:C,3,false)</f>
        <v>CS6/5OZ</v>
      </c>
    </row>
    <row r="50" ht="15.75" customHeight="1">
      <c r="B50" s="17">
        <v>16377.0</v>
      </c>
      <c r="C50" s="9" t="str">
        <f>VLOOKUP(B50,'FML March 2026'!E:F,2,false)</f>
        <v>OIL, 100% VEGETABLE SOYBEAN, DRY, 4/5 LT</v>
      </c>
      <c r="D50" s="9" t="str">
        <f>VLOOKUP(B50,'Unit of Measure ship March 2026'!A:C,3,false)</f>
        <v>C4/5LT</v>
      </c>
    </row>
    <row r="51" ht="15.75" customHeight="1">
      <c r="B51" s="17">
        <v>10265.0</v>
      </c>
      <c r="C51" s="9" t="str">
        <f>VLOOKUP(B51,'FML March 2026'!E:F,2,false)</f>
        <v>OIL, FRYING, 100% SOYBEAN, TRANS FAT FREE, FLASHPOINT &gt;600F, DRY, 4/5 LT</v>
      </c>
      <c r="D51" s="9" t="str">
        <f>VLOOKUP(B51,'Unit of Measure ship March 2026'!A:C,3,false)</f>
        <v>CS4/5LT</v>
      </c>
    </row>
    <row r="52" ht="15.75" customHeight="1">
      <c r="B52" s="8">
        <v>52603.0</v>
      </c>
      <c r="C52" s="9" t="str">
        <f>VLOOKUP(B52,'FML March 2026'!E:F,2,false)</f>
        <v>OLIVE/CANOLA BLEND OIL</v>
      </c>
      <c r="D52" s="9" t="str">
        <f>VLOOKUP(B52,'Unit of Measure ship March 2026'!A:C,3,false)</f>
        <v>LT</v>
      </c>
    </row>
    <row r="53" ht="15.75" customHeight="1">
      <c r="B53" s="8">
        <v>62951.0</v>
      </c>
      <c r="C53" s="9" t="str">
        <f>VLOOKUP(B53,'FML March 2026'!E:F,2,false)</f>
        <v>ONION POWDER</v>
      </c>
      <c r="D53" s="9" t="str">
        <f>VLOOKUP(B53,'Unit of Measure ship March 2026'!A:C,3,false)</f>
        <v>LBS</v>
      </c>
    </row>
    <row r="54" ht="15.75" customHeight="1">
      <c r="B54" s="8">
        <v>109697.0</v>
      </c>
      <c r="C54" s="9" t="str">
        <f>VLOOKUP(B54,'FML March 2026'!E:F,2,false)</f>
        <v>PAPRIKA SMOKED PKG 26.46  OZ LA CHINATA</v>
      </c>
      <c r="D54" s="9" t="str">
        <f>VLOOKUP(B54,'Unit of Measure ship March 2026'!A:C,3,false)</f>
        <v>KG</v>
      </c>
    </row>
    <row r="55" ht="15.75" customHeight="1">
      <c r="B55" s="8">
        <v>43805.0</v>
      </c>
      <c r="C55" s="9" t="str">
        <f>VLOOKUP(B55,'FML March 2026'!E:F,2,false)</f>
        <v>PEAS, GREEN, GRADE A, IQF, FZN, 1/10 KG</v>
      </c>
      <c r="D55" s="9" t="str">
        <f>VLOOKUP(B55,'Unit of Measure ship March 2026'!A:C,3,false)</f>
        <v>LBS</v>
      </c>
    </row>
    <row r="56" ht="15.75" customHeight="1">
      <c r="B56" s="8">
        <v>108553.0</v>
      </c>
      <c r="C56" s="9" t="str">
        <f>VLOOKUP(B56,'FML March 2026'!E:F,2,false)</f>
        <v>PEPPER ARBOL  D'ALLESANDRO CS/5LB</v>
      </c>
      <c r="D56" s="9" t="str">
        <f>VLOOKUP(B56,'Unit of Measure ship March 2026'!A:C,3,false)</f>
        <v>KG</v>
      </c>
    </row>
    <row r="57" ht="15.75" customHeight="1">
      <c r="B57" s="8">
        <v>33681.0</v>
      </c>
      <c r="C57" s="9" t="str">
        <f>VLOOKUP(B57,'FML March 2026'!E:F,2,false)</f>
        <v>PEPPER BLACK GROUND BADIA (USA )</v>
      </c>
      <c r="D57" s="9" t="str">
        <f>VLOOKUP(B57,'Unit of Measure ship March 2026'!A:C,3,false)</f>
        <v>LBS</v>
      </c>
    </row>
    <row r="58" ht="15.75" customHeight="1">
      <c r="B58" s="8">
        <v>16302.0</v>
      </c>
      <c r="C58" s="9" t="str">
        <f>VLOOKUP(B58,'FML March 2026'!E:F,2,false)</f>
        <v>PEPPER CAYENNE GROUND BADIA (USA )</v>
      </c>
      <c r="D58" s="9" t="str">
        <f>VLOOKUP(B58,'Unit of Measure ship March 2026'!A:C,3,false)</f>
        <v>LBS</v>
      </c>
    </row>
    <row r="59" ht="15.75" customHeight="1">
      <c r="B59" s="17">
        <v>16285.0</v>
      </c>
      <c r="C59" s="9" t="str">
        <f>VLOOKUP(B59,'FML March 2026'!E:F,2,false)</f>
        <v>PEPPERCORN, BLACK, WHOLE, DRY, 6/420 G</v>
      </c>
      <c r="D59" s="9" t="str">
        <f>VLOOKUP(B59,'Unit of Measure ship March 2026'!A:C,3,false)</f>
        <v>LBS</v>
      </c>
    </row>
    <row r="60" ht="15.75" customHeight="1">
      <c r="B60" s="8">
        <v>16408.0</v>
      </c>
      <c r="C60" s="9" t="str">
        <f>VLOOKUP(B60,'FML March 2026'!E:F,2,false)</f>
        <v>PICKLE, CORNICHON/GHERKIN</v>
      </c>
      <c r="D60" s="9" t="str">
        <f>VLOOKUP(B60,'Unit of Measure ship March 2026'!A:C,3,false)</f>
        <v>KG</v>
      </c>
    </row>
    <row r="61" ht="15.75" customHeight="1">
      <c r="B61" s="17">
        <v>16307.0</v>
      </c>
      <c r="C61" s="9" t="str">
        <f>VLOOKUP(B61,'FML March 2026'!E:F,2,false)</f>
        <v>SALT KOSHER GRANULATED</v>
      </c>
      <c r="D61" s="9" t="str">
        <f>VLOOKUP(B61,'Unit of Measure ship March 2026'!A:C,3,false)</f>
        <v>LBS</v>
      </c>
    </row>
    <row r="62" ht="15.75" customHeight="1">
      <c r="B62" s="8">
        <v>20880.0</v>
      </c>
      <c r="C62" s="9" t="str">
        <f>VLOOKUP(B62,'FML March 2026'!E:F,2,false)</f>
        <v>SALT SEA MALDON</v>
      </c>
      <c r="D62" s="9" t="str">
        <f>VLOOKUP(B62,'Unit of Measure ship March 2026'!A:C,3,false)</f>
        <v>LBS</v>
      </c>
    </row>
    <row r="63" ht="15.75" customHeight="1">
      <c r="B63" s="17">
        <v>16357.0</v>
      </c>
      <c r="C63" s="9" t="str">
        <f>VLOOKUP(B63,'FML March 2026'!E:F,2,false)</f>
        <v>SAUCE TABASCO RED  2 OZ</v>
      </c>
      <c r="D63" s="9" t="str">
        <f>VLOOKUP(B63,'Unit of Measure ship March 2026'!A:C,3,false)</f>
        <v>BTL/2OZ</v>
      </c>
    </row>
    <row r="64" ht="15.75" customHeight="1">
      <c r="B64" s="8">
        <v>111846.0</v>
      </c>
      <c r="C64" s="9" t="str">
        <f>VLOOKUP(B64,'FML March 2026'!E:F,2,false)</f>
        <v>SODIUM HYDROXIDE/LYE/CAUSTIC SODA, FOOD GRADE, DRY, 1/50 LB</v>
      </c>
      <c r="D64" s="9" t="str">
        <f>VLOOKUP(B64,'Unit of Measure ship March 2026'!A:C,3,false)</f>
        <v>LBS</v>
      </c>
    </row>
    <row r="65" ht="15.75" customHeight="1">
      <c r="B65" s="8">
        <v>109936.0</v>
      </c>
      <c r="C65" s="9" t="str">
        <f>VLOOKUP(B65,'FML March 2026'!E:F,2,false)</f>
        <v>SOUR CREAM ALTERNATIVE VEGAN PLANT PERFECT</v>
      </c>
      <c r="D65" s="9" t="str">
        <f>VLOOKUP(B65,'Unit of Measure ship March 2026'!A:C,3,false)</f>
        <v>LBS</v>
      </c>
    </row>
    <row r="66" ht="15.75" customHeight="1">
      <c r="B66" s="8">
        <v>14883.0</v>
      </c>
      <c r="C66" s="9" t="str">
        <f>VLOOKUP(B66,'FML March 2026'!E:F,2,false)</f>
        <v>SOUR CREAM LONG LIFE 24% 6/5#</v>
      </c>
      <c r="D66" s="9" t="str">
        <f>VLOOKUP(B66,'Unit of Measure ship March 2026'!A:C,3,false)</f>
        <v>LBS</v>
      </c>
    </row>
    <row r="67" ht="15.75" customHeight="1">
      <c r="B67" s="8">
        <v>20151.0</v>
      </c>
      <c r="C67" s="9" t="str">
        <f>VLOOKUP(B67,'FML March 2026'!E:F,2,false)</f>
        <v>SOY SAUCE LOWER SODIUM CS6/64OZ KIKKOMAN #00130 (USA)</v>
      </c>
      <c r="D67" s="9" t="str">
        <f>VLOOKUP(B67,'Unit of Measure ship March 2026'!A:C,3,false)</f>
        <v>BTL/64OZ</v>
      </c>
    </row>
    <row r="68" ht="15.75" customHeight="1">
      <c r="B68" s="17">
        <v>20879.0</v>
      </c>
      <c r="C68" s="9" t="str">
        <f>VLOOKUP(B68,'FML March 2026'!E:F,2,false)</f>
        <v>SRIRACHA, HOT CHILI SAUCE, HUY FONG, 28OZ</v>
      </c>
      <c r="D68" s="9" t="str">
        <f>VLOOKUP(B68,'Unit of Measure ship March 2026'!A:C,3,false)</f>
        <v>BT/17OZ</v>
      </c>
    </row>
    <row r="69" ht="15.75" customHeight="1">
      <c r="B69" s="17">
        <v>15646.0</v>
      </c>
      <c r="C69" s="9" t="str">
        <f>VLOOKUP(B69,'FML March 2026'!E:F,2,false)</f>
        <v>SUGAR BROWN DARK  24/1LB  DOMINO (404310) (USA)</v>
      </c>
      <c r="D69" s="9" t="str">
        <f>VLOOKUP(B69,'Unit of Measure ship March 2026'!A:C,3,false)</f>
        <v>LBS</v>
      </c>
    </row>
    <row r="70" ht="15.75" customHeight="1">
      <c r="B70" s="8">
        <v>15642.0</v>
      </c>
      <c r="C70" s="9" t="str">
        <f>VLOOKUP(B70,'FML March 2026'!E:F,2,false)</f>
        <v>SUGAR, GRANULATED, ICUMSA 150, SUGARCANE, DRY, 1/50 LB</v>
      </c>
      <c r="D70" s="9" t="str">
        <f>VLOOKUP(B70,'Unit of Measure ship March 2026'!A:C,3,false)</f>
        <v>LBS</v>
      </c>
    </row>
    <row r="71" ht="15.75" customHeight="1">
      <c r="B71" s="8">
        <v>29904.0</v>
      </c>
      <c r="C71" s="9" t="str">
        <f>VLOOKUP(B71,'FML March 2026'!E:F,2,false)</f>
        <v>SYRUP, MAPLE, 100% PURE, GRADE A, AMBER, DRY, 4/4 LT</v>
      </c>
      <c r="D71" s="9" t="str">
        <f>VLOOKUP(B71,'Unit of Measure ship March 2026'!A:C,3,false)</f>
        <v>BOX/4LTR</v>
      </c>
    </row>
    <row r="72" ht="15.75" customHeight="1">
      <c r="B72" s="8">
        <v>16581.0</v>
      </c>
      <c r="C72" s="9" t="str">
        <f>VLOOKUP(B72,'FML March 2026'!E:F,2,false)</f>
        <v>TOMATO, PASTE, HEINZ, 57310, DRY, 6/#10</v>
      </c>
      <c r="D72" s="9" t="str">
        <f>VLOOKUP(B72,'Unit of Measure ship March 2026'!A:C,3,false)</f>
        <v>CN/6.5LB</v>
      </c>
    </row>
    <row r="73" ht="15.75" customHeight="1">
      <c r="B73" s="78">
        <v>143140.0</v>
      </c>
      <c r="C73" s="9" t="str">
        <f>VLOOKUP(B73,'FML March 2026'!E:F,2,false)</f>
        <v>TOMATO, WHOLE, PEELED, IN JUICE, DRY, 6/#10</v>
      </c>
      <c r="D73" s="9" t="str">
        <f>VLOOKUP(B73,'Unit of Measure ship March 2026'!A:C,3,false)</f>
        <v>C6/6.5LB</v>
      </c>
    </row>
    <row r="74" ht="15.75" customHeight="1">
      <c r="B74" s="17">
        <v>16310.0</v>
      </c>
      <c r="C74" s="9" t="str">
        <f>VLOOKUP(B74,'FML March 2026'!E:F,2,false)</f>
        <v>TURMERIC GROUND</v>
      </c>
      <c r="D74" s="9" t="str">
        <f>VLOOKUP(B74,'Unit of Measure ship March 2026'!A:C,3,false)</f>
        <v>LBS</v>
      </c>
    </row>
    <row r="75" ht="15.75" customHeight="1">
      <c r="B75" s="8">
        <v>109927.0</v>
      </c>
      <c r="C75" s="9" t="str">
        <f>VLOOKUP(B75,'FML March 2026'!E:F,2,false)</f>
        <v>VEGAN GROUND BEEF ALTERNATIVE IMPOSSIBLE BULK</v>
      </c>
      <c r="D75" s="9" t="str">
        <f>VLOOKUP(B75,'Unit of Measure ship March 2026'!A:C,3,false)</f>
        <v>LBS</v>
      </c>
    </row>
    <row r="76" ht="15.75" customHeight="1">
      <c r="B76" s="15">
        <v>111933.0</v>
      </c>
      <c r="C76" s="9" t="str">
        <f>VLOOKUP(B76,'FML March 2026'!E:F,2,false)</f>
        <v>VEGETABLE STOCK LIQUID  CS 4.5/ LITER SAVORY CHOICE</v>
      </c>
      <c r="D76" s="9" t="str">
        <f>VLOOKUP(B76,'Unit of Measure ship March 2026'!A:C,3,false)</f>
        <v>LT</v>
      </c>
    </row>
    <row r="77" ht="15.75" customHeight="1">
      <c r="B77" s="8">
        <v>109665.0</v>
      </c>
      <c r="C77" s="9" t="str">
        <f>VLOOKUP(B77,'FML March 2026'!E:F,2,false)</f>
        <v>VINEGAR CABERNET SPARROW LANE</v>
      </c>
      <c r="D77" s="9" t="str">
        <f>VLOOKUP(B77,'Unit of Measure ship March 2026'!A:C,3,false)</f>
        <v>GAL</v>
      </c>
    </row>
    <row r="78" ht="15.75" customHeight="1">
      <c r="B78" s="8">
        <v>109666.0</v>
      </c>
      <c r="C78" s="9" t="str">
        <f>VLOOKUP(B78,'FML March 2026'!E:F,2,false)</f>
        <v>VINEGAR CHAMPAGNE WINE SPARROW LANE/ PACKER</v>
      </c>
      <c r="D78" s="9" t="str">
        <f>VLOOKUP(B78,'Unit of Measure ship March 2026'!A:C,3,false)</f>
        <v>GAL</v>
      </c>
    </row>
    <row r="79" ht="15.75" customHeight="1">
      <c r="B79" s="17">
        <v>16402.0</v>
      </c>
      <c r="C79" s="9" t="str">
        <f>VLOOKUP(B79,'FML March 2026'!E:F,2,false)</f>
        <v>VINEGAR SHERRY/ XERES CS4/5 LT ROLAND</v>
      </c>
      <c r="D79" s="9" t="str">
        <f>VLOOKUP(B79,'Unit of Measure ship March 2026'!A:C,3,false)</f>
        <v>BT/750ML</v>
      </c>
    </row>
    <row r="80" ht="15.75" customHeight="1">
      <c r="B80" s="17">
        <v>16427.0</v>
      </c>
      <c r="C80" s="9" t="str">
        <f>VLOOKUP(B80,'FML March 2026'!E:F,2,false)</f>
        <v>VINEGAR, MALT VINEGAR, HEINZ, BOTTLE</v>
      </c>
      <c r="D80" s="9" t="str">
        <f>VLOOKUP(B80,'Unit of Measure ship March 2026'!A:C,3,false)</f>
        <v>BTL/12OZ</v>
      </c>
    </row>
    <row r="81" ht="15.75" customHeight="1">
      <c r="B81" s="8">
        <v>16374.0</v>
      </c>
      <c r="C81" s="9" t="str">
        <f>VLOOKUP(B81,'FML March 2026'!E:F,2,false)</f>
        <v>VINEGAR, WHITE DISTILLED</v>
      </c>
      <c r="D81" s="9" t="str">
        <f>VLOOKUP(B81,'Unit of Measure ship March 2026'!A:C,3,false)</f>
        <v>BTL/5LT</v>
      </c>
    </row>
    <row r="82" ht="15.75" customHeight="1">
      <c r="B82" s="8">
        <v>24829.0</v>
      </c>
      <c r="C82" s="9" t="str">
        <f>VLOOKUP(B82,'FML March 2026'!E:F,2,false)</f>
        <v>WAKAME DRY FOR MISO SOUP K-SEA  MA/RV (USA)</v>
      </c>
      <c r="D82" s="9" t="str">
        <f>VLOOKUP(B82,'Unit of Measure ship March 2026'!A:C,3,false)</f>
        <v>LBS</v>
      </c>
    </row>
    <row r="83" ht="15.75" customHeight="1">
      <c r="B83" s="8">
        <v>15802.0</v>
      </c>
      <c r="C83" s="9" t="str">
        <f>VLOOKUP(B83,'FML March 2026'!E:F,2,false)</f>
        <v>WALNUTS LARGE HALVES</v>
      </c>
      <c r="D83" s="9" t="str">
        <f>VLOOKUP(B83,'Unit of Measure ship March 2026'!A:C,3,false)</f>
        <v>LBS</v>
      </c>
    </row>
    <row r="84" ht="15.75" customHeight="1">
      <c r="B84" s="8">
        <v>15732.0</v>
      </c>
      <c r="C84" s="9" t="str">
        <f>VLOOKUP(B84,'FML March 2026'!E:F,2,false)</f>
        <v>WHEAT, BULGUR WHEAT CS6/2LB INHARVEST</v>
      </c>
      <c r="D84" s="9" t="str">
        <f>VLOOKUP(B84,'Unit of Measure ship March 2026'!A:C,3,false)</f>
        <v>LBS</v>
      </c>
    </row>
    <row r="85" ht="15.75" customHeight="1">
      <c r="B85" s="17">
        <v>16358.0</v>
      </c>
      <c r="C85" s="9" t="str">
        <f>VLOOKUP(B85,'FML March 2026'!E:F,2,false)</f>
        <v>WORCESTERSHIRE SAUCE 5 OZ LEA &amp; PERRINS</v>
      </c>
      <c r="D85" s="9" t="str">
        <f>VLOOKUP(B85,'Unit of Measure ship March 2026'!A:C,3,false)</f>
        <v>BTL/5OZ</v>
      </c>
    </row>
    <row r="86" ht="15.75" customHeight="1">
      <c r="B86" s="17">
        <v>15032.0</v>
      </c>
      <c r="C86" s="9" t="str">
        <f>VLOOKUP(B86,'FML March 2026'!E:F,2,false)</f>
        <v>YEAST ACTIVE 24/1# FRESH &amp; REFRIGERATED, FLEISCHMANS</v>
      </c>
      <c r="D86" s="9" t="str">
        <f>VLOOKUP(B86,'Unit of Measure ship March 2026'!A:C,3,false)</f>
        <v>LBS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44"/>
      <c r="B1" s="142"/>
      <c r="C1" s="143" t="s">
        <v>91</v>
      </c>
      <c r="D1" s="142"/>
      <c r="E1" s="144"/>
      <c r="F1" s="142"/>
      <c r="G1" s="143" t="s">
        <v>92</v>
      </c>
      <c r="H1" s="142"/>
      <c r="I1" s="144"/>
      <c r="J1" s="142"/>
      <c r="K1" s="143" t="s">
        <v>93</v>
      </c>
      <c r="L1" s="142"/>
      <c r="M1" s="144"/>
      <c r="N1" s="142"/>
      <c r="O1" s="143" t="s">
        <v>94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52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A3" s="153"/>
      <c r="B3" s="8">
        <v>16211.0</v>
      </c>
      <c r="C3" s="9" t="str">
        <f>VLOOKUP(B3,'FML March 2026'!E:F,2,false)</f>
        <v>AGAR AGAR POWDER CUISINE TECH</v>
      </c>
      <c r="D3" s="9" t="str">
        <f>VLOOKUP(B3,'Unit of Measure ship March 2026'!A:C,3,false)</f>
        <v>LBS</v>
      </c>
      <c r="F3" s="8">
        <v>23757.0</v>
      </c>
      <c r="G3" s="9" t="str">
        <f>VLOOKUP(F3,'FML March 2026'!E:F,2,false)</f>
        <v>APPLES GRANNY SMITH 88CT 40#/CS</v>
      </c>
      <c r="H3" s="9" t="str">
        <f>VLOOKUP(F3,'Unit of Measure ship March 2026'!A:C,3,false)</f>
        <v>LBS</v>
      </c>
      <c r="J3" s="154">
        <v>148887.0</v>
      </c>
      <c r="K3" s="9" t="str">
        <f>VLOOKUP(J3,'FML March 2026'!E:F,2,false)</f>
        <v>BEEF TENDERLOIN PEELED STRAP-ON  100 DAY GRAIN FED JBS (AUSTRALIA) NAMP-189A</v>
      </c>
      <c r="L3" s="9" t="str">
        <f>VLOOKUP(J3,'Unit of Measure ship March 2026'!A:C,3,false)</f>
        <v>LBS</v>
      </c>
      <c r="N3" s="155">
        <v>14758.0</v>
      </c>
      <c r="O3" s="9" t="str">
        <f>VLOOKUP(N3,'FML March 2026'!E:F,2,false)</f>
        <v>SWORDFISH LOINS 20/40 FRESH FROZEN CONNOLLY CS/40 LB AVG (USA)</v>
      </c>
      <c r="P3" s="35" t="s">
        <v>42</v>
      </c>
    </row>
    <row r="4" ht="14.25" customHeight="1">
      <c r="A4" s="153"/>
      <c r="B4" s="8">
        <v>109520.0</v>
      </c>
      <c r="C4" s="9" t="str">
        <f>VLOOKUP(B4,'FML March 2026'!E:F,2,false)</f>
        <v>AGAVE SYRUP VEGAN BLUE GREEN VS4/1GAL (USA)</v>
      </c>
      <c r="D4" s="9" t="str">
        <f>VLOOKUP(B4,'Unit of Measure ship March 2026'!A:C,3,false)</f>
        <v>LT</v>
      </c>
      <c r="F4" s="8">
        <v>53697.0</v>
      </c>
      <c r="G4" s="9" t="str">
        <f>VLOOKUP(F4,'FML March 2026'!E:F,2,false)</f>
        <v>ARTICHOKE, JERUSALEM, FRESH</v>
      </c>
      <c r="H4" s="9" t="str">
        <f>VLOOKUP(F4,'Unit of Measure ship March 2026'!A:C,3,false)</f>
        <v>LBS</v>
      </c>
      <c r="J4" s="155">
        <v>34728.0</v>
      </c>
      <c r="K4" s="9" t="str">
        <f>VLOOKUP(J4,'FML March 2026'!E:F,2,false)</f>
        <v>BEEF, STRIPLOIN, BONELESS, 13 DWN, UPPER 2/3, CHOICE, ANGUS, 40 DAY AGED, 0X1, NAMP 180, USA ONLY, &lt;22 LB EA, FZN, 3/1 EA</v>
      </c>
      <c r="L4" s="9" t="str">
        <f>VLOOKUP(J4,'Unit of Measure ship March 2026'!A:C,3,false)</f>
        <v>LBS</v>
      </c>
      <c r="N4" s="155">
        <v>53625.0</v>
      </c>
      <c r="O4" s="9" t="str">
        <f>VLOOKUP(N4,'FML March 2026'!E:F,2,false)</f>
        <v>SALMON FILLET, ATLANTIC, PREMIUM, FROZEN, 3 - 4 LB D-TRIM INDV. CRYOVAC (CHILE)</v>
      </c>
      <c r="P4" s="9" t="str">
        <f>VLOOKUP(N4,'Unit of Measure ship March 2026'!A:C,3,false)</f>
        <v>LBS</v>
      </c>
    </row>
    <row r="5" ht="14.25" customHeight="1">
      <c r="A5" s="153"/>
      <c r="B5" s="8">
        <v>111083.0</v>
      </c>
      <c r="C5" s="9" t="str">
        <f>VLOOKUP(B5,'FML March 2026'!E:F,2,false)</f>
        <v>ALEPPO PEPPER  PKG 1/LB  LA BOITE</v>
      </c>
      <c r="D5" s="9" t="str">
        <f>VLOOKUP(B5,'Unit of Measure ship March 2026'!A:C,3,false)</f>
        <v>LBS</v>
      </c>
      <c r="F5" s="8">
        <v>24182.0</v>
      </c>
      <c r="G5" s="9" t="str">
        <f>VLOOKUP(F5,'FML March 2026'!E:F,2,false)</f>
        <v>ARUGULA, BABY</v>
      </c>
      <c r="H5" s="9" t="str">
        <f>VLOOKUP(F5,'Unit of Measure ship March 2026'!A:C,3,false)</f>
        <v>LBS</v>
      </c>
      <c r="J5" s="49"/>
      <c r="K5" s="9"/>
      <c r="L5" s="9"/>
      <c r="N5" s="49"/>
      <c r="O5" s="9"/>
      <c r="P5" s="9"/>
    </row>
    <row r="6" ht="14.25" customHeight="1">
      <c r="A6" s="153"/>
      <c r="B6" s="91">
        <v>16262.0</v>
      </c>
      <c r="C6" s="9" t="str">
        <f>VLOOKUP(B6,'FML March 2026'!E:F,2,false)</f>
        <v>ALLSPICE BADIA</v>
      </c>
      <c r="D6" s="9" t="str">
        <f>VLOOKUP(B6,'Unit of Measure ship March 2026'!A:C,3,false)</f>
        <v>LBS</v>
      </c>
      <c r="F6" s="8">
        <v>15572.0</v>
      </c>
      <c r="G6" s="9" t="str">
        <f>VLOOKUP(F6,'FML March 2026'!E:F,2,false)</f>
        <v>ASPARAGUS, FRESH, LARGE, FULL 11# BOX, 17 PC/BOX</v>
      </c>
      <c r="H6" s="9" t="str">
        <f>VLOOKUP(F6,'Unit of Measure ship March 2026'!A:C,3,false)</f>
        <v>LBS</v>
      </c>
      <c r="J6" s="49"/>
      <c r="K6" s="9"/>
      <c r="L6" s="9"/>
      <c r="N6" s="49"/>
      <c r="O6" s="9"/>
      <c r="P6" s="9"/>
    </row>
    <row r="7" ht="14.25" customHeight="1">
      <c r="A7" s="153"/>
      <c r="B7" s="8">
        <v>40445.0</v>
      </c>
      <c r="C7" s="9" t="str">
        <f>VLOOKUP(B7,'FML March 2026'!E:F,2,false)</f>
        <v>ALMOND BLANCHED FLOUR (USA )</v>
      </c>
      <c r="D7" s="9" t="str">
        <f>VLOOKUP(B7,'Unit of Measure ship March 2026'!A:C,3,false)</f>
        <v>LBS</v>
      </c>
      <c r="F7" s="91">
        <v>15429.0</v>
      </c>
      <c r="G7" s="9" t="str">
        <f>VLOOKUP(F7,'FML March 2026'!E:F,2,false)</f>
        <v>BASIL (12 BUNCH) HYDROPONIC OR REGULAR 1 LB/CS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A8" s="153"/>
      <c r="B8" s="8">
        <v>54020.0</v>
      </c>
      <c r="C8" s="9" t="str">
        <f>VLOOKUP(B8,'FML March 2026'!E:F,2,false)</f>
        <v>ALMOND MILK DIAMOND/ ALMOND BREEZE</v>
      </c>
      <c r="D8" s="9" t="str">
        <f>VLOOKUP(B8,'Unit of Measure ship March 2026'!A:C,3,false)</f>
        <v>LT</v>
      </c>
      <c r="F8" s="92">
        <v>15449.0</v>
      </c>
      <c r="G8" s="9" t="str">
        <f>VLOOKUP(F8,'FML March 2026'!E:F,2,false)</f>
        <v>BEET ROOTS LARGE 1/25#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A9" s="153"/>
      <c r="B9" s="8">
        <v>109664.0</v>
      </c>
      <c r="C9" s="9" t="str">
        <f>VLOOKUP(B9,'FML March 2026'!E:F,2,false)</f>
        <v>APPLE CIDER VINEGAR SPARROW LANE V</v>
      </c>
      <c r="D9" s="9" t="str">
        <f>VLOOKUP(B9,'Unit of Measure ship March 2026'!A:C,3,false)</f>
        <v>GAL</v>
      </c>
      <c r="F9" s="155">
        <v>15333.0</v>
      </c>
      <c r="G9" s="9" t="str">
        <f>VLOOKUP(F9,'FML March 2026'!E:F,2,false)</f>
        <v>BLACKBERRIES FRESH 12 1/2 PT 4.5#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A10" s="153"/>
      <c r="B10" s="8">
        <v>109223.0</v>
      </c>
      <c r="C10" s="9" t="str">
        <f>VLOOKUP(B10,'FML March 2026'!E:F,2,false)</f>
        <v>AQUAFABA POWDER EGG REPLACER SAHELI PK 300GR</v>
      </c>
      <c r="D10" s="9" t="str">
        <f>VLOOKUP(B10,'Unit of Measure ship March 2026'!A:C,3,false)</f>
        <v>LBS</v>
      </c>
      <c r="F10" s="155">
        <v>15335.0</v>
      </c>
      <c r="G10" s="9" t="str">
        <f>VLOOKUP(F10,'FML March 2026'!E:F,2,false)</f>
        <v>BLUEBERRIES FRESH 12 1/2 PT 4.5#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A11" s="153"/>
      <c r="B11" s="8">
        <v>111121.0</v>
      </c>
      <c r="C11" s="9" t="str">
        <f>VLOOKUP(B11,'FML March 2026'!E:F,2,false)</f>
        <v>ARTICHOKE "ROMANA STYLE" CS2/3 KG</v>
      </c>
      <c r="D11" s="9" t="str">
        <f>VLOOKUP(B11,'Unit of Measure ship March 2026'!A:C,3,false)</f>
        <v>LBS</v>
      </c>
      <c r="F11" s="8">
        <v>38191.0</v>
      </c>
      <c r="G11" s="9" t="str">
        <f>VLOOKUP(F11,'FML March 2026'!E:F,2,false)</f>
        <v>BRUSSELS SPROUTS SMALL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A12" s="153"/>
      <c r="B12" s="18">
        <v>43759.0</v>
      </c>
      <c r="C12" s="9" t="str">
        <f>VLOOKUP(B12,'FML March 2026'!E:F,2,false)</f>
        <v>ASPARAGUS, GREEN, MEDIUM, GRADE A, IQF, FZN, 1/10 KG</v>
      </c>
      <c r="D12" s="9" t="str">
        <f>VLOOKUP(B12,'Unit of Measure ship March 2026'!A:C,3,false)</f>
        <v>LBS</v>
      </c>
      <c r="F12" s="155">
        <v>15458.0</v>
      </c>
      <c r="G12" s="9" t="str">
        <f>VLOOKUP(F12,'FML March 2026'!E:F,2,false)</f>
        <v>CARROTS CLIP TOP 50#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A13" s="153"/>
      <c r="B13" s="8">
        <v>15651.0</v>
      </c>
      <c r="C13" s="9" t="str">
        <f>VLOOKUP(B13,'FML March 2026'!E:F,2,false)</f>
        <v>BAKING POWDER 50 LB</v>
      </c>
      <c r="D13" s="9" t="str">
        <f>VLOOKUP(B13,'Unit of Measure ship March 2026'!A:C,3,false)</f>
        <v>LBS</v>
      </c>
      <c r="F13" s="8">
        <v>110064.0</v>
      </c>
      <c r="G13" s="9" t="str">
        <f>VLOOKUP(F13,'FML March 2026'!E:F,2,false)</f>
        <v>CARROTS RAINBOW FRESH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A14" s="153"/>
      <c r="B14" s="8">
        <v>16250.0</v>
      </c>
      <c r="C14" s="9" t="str">
        <f>VLOOKUP(B14,'FML March 2026'!E:F,2,false)</f>
        <v>BAY LEAVES WHOLE D`ALLESANDRO/ SPICECO</v>
      </c>
      <c r="D14" s="9" t="str">
        <f>VLOOKUP(B14,'Unit of Measure ship March 2026'!A:C,3,false)</f>
        <v>LBS</v>
      </c>
      <c r="F14" s="155">
        <v>15459.0</v>
      </c>
      <c r="G14" s="9" t="str">
        <f>VLOOKUP(F14,'FML March 2026'!E:F,2,false)</f>
        <v>CAULIFLOWER #1 CAL. 12 CT 25#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A15" s="153"/>
      <c r="B15" s="91">
        <v>16178.0</v>
      </c>
      <c r="C15" s="9" t="str">
        <f>VLOOKUP(B15,'FML March 2026'!E:F,2,false)</f>
        <v>BEANS BLACK COMMERCIAL DE LEGUMBRES/ TORINO</v>
      </c>
      <c r="D15" s="9" t="str">
        <f>VLOOKUP(B15,'Unit of Measure ship March 2026'!A:C,3,false)</f>
        <v>LBS</v>
      </c>
      <c r="F15" s="8">
        <v>15562.0</v>
      </c>
      <c r="G15" s="9" t="str">
        <f>VLOOKUP(F15,'FML March 2026'!E:F,2,false)</f>
        <v>CELERIAC (CELERY ROOT) 20#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A16" s="153"/>
      <c r="B16" s="8">
        <v>20884.0</v>
      </c>
      <c r="C16" s="9" t="str">
        <f>VLOOKUP(B16,'FML March 2026'!E:F,2,false)</f>
        <v>BREAD CRUMBS PANKO 25 LB KIKKOMAN #05010 (USA)</v>
      </c>
      <c r="D16" s="9" t="str">
        <f>VLOOKUP(B16,'Unit of Measure ship March 2026'!A:C,3,false)</f>
        <v>LBS</v>
      </c>
      <c r="F16" s="8">
        <v>15543.0</v>
      </c>
      <c r="G16" s="9" t="str">
        <f>VLOOKUP(F16,'FML March 2026'!E:F,2,false)</f>
        <v>CHERVIL, FRESH, 12BU 1 LB/CS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A17" s="153"/>
      <c r="B17" s="8">
        <v>109933.0</v>
      </c>
      <c r="C17" s="9" t="str">
        <f>VLOOKUP(B17,'FML March 2026'!E:F,2,false)</f>
        <v>BUTTER ALTERNATIVE VEGAN PLANT PERFECT (USA)</v>
      </c>
      <c r="D17" s="9" t="str">
        <f>VLOOKUP(B17,'Unit of Measure ship March 2026'!A:C,3,false)</f>
        <v>LBS</v>
      </c>
      <c r="F17" s="8">
        <v>109753.0</v>
      </c>
      <c r="G17" s="9" t="str">
        <f>VLOOKUP(F17,'FML March 2026'!E:F,2,false)</f>
        <v>CHILI FRESNO FRESH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A18" s="153"/>
      <c r="B18" s="8">
        <v>15016.0</v>
      </c>
      <c r="C18" s="9" t="str">
        <f>VLOOKUP(B18,'FML March 2026'!E:F,2,false)</f>
        <v>BUTTER, UNSALTED, 82% FAT, FZN, 50/200 G</v>
      </c>
      <c r="D18" s="9" t="str">
        <f>VLOOKUP(B18,'Unit of Measure ship March 2026'!A:C,3,false)</f>
        <v>LBS</v>
      </c>
      <c r="F18" s="155">
        <v>15438.0</v>
      </c>
      <c r="G18" s="9" t="str">
        <f>VLOOKUP(F18,'FML March 2026'!E:F,2,false)</f>
        <v>CHIVES (12 BUNCH), 1 LB/CS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A19" s="153"/>
      <c r="B19" s="8">
        <v>43176.0</v>
      </c>
      <c r="C19" s="9" t="str">
        <f>VLOOKUP(B19,'FML March 2026'!E:F,2,false)</f>
        <v>BUTTER, UNSALTED, 84% FAT, EXTRA DRY, SHEETED, CROISSANT, FZN, 5/2 KG</v>
      </c>
      <c r="D19" s="9" t="str">
        <f>VLOOKUP(B19,'Unit of Measure ship March 2026'!A:C,3,false)</f>
        <v>KG</v>
      </c>
      <c r="F19" s="155">
        <v>15431.0</v>
      </c>
      <c r="G19" s="9" t="str">
        <f>VLOOKUP(F19,'FML March 2026'!E:F,2,false)</f>
        <v>CILANTRO (12 BUNCH) 1 LB/CS DOMESTIC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A20" s="153"/>
      <c r="B20" s="8">
        <v>111126.0</v>
      </c>
      <c r="C20" s="9" t="str">
        <f>VLOOKUP(B20,'FML March 2026'!E:F,2,false)</f>
        <v>CANNELLINI BEANS CS12/15 OZ FIELD DAY</v>
      </c>
      <c r="D20" s="9" t="str">
        <f>VLOOKUP(B20,'Unit of Measure ship March 2026'!A:C,3,false)</f>
        <v>CAN15/OZ</v>
      </c>
      <c r="F20" s="8">
        <v>109754.0</v>
      </c>
      <c r="G20" s="9" t="str">
        <f>VLOOKUP(F20,'FML March 2026'!E:F,2,false)</f>
        <v>CUCUMBER ENGLISH SEEDLESS, LARGE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A21" s="153"/>
      <c r="B21" s="8">
        <v>16015.0</v>
      </c>
      <c r="C21" s="9" t="str">
        <f>VLOOKUP(B21,'FML March 2026'!E:F,2,false)</f>
        <v>CAPERS, NON-PAREIL, IN VINEGAR, DRY, 6X850GR</v>
      </c>
      <c r="D21" s="9" t="str">
        <f>VLOOKUP(B21,'Unit of Measure ship March 2026'!A:C,3,false)</f>
        <v>CAN/32OZ</v>
      </c>
      <c r="F21" s="155">
        <v>15433.0</v>
      </c>
      <c r="G21" s="9" t="str">
        <f>VLOOKUP(F21,'FML March 2026'!E:F,2,false)</f>
        <v>DILL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A22" s="153"/>
      <c r="B22" s="91">
        <v>15816.0</v>
      </c>
      <c r="C22" s="9" t="str">
        <f>VLOOKUP(B22,'FML March 2026'!E:F,2,false)</f>
        <v>CARAWAY SEEDS WHOLE 16 OZ D BADIA</v>
      </c>
      <c r="D22" s="9" t="str">
        <f>VLOOKUP(B22,'Unit of Measure ship March 2026'!A:C,3,false)</f>
        <v>LBS</v>
      </c>
      <c r="F22" s="155">
        <v>15464.0</v>
      </c>
      <c r="G22" s="9" t="str">
        <f>VLOOKUP(F22,'FML March 2026'!E:F,2,false)</f>
        <v>EGGPLANT MEDIUM, 225 - 300 MM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A23" s="153"/>
      <c r="B23" s="91">
        <v>111011.0</v>
      </c>
      <c r="C23" s="9" t="str">
        <f>VLOOKUP(B23,'FML March 2026'!E:F,2,false)</f>
        <v>CARDAMOM POD GREEN TERRA SPICE</v>
      </c>
      <c r="D23" s="9" t="str">
        <f>VLOOKUP(B23,'Unit of Measure ship March 2026'!A:C,3,false)</f>
        <v>JR32/OZ</v>
      </c>
      <c r="F23" s="8">
        <v>15547.0</v>
      </c>
      <c r="G23" s="9" t="str">
        <f>VLOOKUP(F23,'FML March 2026'!E:F,2,false)</f>
        <v>FENNEL FRESH CAL. 40#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A24" s="153"/>
      <c r="B24" s="8">
        <v>27418.0</v>
      </c>
      <c r="C24" s="9" t="str">
        <f>VLOOKUP(B24,'FML March 2026'!E:F,2,false)</f>
        <v>CHEESE, PARMIGIANO REGGIANO, DOP, QUARTERS, 18-20 LB EA, CHL, 2/1 EA</v>
      </c>
      <c r="D24" s="9" t="str">
        <f>VLOOKUP(B24,'Unit of Measure ship March 2026'!A:C,3,false)</f>
        <v>LBS</v>
      </c>
      <c r="F24" s="8">
        <v>109766.0</v>
      </c>
      <c r="G24" s="9" t="str">
        <f>VLOOKUP(F24,'FML March 2026'!E:F,2,false)</f>
        <v>GARLIC BLACK PEELED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A25" s="153"/>
      <c r="B25" s="91">
        <v>109681.0</v>
      </c>
      <c r="C25" s="9" t="str">
        <f>VLOOKUP(B25,'FML March 2026'!E:F,2,false)</f>
        <v>CHICKEN STOCK  CS4.5 LT SAVORY CHOICE  FLAVOR</v>
      </c>
      <c r="D25" s="9" t="str">
        <f>VLOOKUP(B25,'Unit of Measure ship March 2026'!A:C,3,false)</f>
        <v>LITER</v>
      </c>
      <c r="F25" s="8">
        <v>30639.0</v>
      </c>
      <c r="G25" s="9" t="str">
        <f>VLOOKUP(F25,'FML March 2026'!E:F,2,false)</f>
        <v>GARLIC PEELED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A26" s="153"/>
      <c r="B26" s="91">
        <v>16252.0</v>
      </c>
      <c r="C26" s="9" t="str">
        <f>VLOOKUP(B26,'FML March 2026'!E:F,2,false)</f>
        <v>CHILI POWDER 16 OZ D`ALLESANDRO/ SPICECO</v>
      </c>
      <c r="D26" s="9" t="str">
        <f>VLOOKUP(B26,'Unit of Measure ship March 2026'!A:C,3,false)</f>
        <v>LBS</v>
      </c>
      <c r="F26" s="8">
        <v>38392.0</v>
      </c>
      <c r="G26" s="9" t="str">
        <f>VLOOKUP(F26,'FML March 2026'!E:F,2,false)</f>
        <v>GINGER FRESH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A27" s="153"/>
      <c r="B27" s="8">
        <v>16253.0</v>
      </c>
      <c r="C27" s="9" t="str">
        <f>VLOOKUP(B27,'FML March 2026'!E:F,2,false)</f>
        <v>CINNAMON GROUND</v>
      </c>
      <c r="D27" s="9" t="str">
        <f>VLOOKUP(B27,'Unit of Measure ship March 2026'!A:C,3,false)</f>
        <v>LBS</v>
      </c>
      <c r="F27" s="155">
        <v>15426.0</v>
      </c>
      <c r="G27" s="9" t="str">
        <f>VLOOKUP(F27,'FML March 2026'!E:F,2,false)</f>
        <v>HORSERADISH ROOTS FRESH #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A28" s="153"/>
      <c r="B28" s="8">
        <v>16267.0</v>
      </c>
      <c r="C28" s="9" t="str">
        <f>VLOOKUP(B28,'FML March 2026'!E:F,2,false)</f>
        <v>CINNAMON STICKS BADIA (USA)</v>
      </c>
      <c r="D28" s="9" t="str">
        <f>VLOOKUP(B28,'Unit of Measure ship March 2026'!A:C,3,false)</f>
        <v>LBS</v>
      </c>
      <c r="F28" s="155">
        <v>15471.0</v>
      </c>
      <c r="G28" s="9" t="str">
        <f>VLOOKUP(F28,'FML March 2026'!E:F,2,false)</f>
        <v>LEEKS LARGE FRESH 12 BU 15#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A29" s="153"/>
      <c r="B29" s="8">
        <v>15697.0</v>
      </c>
      <c r="C29" s="9" t="str">
        <f>VLOOKUP(B29,'FML March 2026'!E:F,2,false)</f>
        <v>COCOA EXTRA BRUT 6/1 KG. RED COCOA POWDER CALLEBAUT/ COCOA BARRY</v>
      </c>
      <c r="D29" s="9" t="str">
        <f>VLOOKUP(B29,'Unit of Measure ship March 2026'!A:C,3,false)</f>
        <v>LBS</v>
      </c>
      <c r="F29" s="155">
        <v>15478.0</v>
      </c>
      <c r="G29" s="9" t="str">
        <f>VLOOKUP(F29,'FML March 2026'!E:F,2,false)</f>
        <v>LEMONGRASS 12 STICKS/BUNCH 1#/BUNCH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A30" s="153"/>
      <c r="B30" s="8">
        <v>62920.0</v>
      </c>
      <c r="C30" s="9" t="str">
        <f>VLOOKUP(B30,'FML March 2026'!E:F,2,false)</f>
        <v>COCONUT MILK CS24/14OZ  17% TO 18%</v>
      </c>
      <c r="D30" s="9" t="str">
        <f>VLOOKUP(B30,'Unit of Measure ship March 2026'!A:C,3,false)</f>
        <v>PC/13.5Z</v>
      </c>
      <c r="F30" s="155">
        <v>15397.0</v>
      </c>
      <c r="G30" s="9" t="str">
        <f>VLOOKUP(F30,'FML March 2026'!E:F,2,false)</f>
        <v>LEMONS FRESH FIRM FANCY CALIF. SUNKIST #1 200CT 40#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A31" s="153"/>
      <c r="B31" s="8">
        <v>109675.0</v>
      </c>
      <c r="C31" s="9" t="str">
        <f>VLOOKUP(B31,'FML March 2026'!E:F,2,false)</f>
        <v>COCONUT OIL LA TOURANGELLE</v>
      </c>
      <c r="D31" s="9" t="str">
        <f>VLOOKUP(B31,'Unit of Measure ship March 2026'!A:C,3,false)</f>
        <v>GAL</v>
      </c>
      <c r="F31" s="8">
        <v>15608.0</v>
      </c>
      <c r="G31" s="9" t="str">
        <f>VLOOKUP(F31,'FML March 2026'!E:F,2,false)</f>
        <v>LETTUCE FRISEE 4#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A32" s="153"/>
      <c r="B32" s="8">
        <v>15792.0</v>
      </c>
      <c r="C32" s="9" t="str">
        <f>VLOOKUP(B32,'FML March 2026'!E:F,2,false)</f>
        <v>COCONUT SHREDDED MEDIUM</v>
      </c>
      <c r="D32" s="9" t="str">
        <f>VLOOKUP(B32,'Unit of Measure ship March 2026'!A:C,3,false)</f>
        <v>LBS</v>
      </c>
      <c r="F32" s="155">
        <v>15399.0</v>
      </c>
      <c r="G32" s="9" t="str">
        <f>VLOOKUP(F32,'FML March 2026'!E:F,2,false)</f>
        <v>LIMES, FRESH, FIRM #1 200CT 40#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A33" s="153"/>
      <c r="B33" s="8">
        <v>16288.0</v>
      </c>
      <c r="C33" s="9" t="str">
        <f>VLOOKUP(B33,'FML March 2026'!E:F,2,false)</f>
        <v>CORIANDER WHOLE BADIA (USA )</v>
      </c>
      <c r="D33" s="9" t="str">
        <f>VLOOKUP(B33,'Unit of Measure ship March 2026'!A:C,3,false)</f>
        <v>LBS</v>
      </c>
      <c r="F33" s="8">
        <v>110068.0</v>
      </c>
      <c r="G33" s="9" t="str">
        <f>VLOOKUP(F33,'FML March 2026'!E:F,2,false)</f>
        <v>MAITAKE MUSHROOM FRESH</v>
      </c>
      <c r="H33" s="9" t="str">
        <f>VLOOKUP(F33,'Unit of Measure ship March 2026'!A:C,3,false)</f>
        <v>LBS</v>
      </c>
      <c r="J33" s="49"/>
      <c r="K33" s="9"/>
      <c r="L33" s="9"/>
      <c r="O33" s="9"/>
      <c r="P33" s="9"/>
    </row>
    <row r="34" ht="14.25" customHeight="1">
      <c r="A34" s="153"/>
      <c r="B34" s="8">
        <v>14987.0</v>
      </c>
      <c r="C34" s="9" t="str">
        <f>VLOOKUP(B34,'FML March 2026'!E:F,2,false)</f>
        <v>CREAM CHEESE QUESCREM/PHILADELPHIA FOR BAKERY</v>
      </c>
      <c r="D34" s="9" t="str">
        <f>VLOOKUP(B34,'Unit of Measure ship March 2026'!A:C,3,false)</f>
        <v>LBS</v>
      </c>
      <c r="F34" s="8">
        <v>110915.0</v>
      </c>
      <c r="G34" s="9" t="str">
        <f>VLOOKUP(F34,'FML March 2026'!E:F,2,false)</f>
        <v>MICRO GREEN FLOWER BLEND PKG 8 OZ</v>
      </c>
      <c r="H34" s="9" t="str">
        <f>VLOOKUP(F34,'Unit of Measure ship March 2026'!A:C,3,false)</f>
        <v>LBS</v>
      </c>
      <c r="J34" s="149"/>
      <c r="K34" s="9"/>
      <c r="L34" s="9"/>
      <c r="O34" s="9"/>
      <c r="P34" s="9"/>
    </row>
    <row r="35" ht="14.25" customHeight="1">
      <c r="A35" s="153"/>
      <c r="B35" s="91">
        <v>16264.0</v>
      </c>
      <c r="C35" s="9" t="str">
        <f>VLOOKUP(B35,'FML March 2026'!E:F,2,false)</f>
        <v>CUMIN SEED WHOLE BADIA (USA )</v>
      </c>
      <c r="D35" s="9" t="str">
        <f>VLOOKUP(B35,'Unit of Measure ship March 2026'!A:C,3,false)</f>
        <v>LBS</v>
      </c>
      <c r="F35" s="8">
        <v>111180.0</v>
      </c>
      <c r="G35" s="9" t="str">
        <f>VLOOKUP(F35,'FML March 2026'!E:F,2,false)</f>
        <v>MICRO GREENS BASIL FRESH HARPKE FAMILY FARMS - PK/5 OZ PACKED IN 60 OZ CLAM SHELL SIZE</v>
      </c>
      <c r="H35" s="9" t="str">
        <f>VLOOKUP(F35,'Unit of Measure ship March 2026'!A:C,3,false)</f>
        <v>EA</v>
      </c>
      <c r="J35" s="149"/>
      <c r="K35" s="9"/>
      <c r="L35" s="9"/>
      <c r="O35" s="9"/>
      <c r="P35" s="9"/>
    </row>
    <row r="36" ht="14.25" customHeight="1">
      <c r="A36" s="153"/>
      <c r="B36" s="8">
        <v>107107.0</v>
      </c>
      <c r="C36" s="9" t="str">
        <f>VLOOKUP(B36,'FML March 2026'!E:F,2,false)</f>
        <v>DUCK FAT (TH) (VV)</v>
      </c>
      <c r="D36" s="9" t="str">
        <f>VLOOKUP(B36,'Unit of Measure ship March 2026'!A:C,3,false)</f>
        <v>LBS</v>
      </c>
      <c r="F36" s="155">
        <v>11940.0</v>
      </c>
      <c r="G36" s="9" t="str">
        <f>VLOOKUP(F36,'FML March 2026'!E:F,2,false)</f>
        <v>MUSHROOM SHITAKI DRY  URBANI/MARKY`S</v>
      </c>
      <c r="H36" s="9" t="str">
        <f>VLOOKUP(F36,'Unit of Measure ship March 2026'!A:C,3,false)</f>
        <v>LBS</v>
      </c>
      <c r="J36" s="149"/>
      <c r="K36" s="9"/>
      <c r="L36" s="9"/>
      <c r="O36" s="9"/>
      <c r="P36" s="9"/>
    </row>
    <row r="37" ht="14.25" customHeight="1">
      <c r="A37" s="153"/>
      <c r="B37" s="8">
        <v>15025.0</v>
      </c>
      <c r="C37" s="9" t="str">
        <f>VLOOKUP(B37,'FML March 2026'!E:F,2,false)</f>
        <v>EGG WHITES FROZEN 6/5# PAPETTI/ 12X1KG EUROVO/15X2LB DEBEL (USA)</v>
      </c>
      <c r="D37" s="9" t="str">
        <f>VLOOKUP(B37,'Unit of Measure ship March 2026'!A:C,3,false)</f>
        <v>LBS</v>
      </c>
      <c r="F37" s="155">
        <v>11741.0</v>
      </c>
      <c r="G37" s="9" t="str">
        <f>VLOOKUP(F37,'FML March 2026'!E:F,2,false)</f>
        <v>MUSHROOMS CHANTERELLES FRESH</v>
      </c>
      <c r="H37" s="9" t="str">
        <f>VLOOKUP(F37,'Unit of Measure ship March 2026'!A:C,3,false)</f>
        <v>LBS</v>
      </c>
      <c r="J37" s="149"/>
      <c r="K37" s="9"/>
      <c r="L37" s="9"/>
      <c r="N37" s="49"/>
      <c r="O37" s="9"/>
      <c r="P37" s="9"/>
    </row>
    <row r="38" ht="14.25" customHeight="1">
      <c r="A38" s="153"/>
      <c r="B38" s="8">
        <v>15027.0</v>
      </c>
      <c r="C38" s="9" t="str">
        <f>VLOOKUP(B38,'FML March 2026'!E:F,2,false)</f>
        <v>EGG YOLKS FROZEN NO SUGAR OR SALT ADDED 6/5 LB SUNNY FRESH/ DEBEL (USA)</v>
      </c>
      <c r="D38" s="9" t="str">
        <f>VLOOKUP(B38,'Unit of Measure ship March 2026'!A:C,3,false)</f>
        <v>LBS</v>
      </c>
      <c r="F38" s="8">
        <v>15585.0</v>
      </c>
      <c r="G38" s="9" t="str">
        <f>VLOOKUP(F38,'FML March 2026'!E:F,2,false)</f>
        <v>MUSHROOMS OYSTER 1/5#</v>
      </c>
      <c r="H38" s="9" t="str">
        <f>VLOOKUP(F38,'Unit of Measure ship March 2026'!A:C,3,false)</f>
        <v>LBS</v>
      </c>
      <c r="J38" s="149"/>
      <c r="K38" s="9"/>
      <c r="L38" s="9"/>
      <c r="N38" s="101"/>
      <c r="O38" s="9"/>
      <c r="P38" s="9"/>
    </row>
    <row r="39" ht="14.25" customHeight="1">
      <c r="A39" s="153"/>
      <c r="B39" s="8">
        <v>15022.0</v>
      </c>
      <c r="C39" s="9" t="str">
        <f>VLOOKUP(B39,'FML March 2026'!E:F,2,false)</f>
        <v>EGGS-DATED, MEDIUM, REGULAR</v>
      </c>
      <c r="D39" s="9" t="str">
        <f>VLOOKUP(B39,'Unit of Measure ship March 2026'!A:C,3,false)</f>
        <v>PC</v>
      </c>
      <c r="F39" s="8">
        <v>31638.0</v>
      </c>
      <c r="G39" s="9" t="str">
        <f>VLOOKUP(F39,'FML March 2026'!E:F,2,false)</f>
        <v>MUSHROOMS, FRESH WHITE, 8 OZ CELLO PACK</v>
      </c>
      <c r="H39" s="9" t="str">
        <f>VLOOKUP(F39,'Unit of Measure ship March 2026'!A:C,3,false)</f>
        <v>LBS</v>
      </c>
      <c r="J39" s="149"/>
      <c r="K39" s="9"/>
      <c r="L39" s="9"/>
      <c r="N39" s="101"/>
      <c r="O39" s="9"/>
      <c r="P39" s="9"/>
    </row>
    <row r="40" ht="14.25" customHeight="1">
      <c r="A40" s="153"/>
      <c r="B40" s="92">
        <v>15026.0</v>
      </c>
      <c r="C40" s="9" t="str">
        <f>VLOOKUP(B40,'FML March 2026'!E:F,2,false)</f>
        <v>EGGS, WHOLE, LIQUID, W/ CITRIC ACID, NO SUGAR, 1-5 LB/1-5 LT, FZN, 6/5 LB</v>
      </c>
      <c r="D40" s="9" t="str">
        <f>VLOOKUP(B40,'Unit of Measure ship March 2026'!A:C,3,false)</f>
        <v>LBS</v>
      </c>
      <c r="F40" s="91">
        <v>15496.0</v>
      </c>
      <c r="G40" s="9" t="str">
        <f>VLOOKUP(F40,'FML March 2026'!E:F,2,false)</f>
        <v>ONIONS RED, MEDIUM 25#</v>
      </c>
      <c r="H40" s="9" t="str">
        <f>VLOOKUP(F40,'Unit of Measure ship March 2026'!A:C,3,false)</f>
        <v>LBS</v>
      </c>
      <c r="J40" s="149"/>
      <c r="K40" s="9"/>
      <c r="L40" s="9"/>
      <c r="N40" s="101"/>
      <c r="O40" s="9"/>
      <c r="P40" s="9"/>
    </row>
    <row r="41" ht="14.25" customHeight="1">
      <c r="A41" s="153"/>
      <c r="B41" s="8">
        <v>16259.0</v>
      </c>
      <c r="C41" s="9" t="str">
        <f>VLOOKUP(B41,'FML March 2026'!E:F,2,false)</f>
        <v>FENNEL SEED WHOLE BADIA (USA )</v>
      </c>
      <c r="D41" s="9" t="str">
        <f>VLOOKUP(B41,'Unit of Measure ship March 2026'!A:C,3,false)</f>
        <v>LBS</v>
      </c>
      <c r="F41" s="155">
        <v>15497.0</v>
      </c>
      <c r="G41" s="9" t="str">
        <f>VLOOKUP(F41,'FML March 2026'!E:F,2,false)</f>
        <v>ONIONS, YELLOW, MEDIUM, SPANISH #1, 50#</v>
      </c>
      <c r="H41" s="9" t="str">
        <f>VLOOKUP(F41,'Unit of Measure ship March 2026'!A:C,3,false)</f>
        <v>LBS</v>
      </c>
      <c r="J41" s="149"/>
      <c r="K41" s="9"/>
      <c r="L41" s="9"/>
      <c r="N41" s="101"/>
      <c r="O41" s="9"/>
      <c r="P41" s="9"/>
    </row>
    <row r="42" ht="14.25" customHeight="1">
      <c r="A42" s="153"/>
      <c r="B42" s="92">
        <v>16259.0</v>
      </c>
      <c r="C42" s="9" t="str">
        <f>VLOOKUP(B42,'FML March 2026'!E:F,2,false)</f>
        <v>FENNEL SEED WHOLE BADIA (USA )</v>
      </c>
      <c r="D42" s="9" t="str">
        <f>VLOOKUP(B42,'Unit of Measure ship March 2026'!A:C,3,false)</f>
        <v>LBS</v>
      </c>
      <c r="F42" s="155">
        <v>15500.0</v>
      </c>
      <c r="G42" s="9" t="str">
        <f>VLOOKUP(F42,'FML March 2026'!E:F,2,false)</f>
        <v>PARSLEY ITALIAN,  20#/CS</v>
      </c>
      <c r="H42" s="9" t="str">
        <f>VLOOKUP(F42,'Unit of Measure ship March 2026'!A:C,3,false)</f>
        <v>LBS</v>
      </c>
      <c r="J42" s="149"/>
      <c r="K42" s="9"/>
      <c r="L42" s="9"/>
      <c r="N42" s="101"/>
      <c r="O42" s="9"/>
      <c r="P42" s="9"/>
    </row>
    <row r="43" ht="14.25" customHeight="1">
      <c r="A43" s="153"/>
      <c r="B43" s="8">
        <v>14990.0</v>
      </c>
      <c r="C43" s="9" t="str">
        <f>VLOOKUP(B43,'FML March 2026'!E:F,2,false)</f>
        <v>FETA, IN BRINE, TUB</v>
      </c>
      <c r="D43" s="9" t="str">
        <f>VLOOKUP(B43,'Unit of Measure ship March 2026'!A:C,3,false)</f>
        <v>LBS</v>
      </c>
      <c r="F43" s="8">
        <v>23714.0</v>
      </c>
      <c r="G43" s="9" t="str">
        <f>VLOOKUP(F43,'FML March 2026'!E:F,2,false)</f>
        <v>PARSNIP 20#/CS</v>
      </c>
      <c r="H43" s="9" t="str">
        <f>VLOOKUP(F43,'Unit of Measure ship March 2026'!A:C,3,false)</f>
        <v>LBS</v>
      </c>
      <c r="J43" s="149"/>
      <c r="K43" s="9"/>
      <c r="L43" s="9"/>
      <c r="N43" s="101"/>
      <c r="O43" s="9"/>
      <c r="P43" s="9"/>
    </row>
    <row r="44" ht="14.25" customHeight="1">
      <c r="A44" s="153"/>
      <c r="B44" s="8">
        <v>111865.0</v>
      </c>
      <c r="C44" s="9" t="str">
        <f>VLOOKUP(B44,'FML March 2026'!E:F,2,false)</f>
        <v>FLOUR ALL PURPOSE SIR GALAHAD BAG50/LBS KING ARTHUR</v>
      </c>
      <c r="D44" s="9" t="str">
        <f>VLOOKUP(B44,'Unit of Measure ship March 2026'!A:C,3,false)</f>
        <v>LBS</v>
      </c>
      <c r="F44" s="155">
        <v>15412.0</v>
      </c>
      <c r="G44" s="9" t="str">
        <f>VLOOKUP(F44,'FML March 2026'!E:F,2,false)</f>
        <v>PEARS #1, BARTLETT, 120CT 40#</v>
      </c>
      <c r="H44" s="9" t="str">
        <f>VLOOKUP(F44,'Unit of Measure ship March 2026'!A:C,3,false)</f>
        <v>LBS</v>
      </c>
      <c r="J44" s="149"/>
      <c r="K44" s="9"/>
      <c r="L44" s="9"/>
      <c r="N44" s="149"/>
      <c r="O44" s="9"/>
      <c r="P44" s="9"/>
    </row>
    <row r="45" ht="14.25" customHeight="1">
      <c r="A45" s="153"/>
      <c r="B45" s="8">
        <v>109641.0</v>
      </c>
      <c r="C45" s="9" t="str">
        <f>VLOOKUP(B45,'FML March 2026'!E:F,2,false)</f>
        <v>FLOUR CAKE KING ARTHUR</v>
      </c>
      <c r="D45" s="9" t="str">
        <f>VLOOKUP(B45,'Unit of Measure ship March 2026'!A:C,3,false)</f>
        <v>KG</v>
      </c>
      <c r="F45" s="155">
        <v>15502.0</v>
      </c>
      <c r="G45" s="9" t="str">
        <f>VLOOKUP(F45,'FML March 2026'!E:F,2,false)</f>
        <v>PEPPERS RED, MEDIUM, 88-100 MM</v>
      </c>
      <c r="H45" s="9" t="str">
        <f>VLOOKUP(F45,'Unit of Measure ship March 2026'!A:C,3,false)</f>
        <v>LBS</v>
      </c>
      <c r="J45" s="149"/>
      <c r="K45" s="9"/>
      <c r="L45" s="9"/>
    </row>
    <row r="46" ht="14.25" customHeight="1">
      <c r="A46" s="153"/>
      <c r="B46" s="8">
        <v>147847.0</v>
      </c>
      <c r="C46" s="9" t="str">
        <f>VLOOKUP(B46,'FML March 2026'!E:F,2,false)</f>
        <v>FLOUR GLUTEN FREE/ SUGAR FREE  CUP 4 CUP CS25/ LB</v>
      </c>
      <c r="D46" s="9" t="str">
        <f>VLOOKUP(B46,'Unit of Measure ship March 2026'!A:C,3,false)</f>
        <v>LBS</v>
      </c>
      <c r="F46" s="8">
        <v>109751.0</v>
      </c>
      <c r="G46" s="9" t="str">
        <f>VLOOKUP(F46,'FML March 2026'!E:F,2,false)</f>
        <v>POTATO RUSSET  110 CT</v>
      </c>
      <c r="H46" s="9" t="str">
        <f>VLOOKUP(F46,'Unit of Measure ship March 2026'!A:C,3,false)</f>
        <v>LBS</v>
      </c>
      <c r="J46" s="149"/>
      <c r="K46" s="9"/>
      <c r="L46" s="9"/>
    </row>
    <row r="47" ht="15.75" customHeight="1">
      <c r="A47" s="153"/>
      <c r="B47" s="91">
        <v>16260.0</v>
      </c>
      <c r="C47" s="9" t="str">
        <f>VLOOKUP(B47,'FML March 2026'!E:F,2,false)</f>
        <v>GARLIC, POWDER, DRY, 12/16 OZ</v>
      </c>
      <c r="D47" s="9" t="str">
        <f>VLOOKUP(B47,'Unit of Measure ship March 2026'!A:C,3,false)</f>
        <v>LBS</v>
      </c>
      <c r="F47" s="155">
        <v>15334.0</v>
      </c>
      <c r="G47" s="9" t="str">
        <f>VLOOKUP(F47,'FML March 2026'!E:F,2,false)</f>
        <v>RASPBERRIES FRESH 12 1/2 PT PINK 4.5#</v>
      </c>
      <c r="H47" s="9" t="str">
        <f>VLOOKUP(F47,'Unit of Measure ship March 2026'!A:C,3,false)</f>
        <v>LBS</v>
      </c>
    </row>
    <row r="48" ht="15.75" customHeight="1">
      <c r="A48" s="153"/>
      <c r="B48" s="8">
        <v>15832.0</v>
      </c>
      <c r="C48" s="9" t="str">
        <f>VLOOKUP(B48,'FML March 2026'!E:F,2,false)</f>
        <v>GLUCOSE PURE 7 KG</v>
      </c>
      <c r="D48" s="9" t="str">
        <f>VLOOKUP(B48,'Unit of Measure ship March 2026'!A:C,3,false)</f>
        <v>KG</v>
      </c>
      <c r="F48" s="91">
        <v>15427.0</v>
      </c>
      <c r="G48" s="9" t="str">
        <f>VLOOKUP(F48,'FML March 2026'!E:F,2,false)</f>
        <v>ROSEMARY (12 BUNCH) 1 LB/CS</v>
      </c>
      <c r="H48" s="9" t="str">
        <f>VLOOKUP(F48,'Unit of Measure ship March 2026'!A:C,3,false)</f>
        <v>LBS</v>
      </c>
    </row>
    <row r="49" ht="15.75" customHeight="1">
      <c r="A49" s="153"/>
      <c r="B49" s="8">
        <v>12672.0</v>
      </c>
      <c r="C49" s="9" t="str">
        <f>VLOOKUP(B49,'FML March 2026'!E:F,2,false)</f>
        <v>GLUTEN FREE CHICKPEA FLOUR SONALI/ PARIVAR</v>
      </c>
      <c r="D49" s="9" t="str">
        <f>VLOOKUP(B49,'Unit of Measure ship March 2026'!A:C,3,false)</f>
        <v>LBS</v>
      </c>
      <c r="F49" s="91">
        <v>15444.0</v>
      </c>
      <c r="G49" s="9" t="str">
        <f>VLOOKUP(F49,'FML March 2026'!E:F,2,false)</f>
        <v>SAGE FRESH</v>
      </c>
      <c r="H49" s="9" t="str">
        <f>VLOOKUP(F49,'Unit of Measure ship March 2026'!A:C,3,false)</f>
        <v>LBS</v>
      </c>
    </row>
    <row r="50" ht="15.75" customHeight="1">
      <c r="A50" s="153"/>
      <c r="B50" s="8">
        <v>12666.0</v>
      </c>
      <c r="C50" s="9" t="str">
        <f>VLOOKUP(B50,'FML March 2026'!E:F,2,false)</f>
        <v>GLUTEN FREE WHITE RICE FLOUR</v>
      </c>
      <c r="D50" s="9" t="str">
        <f>VLOOKUP(B50,'Unit of Measure ship March 2026'!A:C,3,false)</f>
        <v>LBS</v>
      </c>
      <c r="F50" s="155">
        <v>15522.0</v>
      </c>
      <c r="G50" s="9" t="str">
        <f>VLOOKUP(F50,'FML March 2026'!E:F,2,false)</f>
        <v>SHALLOTS CLOVES #1 FRESH 5#</v>
      </c>
      <c r="H50" s="9" t="str">
        <f>VLOOKUP(F50,'Unit of Measure ship March 2026'!A:C,3,false)</f>
        <v>LBS</v>
      </c>
    </row>
    <row r="51" ht="15.75" customHeight="1">
      <c r="A51" s="153"/>
      <c r="B51" s="8">
        <v>112068.0</v>
      </c>
      <c r="C51" s="9" t="str">
        <f>VLOOKUP(B51,'FML March 2026'!E:F,2,false)</f>
        <v>GOAT CHEESE  CHEFS CHEVRE CS 2/4 LB LAUR CHENEL</v>
      </c>
      <c r="D51" s="9" t="str">
        <f>VLOOKUP(B51,'Unit of Measure ship March 2026'!A:C,3,false)</f>
        <v>LBS</v>
      </c>
      <c r="F51" s="8">
        <v>110912.0</v>
      </c>
      <c r="G51" s="9" t="str">
        <f>VLOOKUP(F51,'FML March 2026'!E:F,2,false)</f>
        <v>SPROUTS GREEN PEA TENDRIL</v>
      </c>
      <c r="H51" s="9" t="str">
        <f>VLOOKUP(F51,'Unit of Measure ship March 2026'!A:C,3,false)</f>
        <v>LBS</v>
      </c>
    </row>
    <row r="52" ht="15.75" customHeight="1">
      <c r="A52" s="153"/>
      <c r="B52" s="8">
        <v>15058.0</v>
      </c>
      <c r="C52" s="9" t="str">
        <f>VLOOKUP(B52,'FML March 2026'!E:F,2,false)</f>
        <v>GRUYERE IGP SAVOIE CHABERT 40KG / DEXPA # 8681</v>
      </c>
      <c r="D52" s="9" t="str">
        <f>VLOOKUP(B52,'Unit of Measure ship March 2026'!A:C,3,false)</f>
        <v>LBS</v>
      </c>
      <c r="F52" s="155">
        <v>15528.0</v>
      </c>
      <c r="G52" s="9" t="str">
        <f>VLOOKUP(F52,'FML March 2026'!E:F,2,false)</f>
        <v>SQUASH BUTTERNUT 40#</v>
      </c>
      <c r="H52" s="9" t="str">
        <f>VLOOKUP(F52,'Unit of Measure ship March 2026'!A:C,3,false)</f>
        <v>LBS</v>
      </c>
    </row>
    <row r="53" ht="15.75" customHeight="1">
      <c r="A53" s="153"/>
      <c r="B53" s="91">
        <v>101778.0</v>
      </c>
      <c r="C53" s="9" t="str">
        <f>VLOOKUP(B53,'FML March 2026'!E:F,2,false)</f>
        <v>HAZELNUT WHOLE BLANCHED</v>
      </c>
      <c r="D53" s="9" t="str">
        <f>VLOOKUP(B53,'Unit of Measure ship March 2026'!A:C,3,false)</f>
        <v>LBS</v>
      </c>
      <c r="F53" s="8">
        <v>15531.0</v>
      </c>
      <c r="G53" s="9" t="str">
        <f>VLOOKUP(F53,'FML March 2026'!E:F,2,false)</f>
        <v>SQUASH YELLOW, STRAIGHT NK FANCY 1/2 BUSHEL 20#, 180-210 MM</v>
      </c>
      <c r="H53" s="9" t="str">
        <f>VLOOKUP(F53,'Unit of Measure ship March 2026'!A:C,3,false)</f>
        <v>LBS</v>
      </c>
    </row>
    <row r="54" ht="15.75" customHeight="1">
      <c r="A54" s="153"/>
      <c r="B54" s="8">
        <v>14907.0</v>
      </c>
      <c r="C54" s="9" t="str">
        <f>VLOOKUP(B54,'FML March 2026'!E:F,2,false)</f>
        <v>HEAVY CREAM UHT LONG LIFE 38%-40% 12/1LT</v>
      </c>
      <c r="D54" s="9" t="str">
        <f>VLOOKUP(B54,'Unit of Measure ship March 2026'!A:C,3,false)</f>
        <v>LT</v>
      </c>
      <c r="F54" s="155">
        <v>15446.0</v>
      </c>
      <c r="G54" s="9" t="str">
        <f>VLOOKUP(F54,'FML March 2026'!E:F,2,false)</f>
        <v>THYME FRESH</v>
      </c>
      <c r="H54" s="9" t="str">
        <f>VLOOKUP(F54,'Unit of Measure ship March 2026'!A:C,3,false)</f>
        <v>LBS</v>
      </c>
    </row>
    <row r="55" ht="15.75" customHeight="1">
      <c r="A55" s="153"/>
      <c r="B55" s="91">
        <v>15658.0</v>
      </c>
      <c r="C55" s="9" t="str">
        <f>VLOOKUP(B55,'FML March 2026'!E:F,2,false)</f>
        <v>HONEY 6/5 LB GROEB/MELONIA/SWEET HARVEST</v>
      </c>
      <c r="D55" s="9" t="str">
        <f>VLOOKUP(B55,'Unit of Measure ship March 2026'!A:C,3,false)</f>
        <v>KG</v>
      </c>
      <c r="F55" s="8">
        <v>15583.0</v>
      </c>
      <c r="G55" s="9" t="str">
        <f>VLOOKUP(F55,'FML March 2026'!E:F,2,false)</f>
        <v>TOMATO, SUN-DRIED, HALVES, STANDARD, DRY, 4/5 LB</v>
      </c>
      <c r="H55" s="9" t="str">
        <f>VLOOKUP(F55,'Unit of Measure ship March 2026'!A:C,3,false)</f>
        <v>LBS</v>
      </c>
    </row>
    <row r="56" ht="15.75" customHeight="1">
      <c r="A56" s="153"/>
      <c r="B56" s="8">
        <v>150521.0</v>
      </c>
      <c r="C56" s="9" t="str">
        <f>VLOOKUP(B56,'FML March 2026'!E:F,2,false)</f>
        <v>IZAK PKG 1/LB  LA BOITE</v>
      </c>
      <c r="D56" s="35" t="s">
        <v>42</v>
      </c>
      <c r="F56" s="8">
        <v>15537.0</v>
      </c>
      <c r="G56" s="9" t="str">
        <f>VLOOKUP(F56,'FML March 2026'!E:F,2,false)</f>
        <v>TOMATOES 6X6 #1 18# RED RIPE, FIRM (LAYERED), 55-65 MM</v>
      </c>
      <c r="H56" s="9" t="str">
        <f>VLOOKUP(F56,'Unit of Measure ship March 2026'!A:C,3,false)</f>
        <v>LBS</v>
      </c>
    </row>
    <row r="57" ht="15.75" customHeight="1">
      <c r="A57" s="153"/>
      <c r="B57" s="8">
        <v>16349.0</v>
      </c>
      <c r="C57" s="9" t="str">
        <f>VLOOKUP(B57,'FML March 2026'!E:F,2,false)</f>
        <v>KETCHUP, HEINZ, 51290, DRY, 6/#10</v>
      </c>
      <c r="D57" s="9" t="str">
        <f>VLOOKUP(B57,'Unit of Measure ship March 2026'!A:C,3,false)</f>
        <v>CN/6.5LB</v>
      </c>
      <c r="F57" s="8">
        <v>15540.0</v>
      </c>
      <c r="G57" s="9" t="str">
        <f>VLOOKUP(F57,'FML March 2026'!E:F,2,false)</f>
        <v>WATERCRESS (FULL BX) 10# 24BH "B &amp; W, FRESH, ICE PACKED" 1BX</v>
      </c>
      <c r="H57" s="9" t="str">
        <f>VLOOKUP(F57,'Unit of Measure ship March 2026'!A:C,3,false)</f>
        <v>LBS</v>
      </c>
    </row>
    <row r="58" ht="15.75" customHeight="1">
      <c r="A58" s="153"/>
      <c r="B58" s="8">
        <v>16949.0</v>
      </c>
      <c r="C58" s="9" t="str">
        <f>VLOOKUP(B58,'FML March 2026'!E:F,2,false)</f>
        <v>KOMBU SQUARE DASHI KST</v>
      </c>
      <c r="D58" s="9" t="str">
        <f>VLOOKUP(B58,'Unit of Measure ship March 2026'!A:C,3,false)</f>
        <v>PK/5LBS</v>
      </c>
      <c r="F58" s="8">
        <v>15542.0</v>
      </c>
      <c r="G58" s="9" t="str">
        <f>VLOOKUP(F58,'FML March 2026'!E:F,2,false)</f>
        <v>ZUCCHINI MEDIUM #1 FANCY 20#/CS, 180-210 MM</v>
      </c>
      <c r="H58" s="9" t="str">
        <f>VLOOKUP(F58,'Unit of Measure ship March 2026'!A:C,3,false)</f>
        <v>LBS</v>
      </c>
    </row>
    <row r="59" ht="15.75" customHeight="1">
      <c r="A59" s="153"/>
      <c r="B59" s="8">
        <v>109668.0</v>
      </c>
      <c r="C59" s="9" t="str">
        <f>VLOOKUP(B59,'FML March 2026'!E:F,2,false)</f>
        <v>MAYONNAISE VEGAN FOLLOW YOUR HEART</v>
      </c>
      <c r="D59" s="9" t="str">
        <f>VLOOKUP(B59,'Unit of Measure ship March 2026'!A:C,3,false)</f>
        <v>GAL</v>
      </c>
      <c r="F59" s="153"/>
    </row>
    <row r="60" ht="15.75" customHeight="1">
      <c r="A60" s="153"/>
      <c r="B60" s="8">
        <v>109667.0</v>
      </c>
      <c r="C60" s="9" t="str">
        <f>VLOOKUP(B60,'FML March 2026'!E:F,2,false)</f>
        <v>MAYONNAISE, UNILEVER - HELLMANN'S, 4800126530, DRY, 4/1 GAL</v>
      </c>
      <c r="D60" s="9" t="str">
        <f>VLOOKUP(B60,'Unit of Measure ship March 2026'!A:C,3,false)</f>
        <v>GAL</v>
      </c>
      <c r="F60" s="153"/>
    </row>
    <row r="61" ht="15.75" customHeight="1">
      <c r="A61" s="153"/>
      <c r="B61" s="8">
        <v>14869.0</v>
      </c>
      <c r="C61" s="9" t="str">
        <f>VLOOKUP(B61,'FML March 2026'!E:F,2,false)</f>
        <v>MILK, UHT, WHOLE, 3.5% FAT, DRY, 12/1 LT</v>
      </c>
      <c r="D61" s="9" t="str">
        <f>VLOOKUP(B61,'Unit of Measure ship March 2026'!A:C,3,false)</f>
        <v>LT</v>
      </c>
      <c r="F61" s="153"/>
      <c r="G61" s="95"/>
    </row>
    <row r="62" ht="15.75" customHeight="1">
      <c r="A62" s="153"/>
      <c r="B62" s="8">
        <v>16948.0</v>
      </c>
      <c r="C62" s="9" t="str">
        <f>VLOOKUP(B62,'FML March 2026'!E:F,2,false)</f>
        <v>MISO PASTE WHITE, TUB</v>
      </c>
      <c r="D62" s="9" t="str">
        <f>VLOOKUP(B62,'Unit of Measure ship March 2026'!A:C,3,false)</f>
        <v>PC/2.2LB</v>
      </c>
      <c r="F62" s="153"/>
    </row>
    <row r="63" ht="15.75" customHeight="1">
      <c r="A63" s="153"/>
      <c r="B63" s="18">
        <v>16414.0</v>
      </c>
      <c r="C63" s="9" t="str">
        <f>VLOOKUP(B63,'FML March 2026'!E:F,2,false)</f>
        <v>MUSHROOM MOREL DRY</v>
      </c>
      <c r="D63" s="9" t="str">
        <f>VLOOKUP(B63,'Unit of Measure ship March 2026'!A:C,3,false)</f>
        <v>LBS</v>
      </c>
      <c r="F63" s="153"/>
    </row>
    <row r="64" ht="15.75" customHeight="1">
      <c r="A64" s="153"/>
      <c r="B64" s="8">
        <v>16426.0</v>
      </c>
      <c r="C64" s="9" t="str">
        <f>VLOOKUP(B64,'FML March 2026'!E:F,2,false)</f>
        <v>MUSTARD  TUB GREY POUPON - DIJON MUSTARD PLAIN (FRANCE)</v>
      </c>
      <c r="D64" s="9" t="str">
        <f>VLOOKUP(B64,'Unit of Measure ship March 2026'!A:C,3,false)</f>
        <v>JAR/48OZ</v>
      </c>
      <c r="F64" s="153"/>
    </row>
    <row r="65" ht="15.75" customHeight="1">
      <c r="A65" s="153"/>
      <c r="B65" s="8">
        <v>16258.0</v>
      </c>
      <c r="C65" s="9" t="str">
        <f>VLOOKUP(B65,'FML March 2026'!E:F,2,false)</f>
        <v>MUSTARD POWDER ENGLISH 12/16 OZ COLEMAN</v>
      </c>
      <c r="D65" s="9" t="str">
        <f>VLOOKUP(B65,'Unit of Measure ship March 2026'!A:C,3,false)</f>
        <v>LBS</v>
      </c>
    </row>
    <row r="66" ht="15.75" customHeight="1">
      <c r="A66" s="153"/>
      <c r="B66" s="92">
        <v>16320.0</v>
      </c>
      <c r="C66" s="9" t="str">
        <f>VLOOKUP(B66,'FML March 2026'!E:F,2,false)</f>
        <v>MUSTARD SEED 24 OZ D`ALLESANDRO/ SPICECO</v>
      </c>
      <c r="D66" s="9" t="str">
        <f>VLOOKUP(B66,'Unit of Measure ship March 2026'!A:C,3,false)</f>
        <v>LBS</v>
      </c>
    </row>
    <row r="67" ht="15.75" customHeight="1">
      <c r="A67" s="153"/>
      <c r="B67" s="8">
        <v>16534.0</v>
      </c>
      <c r="C67" s="9" t="str">
        <f>VLOOKUP(B67,'FML March 2026'!E:F,2,false)</f>
        <v>MUSTARD, GRAINED, JAR</v>
      </c>
      <c r="D67" s="9" t="str">
        <f>VLOOKUP(B67,'Unit of Measure ship March 2026'!A:C,3,false)</f>
        <v>JAR7/OZ</v>
      </c>
    </row>
    <row r="68" ht="15.75" customHeight="1">
      <c r="A68" s="153"/>
      <c r="B68" s="8">
        <v>109227.0</v>
      </c>
      <c r="C68" s="9" t="str">
        <f>VLOOKUP(B68,'FML March 2026'!E:F,2,false)</f>
        <v>NUTRITIONAL YEAST FLAKES VEGAN C6/5OZ BOBS RED ,MILL (USA)</v>
      </c>
      <c r="D68" s="9" t="str">
        <f>VLOOKUP(B68,'Unit of Measure ship March 2026'!A:C,3,false)</f>
        <v>CS6/5OZ</v>
      </c>
    </row>
    <row r="69" ht="15.75" customHeight="1">
      <c r="A69" s="153"/>
      <c r="B69" s="8">
        <v>142741.0</v>
      </c>
      <c r="C69" s="9" t="str">
        <f>VLOOKUP(B69,'FML March 2026'!E:F,2,false)</f>
        <v>OIL OLIVE EXTRA VIRGIN ESPLENDIDO DOURO  500 ML - PORTUGAL</v>
      </c>
      <c r="D69" s="9" t="str">
        <f>VLOOKUP(B69,'Unit of Measure ship March 2026'!A:C,3,false)</f>
        <v>BT/500ML</v>
      </c>
    </row>
    <row r="70" ht="15.75" customHeight="1">
      <c r="A70" s="153"/>
      <c r="B70" s="18">
        <v>52602.0</v>
      </c>
      <c r="C70" s="9" t="str">
        <f>VLOOKUP(B70,'FML March 2026'!E:F,2,false)</f>
        <v>OIL, 100% OLIVE, EXTRA VIRGIN, DRY, 4/5 LT</v>
      </c>
      <c r="D70" s="9" t="str">
        <f>VLOOKUP(B70,'Unit of Measure ship March 2026'!A:C,3,false)</f>
        <v>LT</v>
      </c>
    </row>
    <row r="71" ht="15.75" customHeight="1">
      <c r="A71" s="153"/>
      <c r="B71" s="8">
        <v>16377.0</v>
      </c>
      <c r="C71" s="9" t="str">
        <f>VLOOKUP(B71,'FML March 2026'!E:F,2,false)</f>
        <v>OIL, 100% VEGETABLE SOYBEAN, DRY, 4/5 LT</v>
      </c>
      <c r="D71" s="9" t="str">
        <f>VLOOKUP(B71,'Unit of Measure ship March 2026'!A:C,3,false)</f>
        <v>C4/5LT</v>
      </c>
    </row>
    <row r="72" ht="15.75" customHeight="1">
      <c r="A72" s="153"/>
      <c r="B72" s="8">
        <v>10265.0</v>
      </c>
      <c r="C72" s="9" t="str">
        <f>VLOOKUP(B72,'FML March 2026'!E:F,2,false)</f>
        <v>OIL, FRYING, 100% SOYBEAN, TRANS FAT FREE, FLASHPOINT &gt;600F, DRY, 4/5 LT</v>
      </c>
      <c r="D72" s="9" t="str">
        <f>VLOOKUP(B72,'Unit of Measure ship March 2026'!A:C,3,false)</f>
        <v>CS4/5LT</v>
      </c>
    </row>
    <row r="73" ht="15.75" customHeight="1">
      <c r="A73" s="153"/>
      <c r="B73" s="8">
        <v>62951.0</v>
      </c>
      <c r="C73" s="9" t="str">
        <f>VLOOKUP(B73,'FML March 2026'!E:F,2,false)</f>
        <v>ONION POWDER</v>
      </c>
      <c r="D73" s="9" t="str">
        <f>VLOOKUP(B73,'Unit of Measure ship March 2026'!A:C,3,false)</f>
        <v>LBS</v>
      </c>
    </row>
    <row r="74" ht="15.75" customHeight="1">
      <c r="A74" s="153"/>
      <c r="B74" s="8">
        <v>16268.0</v>
      </c>
      <c r="C74" s="9" t="str">
        <f>VLOOKUP(B74,'FML March 2026'!E:F,2,false)</f>
        <v>OREGANO LEAVES WHOLE D`ALLESANDRO/ SPICECO</v>
      </c>
      <c r="D74" s="9" t="str">
        <f>VLOOKUP(B74,'Unit of Measure ship March 2026'!A:C,3,false)</f>
        <v>PC/5OZ</v>
      </c>
    </row>
    <row r="75" ht="15.75" customHeight="1">
      <c r="A75" s="153"/>
      <c r="B75" s="91">
        <v>106302.0</v>
      </c>
      <c r="C75" s="9" t="str">
        <f>VLOOKUP(B75,'FML March 2026'!E:F,2,false)</f>
        <v>OREGANO MEXICAN DRY CS1/LBS TERRA SPICE</v>
      </c>
      <c r="D75" s="9" t="str">
        <f>VLOOKUP(B75,'Unit of Measure ship March 2026'!A:C,3,false)</f>
        <v>OZ</v>
      </c>
    </row>
    <row r="76" ht="15.75" customHeight="1">
      <c r="A76" s="153"/>
      <c r="B76" s="8">
        <v>16269.0</v>
      </c>
      <c r="C76" s="9" t="str">
        <f>VLOOKUP(B76,'FML March 2026'!E:F,2,false)</f>
        <v>PAPRIKA SPANISH MUNOZ Y PUJANTE/ D`ALLESANDRO/ SPICECO</v>
      </c>
      <c r="D76" s="9" t="str">
        <f>VLOOKUP(B76,'Unit of Measure ship March 2026'!A:C,3,false)</f>
        <v>LBS</v>
      </c>
    </row>
    <row r="77" ht="15.75" customHeight="1">
      <c r="A77" s="153"/>
      <c r="B77" s="8">
        <v>112723.0</v>
      </c>
      <c r="C77" s="9" t="str">
        <f>VLOOKUP(B77,'FML March 2026'!E:F,2,false)</f>
        <v>PARSLEY FLAKES DRIED CS6/3 OZ BADIA</v>
      </c>
      <c r="D77" s="9" t="str">
        <f>VLOOKUP(B77,'Unit of Measure ship March 2026'!A:C,3,false)</f>
        <v>PK2/OZ</v>
      </c>
    </row>
    <row r="78" ht="15.75" customHeight="1">
      <c r="A78" s="153"/>
      <c r="B78" s="8">
        <v>43805.0</v>
      </c>
      <c r="C78" s="9" t="str">
        <f>VLOOKUP(B78,'FML March 2026'!E:F,2,false)</f>
        <v>PEAS, GREEN, GRADE A, IQF, FZN, 1/10 KG</v>
      </c>
      <c r="D78" s="9" t="str">
        <f>VLOOKUP(B78,'Unit of Measure ship March 2026'!A:C,3,false)</f>
        <v>LBS</v>
      </c>
    </row>
    <row r="79" ht="15.75" customHeight="1">
      <c r="A79" s="153"/>
      <c r="B79" s="8">
        <v>16314.0</v>
      </c>
      <c r="C79" s="9" t="str">
        <f>VLOOKUP(B79,'FML March 2026'!E:F,2,false)</f>
        <v>PEPPERCORN PINK WHOLE</v>
      </c>
      <c r="D79" s="9" t="str">
        <f>VLOOKUP(B79,'Unit of Measure ship March 2026'!A:C,3,false)</f>
        <v>LBS</v>
      </c>
    </row>
    <row r="80" ht="15.75" customHeight="1">
      <c r="A80" s="153"/>
      <c r="B80" s="8">
        <v>16285.0</v>
      </c>
      <c r="C80" s="9" t="str">
        <f>VLOOKUP(B80,'FML March 2026'!E:F,2,false)</f>
        <v>PEPPERCORN, BLACK, WHOLE, DRY, 6/420 G</v>
      </c>
      <c r="D80" s="9" t="str">
        <f>VLOOKUP(B80,'Unit of Measure ship March 2026'!A:C,3,false)</f>
        <v>LBS</v>
      </c>
    </row>
    <row r="81" ht="15.75" customHeight="1">
      <c r="A81" s="153"/>
      <c r="B81" s="8">
        <v>109709.0</v>
      </c>
      <c r="C81" s="9" t="str">
        <f>VLOOKUP(B81,'FML March 2026'!E:F,2,false)</f>
        <v>PIERRE POIVRE PEPPER (LA BOITE A EPICE BRAND)</v>
      </c>
      <c r="D81" s="9" t="str">
        <f>VLOOKUP(B81,'Unit of Measure ship March 2026'!A:C,3,false)</f>
        <v>UNT/16OZ</v>
      </c>
    </row>
    <row r="82" ht="15.75" customHeight="1">
      <c r="A82" s="153"/>
      <c r="B82" s="91">
        <v>110935.0</v>
      </c>
      <c r="C82" s="9" t="str">
        <f>VLOOKUP(B82,'FML March 2026'!E:F,2,false)</f>
        <v>PORCINI POWDER</v>
      </c>
      <c r="D82" s="9" t="str">
        <f>VLOOKUP(B82,'Unit of Measure ship March 2026'!A:C,3,false)</f>
        <v>LBS</v>
      </c>
    </row>
    <row r="83" ht="15.75" customHeight="1">
      <c r="A83" s="153"/>
      <c r="B83" s="8">
        <v>20890.0</v>
      </c>
      <c r="C83" s="9" t="str">
        <f>VLOOKUP(B83,'FML March 2026'!E:F,2,false)</f>
        <v>POTATO STARCH TOTIGI/ BOBS RED MILL</v>
      </c>
      <c r="D83" s="9" t="str">
        <f>VLOOKUP(B83,'Unit of Measure ship March 2026'!A:C,3,false)</f>
        <v>LBS</v>
      </c>
    </row>
    <row r="84" ht="15.75" customHeight="1">
      <c r="A84" s="153"/>
      <c r="B84" s="18">
        <v>101442.0</v>
      </c>
      <c r="C84" s="9" t="str">
        <f>VLOOKUP(B84,'FML March 2026'!E:F,2,false)</f>
        <v>PROSCIUTTO DI SAN DANIELE LEVONI BONELESS 16 MONTH  RESERVE CS/16 LBS</v>
      </c>
      <c r="D84" s="9" t="str">
        <f>VLOOKUP(B84,'Unit of Measure ship March 2026'!A:C,3,false)</f>
        <v>LBS</v>
      </c>
    </row>
    <row r="85" ht="15.75" customHeight="1">
      <c r="A85" s="153"/>
      <c r="B85" s="8">
        <v>45163.0</v>
      </c>
      <c r="C85" s="9" t="str">
        <f>VLOOKUP(B85,'FML March 2026'!E:F,2,false)</f>
        <v>PUREE PASSION FRUIT ,  BOIRON/SICOLY  FRZN 6/1 KG</v>
      </c>
      <c r="D85" s="9" t="str">
        <f>VLOOKUP(B85,'Unit of Measure ship March 2026'!A:C,3,false)</f>
        <v>KG</v>
      </c>
    </row>
    <row r="86" ht="15.75" customHeight="1">
      <c r="A86" s="153"/>
      <c r="B86" s="8">
        <v>16307.0</v>
      </c>
      <c r="C86" s="9" t="str">
        <f>VLOOKUP(B86,'FML March 2026'!E:F,2,false)</f>
        <v>SALT KOSHER GRANULATED</v>
      </c>
      <c r="D86" s="9" t="str">
        <f>VLOOKUP(B86,'Unit of Measure ship March 2026'!A:C,3,false)</f>
        <v>LBS</v>
      </c>
    </row>
    <row r="87" ht="15.75" customHeight="1">
      <c r="A87" s="153"/>
      <c r="B87" s="8">
        <v>20880.0</v>
      </c>
      <c r="C87" s="9" t="str">
        <f>VLOOKUP(B87,'FML March 2026'!E:F,2,false)</f>
        <v>SALT SEA MALDON</v>
      </c>
      <c r="D87" s="9" t="str">
        <f>VLOOKUP(B87,'Unit of Measure ship March 2026'!A:C,3,false)</f>
        <v>LBS</v>
      </c>
    </row>
    <row r="88" ht="15.75" customHeight="1">
      <c r="A88" s="153"/>
      <c r="B88" s="8">
        <v>16357.0</v>
      </c>
      <c r="C88" s="9" t="str">
        <f>VLOOKUP(B88,'FML March 2026'!E:F,2,false)</f>
        <v>SAUCE TABASCO RED  2 OZ</v>
      </c>
      <c r="D88" s="9" t="str">
        <f>VLOOKUP(B88,'Unit of Measure ship March 2026'!A:C,3,false)</f>
        <v>BTL/2OZ</v>
      </c>
    </row>
    <row r="89" ht="15.75" customHeight="1">
      <c r="A89" s="153"/>
      <c r="B89" s="92">
        <v>15818.0</v>
      </c>
      <c r="C89" s="9" t="str">
        <f>VLOOKUP(B89,'FML March 2026'!E:F,2,false)</f>
        <v>SESAME SEEDS WHITE BADIA (USA )</v>
      </c>
      <c r="D89" s="9" t="str">
        <f>VLOOKUP(B89,'Unit of Measure ship March 2026'!A:C,3,false)</f>
        <v>LBS</v>
      </c>
    </row>
    <row r="90" ht="15.75" customHeight="1">
      <c r="A90" s="153"/>
      <c r="B90" s="8">
        <v>20887.0</v>
      </c>
      <c r="C90" s="9" t="str">
        <f>VLOOKUP(B90,'FML March 2026'!E:F,2,false)</f>
        <v>SHICHIMI TOGARASHI CHINESE 7 FLAVOR CHILI PEPPERS</v>
      </c>
      <c r="D90" s="9" t="str">
        <f>VLOOKUP(B90,'Unit of Measure ship March 2026'!A:C,3,false)</f>
        <v>LBS</v>
      </c>
    </row>
    <row r="91" ht="15.75" customHeight="1">
      <c r="A91" s="153"/>
      <c r="B91" s="91">
        <v>112795.0</v>
      </c>
      <c r="C91" s="9" t="str">
        <f>VLOOKUP(B91,'FML March 2026'!E:F,2,false)</f>
        <v>SILICA GEL PACKS FOOD GRADE 2 GRAM CS/3000 PC ULINE S3903</v>
      </c>
      <c r="D91" s="9" t="str">
        <f>VLOOKUP(B91,'Unit of Measure ship March 2026'!A:C,3,false)</f>
        <v>EA</v>
      </c>
    </row>
    <row r="92" ht="15.75" customHeight="1">
      <c r="A92" s="153"/>
      <c r="B92" s="8">
        <v>109936.0</v>
      </c>
      <c r="C92" s="9" t="str">
        <f>VLOOKUP(B92,'FML March 2026'!E:F,2,false)</f>
        <v>SOUR CREAM ALTERNATIVE VEGAN PLANT PERFECT</v>
      </c>
      <c r="D92" s="9" t="str">
        <f>VLOOKUP(B92,'Unit of Measure ship March 2026'!A:C,3,false)</f>
        <v>LBS</v>
      </c>
    </row>
    <row r="93" ht="15.75" customHeight="1">
      <c r="A93" s="153"/>
      <c r="B93" s="8">
        <v>16945.0</v>
      </c>
      <c r="C93" s="9" t="str">
        <f>VLOOKUP(B93,'FML March 2026'!E:F,2,false)</f>
        <v>SOY MILK  12/32 OZ SILK/ PACKER</v>
      </c>
      <c r="D93" s="9" t="str">
        <f>VLOOKUP(B93,'Unit of Measure ship March 2026'!A:C,3,false)</f>
        <v>LT</v>
      </c>
    </row>
    <row r="94" ht="15.75" customHeight="1">
      <c r="A94" s="153"/>
      <c r="B94" s="8">
        <v>111107.0</v>
      </c>
      <c r="C94" s="9" t="str">
        <f>VLOOKUP(B94,'FML March 2026'!E:F,2,false)</f>
        <v>SOY SAUCE BREWED GLUTEN FREE SEMPIO CS 12/930</v>
      </c>
      <c r="D94" s="9" t="str">
        <f>VLOOKUP(B94,'Unit of Measure ship March 2026'!A:C,3,false)</f>
        <v>BT/60 OZ</v>
      </c>
    </row>
    <row r="95" ht="15.75" customHeight="1">
      <c r="A95" s="153"/>
      <c r="B95" s="8">
        <v>20879.0</v>
      </c>
      <c r="C95" s="9" t="str">
        <f>VLOOKUP(B95,'FML March 2026'!E:F,2,false)</f>
        <v>SRIRACHA, HOT CHILI SAUCE, HUY FONG, 28OZ</v>
      </c>
      <c r="D95" s="9" t="str">
        <f>VLOOKUP(B95,'Unit of Measure ship March 2026'!A:C,3,false)</f>
        <v>BT/17OZ</v>
      </c>
    </row>
    <row r="96" ht="15.75" customHeight="1">
      <c r="A96" s="153"/>
      <c r="B96" s="91">
        <v>15646.0</v>
      </c>
      <c r="C96" s="9" t="str">
        <f>VLOOKUP(B96,'FML March 2026'!E:F,2,false)</f>
        <v>SUGAR BROWN DARK  24/1LB  DOMINO (404310) (USA)</v>
      </c>
      <c r="D96" s="9" t="str">
        <f>VLOOKUP(B96,'Unit of Measure ship March 2026'!A:C,3,false)</f>
        <v>LBS</v>
      </c>
    </row>
    <row r="97" ht="15.75" customHeight="1">
      <c r="A97" s="153"/>
      <c r="B97" s="8">
        <v>100872.0</v>
      </c>
      <c r="C97" s="9" t="str">
        <f>VLOOKUP(B97,'FML March 2026'!E:F,2,false)</f>
        <v>SUGAR BROWN LIGHT 24LB  DOMINO (404309)</v>
      </c>
      <c r="D97" s="9" t="str">
        <f>VLOOKUP(B97,'Unit of Measure ship March 2026'!A:C,3,false)</f>
        <v>LBS</v>
      </c>
    </row>
    <row r="98" ht="15.75" customHeight="1">
      <c r="A98" s="153"/>
      <c r="B98" s="8">
        <v>15642.0</v>
      </c>
      <c r="C98" s="9" t="str">
        <f>VLOOKUP(B98,'FML March 2026'!E:F,2,false)</f>
        <v>SUGAR, GRANULATED, ICUMSA 150, SUGARCANE, DRY, 1/50 LB</v>
      </c>
      <c r="D98" s="9" t="str">
        <f>VLOOKUP(B98,'Unit of Measure ship March 2026'!A:C,3,false)</f>
        <v>LBS</v>
      </c>
    </row>
    <row r="99" ht="15.75" customHeight="1">
      <c r="A99" s="153"/>
      <c r="B99" s="92">
        <v>15892.0</v>
      </c>
      <c r="C99" s="9" t="str">
        <f>VLOOKUP(B99,'FML March 2026'!E:F,2,false)</f>
        <v>SUNFLOWER SEEDS WHOLE SHELL-OFF RAW  HIALEAH (USA )</v>
      </c>
      <c r="D99" s="9" t="str">
        <f>VLOOKUP(B99,'Unit of Measure ship March 2026'!A:C,3,false)</f>
        <v>LBS</v>
      </c>
    </row>
    <row r="100" ht="15.75" customHeight="1">
      <c r="A100" s="153"/>
      <c r="B100" s="8">
        <v>29904.0</v>
      </c>
      <c r="C100" s="9" t="str">
        <f>VLOOKUP(B100,'FML March 2026'!E:F,2,false)</f>
        <v>SYRUP, MAPLE, 100% PURE, GRADE A, AMBER, DRY, 4/4 LT</v>
      </c>
      <c r="D100" s="9" t="str">
        <f>VLOOKUP(B100,'Unit of Measure ship March 2026'!A:C,3,false)</f>
        <v>BOX/4LTR</v>
      </c>
    </row>
    <row r="101" ht="15.75" customHeight="1">
      <c r="A101" s="153"/>
      <c r="B101" s="8">
        <v>109632.0</v>
      </c>
      <c r="C101" s="9" t="str">
        <f>VLOOKUP(B101,'FML March 2026'!E:F,2,false)</f>
        <v>TAPIOCA FLOUR BOBS RED MILL</v>
      </c>
      <c r="D101" s="9" t="str">
        <f>VLOOKUP(B101,'Unit of Measure ship March 2026'!A:C,3,false)</f>
        <v>KG</v>
      </c>
    </row>
    <row r="102" ht="15.75" customHeight="1">
      <c r="A102" s="153"/>
      <c r="B102" s="18">
        <v>15583.0</v>
      </c>
      <c r="C102" s="9" t="str">
        <f>VLOOKUP(B102,'FML March 2026'!E:F,2,false)</f>
        <v>TOMATO, SUN-DRIED, HALVES, STANDARD, DRY, 4/5 LB</v>
      </c>
      <c r="D102" s="9" t="str">
        <f>VLOOKUP(B102,'Unit of Measure ship March 2026'!A:C,3,false)</f>
        <v>LBS</v>
      </c>
    </row>
    <row r="103" ht="15.75" customHeight="1">
      <c r="A103" s="153"/>
      <c r="B103" s="18">
        <v>143140.0</v>
      </c>
      <c r="C103" s="9" t="str">
        <f>VLOOKUP(B103,'FML March 2026'!E:F,2,false)</f>
        <v>TOMATO, WHOLE, PEELED, IN JUICE, DRY, 6/#10</v>
      </c>
      <c r="D103" s="9" t="str">
        <f>VLOOKUP(B103,'Unit of Measure ship March 2026'!A:C,3,false)</f>
        <v>C6/6.5LB</v>
      </c>
    </row>
    <row r="104" ht="15.75" customHeight="1">
      <c r="A104" s="153"/>
      <c r="B104" s="91">
        <v>101990.0</v>
      </c>
      <c r="C104" s="9" t="str">
        <f>VLOOKUP(B104,'FML March 2026'!E:F,2,false)</f>
        <v>TRUFFLE AESTIVUM-SUMMER PEELINGS HENRAS (FRANCE)</v>
      </c>
      <c r="D104" s="9" t="str">
        <f>VLOOKUP(B104,'Unit of Measure ship March 2026'!A:C,3,false)</f>
        <v>CAN/7OZ</v>
      </c>
    </row>
    <row r="105" ht="15.75" customHeight="1">
      <c r="A105" s="153"/>
      <c r="B105" s="8">
        <v>20844.0</v>
      </c>
      <c r="C105" s="9" t="str">
        <f>VLOOKUP(B105,'FML March 2026'!E:F,2,false)</f>
        <v>VEAL DEMI GLACE CUISINE SOLUTIONS 1003743 (NO INSPECTION NEEDED) (NETHERLANDS)</v>
      </c>
      <c r="D105" s="9" t="str">
        <f>VLOOKUP(B105,'Unit of Measure ship March 2026'!A:C,3,false)</f>
        <v>LBS</v>
      </c>
    </row>
    <row r="106" ht="15.75" customHeight="1">
      <c r="A106" s="153"/>
      <c r="B106" s="8">
        <v>79607.0</v>
      </c>
      <c r="C106" s="9" t="str">
        <f>VLOOKUP(B106,'FML March 2026'!E:F,2,false)</f>
        <v>VEGAN CHOCOLATE DARK ENJOY LIFE CS20/LBS</v>
      </c>
      <c r="D106" s="9" t="str">
        <f>VLOOKUP(B106,'Unit of Measure ship March 2026'!A:C,3,false)</f>
        <v>PC/9OZ</v>
      </c>
    </row>
    <row r="107" ht="15.75" customHeight="1">
      <c r="A107" s="153"/>
      <c r="B107" s="8">
        <v>79609.0</v>
      </c>
      <c r="C107" s="9" t="str">
        <f>VLOOKUP(B107,'FML March 2026'!E:F,2,false)</f>
        <v>VEGAN SUGAR ORGANIC (BONE CHAR FREE ) WHOLESOME</v>
      </c>
      <c r="D107" s="9" t="str">
        <f>VLOOKUP(B107,'Unit of Measure ship March 2026'!A:C,3,false)</f>
        <v>LBS</v>
      </c>
    </row>
    <row r="108" ht="15.75" customHeight="1">
      <c r="A108" s="153"/>
      <c r="B108" s="91">
        <v>111933.0</v>
      </c>
      <c r="C108" s="9" t="str">
        <f>VLOOKUP(B108,'FML March 2026'!E:F,2,false)</f>
        <v>VEGETABLE STOCK LIQUID  CS 4.5/ LITER SAVORY CHOICE</v>
      </c>
      <c r="D108" s="9" t="str">
        <f>VLOOKUP(B108,'Unit of Measure ship March 2026'!A:C,3,false)</f>
        <v>LT</v>
      </c>
    </row>
    <row r="109" ht="15.75" customHeight="1">
      <c r="A109" s="153"/>
      <c r="B109" s="8">
        <v>109665.0</v>
      </c>
      <c r="C109" s="9" t="str">
        <f>VLOOKUP(B109,'FML March 2026'!E:F,2,false)</f>
        <v>VINEGAR CABERNET SPARROW LANE</v>
      </c>
      <c r="D109" s="9" t="str">
        <f>VLOOKUP(B109,'Unit of Measure ship March 2026'!A:C,3,false)</f>
        <v>GAL</v>
      </c>
    </row>
    <row r="110" ht="15.75" customHeight="1">
      <c r="A110" s="153"/>
      <c r="B110" s="8">
        <v>109666.0</v>
      </c>
      <c r="C110" s="9" t="str">
        <f>VLOOKUP(B110,'FML March 2026'!E:F,2,false)</f>
        <v>VINEGAR CHAMPAGNE WINE SPARROW LANE/ PACKER</v>
      </c>
      <c r="D110" s="9" t="str">
        <f>VLOOKUP(B110,'Unit of Measure ship March 2026'!A:C,3,false)</f>
        <v>GAL</v>
      </c>
    </row>
    <row r="111" ht="15.75" customHeight="1">
      <c r="A111" s="153"/>
      <c r="B111" s="8">
        <v>148488.0</v>
      </c>
      <c r="C111" s="9" t="str">
        <f>VLOOKUP(B111,'FML March 2026'!E:F,2,false)</f>
        <v>VINEGAR PLUM</v>
      </c>
      <c r="D111" s="9" t="str">
        <f>VLOOKUP(B111,'Unit of Measure ship March 2026'!A:C,3,false)</f>
        <v>BT/5OZ</v>
      </c>
    </row>
    <row r="112" ht="15.75" customHeight="1">
      <c r="A112" s="153"/>
      <c r="B112" s="91">
        <v>16402.0</v>
      </c>
      <c r="C112" s="9" t="str">
        <f>VLOOKUP(B112,'FML March 2026'!E:F,2,false)</f>
        <v>VINEGAR SHERRY/ XERES CS4/5 LT ROLAND</v>
      </c>
      <c r="D112" s="9" t="str">
        <f>VLOOKUP(B112,'Unit of Measure ship March 2026'!A:C,3,false)</f>
        <v>BT/750ML</v>
      </c>
    </row>
    <row r="113" ht="15.75" customHeight="1">
      <c r="A113" s="153"/>
      <c r="B113" s="8">
        <v>16387.0</v>
      </c>
      <c r="C113" s="9" t="str">
        <f>VLOOKUP(B113,'FML March 2026'!E:F,2,false)</f>
        <v>WHITE TRUFFLE OIL</v>
      </c>
      <c r="D113" s="9" t="str">
        <f>VLOOKUP(B113,'Unit of Measure ship March 2026'!A:C,3,false)</f>
        <v>BT/250ML</v>
      </c>
    </row>
    <row r="114" ht="15.75" customHeight="1">
      <c r="A114" s="153"/>
      <c r="B114" s="92">
        <v>16387.0</v>
      </c>
      <c r="C114" s="9" t="str">
        <f>VLOOKUP(B114,'FML March 2026'!E:F,2,false)</f>
        <v>WHITE TRUFFLE OIL</v>
      </c>
      <c r="D114" s="9" t="str">
        <f>VLOOKUP(B114,'Unit of Measure ship March 2026'!A:C,3,false)</f>
        <v>BT/250ML</v>
      </c>
    </row>
    <row r="115" ht="15.75" customHeight="1">
      <c r="A115" s="153"/>
      <c r="B115" s="8">
        <v>16358.0</v>
      </c>
      <c r="C115" s="9" t="str">
        <f>VLOOKUP(B115,'FML March 2026'!E:F,2,false)</f>
        <v>WORCESTERSHIRE SAUCE 5 OZ LEA &amp; PERRINS</v>
      </c>
      <c r="D115" s="9" t="str">
        <f>VLOOKUP(B115,'Unit of Measure ship March 2026'!A:C,3,false)</f>
        <v>BTL/5OZ</v>
      </c>
    </row>
    <row r="116" ht="15.75" customHeight="1">
      <c r="A116" s="153"/>
      <c r="B116" s="8">
        <v>102288.0</v>
      </c>
      <c r="C116" s="9" t="str">
        <f>VLOOKUP(B116,'FML March 2026'!E:F,2,false)</f>
        <v>XANTHAN GUM (AUSTRIA)</v>
      </c>
      <c r="D116" s="9" t="str">
        <f>VLOOKUP(B116,'Unit of Measure ship March 2026'!A:C,3,false)</f>
        <v>LBS</v>
      </c>
    </row>
    <row r="117" ht="15.75" customHeight="1">
      <c r="A117" s="153"/>
      <c r="B117" s="8">
        <v>15032.0</v>
      </c>
      <c r="C117" s="9" t="str">
        <f>VLOOKUP(B117,'FML March 2026'!E:F,2,false)</f>
        <v>YEAST ACTIVE 24/1# FRESH &amp; REFRIGERATED, FLEISCHMANS</v>
      </c>
      <c r="D117" s="9" t="str">
        <f>VLOOKUP(B117,'Unit of Measure ship March 2026'!A:C,3,false)</f>
        <v>LBS</v>
      </c>
    </row>
    <row r="118" ht="15.75" customHeight="1">
      <c r="A118" s="153"/>
      <c r="B118" s="8">
        <v>109846.0</v>
      </c>
      <c r="C118" s="9" t="str">
        <f>VLOOKUP(B118,'FML March 2026'!E:F,2,false)</f>
        <v>YOGURT GREEK BULK</v>
      </c>
      <c r="D118" s="9" t="str">
        <f>VLOOKUP(B118,'Unit of Measure ship March 2026'!A:C,3,false)</f>
        <v>LBS</v>
      </c>
    </row>
    <row r="119" ht="15.75" customHeight="1">
      <c r="A119" s="153"/>
    </row>
    <row r="120" ht="15.75" customHeight="1">
      <c r="A120" s="153"/>
      <c r="B120" s="8"/>
      <c r="C120" s="9"/>
      <c r="D120" s="9"/>
    </row>
    <row r="121" ht="15.75" customHeight="1">
      <c r="A121" s="153"/>
      <c r="B121" s="8"/>
      <c r="C121" s="9"/>
      <c r="D121" s="9"/>
    </row>
    <row r="122" ht="15.75" customHeight="1">
      <c r="A122" s="153"/>
      <c r="B122" s="8"/>
      <c r="C122" s="9"/>
      <c r="D122" s="9"/>
    </row>
    <row r="123" ht="15.75" customHeight="1">
      <c r="A123" s="153"/>
      <c r="B123" s="8"/>
      <c r="C123" s="9"/>
      <c r="D123" s="9"/>
    </row>
    <row r="124" ht="15.75" customHeight="1">
      <c r="A124" s="153"/>
      <c r="B124" s="8"/>
      <c r="C124" s="9"/>
      <c r="D124" s="9"/>
    </row>
    <row r="125" ht="15.75" customHeight="1">
      <c r="A125" s="153"/>
      <c r="B125" s="8"/>
      <c r="C125" s="9"/>
      <c r="D125" s="9"/>
    </row>
    <row r="126" ht="15.75" customHeight="1">
      <c r="A126" s="153"/>
      <c r="B126" s="8"/>
      <c r="C126" s="9"/>
      <c r="D126" s="9"/>
    </row>
    <row r="127" ht="15.75" customHeight="1">
      <c r="A127" s="153"/>
      <c r="B127" s="8"/>
      <c r="C127" s="9"/>
      <c r="D127" s="9"/>
    </row>
    <row r="128" ht="15.75" customHeight="1">
      <c r="A128" s="153"/>
      <c r="B128" s="8"/>
      <c r="C128" s="9"/>
      <c r="D128" s="9"/>
    </row>
    <row r="129" ht="15.75" customHeight="1">
      <c r="A129" s="153"/>
      <c r="B129" s="8"/>
      <c r="C129" s="9"/>
      <c r="D129" s="9"/>
    </row>
    <row r="130" ht="15.75" customHeight="1">
      <c r="A130" s="153"/>
      <c r="B130" s="8"/>
      <c r="C130" s="9"/>
      <c r="D130" s="9"/>
    </row>
    <row r="131" ht="15.75" customHeight="1">
      <c r="A131" s="153"/>
      <c r="B131" s="8"/>
      <c r="C131" s="9"/>
      <c r="D131" s="9"/>
    </row>
    <row r="132" ht="15.75" customHeight="1">
      <c r="A132" s="153"/>
      <c r="B132" s="8"/>
      <c r="C132" s="9"/>
      <c r="D132" s="9"/>
    </row>
    <row r="133" ht="15.75" customHeight="1">
      <c r="A133" s="153"/>
      <c r="B133" s="8"/>
      <c r="C133" s="9"/>
      <c r="D133" s="9"/>
    </row>
    <row r="134" ht="15.75" customHeight="1">
      <c r="A134" s="153"/>
      <c r="B134" s="8"/>
      <c r="C134" s="9"/>
      <c r="D134" s="9"/>
    </row>
    <row r="135" ht="15.75" customHeight="1">
      <c r="A135" s="153"/>
      <c r="B135" s="8"/>
      <c r="C135" s="9"/>
      <c r="D135" s="9"/>
    </row>
    <row r="136" ht="15.75" customHeight="1">
      <c r="A136" s="153"/>
      <c r="B136" s="8"/>
      <c r="C136" s="9"/>
      <c r="D136" s="9"/>
    </row>
    <row r="137" ht="15.75" customHeight="1">
      <c r="A137" s="153"/>
      <c r="B137" s="153"/>
      <c r="C137" s="9"/>
      <c r="D137" s="9"/>
    </row>
    <row r="138" ht="15.75" customHeight="1">
      <c r="A138" s="153"/>
      <c r="B138" s="8"/>
      <c r="C138" s="9"/>
      <c r="D138" s="9"/>
    </row>
    <row r="139" ht="15.75" customHeight="1">
      <c r="A139" s="153"/>
      <c r="B139" s="8"/>
      <c r="C139" s="9"/>
      <c r="D139" s="9"/>
    </row>
    <row r="140" ht="15.75" customHeight="1">
      <c r="A140" s="153"/>
      <c r="B140" s="8"/>
      <c r="C140" s="9"/>
      <c r="D140" s="9"/>
    </row>
    <row r="141" ht="15.75" customHeight="1">
      <c r="A141" s="153"/>
      <c r="B141" s="8"/>
      <c r="C141" s="9"/>
      <c r="D141" s="9"/>
    </row>
    <row r="142" ht="15.75" customHeight="1">
      <c r="A142" s="153"/>
      <c r="B142" s="8"/>
      <c r="C142" s="9"/>
      <c r="D142" s="9"/>
    </row>
    <row r="143" ht="15.75" customHeight="1">
      <c r="A143" s="153"/>
      <c r="B143" s="8"/>
      <c r="C143" s="9"/>
      <c r="D143" s="9"/>
    </row>
    <row r="144" ht="15.75" customHeight="1">
      <c r="A144" s="153"/>
      <c r="B144" s="8"/>
      <c r="C144" s="9"/>
      <c r="D144" s="9"/>
    </row>
    <row r="145" ht="15.75" customHeight="1">
      <c r="A145" s="153"/>
      <c r="B145" s="8"/>
      <c r="C145" s="9"/>
      <c r="D145" s="9"/>
    </row>
    <row r="146" ht="15.75" customHeight="1">
      <c r="A146" s="153"/>
      <c r="B146" s="8"/>
      <c r="C146" s="9"/>
      <c r="D146" s="9"/>
    </row>
    <row r="147" ht="15.75" customHeight="1">
      <c r="A147" s="153"/>
      <c r="B147" s="8"/>
      <c r="C147" s="9"/>
      <c r="D147" s="9"/>
    </row>
    <row r="148" ht="15.75" customHeight="1">
      <c r="A148" s="153"/>
      <c r="B148" s="8"/>
      <c r="C148" s="9"/>
      <c r="D148" s="9"/>
    </row>
    <row r="149" ht="15.75" customHeight="1">
      <c r="B149" s="155"/>
      <c r="C149" s="9"/>
      <c r="D149" s="9"/>
    </row>
    <row r="150" ht="15.75" customHeight="1">
      <c r="B150" s="155"/>
      <c r="C150" s="9"/>
      <c r="D150" s="9"/>
    </row>
    <row r="151" ht="15.75" customHeight="1">
      <c r="B151" s="155"/>
      <c r="C151" s="9"/>
      <c r="D151" s="9"/>
    </row>
    <row r="152" ht="15.75" customHeight="1">
      <c r="B152" s="155"/>
      <c r="C152" s="9"/>
      <c r="D152" s="9"/>
    </row>
    <row r="153" ht="15.75" customHeight="1">
      <c r="B153" s="155"/>
      <c r="C153" s="9"/>
      <c r="D153" s="9"/>
    </row>
    <row r="154" ht="15.75" customHeight="1">
      <c r="B154" s="155"/>
      <c r="C154" s="9"/>
      <c r="D154" s="9"/>
    </row>
    <row r="155" ht="15.75" customHeight="1">
      <c r="B155" s="155"/>
      <c r="C155" s="9"/>
      <c r="D155" s="9"/>
    </row>
    <row r="156" ht="15.75" customHeight="1">
      <c r="B156" s="155"/>
      <c r="C156" s="9"/>
      <c r="D156" s="9"/>
    </row>
    <row r="157" ht="15.75" customHeight="1">
      <c r="B157" s="155"/>
      <c r="C157" s="9"/>
      <c r="D157" s="9"/>
    </row>
    <row r="158" ht="15.75" customHeight="1">
      <c r="B158" s="155"/>
      <c r="C158" s="9"/>
      <c r="D158" s="9"/>
    </row>
    <row r="159" ht="15.75" customHeight="1">
      <c r="B159" s="155"/>
      <c r="C159" s="9"/>
      <c r="D159" s="9"/>
    </row>
    <row r="160" ht="15.75" customHeight="1">
      <c r="B160" s="155"/>
      <c r="C160" s="9"/>
      <c r="D160" s="9"/>
    </row>
    <row r="161" ht="15.75" customHeight="1">
      <c r="B161" s="155"/>
      <c r="C161" s="9"/>
      <c r="D161" s="9"/>
    </row>
    <row r="162" ht="15.75" customHeight="1">
      <c r="B162" s="155"/>
      <c r="C162" s="9"/>
      <c r="D162" s="9"/>
    </row>
    <row r="163" ht="15.75" customHeight="1">
      <c r="B163" s="155"/>
      <c r="C163" s="9"/>
      <c r="D163" s="9"/>
    </row>
    <row r="164" ht="15.75" customHeight="1">
      <c r="B164" s="155"/>
      <c r="C164" s="9"/>
      <c r="D164" s="9"/>
    </row>
    <row r="165" ht="15.75" customHeight="1">
      <c r="C165" s="9"/>
      <c r="D165" s="9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95</v>
      </c>
      <c r="D1" s="142"/>
      <c r="E1" s="144"/>
      <c r="F1" s="142"/>
      <c r="G1" s="143" t="s">
        <v>96</v>
      </c>
      <c r="H1" s="142"/>
      <c r="I1" s="144"/>
      <c r="J1" s="142"/>
      <c r="K1" s="143" t="s">
        <v>97</v>
      </c>
      <c r="L1" s="142"/>
      <c r="M1" s="144"/>
      <c r="N1" s="142"/>
      <c r="O1" s="143" t="s">
        <v>98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B3" s="8">
        <v>111692.0</v>
      </c>
      <c r="C3" s="9" t="str">
        <f>VLOOKUP(B3,'FML March 2026'!E:F,2,false)</f>
        <v>AJI AMARILLO PASTE CS12/7.5OZ BELMONT</v>
      </c>
      <c r="D3" s="9" t="str">
        <f>VLOOKUP(B3,'Unit of Measure ship March 2026'!A:C,3,false)</f>
        <v>LBS</v>
      </c>
      <c r="F3" s="16">
        <v>53697.0</v>
      </c>
      <c r="G3" s="9" t="str">
        <f>VLOOKUP(F3,'FML March 2026'!E:F,2,false)</f>
        <v>ARTICHOKE, JERUSALEM, FRESH</v>
      </c>
      <c r="H3" s="9" t="str">
        <f>VLOOKUP(F3,'Unit of Measure ship March 2026'!A:C,3,false)</f>
        <v>LBS</v>
      </c>
      <c r="J3" s="17">
        <v>34782.0</v>
      </c>
      <c r="K3" s="9" t="str">
        <f>VLOOKUP(J3,'FML March 2026'!E:F,2,false)</f>
        <v>BEEF HANGING TENDER, 65LBS/CS NAMP-140</v>
      </c>
      <c r="L3" s="9" t="str">
        <f>VLOOKUP(J3,'Unit of Measure ship March 2026'!A:C,3,false)</f>
        <v>LBS</v>
      </c>
      <c r="N3" s="17">
        <v>10052.0</v>
      </c>
      <c r="O3" s="9" t="str">
        <f>VLOOKUP(N3,'FML March 2026'!E:F,2,false)</f>
        <v>COD FILLET BERING SEA 16/32 OZ FROZEN (PCH) (CHINA)</v>
      </c>
      <c r="P3" s="9" t="str">
        <f>VLOOKUP(N3,'Unit of Measure ship March 2026'!A:C,3,false)</f>
        <v>LBS</v>
      </c>
    </row>
    <row r="4" ht="14.25" customHeight="1">
      <c r="B4" s="8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16">
        <v>24182.0</v>
      </c>
      <c r="G4" s="9" t="str">
        <f>VLOOKUP(F4,'FML March 2026'!E:F,2,false)</f>
        <v>ARUGULA, BABY</v>
      </c>
      <c r="H4" s="9" t="str">
        <f>VLOOKUP(F4,'Unit of Measure ship March 2026'!A:C,3,false)</f>
        <v>LBS</v>
      </c>
      <c r="J4" s="17">
        <v>11695.0</v>
      </c>
      <c r="K4" s="9" t="str">
        <f>VLOOKUP(J4,'FML March 2026'!E:F,2,false)</f>
        <v>CHICKEN LEG/THIGH BONELESS &amp; SKINLESS FROZEN</v>
      </c>
      <c r="L4" s="9" t="str">
        <f>VLOOKUP(J4,'Unit of Measure ship March 2026'!A:C,3,false)</f>
        <v>LBS</v>
      </c>
      <c r="N4" s="17">
        <v>53699.0</v>
      </c>
      <c r="O4" s="9" t="str">
        <f>VLOOKUP(N4,'FML March 2026'!E:F,2,false)</f>
        <v>OCTOPUS, FROZEN 4-6/LB FROZEN 30 LB CS POLAR</v>
      </c>
      <c r="P4" s="9" t="str">
        <f>VLOOKUP(N4,'Unit of Measure ship March 2026'!A:C,3,false)</f>
        <v>LBS</v>
      </c>
    </row>
    <row r="5" ht="14.25" customHeight="1">
      <c r="B5" s="8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53">
        <v>15572.0</v>
      </c>
      <c r="G5" s="9" t="str">
        <f>VLOOKUP(F5,'FML March 2026'!E:F,2,false)</f>
        <v>ASPARAGUS, FRESH, LARGE, FULL 11# BOX, 17 PC/BOX</v>
      </c>
      <c r="H5" s="9" t="str">
        <f>VLOOKUP(F5,'Unit of Measure ship March 2026'!A:C,3,false)</f>
        <v>LBS</v>
      </c>
      <c r="J5" s="17">
        <v>14424.0</v>
      </c>
      <c r="K5" s="9" t="str">
        <f>VLOOKUP(J5,'FML March 2026'!E:F,2,false)</f>
        <v>LAMB SHOULDER SQUARE CUT NECK-ON FROZEN  (AUSTRALIA)</v>
      </c>
      <c r="L5" s="9" t="str">
        <f>VLOOKUP(J5,'Unit of Measure ship March 2026'!A:C,3,false)</f>
        <v>LBS</v>
      </c>
      <c r="N5" s="17">
        <v>42269.0</v>
      </c>
      <c r="O5" s="9" t="str">
        <f>VLOOKUP(N5,'FML March 2026'!E:F,2,false)</f>
        <v>SHRIMP 16/20 RAW P&amp;D TAIL-ON CS10/LB SURAM ROYAL WHITE (VIETNAM)</v>
      </c>
      <c r="P5" s="9" t="str">
        <f>VLOOKUP(N5,'Unit of Measure ship March 2026'!A:C,3,false)</f>
        <v>LBS</v>
      </c>
    </row>
    <row r="6" ht="14.25" customHeight="1">
      <c r="B6" s="17">
        <v>110967.0</v>
      </c>
      <c r="C6" s="9" t="str">
        <f>VLOOKUP(B6,'FML March 2026'!E:F,2,false)</f>
        <v>ALMONDS HICKORY SMOKED CS9/9OZ BACK TO NATURE SMOKED</v>
      </c>
      <c r="D6" s="9" t="str">
        <f>VLOOKUP(B6,'Unit of Measure ship March 2026'!A:C,3,false)</f>
        <v>LBS</v>
      </c>
      <c r="F6" s="16">
        <v>15378.0</v>
      </c>
      <c r="G6" s="9" t="str">
        <f>VLOOKUP(F6,'FML March 2026'!E:F,2,false)</f>
        <v>AVOCADOS HASS FRESH CA-48PC FL-12/14PC 20#</v>
      </c>
      <c r="H6" s="9" t="str">
        <f>VLOOKUP(F6,'Unit of Measure ship March 2026'!A:C,3,false)</f>
        <v>LBS</v>
      </c>
      <c r="K6" s="9"/>
      <c r="L6" s="9"/>
      <c r="O6" s="9"/>
      <c r="P6" s="9"/>
    </row>
    <row r="7" ht="14.25" customHeight="1">
      <c r="B7" s="17">
        <v>16011.0</v>
      </c>
      <c r="C7" s="9" t="str">
        <f>VLOOKUP(B7,'FML March 2026'!E:F,2,false)</f>
        <v>ANCHOVY FILLETS IN OLIVE OIL</v>
      </c>
      <c r="D7" s="9" t="str">
        <f>VLOOKUP(B7,'Unit of Measure ship March 2026'!A:C,3,false)</f>
        <v>CAN/28OZ</v>
      </c>
      <c r="F7" s="16">
        <v>111708.0</v>
      </c>
      <c r="G7" s="9" t="str">
        <f>VLOOKUP(F7,'FML March 2026'!E:F,2,false)</f>
        <v>BABY TURNIP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B8" s="8">
        <v>16304.0</v>
      </c>
      <c r="C8" s="9" t="str">
        <f>VLOOKUP(B8,'FML March 2026'!E:F,2,false)</f>
        <v>ANISE STAR BADIA</v>
      </c>
      <c r="D8" s="9" t="str">
        <f>VLOOKUP(B8,'Unit of Measure ship March 2026'!A:C,3,false)</f>
        <v>UNIT/8OZ</v>
      </c>
      <c r="F8" s="16">
        <v>43517.0</v>
      </c>
      <c r="G8" s="9" t="str">
        <f>VLOOKUP(F8,'FML March 2026'!E:F,2,false)</f>
        <v>BANANAS STAGE #5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8">
        <v>109664.0</v>
      </c>
      <c r="C9" s="9" t="str">
        <f>VLOOKUP(B9,'FML March 2026'!E:F,2,false)</f>
        <v>APPLE CIDER VINEGAR SPARROW LANE V</v>
      </c>
      <c r="D9" s="9" t="str">
        <f>VLOOKUP(B9,'Unit of Measure ship March 2026'!A:C,3,false)</f>
        <v>GAL</v>
      </c>
      <c r="F9" s="16">
        <v>15429.0</v>
      </c>
      <c r="G9" s="9" t="str">
        <f>VLOOKUP(F9,'FML March 2026'!E:F,2,false)</f>
        <v>BASIL (12 BUNCH) HYDROPONIC OR REGULAR 1 LB/CS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8">
        <v>15652.0</v>
      </c>
      <c r="C10" s="9" t="str">
        <f>VLOOKUP(B10,'FML March 2026'!E:F,2,false)</f>
        <v>BAKING SODA</v>
      </c>
      <c r="D10" s="9" t="str">
        <f>VLOOKUP(B10,'Unit of Measure ship March 2026'!A:C,3,false)</f>
        <v>LBS</v>
      </c>
      <c r="F10" s="16">
        <v>15449.0</v>
      </c>
      <c r="G10" s="9" t="str">
        <f>VLOOKUP(F10,'FML March 2026'!E:F,2,false)</f>
        <v>BEET ROOTS LARGE 1/25#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B11" s="8">
        <v>16250.0</v>
      </c>
      <c r="C11" s="9" t="str">
        <f>VLOOKUP(B11,'FML March 2026'!E:F,2,false)</f>
        <v>BAY LEAVES WHOLE D`ALLESANDRO/ SPICECO</v>
      </c>
      <c r="D11" s="9" t="str">
        <f>VLOOKUP(B11,'Unit of Measure ship March 2026'!A:C,3,false)</f>
        <v>LBS</v>
      </c>
      <c r="F11" s="16">
        <v>102291.0</v>
      </c>
      <c r="G11" s="9" t="str">
        <f>VLOOKUP(F11,'FML March 2026'!E:F,2,false)</f>
        <v>BEETS CHIOGGA FRESH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8">
        <v>26627.0</v>
      </c>
      <c r="C12" s="9" t="str">
        <f>VLOOKUP(B12,'FML March 2026'!E:F,2,false)</f>
        <v>BEANS CHICK PEAS DRY BULK</v>
      </c>
      <c r="D12" s="9" t="str">
        <f>VLOOKUP(B12,'Unit of Measure ship March 2026'!A:C,3,false)</f>
        <v>LBS</v>
      </c>
      <c r="F12" s="16">
        <v>15452.0</v>
      </c>
      <c r="G12" s="9" t="str">
        <f>VLOOKUP(F12,'FML March 2026'!E:F,2,false)</f>
        <v>BELGIAN ENDIVES 10#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17">
        <v>15016.0</v>
      </c>
      <c r="C13" s="9" t="str">
        <f>VLOOKUP(B13,'FML March 2026'!E:F,2,false)</f>
        <v>BUTTER, UNSALTED, 82% FAT, FZN, 50/200 G</v>
      </c>
      <c r="D13" s="9" t="str">
        <f>VLOOKUP(B13,'Unit of Measure ship March 2026'!A:C,3,false)</f>
        <v>LBS</v>
      </c>
      <c r="F13" s="16">
        <v>15450.0</v>
      </c>
      <c r="G13" s="9" t="str">
        <f>VLOOKUP(F13,'FML March 2026'!E:F,2,false)</f>
        <v>BROCCOLI LARGE FANCY, GREEN UMBRELLA 14 CT 20#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B14" s="17">
        <v>11938.0</v>
      </c>
      <c r="C14" s="9" t="str">
        <f>VLOOKUP(B14,'FML March 2026'!E:F,2,false)</f>
        <v>CAPER BERRIES STEMMED 6/64 OZ DEL DESTINO/ ROLAND</v>
      </c>
      <c r="D14" s="9" t="str">
        <f>VLOOKUP(B14,'Unit of Measure ship March 2026'!A:C,3,false)</f>
        <v>CAN/64OZ</v>
      </c>
      <c r="F14" s="16">
        <v>24674.0</v>
      </c>
      <c r="G14" s="9" t="str">
        <f>VLOOKUP(F14,'FML March 2026'!E:F,2,false)</f>
        <v>CARROTS LOOSE CAL. JUMBO, 50LBS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8">
        <v>15816.0</v>
      </c>
      <c r="C15" s="9" t="str">
        <f>VLOOKUP(B15,'FML March 2026'!E:F,2,false)</f>
        <v>CARAWAY SEEDS WHOLE 16 OZ D BADIA</v>
      </c>
      <c r="D15" s="9" t="str">
        <f>VLOOKUP(B15,'Unit of Measure ship March 2026'!A:C,3,false)</f>
        <v>LBS</v>
      </c>
      <c r="F15" s="16">
        <v>15559.0</v>
      </c>
      <c r="G15" s="9" t="str">
        <f>VLOOKUP(F15,'FML March 2026'!E:F,2,false)</f>
        <v>CARROTS MINI W/TOPS, PEELED, 1/5LB, VAC. PACK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8">
        <v>111011.0</v>
      </c>
      <c r="C16" s="9" t="str">
        <f>VLOOKUP(B16,'FML March 2026'!E:F,2,false)</f>
        <v>CARDAMOM POD GREEN TERRA SPICE</v>
      </c>
      <c r="D16" s="9" t="str">
        <f>VLOOKUP(B16,'Unit of Measure ship March 2026'!A:C,3,false)</f>
        <v>JR32/OZ</v>
      </c>
      <c r="F16" s="16">
        <v>110064.0</v>
      </c>
      <c r="G16" s="9" t="str">
        <f>VLOOKUP(F16,'FML March 2026'!E:F,2,false)</f>
        <v>CARROTS RAINBOW FRESH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8">
        <v>27418.0</v>
      </c>
      <c r="C17" s="9" t="str">
        <f>VLOOKUP(B17,'FML March 2026'!E:F,2,false)</f>
        <v>CHEESE, PARMIGIANO REGGIANO, DOP, QUARTERS, 18-20 LB EA, CHL, 2/1 EA</v>
      </c>
      <c r="D17" s="9" t="str">
        <f>VLOOKUP(B17,'Unit of Measure ship March 2026'!A:C,3,false)</f>
        <v>LBS</v>
      </c>
      <c r="F17" s="16">
        <v>15459.0</v>
      </c>
      <c r="G17" s="9" t="str">
        <f>VLOOKUP(F17,'FML March 2026'!E:F,2,false)</f>
        <v>CAULIFLOWER #1 CAL. 12 CT 25#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8">
        <v>111993.0</v>
      </c>
      <c r="C18" s="9" t="str">
        <f>VLOOKUP(B18,'FML March 2026'!E:F,2,false)</f>
        <v>CHILI GUINDILLA CHILI IN JUICE PICKLED</v>
      </c>
      <c r="D18" s="9" t="str">
        <f>VLOOKUP(B18,'Unit of Measure ship March 2026'!A:C,3,false)</f>
        <v>KG</v>
      </c>
      <c r="F18" s="16">
        <v>110917.0</v>
      </c>
      <c r="G18" s="9" t="str">
        <f>VLOOKUP(F18,'FML March 2026'!E:F,2,false)</f>
        <v>CAULIFLOWER ORANGE 12CT (28LB)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8">
        <v>16253.0</v>
      </c>
      <c r="C19" s="9" t="str">
        <f>VLOOKUP(B19,'FML March 2026'!E:F,2,false)</f>
        <v>CINNAMON GROUND</v>
      </c>
      <c r="D19" s="9" t="str">
        <f>VLOOKUP(B19,'Unit of Measure ship March 2026'!A:C,3,false)</f>
        <v>LBS</v>
      </c>
      <c r="F19" s="16">
        <v>110078.0</v>
      </c>
      <c r="G19" s="9" t="str">
        <f>VLOOKUP(F19,'FML March 2026'!E:F,2,false)</f>
        <v>CAULIFLOWER PURPLR FRESH</v>
      </c>
      <c r="H19" s="9" t="str">
        <f>VLOOKUP(F19,'Unit of Measure ship March 2026'!A:C,3,false)</f>
        <v>EA</v>
      </c>
      <c r="J19" s="49"/>
      <c r="K19" s="9"/>
      <c r="L19" s="9"/>
      <c r="N19" s="49"/>
      <c r="O19" s="9"/>
      <c r="P19" s="9"/>
    </row>
    <row r="20" ht="14.25" customHeight="1">
      <c r="B20" s="8">
        <v>16267.0</v>
      </c>
      <c r="C20" s="9" t="str">
        <f>VLOOKUP(B20,'FML March 2026'!E:F,2,false)</f>
        <v>CINNAMON STICKS BADIA (USA)</v>
      </c>
      <c r="D20" s="9" t="str">
        <f>VLOOKUP(B20,'Unit of Measure ship March 2026'!A:C,3,false)</f>
        <v>LBS</v>
      </c>
      <c r="F20" s="16">
        <v>15543.0</v>
      </c>
      <c r="G20" s="9" t="str">
        <f>VLOOKUP(F20,'FML March 2026'!E:F,2,false)</f>
        <v>CHERVIL, FRESH, 12BU 1 LB/CS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8">
        <v>16254.0</v>
      </c>
      <c r="C21" s="9" t="str">
        <f>VLOOKUP(B21,'FML March 2026'!E:F,2,false)</f>
        <v>CLOVES WHOLE D`ALLESANDRO/ SPICECO</v>
      </c>
      <c r="D21" s="9" t="str">
        <f>VLOOKUP(B21,'Unit of Measure ship March 2026'!A:C,3,false)</f>
        <v>LBS</v>
      </c>
      <c r="F21" s="16">
        <v>109753.0</v>
      </c>
      <c r="G21" s="9" t="str">
        <f>VLOOKUP(F21,'FML March 2026'!E:F,2,false)</f>
        <v>CHILI FRESNO FRESH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8">
        <v>16289.0</v>
      </c>
      <c r="C22" s="9" t="str">
        <f>VLOOKUP(B22,'FML March 2026'!E:F,2,false)</f>
        <v>CORIANDER GROUND BADIA (USA )</v>
      </c>
      <c r="D22" s="9" t="str">
        <f>VLOOKUP(B22,'Unit of Measure ship March 2026'!A:C,3,false)</f>
        <v>LBS</v>
      </c>
      <c r="F22" s="16">
        <v>35189.0</v>
      </c>
      <c r="G22" s="9" t="str">
        <f>VLOOKUP(F22,'FML March 2026'!E:F,2,false)</f>
        <v>CHILI PEPPERS GREEN FRESH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8">
        <v>16288.0</v>
      </c>
      <c r="C23" s="9" t="str">
        <f>VLOOKUP(B23,'FML March 2026'!E:F,2,false)</f>
        <v>CORIANDER WHOLE BADIA (USA )</v>
      </c>
      <c r="D23" s="9" t="str">
        <f>VLOOKUP(B23,'Unit of Measure ship March 2026'!A:C,3,false)</f>
        <v>LBS</v>
      </c>
      <c r="F23" s="16">
        <v>15438.0</v>
      </c>
      <c r="G23" s="9" t="str">
        <f>VLOOKUP(F23,'FML March 2026'!E:F,2,false)</f>
        <v>CHIVES (12 BUNCH), 1 LB/CS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16256.0</v>
      </c>
      <c r="C24" s="9" t="str">
        <f>VLOOKUP(B24,'FML March 2026'!E:F,2,false)</f>
        <v>CUMIN GROUND D`ALLESANDRO/ SPICECO (USA )</v>
      </c>
      <c r="D24" s="9" t="str">
        <f>VLOOKUP(B24,'Unit of Measure ship March 2026'!A:C,3,false)</f>
        <v>LBS</v>
      </c>
      <c r="F24" s="16">
        <v>15431.0</v>
      </c>
      <c r="G24" s="9" t="str">
        <f>VLOOKUP(F24,'FML March 2026'!E:F,2,false)</f>
        <v>CILANTRO (12 BUNCH) 1 LB/CS DOMESTIC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8">
        <v>16264.0</v>
      </c>
      <c r="C25" s="9" t="str">
        <f>VLOOKUP(B25,'FML March 2026'!E:F,2,false)</f>
        <v>CUMIN SEED WHOLE BADIA (USA )</v>
      </c>
      <c r="D25" s="9" t="str">
        <f>VLOOKUP(B25,'Unit of Measure ship March 2026'!A:C,3,false)</f>
        <v>LBS</v>
      </c>
      <c r="F25" s="16">
        <v>111175.0</v>
      </c>
      <c r="G25" s="9" t="str">
        <f>VLOOKUP(F25,'FML March 2026'!E:F,2,false)</f>
        <v>CILANTRO MICRO FRESH HARPKE FAMILY FARM PK/5 OZ PACKED IN 60 OZ SIZE CLAM SHELL</v>
      </c>
      <c r="H25" s="9" t="str">
        <f>VLOOKUP(F25,'Unit of Measure ship March 2026'!A:C,3,false)</f>
        <v>EA</v>
      </c>
      <c r="J25" s="49"/>
      <c r="K25" s="9"/>
      <c r="L25" s="9"/>
      <c r="N25" s="49"/>
      <c r="O25" s="9"/>
      <c r="P25" s="9"/>
    </row>
    <row r="26" ht="14.25" customHeight="1">
      <c r="B26" s="8">
        <v>16257.0</v>
      </c>
      <c r="C26" s="9" t="str">
        <f>VLOOKUP(B26,'FML March 2026'!E:F,2,false)</f>
        <v>CURRY POWDER BADIA (USA )</v>
      </c>
      <c r="D26" s="9" t="str">
        <f>VLOOKUP(B26,'Unit of Measure ship March 2026'!A:C,3,false)</f>
        <v>LBS</v>
      </c>
      <c r="F26" s="16">
        <v>109754.0</v>
      </c>
      <c r="G26" s="9" t="str">
        <f>VLOOKUP(F26,'FML March 2026'!E:F,2,false)</f>
        <v>CUCUMBER ENGLISH SEEDLESS, LARGE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17">
        <v>15027.0</v>
      </c>
      <c r="C27" s="9" t="str">
        <f>VLOOKUP(B27,'FML March 2026'!E:F,2,false)</f>
        <v>EGG YOLKS FROZEN NO SUGAR OR SALT ADDED 6/5 LB SUNNY FRESH/ DEBEL (USA)</v>
      </c>
      <c r="D27" s="9" t="str">
        <f>VLOOKUP(B27,'Unit of Measure ship March 2026'!A:C,3,false)</f>
        <v>LBS</v>
      </c>
      <c r="F27" s="16">
        <v>15462.0</v>
      </c>
      <c r="G27" s="9" t="str">
        <f>VLOOKUP(F27,'FML March 2026'!E:F,2,false)</f>
        <v>CUCUMBERS SEEDLESS LARGE, PLASTIC WRAPPED 13#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17">
        <v>15026.0</v>
      </c>
      <c r="C28" s="9" t="str">
        <f>VLOOKUP(B28,'FML March 2026'!E:F,2,false)</f>
        <v>EGGS, WHOLE, LIQUID, W/ CITRIC ACID, NO SUGAR, 1-5 LB/1-5 LT, FZN, 6/5 LB</v>
      </c>
      <c r="D28" s="9" t="str">
        <f>VLOOKUP(B28,'Unit of Measure ship March 2026'!A:C,3,false)</f>
        <v>LBS</v>
      </c>
      <c r="F28" s="16">
        <v>15433.0</v>
      </c>
      <c r="G28" s="9" t="str">
        <f>VLOOKUP(F28,'FML March 2026'!E:F,2,false)</f>
        <v>DILL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17">
        <v>16259.0</v>
      </c>
      <c r="C29" s="9" t="str">
        <f>VLOOKUP(B29,'FML March 2026'!E:F,2,false)</f>
        <v>FENNEL SEED WHOLE BADIA (USA )</v>
      </c>
      <c r="D29" s="9" t="str">
        <f>VLOOKUP(B29,'Unit of Measure ship March 2026'!A:C,3,false)</f>
        <v>LBS</v>
      </c>
      <c r="F29" s="16">
        <v>36433.0</v>
      </c>
      <c r="G29" s="9" t="str">
        <f>VLOOKUP(F29,'FML March 2026'!E:F,2,false)</f>
        <v>EGGPLANT JAPANESE 10#/CS</v>
      </c>
      <c r="H29" s="9" t="str">
        <f>VLOOKUP(F29,'Unit of Measure ship March 2026'!A:C,3,false)</f>
        <v>CS10/LBS</v>
      </c>
      <c r="J29" s="49"/>
      <c r="K29" s="9"/>
      <c r="L29" s="9"/>
      <c r="N29" s="49"/>
      <c r="O29" s="9"/>
      <c r="P29" s="9"/>
    </row>
    <row r="30" ht="14.25" customHeight="1">
      <c r="B30" s="17">
        <v>14990.0</v>
      </c>
      <c r="C30" s="9" t="str">
        <f>VLOOKUP(B30,'FML March 2026'!E:F,2,false)</f>
        <v>FETA, IN BRINE, TUB</v>
      </c>
      <c r="D30" s="9" t="str">
        <f>VLOOKUP(B30,'Unit of Measure ship March 2026'!A:C,3,false)</f>
        <v>LBS</v>
      </c>
      <c r="F30" s="16">
        <v>15464.0</v>
      </c>
      <c r="G30" s="9" t="str">
        <f>VLOOKUP(F30,'FML March 2026'!E:F,2,false)</f>
        <v>EGGPLANT MEDIUM, 225 - 300 MM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8">
        <v>111865.0</v>
      </c>
      <c r="C31" s="9" t="str">
        <f>VLOOKUP(B31,'FML March 2026'!E:F,2,false)</f>
        <v>FLOUR ALL PURPOSE SIR GALAHAD BAG50/LBS KING ARTHUR</v>
      </c>
      <c r="D31" s="9" t="str">
        <f>VLOOKUP(B31,'Unit of Measure ship March 2026'!A:C,3,false)</f>
        <v>LBS</v>
      </c>
      <c r="F31" s="16">
        <v>15547.0</v>
      </c>
      <c r="G31" s="9" t="str">
        <f>VLOOKUP(F31,'FML March 2026'!E:F,2,false)</f>
        <v>FENNEL FRESH CAL. 40#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8">
        <v>16261.0</v>
      </c>
      <c r="C32" s="9" t="str">
        <f>VLOOKUP(B32,'FML March 2026'!E:F,2,false)</f>
        <v>GINGER GROUND D`ALLESANDRO/ SPICECO</v>
      </c>
      <c r="D32" s="9" t="str">
        <f>VLOOKUP(B32,'Unit of Measure ship March 2026'!A:C,3,false)</f>
        <v>LBS</v>
      </c>
      <c r="F32" s="16">
        <v>15466.0</v>
      </c>
      <c r="G32" s="9" t="str">
        <f>VLOOKUP(F32,'FML March 2026'!E:F,2,false)</f>
        <v>GARLIC CRATE JUMBO 30# 8 CT</v>
      </c>
      <c r="H32" s="9" t="str">
        <f>VLOOKUP(F32,'Unit of Measure ship March 2026'!A:C,3,false)</f>
        <v>LBS</v>
      </c>
      <c r="J32" s="49"/>
      <c r="K32" s="9"/>
      <c r="L32" s="9"/>
      <c r="N32" s="49"/>
      <c r="O32" s="9"/>
      <c r="P32" s="9"/>
    </row>
    <row r="33" ht="14.25" customHeight="1">
      <c r="B33" s="8">
        <v>112068.0</v>
      </c>
      <c r="C33" s="9" t="str">
        <f>VLOOKUP(B33,'FML March 2026'!E:F,2,false)</f>
        <v>GOAT CHEESE  CHEFS CHEVRE CS 2/4 LB LAUR CHENEL</v>
      </c>
      <c r="D33" s="9" t="str">
        <f>VLOOKUP(B33,'Unit of Measure ship March 2026'!A:C,3,false)</f>
        <v>LBS</v>
      </c>
      <c r="F33" s="16">
        <v>30639.0</v>
      </c>
      <c r="G33" s="9" t="str">
        <f>VLOOKUP(F33,'FML March 2026'!E:F,2,false)</f>
        <v>GARLIC PEELED</v>
      </c>
      <c r="H33" s="9" t="str">
        <f>VLOOKUP(F33,'Unit of Measure ship March 2026'!A:C,3,false)</f>
        <v>LBS</v>
      </c>
      <c r="J33" s="49"/>
      <c r="K33" s="9"/>
      <c r="L33" s="9"/>
      <c r="N33" s="49"/>
      <c r="O33" s="9"/>
      <c r="P33" s="9"/>
    </row>
    <row r="34" ht="14.25" customHeight="1">
      <c r="B34" s="8">
        <v>110879.0</v>
      </c>
      <c r="C34" s="9" t="str">
        <f>VLOOKUP(B34,'FML March 2026'!E:F,2,false)</f>
        <v>GOCHUJANG PASTE SEMPIO</v>
      </c>
      <c r="D34" s="9" t="str">
        <f>VLOOKUP(B34,'Unit of Measure ship March 2026'!A:C,3,false)</f>
        <v>PKG1/KG</v>
      </c>
      <c r="F34" s="16">
        <v>38392.0</v>
      </c>
      <c r="G34" s="9" t="str">
        <f>VLOOKUP(F34,'FML March 2026'!E:F,2,false)</f>
        <v>GINGER FRESH</v>
      </c>
      <c r="H34" s="9" t="str">
        <f>VLOOKUP(F34,'Unit of Measure ship March 2026'!A:C,3,false)</f>
        <v>LBS</v>
      </c>
      <c r="J34" s="49"/>
      <c r="K34" s="9"/>
      <c r="L34" s="9"/>
      <c r="N34" s="49"/>
      <c r="O34" s="9"/>
      <c r="P34" s="9"/>
    </row>
    <row r="35" ht="14.25" customHeight="1">
      <c r="B35" s="31">
        <v>101778.0</v>
      </c>
      <c r="C35" s="9" t="str">
        <f>VLOOKUP(B35,'FML March 2026'!E:F,2,false)</f>
        <v>HAZELNUT WHOLE BLANCHED</v>
      </c>
      <c r="D35" s="9" t="str">
        <f>VLOOKUP(B35,'Unit of Measure ship March 2026'!A:C,3,false)</f>
        <v>LBS</v>
      </c>
      <c r="F35" s="16">
        <v>15471.0</v>
      </c>
      <c r="G35" s="9" t="str">
        <f>VLOOKUP(F35,'FML March 2026'!E:F,2,false)</f>
        <v>LEEKS LARGE FRESH 12 BU 15#</v>
      </c>
      <c r="H35" s="9" t="str">
        <f>VLOOKUP(F35,'Unit of Measure ship March 2026'!A:C,3,false)</f>
        <v>LBS</v>
      </c>
      <c r="J35" s="49"/>
      <c r="K35" s="9"/>
      <c r="L35" s="9"/>
      <c r="O35" s="9"/>
      <c r="P35" s="9"/>
    </row>
    <row r="36" ht="14.25" customHeight="1">
      <c r="B36" s="8">
        <v>15658.0</v>
      </c>
      <c r="C36" s="9" t="str">
        <f>VLOOKUP(B36,'FML March 2026'!E:F,2,false)</f>
        <v>HONEY 6/5 LB GROEB/MELONIA/SWEET HARVEST</v>
      </c>
      <c r="D36" s="9" t="str">
        <f>VLOOKUP(B36,'Unit of Measure ship March 2026'!A:C,3,false)</f>
        <v>KG</v>
      </c>
      <c r="F36" s="16">
        <v>15478.0</v>
      </c>
      <c r="G36" s="9" t="str">
        <f>VLOOKUP(F36,'FML March 2026'!E:F,2,false)</f>
        <v>LEMONGRASS 12 STICKS/BUNCH 1#/BUNCH</v>
      </c>
      <c r="H36" s="9" t="str">
        <f>VLOOKUP(F36,'Unit of Measure ship March 2026'!A:C,3,false)</f>
        <v>LBS</v>
      </c>
      <c r="J36" s="149"/>
      <c r="K36" s="9"/>
      <c r="L36" s="9"/>
      <c r="O36" s="9"/>
      <c r="P36" s="9"/>
    </row>
    <row r="37" ht="14.25" customHeight="1">
      <c r="B37" s="8">
        <v>109667.0</v>
      </c>
      <c r="C37" s="9" t="str">
        <f>VLOOKUP(B37,'FML March 2026'!E:F,2,false)</f>
        <v>MAYONNAISE, UNILEVER - HELLMANN'S, 4800126530, DRY, 4/1 GAL</v>
      </c>
      <c r="D37" s="9" t="str">
        <f>VLOOKUP(B37,'Unit of Measure ship March 2026'!A:C,3,false)</f>
        <v>GAL</v>
      </c>
      <c r="F37" s="16">
        <v>15397.0</v>
      </c>
      <c r="G37" s="9" t="str">
        <f>VLOOKUP(F37,'FML March 2026'!E:F,2,false)</f>
        <v>LEMONS FRESH FIRM FANCY CALIF. SUNKIST #1 200CT 40#</v>
      </c>
      <c r="H37" s="9" t="str">
        <f>VLOOKUP(F37,'Unit of Measure ship March 2026'!A:C,3,false)</f>
        <v>LBS</v>
      </c>
      <c r="J37" s="149"/>
      <c r="K37" s="9"/>
      <c r="L37" s="9"/>
      <c r="O37" s="9"/>
      <c r="P37" s="9"/>
    </row>
    <row r="38" ht="14.25" customHeight="1">
      <c r="B38" s="8">
        <v>16948.0</v>
      </c>
      <c r="C38" s="9" t="str">
        <f>VLOOKUP(B38,'FML March 2026'!E:F,2,false)</f>
        <v>MISO PASTE WHITE, TUB</v>
      </c>
      <c r="D38" s="9" t="str">
        <f>VLOOKUP(B38,'Unit of Measure ship March 2026'!A:C,3,false)</f>
        <v>PC/2.2LB</v>
      </c>
      <c r="F38" s="16">
        <v>111049.0</v>
      </c>
      <c r="G38" s="9" t="str">
        <f>VLOOKUP(F38,'FML March 2026'!E:F,2,false)</f>
        <v>LETTUCE BABY GEM FRESH CS24/CT</v>
      </c>
      <c r="H38" s="9" t="str">
        <f>VLOOKUP(F38,'Unit of Measure ship March 2026'!A:C,3,false)</f>
        <v>LBS</v>
      </c>
      <c r="J38" s="149"/>
      <c r="K38" s="9"/>
      <c r="L38" s="9"/>
      <c r="O38" s="9"/>
      <c r="P38" s="9"/>
    </row>
    <row r="39" ht="14.25" customHeight="1">
      <c r="B39" s="8">
        <v>111702.0</v>
      </c>
      <c r="C39" s="9" t="str">
        <f>VLOOKUP(B39,'FML March 2026'!E:F,2,false)</f>
        <v>MOLASSES POMEGRANATE CS12/10OZ AL WADI</v>
      </c>
      <c r="D39" s="9" t="str">
        <f>VLOOKUP(B39,'Unit of Measure ship March 2026'!A:C,3,false)</f>
        <v>LBS</v>
      </c>
      <c r="F39" s="16">
        <v>15489.0</v>
      </c>
      <c r="G39" s="9" t="str">
        <f>VLOOKUP(F39,'FML March 2026'!E:F,2,false)</f>
        <v>LETTUCE ROMAINE, CAL., CRISP 24HD 38#</v>
      </c>
      <c r="H39" s="9" t="str">
        <f>VLOOKUP(F39,'Unit of Measure ship March 2026'!A:C,3,false)</f>
        <v>LBS</v>
      </c>
      <c r="J39" s="149"/>
      <c r="K39" s="9"/>
      <c r="L39" s="9"/>
      <c r="N39" s="49"/>
      <c r="O39" s="9"/>
      <c r="P39" s="9"/>
    </row>
    <row r="40" ht="14.25" customHeight="1">
      <c r="B40" s="8">
        <v>16426.0</v>
      </c>
      <c r="C40" s="9" t="str">
        <f>VLOOKUP(B40,'FML March 2026'!E:F,2,false)</f>
        <v>MUSTARD  TUB GREY POUPON - DIJON MUSTARD PLAIN (FRANCE)</v>
      </c>
      <c r="D40" s="9" t="str">
        <f>VLOOKUP(B40,'Unit of Measure ship March 2026'!A:C,3,false)</f>
        <v>JAR/48OZ</v>
      </c>
      <c r="F40" s="16">
        <v>15623.0</v>
      </c>
      <c r="G40" s="9" t="str">
        <f>VLOOKUP(F40,'FML March 2026'!E:F,2,false)</f>
        <v>LETTUCE, MESCLUN  3#/CS</v>
      </c>
      <c r="H40" s="9" t="str">
        <f>VLOOKUP(F40,'Unit of Measure ship March 2026'!A:C,3,false)</f>
        <v>LBS</v>
      </c>
      <c r="J40" s="149"/>
      <c r="K40" s="9"/>
      <c r="L40" s="9"/>
      <c r="N40" s="101"/>
      <c r="O40" s="9"/>
      <c r="P40" s="9"/>
    </row>
    <row r="41" ht="14.25" customHeight="1">
      <c r="B41" s="8">
        <v>16320.0</v>
      </c>
      <c r="C41" s="9" t="str">
        <f>VLOOKUP(B41,'FML March 2026'!E:F,2,false)</f>
        <v>MUSTARD SEED 24 OZ D`ALLESANDRO/ SPICECO</v>
      </c>
      <c r="D41" s="9" t="str">
        <f>VLOOKUP(B41,'Unit of Measure ship March 2026'!A:C,3,false)</f>
        <v>LBS</v>
      </c>
      <c r="F41" s="16">
        <v>15399.0</v>
      </c>
      <c r="G41" s="9" t="str">
        <f>VLOOKUP(F41,'FML March 2026'!E:F,2,false)</f>
        <v>LIMES, FRESH, FIRM #1 200CT 40#</v>
      </c>
      <c r="H41" s="9" t="str">
        <f>VLOOKUP(F41,'Unit of Measure ship March 2026'!A:C,3,false)</f>
        <v>LBS</v>
      </c>
      <c r="J41" s="149"/>
      <c r="K41" s="9"/>
      <c r="L41" s="9"/>
      <c r="N41" s="101"/>
      <c r="O41" s="9"/>
      <c r="P41" s="9"/>
    </row>
    <row r="42" ht="14.25" customHeight="1">
      <c r="B42" s="8">
        <v>16266.0</v>
      </c>
      <c r="C42" s="9" t="str">
        <f>VLOOKUP(B42,'FML March 2026'!E:F,2,false)</f>
        <v>NUTMEG GROUND D`ALLESANDRO/ SPICECO (USA)</v>
      </c>
      <c r="D42" s="9" t="str">
        <f>VLOOKUP(B42,'Unit of Measure ship March 2026'!A:C,3,false)</f>
        <v>UNIT/1LB</v>
      </c>
      <c r="F42" s="16">
        <v>110068.0</v>
      </c>
      <c r="G42" s="9" t="str">
        <f>VLOOKUP(F42,'FML March 2026'!E:F,2,false)</f>
        <v>MAITAKE MUSHROOM FRESH</v>
      </c>
      <c r="H42" s="9" t="str">
        <f>VLOOKUP(F42,'Unit of Measure ship March 2026'!A:C,3,false)</f>
        <v>LBS</v>
      </c>
      <c r="J42" s="149"/>
      <c r="K42" s="9"/>
      <c r="L42" s="9"/>
      <c r="N42" s="101"/>
      <c r="O42" s="9"/>
      <c r="P42" s="9"/>
    </row>
    <row r="43" ht="14.25" customHeight="1">
      <c r="B43" s="53">
        <v>52602.0</v>
      </c>
      <c r="C43" s="9" t="str">
        <f>VLOOKUP(B43,'FML March 2026'!E:F,2,false)</f>
        <v>OIL, 100% OLIVE, EXTRA VIRGIN, DRY, 4/5 LT</v>
      </c>
      <c r="D43" s="9" t="str">
        <f>VLOOKUP(B43,'Unit of Measure ship March 2026'!A:C,3,false)</f>
        <v>LT</v>
      </c>
      <c r="F43" s="16">
        <v>111180.0</v>
      </c>
      <c r="G43" s="9" t="str">
        <f>VLOOKUP(F43,'FML March 2026'!E:F,2,false)</f>
        <v>MICRO GREENS BASIL FRESH HARPKE FAMILY FARMS - PK/5 OZ PACKED IN 60 OZ CLAM SHELL SIZE</v>
      </c>
      <c r="H43" s="9" t="str">
        <f>VLOOKUP(F43,'Unit of Measure ship March 2026'!A:C,3,false)</f>
        <v>EA</v>
      </c>
      <c r="J43" s="149"/>
      <c r="K43" s="9"/>
      <c r="L43" s="9"/>
      <c r="N43" s="101"/>
      <c r="O43" s="9"/>
      <c r="P43" s="9"/>
    </row>
    <row r="44" ht="14.25" customHeight="1">
      <c r="B44" s="8">
        <v>16377.0</v>
      </c>
      <c r="C44" s="9" t="str">
        <f>VLOOKUP(B44,'FML March 2026'!E:F,2,false)</f>
        <v>OIL, 100% VEGETABLE SOYBEAN, DRY, 4/5 LT</v>
      </c>
      <c r="D44" s="9" t="str">
        <f>VLOOKUP(B44,'Unit of Measure ship March 2026'!A:C,3,false)</f>
        <v>C4/5LT</v>
      </c>
      <c r="F44" s="16">
        <v>15436.0</v>
      </c>
      <c r="G44" s="9" t="str">
        <f>VLOOKUP(F44,'FML March 2026'!E:F,2,false)</f>
        <v>MINT (12 BUNCH), 1 LB/CS</v>
      </c>
      <c r="H44" s="9" t="str">
        <f>VLOOKUP(F44,'Unit of Measure ship March 2026'!A:C,3,false)</f>
        <v>LBS</v>
      </c>
      <c r="J44" s="149"/>
      <c r="K44" s="9"/>
      <c r="L44" s="9"/>
      <c r="N44" s="101"/>
      <c r="O44" s="9"/>
      <c r="P44" s="9"/>
    </row>
    <row r="45" ht="14.25" customHeight="1">
      <c r="B45" s="17">
        <v>18644.0</v>
      </c>
      <c r="C45" s="9" t="str">
        <f>VLOOKUP(B45,'FML March 2026'!E:F,2,false)</f>
        <v>OLD BAY SEASONING 16 OZ MC CORMICK</v>
      </c>
      <c r="D45" s="9" t="str">
        <f>VLOOKUP(B45,'Unit of Measure ship March 2026'!A:C,3,false)</f>
        <v>TIN16/OZ</v>
      </c>
      <c r="F45" s="16">
        <v>111046.0</v>
      </c>
      <c r="G45" s="9" t="str">
        <f>VLOOKUP(F45,'FML March 2026'!E:F,2,false)</f>
        <v>MUSHROOM HON SHIMEJII BROIWNFRESH CS3/LB</v>
      </c>
      <c r="H45" s="9" t="str">
        <f>VLOOKUP(F45,'Unit of Measure ship March 2026'!A:C,3,false)</f>
        <v>LBS</v>
      </c>
      <c r="J45" s="149"/>
      <c r="K45" s="9"/>
      <c r="L45" s="9"/>
      <c r="N45" s="101"/>
      <c r="O45" s="9"/>
      <c r="P45" s="9"/>
    </row>
    <row r="46" ht="14.25" customHeight="1">
      <c r="B46" s="17">
        <v>52603.0</v>
      </c>
      <c r="C46" s="9" t="str">
        <f>VLOOKUP(B46,'FML March 2026'!E:F,2,false)</f>
        <v>OLIVE/CANOLA BLEND OIL</v>
      </c>
      <c r="D46" s="9" t="str">
        <f>VLOOKUP(B46,'Unit of Measure ship March 2026'!A:C,3,false)</f>
        <v>LT</v>
      </c>
      <c r="F46" s="16">
        <v>15551.0</v>
      </c>
      <c r="G46" s="9" t="str">
        <f>VLOOKUP(F46,'FML March 2026'!E:F,2,false)</f>
        <v>MUSHROOMS PORTOBELLO FRESH</v>
      </c>
      <c r="H46" s="9" t="str">
        <f>VLOOKUP(F46,'Unit of Measure ship March 2026'!A:C,3,false)</f>
        <v>LBS</v>
      </c>
      <c r="J46" s="149"/>
      <c r="K46" s="9"/>
      <c r="L46" s="9"/>
      <c r="N46" s="149"/>
      <c r="O46" s="9"/>
      <c r="P46" s="9"/>
    </row>
    <row r="47" ht="14.25" customHeight="1">
      <c r="B47" s="8">
        <v>111123.0</v>
      </c>
      <c r="C47" s="9" t="str">
        <f>VLOOKUP(B47,'FML March 2026'!E:F,2,false)</f>
        <v>OLIVES  PITTED CASTELVETRANO</v>
      </c>
      <c r="D47" s="9" t="str">
        <f>VLOOKUP(B47,'Unit of Measure ship March 2026'!A:C,3,false)</f>
        <v>LBS</v>
      </c>
      <c r="F47" s="16">
        <v>15556.0</v>
      </c>
      <c r="G47" s="9" t="str">
        <f>VLOOKUP(F47,'FML March 2026'!E:F,2,false)</f>
        <v>MUSHROOMS SHIITAKE  FRESH NO 1</v>
      </c>
      <c r="H47" s="9" t="str">
        <f>VLOOKUP(F47,'Unit of Measure ship March 2026'!A:C,3,false)</f>
        <v>LBS</v>
      </c>
      <c r="J47" s="149"/>
      <c r="K47" s="9"/>
      <c r="L47" s="9"/>
    </row>
    <row r="48" ht="14.25" customHeight="1">
      <c r="B48" s="17">
        <v>16431.0</v>
      </c>
      <c r="C48" s="9" t="str">
        <f>VLOOKUP(B48,'FML March 2026'!E:F,2,false)</f>
        <v>OLIVES KALAMATA PITTED AMBROSIA 16122 (8X5) (TURKEY)</v>
      </c>
      <c r="D48" s="9" t="str">
        <f>VLOOKUP(B48,'Unit of Measure ship March 2026'!A:C,3,false)</f>
        <v>CAN/2KG</v>
      </c>
      <c r="F48" s="16">
        <v>31638.0</v>
      </c>
      <c r="G48" s="9" t="str">
        <f>VLOOKUP(F48,'FML March 2026'!E:F,2,false)</f>
        <v>MUSHROOMS, FRESH WHITE, 8 OZ CELLO PACK</v>
      </c>
      <c r="H48" s="9" t="str">
        <f>VLOOKUP(F48,'Unit of Measure ship March 2026'!A:C,3,false)</f>
        <v>LBS</v>
      </c>
      <c r="J48" s="149"/>
      <c r="K48" s="9"/>
      <c r="L48" s="9"/>
    </row>
    <row r="49" ht="15.75" customHeight="1">
      <c r="B49" s="8">
        <v>41451.0</v>
      </c>
      <c r="C49" s="9" t="str">
        <f>VLOOKUP(B49,'FML March 2026'!E:F,2,false)</f>
        <v>OLIVES QUEEN STUFFED 100/110CT 4/1GALLON PREMIUM/ DEL DESTINO</v>
      </c>
      <c r="D49" s="9" t="str">
        <f>VLOOKUP(B49,'Unit of Measure ship March 2026'!A:C,3,false)</f>
        <v>GAL</v>
      </c>
      <c r="F49" s="16">
        <v>15496.0</v>
      </c>
      <c r="G49" s="9" t="str">
        <f>VLOOKUP(F49,'FML March 2026'!E:F,2,false)</f>
        <v>ONIONS RED, MEDIUM 25#</v>
      </c>
      <c r="H49" s="9" t="str">
        <f>VLOOKUP(F49,'Unit of Measure ship March 2026'!A:C,3,false)</f>
        <v>LBS</v>
      </c>
    </row>
    <row r="50" ht="15.75" customHeight="1">
      <c r="B50" s="8">
        <v>16268.0</v>
      </c>
      <c r="C50" s="9" t="str">
        <f>VLOOKUP(B50,'FML March 2026'!E:F,2,false)</f>
        <v>OREGANO LEAVES WHOLE D`ALLESANDRO/ SPICECO</v>
      </c>
      <c r="D50" s="9" t="str">
        <f>VLOOKUP(B50,'Unit of Measure ship March 2026'!A:C,3,false)</f>
        <v>PC/5OZ</v>
      </c>
      <c r="F50" s="16">
        <v>15497.0</v>
      </c>
      <c r="G50" s="9" t="str">
        <f>VLOOKUP(F50,'FML March 2026'!E:F,2,false)</f>
        <v>ONIONS, YELLOW, MEDIUM, SPANISH #1, 50#</v>
      </c>
      <c r="H50" s="9" t="str">
        <f>VLOOKUP(F50,'Unit of Measure ship March 2026'!A:C,3,false)</f>
        <v>LBS</v>
      </c>
    </row>
    <row r="51" ht="15.75" customHeight="1">
      <c r="B51" s="17">
        <v>109697.0</v>
      </c>
      <c r="C51" s="9" t="str">
        <f>VLOOKUP(B51,'FML March 2026'!E:F,2,false)</f>
        <v>PAPRIKA SMOKED PKG 26.46  OZ LA CHINATA</v>
      </c>
      <c r="D51" s="9" t="str">
        <f>VLOOKUP(B51,'Unit of Measure ship March 2026'!A:C,3,false)</f>
        <v>KG</v>
      </c>
      <c r="F51" s="16">
        <v>15408.0</v>
      </c>
      <c r="G51" s="9" t="str">
        <f>VLOOKUP(F51,'FML March 2026'!E:F,2,false)</f>
        <v>ORANGES CAL. SUNKIST FANCY, VALENCIA NAVEL,88CT 40#</v>
      </c>
      <c r="H51" s="9" t="str">
        <f>VLOOKUP(F51,'Unit of Measure ship March 2026'!A:C,3,false)</f>
        <v>LBS</v>
      </c>
    </row>
    <row r="52" ht="15.75" customHeight="1">
      <c r="B52" s="8">
        <v>108553.0</v>
      </c>
      <c r="C52" s="9" t="str">
        <f>VLOOKUP(B52,'FML March 2026'!E:F,2,false)</f>
        <v>PEPPER ARBOL  D'ALLESANDRO CS/5LB</v>
      </c>
      <c r="D52" s="9" t="str">
        <f>VLOOKUP(B52,'Unit of Measure ship March 2026'!A:C,3,false)</f>
        <v>KG</v>
      </c>
      <c r="F52" s="16">
        <v>15447.0</v>
      </c>
      <c r="G52" s="9" t="str">
        <f>VLOOKUP(F52,'FML March 2026'!E:F,2,false)</f>
        <v>OREGANO FRESH</v>
      </c>
      <c r="H52" s="9" t="str">
        <f>VLOOKUP(F52,'Unit of Measure ship March 2026'!A:C,3,false)</f>
        <v>LBS</v>
      </c>
    </row>
    <row r="53" ht="15.75" customHeight="1">
      <c r="B53" s="17">
        <v>33681.0</v>
      </c>
      <c r="C53" s="9" t="str">
        <f>VLOOKUP(B53,'FML March 2026'!E:F,2,false)</f>
        <v>PEPPER BLACK GROUND BADIA (USA )</v>
      </c>
      <c r="D53" s="9" t="str">
        <f>VLOOKUP(B53,'Unit of Measure ship March 2026'!A:C,3,false)</f>
        <v>LBS</v>
      </c>
      <c r="F53" s="16">
        <v>15500.0</v>
      </c>
      <c r="G53" s="9" t="str">
        <f>VLOOKUP(F53,'FML March 2026'!E:F,2,false)</f>
        <v>PARSLEY ITALIAN,  20#/CS</v>
      </c>
      <c r="H53" s="9" t="str">
        <f>VLOOKUP(F53,'Unit of Measure ship March 2026'!A:C,3,false)</f>
        <v>LBS</v>
      </c>
    </row>
    <row r="54" ht="15.75" customHeight="1">
      <c r="B54" s="8">
        <v>77928.0</v>
      </c>
      <c r="C54" s="9" t="str">
        <f>VLOOKUP(B54,'FML March 2026'!E:F,2,false)</f>
        <v>PEPPER PEPPADEW RED CHERRY PEPPER WHOLE SWEET PIQUANTE 2/6.5 LB</v>
      </c>
      <c r="D54" s="9" t="str">
        <f>VLOOKUP(B54,'Unit of Measure ship March 2026'!A:C,3,false)</f>
        <v>CN/6.5LB</v>
      </c>
      <c r="F54" s="16">
        <v>15501.0</v>
      </c>
      <c r="G54" s="9" t="str">
        <f>VLOOKUP(F54,'FML March 2026'!E:F,2,false)</f>
        <v>PEPPERS GREEN, MEDIUM, CHOICE, 88-100 MM</v>
      </c>
      <c r="H54" s="9" t="str">
        <f>VLOOKUP(F54,'Unit of Measure ship March 2026'!A:C,3,false)</f>
        <v>LBS</v>
      </c>
    </row>
    <row r="55" ht="15.75" customHeight="1">
      <c r="B55" s="8">
        <v>16305.0</v>
      </c>
      <c r="C55" s="9" t="str">
        <f>VLOOKUP(B55,'FML March 2026'!E:F,2,false)</f>
        <v>PEPPERCORN WHITE WHOLE D`ALLESANDRO/ SPICECO</v>
      </c>
      <c r="D55" s="9" t="str">
        <f>VLOOKUP(B55,'Unit of Measure ship March 2026'!A:C,3,false)</f>
        <v>LBS</v>
      </c>
      <c r="F55" s="16">
        <v>15504.0</v>
      </c>
      <c r="G55" s="9" t="str">
        <f>VLOOKUP(F55,'FML March 2026'!E:F,2,false)</f>
        <v>PEPPERS HOT, JALAPENOS 10#</v>
      </c>
      <c r="H55" s="9" t="str">
        <f>VLOOKUP(F55,'Unit of Measure ship March 2026'!A:C,3,false)</f>
        <v>LBS</v>
      </c>
    </row>
    <row r="56" ht="15.75" customHeight="1">
      <c r="B56" s="17">
        <v>16285.0</v>
      </c>
      <c r="C56" s="9" t="str">
        <f>VLOOKUP(B56,'FML March 2026'!E:F,2,false)</f>
        <v>PEPPERCORN, BLACK, WHOLE, DRY, 6/420 G</v>
      </c>
      <c r="D56" s="9" t="str">
        <f>VLOOKUP(B56,'Unit of Measure ship March 2026'!A:C,3,false)</f>
        <v>LBS</v>
      </c>
      <c r="F56" s="16">
        <v>15502.0</v>
      </c>
      <c r="G56" s="9" t="str">
        <f>VLOOKUP(F56,'FML March 2026'!E:F,2,false)</f>
        <v>PEPPERS RED, MEDIUM, 88-100 MM</v>
      </c>
      <c r="H56" s="9" t="str">
        <f>VLOOKUP(F56,'Unit of Measure ship March 2026'!A:C,3,false)</f>
        <v>LBS</v>
      </c>
    </row>
    <row r="57" ht="15.75" customHeight="1">
      <c r="B57" s="8">
        <v>109679.0</v>
      </c>
      <c r="C57" s="9" t="str">
        <f>VLOOKUP(B57,'FML March 2026'!E:F,2,false)</f>
        <v>PICHOLINE OLIVES BEL ARIA</v>
      </c>
      <c r="D57" s="9" t="str">
        <f>VLOOKUP(B57,'Unit of Measure ship March 2026'!A:C,3,false)</f>
        <v>GAL</v>
      </c>
      <c r="F57" s="16">
        <v>15577.0</v>
      </c>
      <c r="G57" s="9" t="str">
        <f>VLOOKUP(F57,'FML March 2026'!E:F,2,false)</f>
        <v>PEPPERS YELLOW, MEDIUM, 88-100 MM</v>
      </c>
      <c r="H57" s="9" t="str">
        <f>VLOOKUP(F57,'Unit of Measure ship March 2026'!A:C,3,false)</f>
        <v>LBS</v>
      </c>
    </row>
    <row r="58" ht="15.75" customHeight="1">
      <c r="B58" s="8">
        <v>109709.0</v>
      </c>
      <c r="C58" s="9" t="str">
        <f>VLOOKUP(B58,'FML March 2026'!E:F,2,false)</f>
        <v>PIERRE POIVRE PEPPER (LA BOITE A EPICE BRAND)</v>
      </c>
      <c r="D58" s="9" t="str">
        <f>VLOOKUP(B58,'Unit of Measure ship March 2026'!A:C,3,false)</f>
        <v>UNT/16OZ</v>
      </c>
      <c r="F58" s="16">
        <v>108577.0</v>
      </c>
      <c r="G58" s="9" t="str">
        <f>VLOOKUP(F58,'FML March 2026'!E:F,2,false)</f>
        <v>PINEAPPLES, CROWNLESS, GOLD, FRESH</v>
      </c>
      <c r="H58" s="9" t="str">
        <f>VLOOKUP(F58,'Unit of Measure ship March 2026'!A:C,3,false)</f>
        <v>LBS</v>
      </c>
    </row>
    <row r="59" ht="15.75" customHeight="1">
      <c r="B59" s="8">
        <v>53666.0</v>
      </c>
      <c r="C59" s="9" t="str">
        <f>VLOOKUP(B59,'FML March 2026'!E:F,2,false)</f>
        <v>PIQUILLO PIMIENTOS WHOLE ROASTED &amp; PEELED 6/#10</v>
      </c>
      <c r="D59" s="9" t="str">
        <f>VLOOKUP(B59,'Unit of Measure ship March 2026'!A:C,3,false)</f>
        <v>CAN/3KG</v>
      </c>
      <c r="F59" s="16">
        <v>15316.0</v>
      </c>
      <c r="G59" s="9" t="str">
        <f>VLOOKUP(F59,'FML March 2026'!E:F,2,false)</f>
        <v>POMEGRANATE 20-35 CT. 22#</v>
      </c>
      <c r="H59" s="9" t="str">
        <f>VLOOKUP(F59,'Unit of Measure ship March 2026'!A:C,3,false)</f>
        <v>LBS</v>
      </c>
    </row>
    <row r="60" ht="15.75" customHeight="1">
      <c r="B60" s="17">
        <v>15894.0</v>
      </c>
      <c r="C60" s="9" t="str">
        <f>VLOOKUP(B60,'FML March 2026'!E:F,2,false)</f>
        <v>PISTACHIO NUTS WHOLE SHELLED RAW NUTLAND</v>
      </c>
      <c r="D60" s="9" t="str">
        <f>VLOOKUP(B60,'Unit of Measure ship March 2026'!A:C,3,false)</f>
        <v>LBS</v>
      </c>
      <c r="F60" s="16">
        <v>15513.0</v>
      </c>
      <c r="G60" s="9" t="str">
        <f>VLOOKUP(F60,'FML March 2026'!E:F,2,false)</f>
        <v>POTATOES CHEF (BAG) 50#</v>
      </c>
      <c r="H60" s="9" t="str">
        <f>VLOOKUP(F60,'Unit of Measure ship March 2026'!A:C,3,false)</f>
        <v>LBS</v>
      </c>
    </row>
    <row r="61" ht="15.75" customHeight="1">
      <c r="B61" s="17">
        <v>16245.0</v>
      </c>
      <c r="C61" s="9" t="str">
        <f>VLOOKUP(B61,'FML March 2026'!E:F,2,false)</f>
        <v>POLENTA MEDIUM</v>
      </c>
      <c r="D61" s="9" t="str">
        <f>VLOOKUP(B61,'Unit of Measure ship March 2026'!A:C,3,false)</f>
        <v>LBS</v>
      </c>
      <c r="F61" s="16">
        <v>110065.0</v>
      </c>
      <c r="G61" s="9" t="str">
        <f>VLOOKUP(F61,'FML March 2026'!E:F,2,false)</f>
        <v>RADISH WATERMELON</v>
      </c>
      <c r="H61" s="9" t="str">
        <f>VLOOKUP(F61,'Unit of Measure ship March 2026'!A:C,3,false)</f>
        <v>LBS</v>
      </c>
    </row>
    <row r="62" ht="15.75" customHeight="1">
      <c r="B62" s="17">
        <v>15897.0</v>
      </c>
      <c r="C62" s="9" t="str">
        <f>VLOOKUP(B62,'FML March 2026'!E:F,2,false)</f>
        <v>PUMPKIN SEEDS WHOLE SHELLED RAW 10 LB HIALEAH/ D`ALLESANDRO</v>
      </c>
      <c r="D62" s="9" t="str">
        <f>VLOOKUP(B62,'Unit of Measure ship March 2026'!A:C,3,false)</f>
        <v>LBS</v>
      </c>
      <c r="F62" s="16">
        <v>15518.0</v>
      </c>
      <c r="G62" s="9" t="str">
        <f>VLOOKUP(F62,'FML March 2026'!E:F,2,false)</f>
        <v>RADISHES, FRESH, BULK 40#</v>
      </c>
      <c r="H62" s="9" t="str">
        <f>VLOOKUP(F62,'Unit of Measure ship March 2026'!A:C,3,false)</f>
        <v>LBS</v>
      </c>
    </row>
    <row r="63" ht="15.75" customHeight="1">
      <c r="B63" s="8">
        <v>16946.0</v>
      </c>
      <c r="C63" s="9" t="str">
        <f>VLOOKUP(B63,'FML March 2026'!E:F,2,false)</f>
        <v>QUINOA WHITE</v>
      </c>
      <c r="D63" s="9" t="str">
        <f>VLOOKUP(B63,'Unit of Measure ship March 2026'!A:C,3,false)</f>
        <v>PC/12OZ</v>
      </c>
      <c r="F63" s="16">
        <v>11838.0</v>
      </c>
      <c r="G63" s="9" t="str">
        <f>VLOOKUP(F63,'FML March 2026'!E:F,2,false)</f>
        <v>ROMANESCO FRESH</v>
      </c>
      <c r="H63" s="9" t="str">
        <f>VLOOKUP(F63,'Unit of Measure ship March 2026'!A:C,3,false)</f>
        <v>LBS</v>
      </c>
    </row>
    <row r="64" ht="15.75" customHeight="1">
      <c r="B64" s="8">
        <v>16276.0</v>
      </c>
      <c r="C64" s="9" t="str">
        <f>VLOOKUP(B64,'FML March 2026'!E:F,2,false)</f>
        <v>ROSEMARY WHOLE 8 OZ BADIA (USA )</v>
      </c>
      <c r="D64" s="9" t="str">
        <f>VLOOKUP(B64,'Unit of Measure ship March 2026'!A:C,3,false)</f>
        <v>PC/8OZ</v>
      </c>
      <c r="F64" s="16">
        <v>15427.0</v>
      </c>
      <c r="G64" s="9" t="str">
        <f>VLOOKUP(F64,'FML March 2026'!E:F,2,false)</f>
        <v>ROSEMARY (12 BUNCH) 1 LB/CS</v>
      </c>
      <c r="H64" s="9" t="str">
        <f>VLOOKUP(F64,'Unit of Measure ship March 2026'!A:C,3,false)</f>
        <v>LBS</v>
      </c>
    </row>
    <row r="65" ht="15.75" customHeight="1">
      <c r="B65" s="8">
        <v>33324.0</v>
      </c>
      <c r="C65" s="9" t="str">
        <f>VLOOKUP(B65,'FML March 2026'!E:F,2,false)</f>
        <v>SAFFRON POWDER MANCHA 1 OZ (IRAN)</v>
      </c>
      <c r="D65" s="9" t="str">
        <f>VLOOKUP(B65,'Unit of Measure ship March 2026'!A:C,3,false)</f>
        <v>CAN/1-OZ</v>
      </c>
      <c r="F65" s="16">
        <v>24185.0</v>
      </c>
      <c r="G65" s="9" t="str">
        <f>VLOOKUP(F65,'FML March 2026'!E:F,2,false)</f>
        <v>SCALLIONS FRESH - ICELESS</v>
      </c>
      <c r="H65" s="9" t="str">
        <f>VLOOKUP(F65,'Unit of Measure ship March 2026'!A:C,3,false)</f>
        <v>LBS</v>
      </c>
    </row>
    <row r="66" ht="15.75" customHeight="1">
      <c r="B66" s="17">
        <v>16307.0</v>
      </c>
      <c r="C66" s="9" t="str">
        <f>VLOOKUP(B66,'FML March 2026'!E:F,2,false)</f>
        <v>SALT KOSHER GRANULATED</v>
      </c>
      <c r="D66" s="9" t="str">
        <f>VLOOKUP(B66,'Unit of Measure ship March 2026'!A:C,3,false)</f>
        <v>LBS</v>
      </c>
      <c r="F66" s="16">
        <v>15522.0</v>
      </c>
      <c r="G66" s="9" t="str">
        <f>VLOOKUP(F66,'FML March 2026'!E:F,2,false)</f>
        <v>SHALLOTS CLOVES #1 FRESH 5#</v>
      </c>
      <c r="H66" s="9" t="str">
        <f>VLOOKUP(F66,'Unit of Measure ship March 2026'!A:C,3,false)</f>
        <v>LBS</v>
      </c>
    </row>
    <row r="67" ht="15.75" customHeight="1">
      <c r="B67" s="17">
        <v>16280.0</v>
      </c>
      <c r="C67" s="9" t="str">
        <f>VLOOKUP(B67,'FML March 2026'!E:F,2,false)</f>
        <v>SALT, GRANULATED, IODIZED, DRY, 12/26 OZ</v>
      </c>
      <c r="D67" s="9" t="str">
        <f>VLOOKUP(B67,'Unit of Measure ship March 2026'!A:C,3,false)</f>
        <v>LBS</v>
      </c>
      <c r="F67" s="16">
        <v>15145.0</v>
      </c>
      <c r="G67" s="9" t="str">
        <f>VLOOKUP(F67,'FML March 2026'!E:F,2,false)</f>
        <v>SPINACH, BABY LEAF</v>
      </c>
      <c r="H67" s="9" t="str">
        <f>VLOOKUP(F67,'Unit of Measure ship March 2026'!A:C,3,false)</f>
        <v>LBS</v>
      </c>
    </row>
    <row r="68" ht="15.75" customHeight="1">
      <c r="B68" s="8">
        <v>15818.0</v>
      </c>
      <c r="C68" s="9" t="str">
        <f>VLOOKUP(B68,'FML March 2026'!E:F,2,false)</f>
        <v>SESAME SEEDS WHITE BADIA (USA )</v>
      </c>
      <c r="D68" s="9" t="str">
        <f>VLOOKUP(B68,'Unit of Measure ship March 2026'!A:C,3,false)</f>
        <v>LBS</v>
      </c>
      <c r="F68" s="16">
        <v>15442.0</v>
      </c>
      <c r="G68" s="9" t="str">
        <f>VLOOKUP(F68,'FML March 2026'!E:F,2,false)</f>
        <v>TARRAGON (12 BUNCH), 1 LB/CS</v>
      </c>
      <c r="H68" s="9" t="str">
        <f>VLOOKUP(F68,'Unit of Measure ship March 2026'!A:C,3,false)</f>
        <v>LBS</v>
      </c>
    </row>
    <row r="69" ht="15.75" customHeight="1">
      <c r="B69" s="8">
        <v>20887.0</v>
      </c>
      <c r="C69" s="9" t="str">
        <f>VLOOKUP(B69,'FML March 2026'!E:F,2,false)</f>
        <v>SHICHIMI TOGARASHI CHINESE 7 FLAVOR CHILI PEPPERS</v>
      </c>
      <c r="D69" s="9" t="str">
        <f>VLOOKUP(B69,'Unit of Measure ship March 2026'!A:C,3,false)</f>
        <v>LBS</v>
      </c>
      <c r="F69" s="16">
        <v>15446.0</v>
      </c>
      <c r="G69" s="9" t="str">
        <f>VLOOKUP(F69,'FML March 2026'!E:F,2,false)</f>
        <v>THYME FRESH</v>
      </c>
      <c r="H69" s="9" t="str">
        <f>VLOOKUP(F69,'Unit of Measure ship March 2026'!A:C,3,false)</f>
        <v>LBS</v>
      </c>
    </row>
    <row r="70" ht="15.75" customHeight="1">
      <c r="B70" s="8">
        <v>107138.0</v>
      </c>
      <c r="C70" s="9" t="str">
        <f>VLOOKUP(B70,'FML March 2026'!E:F,2,false)</f>
        <v>SPICE SAFFRON THREADS SPANISH (SPAIN)</v>
      </c>
      <c r="D70" s="9" t="str">
        <f>VLOOKUP(B70,'Unit of Measure ship March 2026'!A:C,3,false)</f>
        <v>CAN/1-OZ</v>
      </c>
      <c r="F70" s="16">
        <v>15537.0</v>
      </c>
      <c r="G70" s="9" t="str">
        <f>VLOOKUP(F70,'FML March 2026'!E:F,2,false)</f>
        <v>TOMATOES 6X6 #1 18# RED RIPE, FIRM (LAYERED), 55-65 MM</v>
      </c>
      <c r="H70" s="9" t="str">
        <f>VLOOKUP(F70,'Unit of Measure ship March 2026'!A:C,3,false)</f>
        <v>LBS</v>
      </c>
    </row>
    <row r="71" ht="15.75" customHeight="1">
      <c r="B71" s="8">
        <v>20879.0</v>
      </c>
      <c r="C71" s="9" t="str">
        <f>VLOOKUP(B71,'FML March 2026'!E:F,2,false)</f>
        <v>SRIRACHA, HOT CHILI SAUCE, HUY FONG, 28OZ</v>
      </c>
      <c r="D71" s="9" t="str">
        <f>VLOOKUP(B71,'Unit of Measure ship March 2026'!A:C,3,false)</f>
        <v>BT/17OZ</v>
      </c>
      <c r="F71" s="16">
        <v>15534.0</v>
      </c>
      <c r="G71" s="9" t="str">
        <f>VLOOKUP(F71,'FML March 2026'!E:F,2,false)</f>
        <v>TOMATOES CHERRY #1 (GRAPE) 10 PINK, RED, FIRM SMALL</v>
      </c>
      <c r="H71" s="9" t="str">
        <f>VLOOKUP(F71,'Unit of Measure ship March 2026'!A:C,3,false)</f>
        <v>LBS</v>
      </c>
    </row>
    <row r="72" ht="15.75" customHeight="1">
      <c r="B72" s="8">
        <v>15646.0</v>
      </c>
      <c r="C72" s="9" t="str">
        <f>VLOOKUP(B72,'FML March 2026'!E:F,2,false)</f>
        <v>SUGAR BROWN DARK  24/1LB  DOMINO (404310) (USA)</v>
      </c>
      <c r="D72" s="9" t="str">
        <f>VLOOKUP(B72,'Unit of Measure ship March 2026'!A:C,3,false)</f>
        <v>LBS</v>
      </c>
      <c r="F72" s="16">
        <v>109765.0</v>
      </c>
      <c r="G72" s="9" t="str">
        <f>VLOOKUP(F72,'FML March 2026'!E:F,2,false)</f>
        <v>TOMATOES CHERRY MIXED HEIRLOOM</v>
      </c>
      <c r="H72" s="9" t="str">
        <f>VLOOKUP(F72,'Unit of Measure ship March 2026'!A:C,3,false)</f>
        <v>LBS</v>
      </c>
    </row>
    <row r="73" ht="15.75" customHeight="1">
      <c r="B73" s="17">
        <v>15642.0</v>
      </c>
      <c r="C73" s="9" t="str">
        <f>VLOOKUP(B73,'FML March 2026'!E:F,2,false)</f>
        <v>SUGAR, GRANULATED, ICUMSA 150, SUGARCANE, DRY, 1/50 LB</v>
      </c>
      <c r="D73" s="9" t="str">
        <f>VLOOKUP(B73,'Unit of Measure ship March 2026'!A:C,3,false)</f>
        <v>LBS</v>
      </c>
      <c r="F73" s="16">
        <v>15540.0</v>
      </c>
      <c r="G73" s="9" t="str">
        <f>VLOOKUP(F73,'FML March 2026'!E:F,2,false)</f>
        <v>WATERCRESS (FULL BX) 10# 24BH "B &amp; W, FRESH, ICE PACKED" 1BX</v>
      </c>
      <c r="H73" s="9" t="str">
        <f>VLOOKUP(F73,'Unit of Measure ship March 2026'!A:C,3,false)</f>
        <v>LBS</v>
      </c>
    </row>
    <row r="74" ht="15.75" customHeight="1">
      <c r="B74" s="8">
        <v>19407.0</v>
      </c>
      <c r="C74" s="9" t="str">
        <f>VLOOKUP(B74,'FML March 2026'!E:F,2,false)</f>
        <v>SUMAC POWDER CHEFS WAREHOUSE</v>
      </c>
      <c r="D74" s="9" t="str">
        <f>VLOOKUP(B74,'Unit of Measure ship March 2026'!A:C,3,false)</f>
        <v>LBS</v>
      </c>
      <c r="F74" s="16">
        <v>15425.0</v>
      </c>
      <c r="G74" s="9" t="str">
        <f>VLOOKUP(F74,'FML March 2026'!E:F,2,false)</f>
        <v>WATERMELONS SEEDLESS 4CT/6C 32#</v>
      </c>
      <c r="H74" s="9" t="str">
        <f>VLOOKUP(F74,'Unit of Measure ship March 2026'!A:C,3,false)</f>
        <v>LBS</v>
      </c>
    </row>
    <row r="75" ht="15.75" customHeight="1">
      <c r="B75" s="8">
        <v>15892.0</v>
      </c>
      <c r="C75" s="9" t="str">
        <f>VLOOKUP(B75,'FML March 2026'!E:F,2,false)</f>
        <v>SUNFLOWER SEEDS WHOLE SHELL-OFF RAW  HIALEAH (USA )</v>
      </c>
      <c r="D75" s="9" t="str">
        <f>VLOOKUP(B75,'Unit of Measure ship March 2026'!A:C,3,false)</f>
        <v>LBS</v>
      </c>
      <c r="F75" s="16">
        <v>15542.0</v>
      </c>
      <c r="G75" s="9" t="str">
        <f>VLOOKUP(F75,'FML March 2026'!E:F,2,false)</f>
        <v>ZUCCHINI MEDIUM #1 FANCY 20#/CS, 180-210 MM</v>
      </c>
      <c r="H75" s="9" t="str">
        <f>VLOOKUP(F75,'Unit of Measure ship March 2026'!A:C,3,false)</f>
        <v>LBS</v>
      </c>
    </row>
    <row r="76" ht="15.75" customHeight="1">
      <c r="B76" s="8">
        <v>110928.0</v>
      </c>
      <c r="C76" s="9" t="str">
        <f>VLOOKUP(B76,'FML March 2026'!E:F,2,false)</f>
        <v>TAHINI PASTE  CS12/1LB SOOM</v>
      </c>
      <c r="D76" s="9" t="str">
        <f>VLOOKUP(B76,'Unit of Measure ship March 2026'!A:C,3,false)</f>
        <v>LBS</v>
      </c>
    </row>
    <row r="77" ht="15.75" customHeight="1">
      <c r="B77" s="17">
        <v>15583.0</v>
      </c>
      <c r="C77" s="9" t="str">
        <f>VLOOKUP(B77,'FML March 2026'!E:F,2,false)</f>
        <v>TOMATO, SUN-DRIED, HALVES, STANDARD, DRY, 4/5 LB</v>
      </c>
      <c r="D77" s="9" t="str">
        <f>VLOOKUP(B77,'Unit of Measure ship March 2026'!A:C,3,false)</f>
        <v>LBS</v>
      </c>
    </row>
    <row r="78" ht="15.75" customHeight="1">
      <c r="B78" s="8">
        <v>16310.0</v>
      </c>
      <c r="C78" s="9" t="str">
        <f>VLOOKUP(B78,'FML March 2026'!E:F,2,false)</f>
        <v>TURMERIC GROUND</v>
      </c>
      <c r="D78" s="9" t="str">
        <f>VLOOKUP(B78,'Unit of Measure ship March 2026'!A:C,3,false)</f>
        <v>LBS</v>
      </c>
    </row>
    <row r="79" ht="15.75" customHeight="1">
      <c r="B79" s="8">
        <v>109665.0</v>
      </c>
      <c r="C79" s="9" t="str">
        <f>VLOOKUP(B79,'FML March 2026'!E:F,2,false)</f>
        <v>VINEGAR CABERNET SPARROW LANE</v>
      </c>
      <c r="D79" s="9" t="str">
        <f>VLOOKUP(B79,'Unit of Measure ship March 2026'!A:C,3,false)</f>
        <v>GAL</v>
      </c>
    </row>
    <row r="80" ht="15.75" customHeight="1">
      <c r="B80" s="8">
        <v>109666.0</v>
      </c>
      <c r="C80" s="9" t="str">
        <f>VLOOKUP(B80,'FML March 2026'!E:F,2,false)</f>
        <v>VINEGAR CHAMPAGNE WINE SPARROW LANE/ PACKER</v>
      </c>
      <c r="D80" s="9" t="str">
        <f>VLOOKUP(B80,'Unit of Measure ship March 2026'!A:C,3,false)</f>
        <v>GAL</v>
      </c>
    </row>
    <row r="81" ht="15.75" customHeight="1">
      <c r="B81" s="8">
        <v>16399.0</v>
      </c>
      <c r="C81" s="9" t="str">
        <f>VLOOKUP(B81,'FML March 2026'!E:F,2,false)</f>
        <v>VINEGAR RASPBERRY 12/33.8 OZ ROLAND</v>
      </c>
      <c r="D81" s="9" t="str">
        <f>VLOOKUP(B81,'Unit of Measure ship March 2026'!A:C,3,false)</f>
        <v>BTL/34OZ</v>
      </c>
    </row>
    <row r="82" ht="15.75" customHeight="1">
      <c r="B82" s="8">
        <v>16402.0</v>
      </c>
      <c r="C82" s="9" t="str">
        <f>VLOOKUP(B82,'FML March 2026'!E:F,2,false)</f>
        <v>VINEGAR SHERRY/ XERES CS4/5 LT ROLAND</v>
      </c>
      <c r="D82" s="9" t="str">
        <f>VLOOKUP(B82,'Unit of Measure ship March 2026'!A:C,3,false)</f>
        <v>BT/750ML</v>
      </c>
    </row>
    <row r="83" ht="15.75" customHeight="1">
      <c r="B83" s="8">
        <v>15802.0</v>
      </c>
      <c r="C83" s="9" t="str">
        <f>VLOOKUP(B83,'FML March 2026'!E:F,2,false)</f>
        <v>WALNUTS LARGE HALVES</v>
      </c>
      <c r="D83" s="9" t="str">
        <f>VLOOKUP(B83,'Unit of Measure ship March 2026'!A:C,3,false)</f>
        <v>LBS</v>
      </c>
    </row>
    <row r="84" ht="15.75" customHeight="1">
      <c r="B84" s="8">
        <v>16387.0</v>
      </c>
      <c r="C84" s="9" t="str">
        <f>VLOOKUP(B84,'FML March 2026'!E:F,2,false)</f>
        <v>WHITE TRUFFLE OIL</v>
      </c>
      <c r="D84" s="9" t="str">
        <f>VLOOKUP(B84,'Unit of Measure ship March 2026'!A:C,3,false)</f>
        <v>BT/250ML</v>
      </c>
    </row>
    <row r="85" ht="15.75" customHeight="1">
      <c r="B85" s="8">
        <v>102288.0</v>
      </c>
      <c r="C85" s="9" t="str">
        <f>VLOOKUP(B85,'FML March 2026'!E:F,2,false)</f>
        <v>XANTHAN GUM (AUSTRIA)</v>
      </c>
      <c r="D85" s="9" t="str">
        <f>VLOOKUP(B85,'Unit of Measure ship March 2026'!A:C,3,false)</f>
        <v>LBS</v>
      </c>
    </row>
    <row r="86" ht="15.75" customHeight="1">
      <c r="B86" s="8">
        <v>109846.0</v>
      </c>
      <c r="C86" s="9" t="str">
        <f>VLOOKUP(B86,'FML March 2026'!E:F,2,false)</f>
        <v>YOGURT GREEK BULK</v>
      </c>
      <c r="D86" s="9" t="str">
        <f>VLOOKUP(B86,'Unit of Measure ship March 2026'!A:C,3,false)</f>
        <v>LBS</v>
      </c>
    </row>
    <row r="87" ht="15.75" customHeight="1">
      <c r="B87" s="8">
        <v>19409.0</v>
      </c>
      <c r="C87" s="9" t="str">
        <f>VLOOKUP(B87,'FML March 2026'!E:F,2,false)</f>
        <v>YUZU JUICE PURE UNSEASONED SHIBORI YAKAMI ORCHARD</v>
      </c>
      <c r="D87" s="9" t="str">
        <f>VLOOKUP(B87,'Unit of Measure ship March 2026'!A:C,3,false)</f>
        <v>BT/750ML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95</v>
      </c>
      <c r="D1" s="142"/>
      <c r="E1" s="144"/>
      <c r="F1" s="142"/>
      <c r="G1" s="143" t="s">
        <v>96</v>
      </c>
      <c r="H1" s="142"/>
      <c r="I1" s="144"/>
      <c r="J1" s="142"/>
      <c r="K1" s="143" t="s">
        <v>97</v>
      </c>
      <c r="L1" s="142"/>
      <c r="M1" s="144"/>
      <c r="N1" s="142"/>
      <c r="O1" s="143" t="s">
        <v>98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B3" s="8">
        <v>109520.0</v>
      </c>
      <c r="C3" s="9" t="str">
        <f>VLOOKUP(B3,'FML March 2026'!E:F,2,false)</f>
        <v>AGAVE SYRUP VEGAN BLUE GREEN VS4/1GAL (USA)</v>
      </c>
      <c r="D3" s="9" t="str">
        <f>VLOOKUP(B2,'Unit of Measure ship March 2026'!A:C,3,false)</f>
        <v>U\M</v>
      </c>
      <c r="F3" s="8">
        <v>23757.0</v>
      </c>
      <c r="G3" s="9" t="str">
        <f>VLOOKUP(F3,'FML March 2026'!E:F,2,false)</f>
        <v>APPLES GRANNY SMITH 88CT 40#/CS</v>
      </c>
      <c r="H3" s="9" t="str">
        <f>VLOOKUP(F3,'Unit of Measure ship March 2026'!A:C,3,false)</f>
        <v>LBS</v>
      </c>
      <c r="J3" s="8">
        <v>37382.0</v>
      </c>
      <c r="K3" s="9" t="str">
        <f>VLOOKUP(J3,'FML March 2026'!E:F,2,false)</f>
        <v>BEEF BRISKET US  CHOICE, NAMP-120</v>
      </c>
      <c r="L3" s="9" t="str">
        <f>VLOOKUP(J3,'Unit of Measure ship March 2026'!A:C,3,false)</f>
        <v>LBS</v>
      </c>
      <c r="N3" s="17">
        <v>10052.0</v>
      </c>
      <c r="O3" s="9" t="str">
        <f>VLOOKUP(N3,'FML March 2026'!E:F,2,false)</f>
        <v>COD FILLET BERING SEA 16/32 OZ FROZEN (PCH) (CHINA)</v>
      </c>
      <c r="P3" s="9" t="str">
        <f>VLOOKUP(N3,'Unit of Measure ship March 2026'!A:C,3,false)</f>
        <v>LBS</v>
      </c>
    </row>
    <row r="4" ht="14.25" customHeight="1">
      <c r="B4" s="8">
        <v>111692.0</v>
      </c>
      <c r="C4" s="9" t="str">
        <f>VLOOKUP(B4,'FML March 2026'!E:F,2,false)</f>
        <v>AJI AMARILLO PASTE CS12/7.5OZ BELMONT</v>
      </c>
      <c r="D4" s="35" t="s">
        <v>42</v>
      </c>
      <c r="F4" s="8">
        <v>15572.0</v>
      </c>
      <c r="G4" s="9" t="str">
        <f>VLOOKUP(F4,'FML March 2026'!E:F,2,false)</f>
        <v>ASPARAGUS, FRESH, LARGE, FULL 11# BOX, 17 PC/BOX</v>
      </c>
      <c r="H4" s="9" t="str">
        <f>VLOOKUP(F4,'Unit of Measure ship March 2026'!A:C,3,false)</f>
        <v>LBS</v>
      </c>
      <c r="J4" s="8">
        <v>14369.0</v>
      </c>
      <c r="K4" s="9" t="str">
        <f>VLOOKUP(J4,'FML March 2026'!E:F,2,false)</f>
        <v>BEEF INSIDE TOP ROUND CHOICE UNTRIMMED NAMP-168 EU (USA)</v>
      </c>
      <c r="L4" s="9" t="str">
        <f>VLOOKUP(J4,'Unit of Measure ship March 2026'!A:C,3,false)</f>
        <v>LBS</v>
      </c>
      <c r="N4" s="18">
        <v>150122.0</v>
      </c>
      <c r="O4" s="9" t="str">
        <f>VLOOKUP(N4,'FML March 2026'!E:F,2,false)</f>
        <v>MONKFISH WHOLE HEAD OFF 2/3 LB  FROZEN</v>
      </c>
      <c r="P4" s="9" t="str">
        <f>VLOOKUP(N4,'Unit of Measure ship March 2026'!A:C,3,false)</f>
        <v>LBS</v>
      </c>
    </row>
    <row r="5" ht="14.25" customHeight="1">
      <c r="B5" s="8">
        <v>111083.0</v>
      </c>
      <c r="C5" s="9" t="str">
        <f>VLOOKUP(B5,'FML March 2026'!E:F,2,false)</f>
        <v>ALEPPO PEPPER  PKG 1/LB  LA BOITE</v>
      </c>
      <c r="D5" s="9" t="str">
        <f>VLOOKUP(B3,'Unit of Measure ship March 2026'!A:C,3,false)</f>
        <v>LT</v>
      </c>
      <c r="F5" s="8">
        <v>15605.0</v>
      </c>
      <c r="G5" s="9" t="str">
        <f>VLOOKUP(F5,'FML March 2026'!E:F,2,false)</f>
        <v>BEANS FRESH EXTRA FINE GREEN (FRENCH) 1/5 (HARICOT VERT)</v>
      </c>
      <c r="H5" s="9" t="str">
        <f>VLOOKUP(F5,'Unit of Measure ship March 2026'!A:C,3,false)</f>
        <v>LBS</v>
      </c>
      <c r="J5" s="8">
        <v>110970.0</v>
      </c>
      <c r="K5" s="9" t="str">
        <f>VLOOKUP(J5,'FML March 2026'!E:F,2,false)</f>
        <v>BEEF SHORT RIBS BONELESS VV, NAMP-130A</v>
      </c>
      <c r="L5" s="9" t="str">
        <f>VLOOKUP(J5,'Unit of Measure ship March 2026'!A:C,3,false)</f>
        <v>LBS</v>
      </c>
      <c r="N5" s="8">
        <v>42269.0</v>
      </c>
      <c r="O5" s="9" t="str">
        <f>VLOOKUP(N5,'FML March 2026'!E:F,2,false)</f>
        <v>SHRIMP 16/20 RAW P&amp;D TAIL-ON CS10/LB SURAM ROYAL WHITE (VIETNAM)</v>
      </c>
      <c r="P5" s="9" t="str">
        <f>VLOOKUP(N5,'Unit of Measure ship March 2026'!A:C,3,false)</f>
        <v>LBS</v>
      </c>
    </row>
    <row r="6" ht="14.25" customHeight="1">
      <c r="B6" s="8">
        <v>111083.0</v>
      </c>
      <c r="C6" s="9" t="str">
        <f>VLOOKUP(B6,'FML March 2026'!E:F,2,false)</f>
        <v>ALEPPO PEPPER  PKG 1/LB  LA BOITE</v>
      </c>
      <c r="D6" s="35" t="s">
        <v>42</v>
      </c>
      <c r="F6" s="8">
        <v>15449.0</v>
      </c>
      <c r="G6" s="9" t="str">
        <f>VLOOKUP(F6,'FML March 2026'!E:F,2,false)</f>
        <v>BEET ROOTS LARGE 1/25#</v>
      </c>
      <c r="H6" s="9" t="str">
        <f>VLOOKUP(F6,'Unit of Measure ship March 2026'!A:C,3,false)</f>
        <v>LBS</v>
      </c>
      <c r="J6" s="8">
        <v>11695.0</v>
      </c>
      <c r="K6" s="9" t="str">
        <f>VLOOKUP(J6,'FML March 2026'!E:F,2,false)</f>
        <v>CHICKEN LEG/THIGH BONELESS &amp; SKINLESS FROZEN</v>
      </c>
      <c r="L6" s="9" t="str">
        <f>VLOOKUP(J6,'Unit of Measure ship March 2026'!A:C,3,false)</f>
        <v>LBS</v>
      </c>
      <c r="O6" s="9"/>
      <c r="P6" s="9"/>
    </row>
    <row r="7" ht="14.25" customHeight="1">
      <c r="B7" s="8">
        <v>16262.0</v>
      </c>
      <c r="C7" s="9" t="str">
        <f>VLOOKUP(B7,'FML March 2026'!E:F,2,false)</f>
        <v>ALLSPICE BADIA</v>
      </c>
      <c r="D7" s="9" t="str">
        <f>VLOOKUP(B4,'Unit of Measure ship March 2026'!A:C,3,false)</f>
        <v>LBS</v>
      </c>
      <c r="F7" s="18">
        <v>15452.0</v>
      </c>
      <c r="G7" s="9" t="str">
        <f>VLOOKUP(F7,'FML March 2026'!E:F,2,false)</f>
        <v>BELGIAN ENDIVES 10#</v>
      </c>
      <c r="H7" s="9" t="str">
        <f>VLOOKUP(F7,'Unit of Measure ship March 2026'!A:C,3,false)</f>
        <v>LBS</v>
      </c>
      <c r="J7" s="17">
        <v>14424.0</v>
      </c>
      <c r="K7" s="9" t="str">
        <f>VLOOKUP(J7,'FML March 2026'!E:F,2,false)</f>
        <v>LAMB SHOULDER SQUARE CUT NECK-ON FROZEN  (AUSTRALIA)</v>
      </c>
      <c r="L7" s="9" t="str">
        <f>VLOOKUP(J7,'Unit of Measure ship March 2026'!A:C,3,false)</f>
        <v>LBS</v>
      </c>
      <c r="N7" s="49"/>
      <c r="O7" s="9"/>
      <c r="P7" s="9"/>
    </row>
    <row r="8" ht="14.25" customHeight="1">
      <c r="B8" s="8">
        <v>40445.0</v>
      </c>
      <c r="C8" s="9" t="str">
        <f>VLOOKUP(B8,'FML March 2026'!E:F,2,false)</f>
        <v>ALMOND BLANCHED FLOUR (USA )</v>
      </c>
      <c r="D8" s="9" t="str">
        <f>VLOOKUP(B6,'Unit of Measure ship March 2026'!A:C,3,false)</f>
        <v>LBS</v>
      </c>
      <c r="F8" s="17">
        <v>15450.0</v>
      </c>
      <c r="G8" s="9" t="str">
        <f>VLOOKUP(F8,'FML March 2026'!E:F,2,false)</f>
        <v>BROCCOLI LARGE FANCY, GREEN UMBRELLA 14 CT 20#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8">
        <v>110967.0</v>
      </c>
      <c r="C9" s="9" t="str">
        <f>VLOOKUP(B9,'FML March 2026'!E:F,2,false)</f>
        <v>ALMONDS HICKORY SMOKED CS9/9OZ BACK TO NATURE SMOKED</v>
      </c>
      <c r="D9" s="9" t="str">
        <f>VLOOKUP(B7,'Unit of Measure ship March 2026'!A:C,3,false)</f>
        <v>LBS</v>
      </c>
      <c r="F9" s="16">
        <v>110064.0</v>
      </c>
      <c r="G9" s="9" t="str">
        <f>VLOOKUP(F9,'FML March 2026'!E:F,2,false)</f>
        <v>CARROTS RAINBOW FRESH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8">
        <v>40136.0</v>
      </c>
      <c r="C10" s="9" t="str">
        <f>VLOOKUP(B10,'FML March 2026'!E:F,2,false)</f>
        <v>ALMONDS SLIVERED BLANCHED 5 LBS</v>
      </c>
      <c r="D10" s="35" t="s">
        <v>42</v>
      </c>
      <c r="F10" s="53">
        <v>15459.0</v>
      </c>
      <c r="G10" s="9" t="str">
        <f>VLOOKUP(F10,'FML March 2026'!E:F,2,false)</f>
        <v>CAULIFLOWER #1 CAL. 12 CT 25#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B11" s="8">
        <v>109664.0</v>
      </c>
      <c r="C11" s="9" t="str">
        <f>VLOOKUP(B11,'FML March 2026'!E:F,2,false)</f>
        <v>APPLE CIDER VINEGAR SPARROW LANE V</v>
      </c>
      <c r="D11" s="9" t="str">
        <f>VLOOKUP(B7,'Unit of Measure ship March 2026'!A:C,3,false)</f>
        <v>LBS</v>
      </c>
      <c r="F11" s="8">
        <v>110917.0</v>
      </c>
      <c r="G11" s="9" t="str">
        <f>VLOOKUP(F11,'FML March 2026'!E:F,2,false)</f>
        <v>CAULIFLOWER ORANGE 12CT (28LB)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8">
        <v>53697.0</v>
      </c>
      <c r="C12" s="9" t="str">
        <f>VLOOKUP(B12,'FML March 2026'!E:F,2,false)</f>
        <v>ARTICHOKE, JERUSALEM, FRESH</v>
      </c>
      <c r="D12" s="9" t="str">
        <f>VLOOKUP(B10,'Unit of Measure ship March 2026'!A:C,3,false)</f>
        <v>LBS</v>
      </c>
      <c r="F12" s="8">
        <v>110078.0</v>
      </c>
      <c r="G12" s="9" t="str">
        <f>VLOOKUP(F12,'FML March 2026'!E:F,2,false)</f>
        <v>CAULIFLOWER PURPLR FRESH</v>
      </c>
      <c r="H12" s="9" t="str">
        <f>VLOOKUP(F12,'Unit of Measure ship March 2026'!A:C,3,false)</f>
        <v>EA</v>
      </c>
      <c r="J12" s="49"/>
      <c r="K12" s="9"/>
      <c r="L12" s="9"/>
      <c r="N12" s="49"/>
      <c r="O12" s="9"/>
      <c r="P12" s="9"/>
    </row>
    <row r="13" ht="14.25" customHeight="1">
      <c r="B13" s="8">
        <v>111708.0</v>
      </c>
      <c r="C13" s="9" t="str">
        <f>VLOOKUP(B13,'FML March 2026'!E:F,2,false)</f>
        <v>BABY TURNIP</v>
      </c>
      <c r="D13" s="9" t="str">
        <f>VLOOKUP(B11,'Unit of Measure ship March 2026'!A:C,3,false)</f>
        <v>GAL</v>
      </c>
      <c r="F13" s="18">
        <v>15460.0</v>
      </c>
      <c r="G13" s="9" t="str">
        <f>VLOOKUP(F13,'FML March 2026'!E:F,2,false)</f>
        <v>CELERY #1 CAL. 36CT 60#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B14" s="8">
        <v>15652.0</v>
      </c>
      <c r="C14" s="9" t="str">
        <f>VLOOKUP(B14,'FML March 2026'!E:F,2,false)</f>
        <v>BAKING SODA</v>
      </c>
      <c r="D14" s="9" t="str">
        <f>VLOOKUP(B12,'Unit of Measure ship March 2026'!A:C,3,false)</f>
        <v>LBS</v>
      </c>
      <c r="F14" s="8">
        <v>15543.0</v>
      </c>
      <c r="G14" s="9" t="str">
        <f>VLOOKUP(F14,'FML March 2026'!E:F,2,false)</f>
        <v>CHERVIL, FRESH, 12BU 1 LB/CS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8">
        <v>16250.0</v>
      </c>
      <c r="C15" s="9" t="str">
        <f>VLOOKUP(B15,'FML March 2026'!E:F,2,false)</f>
        <v>BAY LEAVES WHOLE D`ALLESANDRO/ SPICECO</v>
      </c>
      <c r="D15" s="9" t="str">
        <f>VLOOKUP(B12,'Unit of Measure ship March 2026'!A:C,3,false)</f>
        <v>LBS</v>
      </c>
      <c r="F15" s="8">
        <v>15438.0</v>
      </c>
      <c r="G15" s="9" t="str">
        <f>VLOOKUP(F15,'FML March 2026'!E:F,2,false)</f>
        <v>CHIVES (12 BUNCH), 1 LB/CS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8">
        <v>26627.0</v>
      </c>
      <c r="C16" s="9" t="str">
        <f>VLOOKUP(B16,'FML March 2026'!E:F,2,false)</f>
        <v>BEANS CHICK PEAS DRY BULK</v>
      </c>
      <c r="D16" s="9" t="str">
        <f>VLOOKUP(B13,'Unit of Measure ship March 2026'!A:C,3,false)</f>
        <v>LBS</v>
      </c>
      <c r="F16" s="17">
        <v>15431.0</v>
      </c>
      <c r="G16" s="9" t="str">
        <f>VLOOKUP(F16,'FML March 2026'!E:F,2,false)</f>
        <v>CILANTRO (12 BUNCH) 1 LB/CS DOMESTIC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8">
        <v>48982.0</v>
      </c>
      <c r="C17" s="9" t="str">
        <f>VLOOKUP(B17,'FML March 2026'!E:F,2,false)</f>
        <v>BEANS LENTILS RED SPLIT, DHAL MASSOR 20 LB BOX C&amp;F/ D`ALLESANDRO</v>
      </c>
      <c r="D17" s="9" t="str">
        <f>VLOOKUP(B15,'Unit of Measure ship March 2026'!A:C,3,false)</f>
        <v>LBS</v>
      </c>
      <c r="F17" s="8">
        <v>111175.0</v>
      </c>
      <c r="G17" s="9" t="str">
        <f>VLOOKUP(F17,'FML March 2026'!E:F,2,false)</f>
        <v>CILANTRO MICRO FRESH HARPKE FAMILY FARM PK/5 OZ PACKED IN 60 OZ SIZE CLAM SHELL</v>
      </c>
      <c r="H17" s="9" t="str">
        <f>VLOOKUP(F17,'Unit of Measure ship March 2026'!A:C,3,false)</f>
        <v>EA</v>
      </c>
      <c r="J17" s="49"/>
      <c r="K17" s="9"/>
      <c r="L17" s="9"/>
      <c r="N17" s="49"/>
      <c r="O17" s="9"/>
      <c r="P17" s="9"/>
    </row>
    <row r="18" ht="14.25" customHeight="1">
      <c r="B18" s="8">
        <v>15016.0</v>
      </c>
      <c r="C18" s="9" t="str">
        <f>VLOOKUP(B18,'FML March 2026'!E:F,2,false)</f>
        <v>BUTTER, UNSALTED, 82% FAT, FZN, 50/200 G</v>
      </c>
      <c r="D18" s="9" t="str">
        <f>VLOOKUP(B16,'Unit of Measure ship March 2026'!A:C,3,false)</f>
        <v>LBS</v>
      </c>
      <c r="F18" s="8">
        <v>109754.0</v>
      </c>
      <c r="G18" s="9" t="str">
        <f>VLOOKUP(F18,'FML March 2026'!E:F,2,false)</f>
        <v>CUCUMBER ENGLISH SEEDLESS, LARGE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8">
        <v>14893.0</v>
      </c>
      <c r="C19" s="9" t="str">
        <f>VLOOKUP(B19,'FML March 2026'!E:F,2,false)</f>
        <v>BUTTERMILK LOCAL 10 DAYS CS9/HGAL</v>
      </c>
      <c r="D19" s="9" t="str">
        <f>VLOOKUP(B15,'Unit of Measure ship March 2026'!A:C,3,false)</f>
        <v>LBS</v>
      </c>
      <c r="F19" s="8">
        <v>110076.0</v>
      </c>
      <c r="G19" s="9" t="str">
        <f>VLOOKUP(F19,'FML March 2026'!E:F,2,false)</f>
        <v>CUCUMBER MINI PERSIAN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8">
        <v>111126.0</v>
      </c>
      <c r="C20" s="9" t="str">
        <f>VLOOKUP(B20,'FML March 2026'!E:F,2,false)</f>
        <v>CANNELLINI BEANS CS12/15 OZ FIELD DAY</v>
      </c>
      <c r="D20" s="9" t="str">
        <f>VLOOKUP(B18,'Unit of Measure ship March 2026'!A:C,3,false)</f>
        <v>LBS</v>
      </c>
      <c r="F20" s="8">
        <v>15433.0</v>
      </c>
      <c r="G20" s="9" t="str">
        <f>VLOOKUP(F20,'FML March 2026'!E:F,2,false)</f>
        <v>DILL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16">
        <v>11938.0</v>
      </c>
      <c r="C21" s="9" t="str">
        <f>VLOOKUP(B21,'FML March 2026'!E:F,2,false)</f>
        <v>CAPER BERRIES STEMMED 6/64 OZ DEL DESTINO/ ROLAND</v>
      </c>
      <c r="D21" s="35" t="s">
        <v>66</v>
      </c>
      <c r="F21" s="8">
        <v>36433.0</v>
      </c>
      <c r="G21" s="9" t="str">
        <f>VLOOKUP(F21,'FML March 2026'!E:F,2,false)</f>
        <v>EGGPLANT JAPANESE 10#/CS</v>
      </c>
      <c r="H21" s="9" t="str">
        <f>VLOOKUP(F21,'Unit of Measure ship March 2026'!A:C,3,false)</f>
        <v>CS10/LBS</v>
      </c>
      <c r="J21" s="149"/>
      <c r="K21" s="9"/>
      <c r="L21" s="9"/>
    </row>
    <row r="22" ht="14.25" customHeight="1">
      <c r="B22" s="8">
        <v>15816.0</v>
      </c>
      <c r="C22" s="9" t="str">
        <f>VLOOKUP(B22,'FML March 2026'!E:F,2,false)</f>
        <v>CARAWAY SEEDS WHOLE 16 OZ D BADIA</v>
      </c>
      <c r="D22" s="9" t="str">
        <f>VLOOKUP(B19,'Unit of Measure ship March 2026'!A:C,3,false)</f>
        <v>QRT</v>
      </c>
      <c r="F22" s="18">
        <v>15547.0</v>
      </c>
      <c r="G22" s="9" t="str">
        <f>VLOOKUP(F22,'FML March 2026'!E:F,2,false)</f>
        <v>FENNEL FRESH CAL. 40#</v>
      </c>
      <c r="H22" s="9" t="str">
        <f>VLOOKUP(F22,'Unit of Measure ship March 2026'!A:C,3,false)</f>
        <v>LBS</v>
      </c>
      <c r="J22" s="149"/>
      <c r="K22" s="9"/>
      <c r="L22" s="9"/>
    </row>
    <row r="23" ht="15.75" customHeight="1">
      <c r="B23" s="8">
        <v>111011.0</v>
      </c>
      <c r="C23" s="9" t="str">
        <f>VLOOKUP(B23,'FML March 2026'!E:F,2,false)</f>
        <v>CARDAMOM POD GREEN TERRA SPICE</v>
      </c>
      <c r="D23" s="9" t="str">
        <f>VLOOKUP(B19,'Unit of Measure ship March 2026'!A:C,3,false)</f>
        <v>QRT</v>
      </c>
      <c r="F23" s="17">
        <v>15466.0</v>
      </c>
      <c r="G23" s="9" t="str">
        <f>VLOOKUP(F23,'FML March 2026'!E:F,2,false)</f>
        <v>GARLIC CRATE JUMBO 30# 8 CT</v>
      </c>
      <c r="H23" s="9" t="str">
        <f>VLOOKUP(F23,'Unit of Measure ship March 2026'!A:C,3,false)</f>
        <v>LBS</v>
      </c>
    </row>
    <row r="24" ht="15.75" customHeight="1">
      <c r="B24" s="8">
        <v>16253.0</v>
      </c>
      <c r="C24" s="9" t="str">
        <f>VLOOKUP(B24,'FML March 2026'!E:F,2,false)</f>
        <v>CINNAMON GROUND</v>
      </c>
      <c r="D24" s="9" t="str">
        <f>VLOOKUP(B21,'Unit of Measure ship March 2026'!A:C,3,false)</f>
        <v>CAN/64OZ</v>
      </c>
      <c r="F24" s="18">
        <v>30639.0</v>
      </c>
      <c r="G24" s="9" t="str">
        <f>VLOOKUP(F24,'FML March 2026'!E:F,2,false)</f>
        <v>GARLIC PEELED</v>
      </c>
      <c r="H24" s="9" t="str">
        <f>VLOOKUP(F24,'Unit of Measure ship March 2026'!A:C,3,false)</f>
        <v>LBS</v>
      </c>
    </row>
    <row r="25" ht="15.75" customHeight="1">
      <c r="B25" s="8">
        <v>16267.0</v>
      </c>
      <c r="C25" s="9" t="str">
        <f>VLOOKUP(B25,'FML March 2026'!E:F,2,false)</f>
        <v>CINNAMON STICKS BADIA (USA)</v>
      </c>
      <c r="D25" s="9" t="str">
        <f>VLOOKUP(B22,'Unit of Measure ship March 2026'!A:C,3,false)</f>
        <v>LBS</v>
      </c>
      <c r="F25" s="8">
        <v>38392.0</v>
      </c>
      <c r="G25" s="9" t="str">
        <f>VLOOKUP(F25,'FML March 2026'!E:F,2,false)</f>
        <v>GINGER FRESH</v>
      </c>
      <c r="H25" s="9" t="str">
        <f>VLOOKUP(F25,'Unit of Measure ship March 2026'!A:C,3,false)</f>
        <v>LBS</v>
      </c>
    </row>
    <row r="26" ht="15.75" customHeight="1">
      <c r="B26" s="8">
        <v>16254.0</v>
      </c>
      <c r="C26" s="9" t="str">
        <f>VLOOKUP(B26,'FML March 2026'!E:F,2,false)</f>
        <v>CLOVES WHOLE D`ALLESANDRO/ SPICECO</v>
      </c>
      <c r="D26" s="9" t="str">
        <f>VLOOKUP(B23,'Unit of Measure ship March 2026'!A:C,3,false)</f>
        <v>JR32/OZ</v>
      </c>
      <c r="F26" s="8">
        <v>15478.0</v>
      </c>
      <c r="G26" s="9" t="str">
        <f>VLOOKUP(F26,'FML March 2026'!E:F,2,false)</f>
        <v>LEMONGRASS 12 STICKS/BUNCH 1#/BUNCH</v>
      </c>
      <c r="H26" s="9" t="str">
        <f>VLOOKUP(F26,'Unit of Measure ship March 2026'!A:C,3,false)</f>
        <v>LBS</v>
      </c>
    </row>
    <row r="27" ht="15.75" customHeight="1">
      <c r="B27" s="8">
        <v>16289.0</v>
      </c>
      <c r="C27" s="9" t="str">
        <f>VLOOKUP(B27,'FML March 2026'!E:F,2,false)</f>
        <v>CORIANDER GROUND BADIA (USA )</v>
      </c>
      <c r="D27" s="9" t="str">
        <f>VLOOKUP(B24,'Unit of Measure ship March 2026'!A:C,3,false)</f>
        <v>LBS</v>
      </c>
      <c r="F27" s="17">
        <v>15397.0</v>
      </c>
      <c r="G27" s="9" t="str">
        <f>VLOOKUP(F27,'FML March 2026'!E:F,2,false)</f>
        <v>LEMONS FRESH FIRM FANCY CALIF. SUNKIST #1 200CT 40#</v>
      </c>
      <c r="H27" s="9" t="str">
        <f>VLOOKUP(F27,'Unit of Measure ship March 2026'!A:C,3,false)</f>
        <v>LBS</v>
      </c>
    </row>
    <row r="28" ht="15.75" customHeight="1">
      <c r="B28" s="8">
        <v>16288.0</v>
      </c>
      <c r="C28" s="9" t="str">
        <f>VLOOKUP(B28,'FML March 2026'!E:F,2,false)</f>
        <v>CORIANDER WHOLE BADIA (USA )</v>
      </c>
      <c r="D28" s="9" t="str">
        <f>VLOOKUP(B25,'Unit of Measure ship March 2026'!A:C,3,false)</f>
        <v>LBS</v>
      </c>
      <c r="F28" s="8">
        <v>111049.0</v>
      </c>
      <c r="G28" s="9" t="str">
        <f>VLOOKUP(F28,'FML March 2026'!E:F,2,false)</f>
        <v>LETTUCE BABY GEM FRESH CS24/CT</v>
      </c>
      <c r="H28" s="9" t="str">
        <f>VLOOKUP(F28,'Unit of Measure ship March 2026'!A:C,3,false)</f>
        <v>LBS</v>
      </c>
    </row>
    <row r="29" ht="15.75" customHeight="1">
      <c r="B29" s="8">
        <v>16256.0</v>
      </c>
      <c r="C29" s="9" t="str">
        <f>VLOOKUP(B29,'FML March 2026'!E:F,2,false)</f>
        <v>CUMIN GROUND D`ALLESANDRO/ SPICECO (USA )</v>
      </c>
      <c r="D29" s="9" t="str">
        <f>VLOOKUP(B26,'Unit of Measure ship March 2026'!A:C,3,false)</f>
        <v>LBS</v>
      </c>
      <c r="F29" s="17">
        <v>15489.0</v>
      </c>
      <c r="G29" s="9" t="str">
        <f>VLOOKUP(F29,'FML March 2026'!E:F,2,false)</f>
        <v>LETTUCE ROMAINE, CAL., CRISP 24HD 38#</v>
      </c>
      <c r="H29" s="9" t="str">
        <f>VLOOKUP(F29,'Unit of Measure ship March 2026'!A:C,3,false)</f>
        <v>LBS</v>
      </c>
    </row>
    <row r="30" ht="15.75" customHeight="1">
      <c r="B30" s="8">
        <v>16264.0</v>
      </c>
      <c r="C30" s="9" t="str">
        <f>VLOOKUP(B30,'FML March 2026'!E:F,2,false)</f>
        <v>CUMIN SEED WHOLE BADIA (USA )</v>
      </c>
      <c r="D30" s="9" t="str">
        <f>VLOOKUP(B27,'Unit of Measure ship March 2026'!A:C,3,false)</f>
        <v>LBS</v>
      </c>
      <c r="F30" s="8">
        <v>15399.0</v>
      </c>
      <c r="G30" s="9" t="str">
        <f>VLOOKUP(F30,'FML March 2026'!E:F,2,false)</f>
        <v>LIMES, FRESH, FIRM #1 200CT 40#</v>
      </c>
      <c r="H30" s="9" t="str">
        <f>VLOOKUP(F30,'Unit of Measure ship March 2026'!A:C,3,false)</f>
        <v>LBS</v>
      </c>
    </row>
    <row r="31" ht="15.75" customHeight="1">
      <c r="B31" s="8">
        <v>15026.0</v>
      </c>
      <c r="C31" s="9" t="str">
        <f>VLOOKUP(B31,'FML March 2026'!E:F,2,false)</f>
        <v>EGGS, WHOLE, LIQUID, W/ CITRIC ACID, NO SUGAR, 1-5 LB/1-5 LT, FZN, 6/5 LB</v>
      </c>
      <c r="D31" s="9" t="str">
        <f>VLOOKUP(B29,'Unit of Measure ship March 2026'!A:C,3,false)</f>
        <v>LBS</v>
      </c>
      <c r="F31" s="8">
        <v>110916.0</v>
      </c>
      <c r="G31" s="9" t="str">
        <f>VLOOKUP(F31,'FML March 2026'!E:F,2,false)</f>
        <v>MICRO GREEN MINT FRESH PKG/4OZ</v>
      </c>
      <c r="H31" s="9" t="str">
        <f>VLOOKUP(F31,'Unit of Measure ship March 2026'!A:C,3,false)</f>
        <v>LBS</v>
      </c>
    </row>
    <row r="32" ht="15.75" customHeight="1">
      <c r="B32" s="8">
        <v>16259.0</v>
      </c>
      <c r="C32" s="9" t="str">
        <f>VLOOKUP(B32,'FML March 2026'!E:F,2,false)</f>
        <v>FENNEL SEED WHOLE BADIA (USA )</v>
      </c>
      <c r="D32" s="9" t="str">
        <f>VLOOKUP(B29,'Unit of Measure ship March 2026'!A:C,3,false)</f>
        <v>LBS</v>
      </c>
      <c r="F32" s="8">
        <v>110056.0</v>
      </c>
      <c r="G32" s="9" t="str">
        <f>VLOOKUP(F32,'FML March 2026'!E:F,2,false)</f>
        <v>MICRO LEMON BALM</v>
      </c>
      <c r="H32" s="9" t="str">
        <f>VLOOKUP(F32,'Unit of Measure ship March 2026'!A:C,3,false)</f>
        <v>LBS</v>
      </c>
    </row>
    <row r="33" ht="15.75" customHeight="1">
      <c r="B33" s="17">
        <v>14990.0</v>
      </c>
      <c r="C33" s="9" t="str">
        <f>VLOOKUP(B33,'FML March 2026'!E:F,2,false)</f>
        <v>FETA, IN BRINE, TUB</v>
      </c>
      <c r="D33" s="9" t="str">
        <f>VLOOKUP(B31,'Unit of Measure ship March 2026'!A:C,3,false)</f>
        <v>LBS</v>
      </c>
      <c r="F33" s="17">
        <v>15436.0</v>
      </c>
      <c r="G33" s="9" t="str">
        <f>VLOOKUP(F33,'FML March 2026'!E:F,2,false)</f>
        <v>MINT (12 BUNCH), 1 LB/CS</v>
      </c>
      <c r="H33" s="9" t="str">
        <f>VLOOKUP(F33,'Unit of Measure ship March 2026'!A:C,3,false)</f>
        <v>LBS</v>
      </c>
    </row>
    <row r="34" ht="15.75" customHeight="1">
      <c r="B34" s="8">
        <v>31226.0</v>
      </c>
      <c r="C34" s="9" t="str">
        <f>VLOOKUP(B34,'FML March 2026'!E:F,2,false)</f>
        <v>FLEUR DE SEL / SEL DE GUERANDE 1 KG PAIL</v>
      </c>
      <c r="D34" s="9" t="str">
        <f>VLOOKUP(B33,'Unit of Measure ship March 2026'!A:C,3,false)</f>
        <v>LBS</v>
      </c>
      <c r="F34" s="53">
        <v>111046.0</v>
      </c>
      <c r="G34" s="9" t="str">
        <f>VLOOKUP(F34,'FML March 2026'!E:F,2,false)</f>
        <v>MUSHROOM HON SHIMEJII BROIWNFRESH CS3/LB</v>
      </c>
      <c r="H34" s="9" t="str">
        <f>VLOOKUP(F34,'Unit of Measure ship March 2026'!A:C,3,false)</f>
        <v>LBS</v>
      </c>
    </row>
    <row r="35" ht="15.75" customHeight="1">
      <c r="B35" s="8">
        <v>111865.0</v>
      </c>
      <c r="C35" s="9" t="str">
        <f>VLOOKUP(B35,'FML March 2026'!E:F,2,false)</f>
        <v>FLOUR ALL PURPOSE SIR GALAHAD BAG50/LBS KING ARTHUR</v>
      </c>
      <c r="D35" s="9" t="str">
        <f>VLOOKUP(B33,'Unit of Measure ship March 2026'!A:C,3,false)</f>
        <v>LBS</v>
      </c>
      <c r="F35" s="8">
        <v>110069.0</v>
      </c>
      <c r="G35" s="9" t="str">
        <f>VLOOKUP(F35,'FML March 2026'!E:F,2,false)</f>
        <v>MUSHROOM KING TRUMPET</v>
      </c>
      <c r="H35" s="9" t="str">
        <f>VLOOKUP(F35,'Unit of Measure ship March 2026'!A:C,3,false)</f>
        <v>LBS</v>
      </c>
    </row>
    <row r="36" ht="15.75" customHeight="1">
      <c r="B36" s="18">
        <v>16337.0</v>
      </c>
      <c r="C36" s="9" t="str">
        <f>VLOOKUP(B36,'FML March 2026'!E:F,2,false)</f>
        <v>GARAM MASALA POWDER INDIAN SPICE D`ALLESANDRO/MAYA</v>
      </c>
      <c r="D36" s="9" t="str">
        <f>VLOOKUP(B34,'Unit of Measure ship March 2026'!A:C,3,false)</f>
        <v>LBS</v>
      </c>
      <c r="F36" s="8">
        <v>24459.0</v>
      </c>
      <c r="G36" s="9" t="str">
        <f>VLOOKUP(F36,'FML March 2026'!E:F,2,false)</f>
        <v>MUSHROOM, CRIMINI</v>
      </c>
      <c r="H36" s="9" t="str">
        <f>VLOOKUP(F36,'Unit of Measure ship March 2026'!A:C,3,false)</f>
        <v>LBS</v>
      </c>
    </row>
    <row r="37" ht="15.75" customHeight="1">
      <c r="B37" s="8">
        <v>16578.0</v>
      </c>
      <c r="C37" s="9" t="str">
        <f>VLOOKUP(B37,'FML March 2026'!E:F,2,false)</f>
        <v>GARBANZO BEANS 6/10 CANS (SPAIN)</v>
      </c>
      <c r="D37" s="9" t="str">
        <f>VLOOKUP(B35,'Unit of Measure ship March 2026'!A:C,3,false)</f>
        <v>LBS</v>
      </c>
      <c r="F37" s="17">
        <v>15496.0</v>
      </c>
      <c r="G37" s="9" t="str">
        <f>VLOOKUP(F37,'FML March 2026'!E:F,2,false)</f>
        <v>ONIONS RED, MEDIUM 25#</v>
      </c>
      <c r="H37" s="9" t="str">
        <f>VLOOKUP(F37,'Unit of Measure ship March 2026'!A:C,3,false)</f>
        <v>LBS</v>
      </c>
    </row>
    <row r="38" ht="15.75" customHeight="1">
      <c r="B38" s="8">
        <v>16261.0</v>
      </c>
      <c r="C38" s="9" t="str">
        <f>VLOOKUP(B38,'FML March 2026'!E:F,2,false)</f>
        <v>GINGER GROUND D`ALLESANDRO/ SPICECO</v>
      </c>
      <c r="D38" s="9" t="str">
        <f>VLOOKUP(B35,'Unit of Measure ship March 2026'!A:C,3,false)</f>
        <v>LBS</v>
      </c>
      <c r="F38" s="53">
        <v>111864.0</v>
      </c>
      <c r="G38" s="9" t="str">
        <f>VLOOKUP(F38,'FML March 2026'!E:F,2,false)</f>
        <v>ONIONS, PEARL ONIONS RED FRESH 1/12PT 4#/CS</v>
      </c>
      <c r="H38" s="9" t="str">
        <f>VLOOKUP(F38,'Unit of Measure ship March 2026'!A:C,3,false)</f>
        <v>LBS</v>
      </c>
    </row>
    <row r="39" ht="15.75" customHeight="1">
      <c r="B39" s="18">
        <v>101778.0</v>
      </c>
      <c r="C39" s="9" t="str">
        <f>VLOOKUP(B39,'FML March 2026'!E:F,2,false)</f>
        <v>HAZELNUT WHOLE BLANCHED</v>
      </c>
      <c r="D39" s="9" t="str">
        <f>VLOOKUP(B35,'Unit of Measure ship March 2026'!A:C,3,false)</f>
        <v>LBS</v>
      </c>
      <c r="F39" s="8">
        <v>15497.0</v>
      </c>
      <c r="G39" s="9" t="str">
        <f>VLOOKUP(F39,'FML March 2026'!E:F,2,false)</f>
        <v>ONIONS, YELLOW, MEDIUM, SPANISH #1, 50#</v>
      </c>
      <c r="H39" s="9" t="str">
        <f>VLOOKUP(F39,'Unit of Measure ship March 2026'!A:C,3,false)</f>
        <v>LBS</v>
      </c>
    </row>
    <row r="40" ht="15.75" customHeight="1">
      <c r="B40" s="18">
        <v>101778.0</v>
      </c>
      <c r="C40" s="9" t="str">
        <f>VLOOKUP(B40,'FML March 2026'!E:F,2,false)</f>
        <v>HAZELNUT WHOLE BLANCHED</v>
      </c>
      <c r="D40" s="9" t="str">
        <f>VLOOKUP(B36,'Unit of Measure ship March 2026'!A:C,3,false)</f>
        <v>LBS</v>
      </c>
      <c r="F40" s="17">
        <v>15408.0</v>
      </c>
      <c r="G40" s="9" t="str">
        <f>VLOOKUP(F40,'FML March 2026'!E:F,2,false)</f>
        <v>ORANGES CAL. SUNKIST FANCY, VALENCIA NAVEL,88CT 40#</v>
      </c>
      <c r="H40" s="9" t="str">
        <f>VLOOKUP(F40,'Unit of Measure ship March 2026'!A:C,3,false)</f>
        <v>LBS</v>
      </c>
    </row>
    <row r="41" ht="15.75" customHeight="1">
      <c r="B41" s="18">
        <v>30053.0</v>
      </c>
      <c r="C41" s="9" t="str">
        <f>VLOOKUP(B41,'FML March 2026'!E:F,2,false)</f>
        <v>HIBISCUS FLOWER DRY6/3 OZ  D`ALLESANDRO</v>
      </c>
      <c r="D41" s="9" t="str">
        <f>VLOOKUP(B40,'Unit of Measure ship March 2026'!A:C,3,false)</f>
        <v>LBS</v>
      </c>
      <c r="F41" s="17">
        <v>15447.0</v>
      </c>
      <c r="G41" s="9" t="str">
        <f>VLOOKUP(F41,'FML March 2026'!E:F,2,false)</f>
        <v>OREGANO FRESH</v>
      </c>
      <c r="H41" s="9" t="str">
        <f>VLOOKUP(F41,'Unit of Measure ship March 2026'!A:C,3,false)</f>
        <v>LBS</v>
      </c>
    </row>
    <row r="42" ht="15.75" customHeight="1">
      <c r="B42" s="8">
        <v>15658.0</v>
      </c>
      <c r="C42" s="9" t="str">
        <f>VLOOKUP(B42,'FML March 2026'!E:F,2,false)</f>
        <v>HONEY 6/5 LB GROEB/MELONIA/SWEET HARVEST</v>
      </c>
      <c r="D42" s="9" t="str">
        <f>VLOOKUP(B39,'Unit of Measure ship March 2026'!A:C,3,false)</f>
        <v>LBS</v>
      </c>
      <c r="F42" s="8">
        <v>15500.0</v>
      </c>
      <c r="G42" s="9" t="str">
        <f>VLOOKUP(F42,'FML March 2026'!E:F,2,false)</f>
        <v>PARSLEY ITALIAN,  20#/CS</v>
      </c>
      <c r="H42" s="9" t="str">
        <f>VLOOKUP(F42,'Unit of Measure ship March 2026'!A:C,3,false)</f>
        <v>LBS</v>
      </c>
    </row>
    <row r="43" ht="15.75" customHeight="1">
      <c r="B43" s="8">
        <v>150521.0</v>
      </c>
      <c r="C43" s="9" t="str">
        <f>VLOOKUP(B43,'FML March 2026'!E:F,2,false)</f>
        <v>IZAK PKG 1/LB  LA BOITE</v>
      </c>
      <c r="D43" s="9" t="str">
        <f>VLOOKUP(B42,'Unit of Measure ship March 2026'!A:C,3,false)</f>
        <v>KG</v>
      </c>
      <c r="F43" s="8">
        <v>15502.0</v>
      </c>
      <c r="G43" s="9" t="str">
        <f>VLOOKUP(F43,'FML March 2026'!E:F,2,false)</f>
        <v>PEPPERS RED, MEDIUM, 88-100 MM</v>
      </c>
      <c r="H43" s="9" t="str">
        <f>VLOOKUP(F43,'Unit of Measure ship March 2026'!A:C,3,false)</f>
        <v>LBS</v>
      </c>
    </row>
    <row r="44" ht="15.75" customHeight="1">
      <c r="B44" s="8">
        <v>15623.0</v>
      </c>
      <c r="C44" s="9" t="str">
        <f>VLOOKUP(B44,'FML March 2026'!E:F,2,false)</f>
        <v>LETTUCE, MESCLUN  3#/CS</v>
      </c>
      <c r="D44" s="9" t="str">
        <f>VLOOKUP(B40,'Unit of Measure ship March 2026'!A:C,3,false)</f>
        <v>LBS</v>
      </c>
      <c r="F44" s="8">
        <v>15577.0</v>
      </c>
      <c r="G44" s="9" t="str">
        <f>VLOOKUP(F44,'FML March 2026'!E:F,2,false)</f>
        <v>PEPPERS YELLOW, MEDIUM, 88-100 MM</v>
      </c>
      <c r="H44" s="9" t="str">
        <f>VLOOKUP(F44,'Unit of Measure ship March 2026'!A:C,3,false)</f>
        <v>LBS</v>
      </c>
    </row>
    <row r="45" ht="15.75" customHeight="1">
      <c r="B45" s="8">
        <v>109667.0</v>
      </c>
      <c r="C45" s="9" t="str">
        <f>VLOOKUP(B45,'FML March 2026'!E:F,2,false)</f>
        <v>MAYONNAISE, UNILEVER - HELLMANN'S, 4800126530, DRY, 4/1 GAL</v>
      </c>
      <c r="D45" s="9" t="str">
        <f>VLOOKUP(B41,'Unit of Measure ship March 2026'!A:C,3,false)</f>
        <v>JAR/3OZ</v>
      </c>
      <c r="F45" s="8">
        <v>15316.0</v>
      </c>
      <c r="G45" s="9" t="str">
        <f>VLOOKUP(F45,'FML March 2026'!E:F,2,false)</f>
        <v>POMEGRANATE 20-35 CT. 22#</v>
      </c>
      <c r="H45" s="9" t="str">
        <f>VLOOKUP(F45,'Unit of Measure ship March 2026'!A:C,3,false)</f>
        <v>LBS</v>
      </c>
    </row>
    <row r="46" ht="15.75" customHeight="1">
      <c r="B46" s="8">
        <v>16948.0</v>
      </c>
      <c r="C46" s="9" t="str">
        <f>VLOOKUP(B46,'FML March 2026'!E:F,2,false)</f>
        <v>MISO PASTE WHITE, TUB</v>
      </c>
      <c r="D46" s="9" t="str">
        <f>VLOOKUP(B43,'Unit of Measure ship March 2026'!A:C,3,false)</f>
        <v>#N/A</v>
      </c>
      <c r="F46" s="8">
        <v>15518.0</v>
      </c>
      <c r="G46" s="9" t="str">
        <f>VLOOKUP(F46,'FML March 2026'!E:F,2,false)</f>
        <v>RADISHES, FRESH, BULK 40#</v>
      </c>
      <c r="H46" s="9" t="str">
        <f>VLOOKUP(F46,'Unit of Measure ship March 2026'!A:C,3,false)</f>
        <v>LBS</v>
      </c>
    </row>
    <row r="47" ht="15.75" customHeight="1">
      <c r="B47" s="8">
        <v>15711.0</v>
      </c>
      <c r="C47" s="9" t="str">
        <f>VLOOKUP(B47,'FML March 2026'!E:F,2,false)</f>
        <v>MOLASSES 4/1 GALLON GRANDMAS/ TORINO (USA )</v>
      </c>
      <c r="D47" s="9" t="str">
        <f>VLOOKUP(B45,'Unit of Measure ship March 2026'!A:C,3,false)</f>
        <v>GAL</v>
      </c>
      <c r="F47" s="8">
        <v>15427.0</v>
      </c>
      <c r="G47" s="9" t="str">
        <f>VLOOKUP(F47,'FML March 2026'!E:F,2,false)</f>
        <v>ROSEMARY (12 BUNCH) 1 LB/CS</v>
      </c>
      <c r="H47" s="9" t="str">
        <f>VLOOKUP(F47,'Unit of Measure ship March 2026'!A:C,3,false)</f>
        <v>LBS</v>
      </c>
    </row>
    <row r="48" ht="15.75" customHeight="1">
      <c r="B48" s="8">
        <v>16426.0</v>
      </c>
      <c r="C48" s="9" t="str">
        <f>VLOOKUP(B48,'FML March 2026'!E:F,2,false)</f>
        <v>MUSTARD  TUB GREY POUPON - DIJON MUSTARD PLAIN (FRANCE)</v>
      </c>
      <c r="D48" s="9" t="str">
        <f>VLOOKUP(B44,'Unit of Measure ship March 2026'!A:C,3,false)</f>
        <v>LBS</v>
      </c>
      <c r="F48" s="8">
        <v>24185.0</v>
      </c>
      <c r="G48" s="9" t="str">
        <f>VLOOKUP(F48,'FML March 2026'!E:F,2,false)</f>
        <v>SCALLIONS FRESH - ICELESS</v>
      </c>
      <c r="H48" s="9" t="str">
        <f>VLOOKUP(F48,'Unit of Measure ship March 2026'!A:C,3,false)</f>
        <v>LBS</v>
      </c>
    </row>
    <row r="49" ht="15.75" customHeight="1">
      <c r="B49" s="8">
        <v>16320.0</v>
      </c>
      <c r="C49" s="9" t="str">
        <f>VLOOKUP(B49,'FML March 2026'!E:F,2,false)</f>
        <v>MUSTARD SEED 24 OZ D`ALLESANDRO/ SPICECO</v>
      </c>
      <c r="D49" s="9" t="str">
        <f>VLOOKUP(B46,'Unit of Measure ship March 2026'!A:C,3,false)</f>
        <v>PC/2.2LB</v>
      </c>
      <c r="F49" s="18">
        <v>15522.0</v>
      </c>
      <c r="G49" s="9" t="str">
        <f>VLOOKUP(F49,'FML March 2026'!E:F,2,false)</f>
        <v>SHALLOTS CLOVES #1 FRESH 5#</v>
      </c>
      <c r="H49" s="9" t="str">
        <f>VLOOKUP(F49,'Unit of Measure ship March 2026'!A:C,3,false)</f>
        <v>LBS</v>
      </c>
    </row>
    <row r="50" ht="15.75" customHeight="1">
      <c r="B50" s="18">
        <v>16114.0</v>
      </c>
      <c r="C50" s="9" t="str">
        <f>VLOOKUP(B50,'FML March 2026'!E:F,2,false)</f>
        <v>NORI SHEETS, 50CT (FULL SHEET)</v>
      </c>
      <c r="D50" s="9" t="str">
        <f>VLOOKUP(B48,'Unit of Measure ship March 2026'!A:C,3,false)</f>
        <v>JAR/48OZ</v>
      </c>
      <c r="F50" s="17">
        <v>15446.0</v>
      </c>
      <c r="G50" s="9" t="str">
        <f>VLOOKUP(F50,'FML March 2026'!E:F,2,false)</f>
        <v>THYME FRESH</v>
      </c>
      <c r="H50" s="9" t="str">
        <f>VLOOKUP(F50,'Unit of Measure ship March 2026'!A:C,3,false)</f>
        <v>LBS</v>
      </c>
    </row>
    <row r="51" ht="15.75" customHeight="1">
      <c r="B51" s="8">
        <v>16266.0</v>
      </c>
      <c r="C51" s="9" t="str">
        <f>VLOOKUP(B51,'FML March 2026'!E:F,2,false)</f>
        <v>NUTMEG GROUND D`ALLESANDRO/ SPICECO (USA)</v>
      </c>
      <c r="D51" s="9" t="str">
        <f>VLOOKUP(B48,'Unit of Measure ship March 2026'!A:C,3,false)</f>
        <v>JAR/48OZ</v>
      </c>
      <c r="F51" s="8">
        <v>15583.0</v>
      </c>
      <c r="G51" s="9" t="str">
        <f>VLOOKUP(F51,'FML March 2026'!E:F,2,false)</f>
        <v>TOMATO, SUN-DRIED, HALVES, STANDARD, DRY, 4/5 LB</v>
      </c>
      <c r="H51" s="9" t="str">
        <f>VLOOKUP(F51,'Unit of Measure ship March 2026'!A:C,3,false)</f>
        <v>LBS</v>
      </c>
    </row>
    <row r="52" ht="15.75" customHeight="1">
      <c r="B52" s="8">
        <v>142741.0</v>
      </c>
      <c r="C52" s="9" t="str">
        <f>VLOOKUP(B52,'FML March 2026'!E:F,2,false)</f>
        <v>OIL OLIVE EXTRA VIRGIN ESPLENDIDO DOURO  500 ML - PORTUGAL</v>
      </c>
      <c r="D52" s="9" t="str">
        <f>VLOOKUP(B50,'Unit of Measure ship March 2026'!A:C,3,false)</f>
        <v>PK/50PC</v>
      </c>
      <c r="F52" s="8">
        <v>15537.0</v>
      </c>
      <c r="G52" s="9" t="str">
        <f>VLOOKUP(F52,'FML March 2026'!E:F,2,false)</f>
        <v>TOMATOES 6X6 #1 18# RED RIPE, FIRM (LAYERED), 55-65 MM</v>
      </c>
      <c r="H52" s="9" t="str">
        <f>VLOOKUP(F52,'Unit of Measure ship March 2026'!A:C,3,false)</f>
        <v>LBS</v>
      </c>
    </row>
    <row r="53" ht="15.75" customHeight="1">
      <c r="B53" s="18">
        <v>52602.0</v>
      </c>
      <c r="C53" s="9" t="str">
        <f>VLOOKUP(B53,'FML March 2026'!E:F,2,false)</f>
        <v>OIL, 100% OLIVE, EXTRA VIRGIN, DRY, 4/5 LT</v>
      </c>
      <c r="D53" s="9" t="str">
        <f>VLOOKUP(B51,'Unit of Measure ship March 2026'!A:C,3,false)</f>
        <v>UNIT/1LB</v>
      </c>
      <c r="F53" s="8">
        <v>15534.0</v>
      </c>
      <c r="G53" s="9" t="str">
        <f>VLOOKUP(F53,'FML March 2026'!E:F,2,false)</f>
        <v>TOMATOES CHERRY #1 (GRAPE) 10 PINK, RED, FIRM SMALL</v>
      </c>
      <c r="H53" s="9" t="str">
        <f>VLOOKUP(F53,'Unit of Measure ship March 2026'!A:C,3,false)</f>
        <v>LBS</v>
      </c>
    </row>
    <row r="54" ht="15.75" customHeight="1">
      <c r="B54" s="8">
        <v>16377.0</v>
      </c>
      <c r="C54" s="9" t="str">
        <f>VLOOKUP(B54,'FML March 2026'!E:F,2,false)</f>
        <v>OIL, 100% VEGETABLE SOYBEAN, DRY, 4/5 LT</v>
      </c>
      <c r="D54" s="9" t="str">
        <f>VLOOKUP(B52,'Unit of Measure ship March 2026'!A:C,3,false)</f>
        <v>BT/500ML</v>
      </c>
      <c r="F54" s="8">
        <v>109765.0</v>
      </c>
      <c r="G54" s="9" t="str">
        <f>VLOOKUP(F54,'FML March 2026'!E:F,2,false)</f>
        <v>TOMATOES CHERRY MIXED HEIRLOOM</v>
      </c>
      <c r="H54" s="9" t="str">
        <f>VLOOKUP(F54,'Unit of Measure ship March 2026'!A:C,3,false)</f>
        <v>LBS</v>
      </c>
    </row>
    <row r="55" ht="15.75" customHeight="1">
      <c r="B55" s="8">
        <v>16377.0</v>
      </c>
      <c r="C55" s="9" t="str">
        <f>VLOOKUP(B55,'FML March 2026'!E:F,2,false)</f>
        <v>OIL, 100% VEGETABLE SOYBEAN, DRY, 4/5 LT</v>
      </c>
      <c r="D55" s="9" t="str">
        <f>VLOOKUP(B51,'Unit of Measure ship March 2026'!A:C,3,false)</f>
        <v>UNIT/1LB</v>
      </c>
      <c r="F55" s="8">
        <v>15540.0</v>
      </c>
      <c r="G55" s="9" t="str">
        <f>VLOOKUP(F55,'FML March 2026'!E:F,2,false)</f>
        <v>WATERCRESS (FULL BX) 10# 24BH "B &amp; W, FRESH, ICE PACKED" 1BX</v>
      </c>
      <c r="H55" s="9" t="str">
        <f>VLOOKUP(F55,'Unit of Measure ship March 2026'!A:C,3,false)</f>
        <v>LBS</v>
      </c>
    </row>
    <row r="56" ht="15.75" customHeight="1">
      <c r="B56" s="8">
        <v>10265.0</v>
      </c>
      <c r="C56" s="9" t="str">
        <f>VLOOKUP(B56,'FML March 2026'!E:F,2,false)</f>
        <v>OIL, FRYING, 100% SOYBEAN, TRANS FAT FREE, FLASHPOINT &gt;600F, DRY, 4/5 LT</v>
      </c>
      <c r="D56" s="9" t="str">
        <f>VLOOKUP(B52,'Unit of Measure ship March 2026'!A:C,3,false)</f>
        <v>BT/500ML</v>
      </c>
      <c r="H56" s="9"/>
    </row>
    <row r="57" ht="15.75" customHeight="1">
      <c r="B57" s="8">
        <v>18644.0</v>
      </c>
      <c r="C57" s="9" t="str">
        <f>VLOOKUP(B57,'FML March 2026'!E:F,2,false)</f>
        <v>OLD BAY SEASONING 16 OZ MC CORMICK</v>
      </c>
      <c r="D57" s="9" t="str">
        <f>VLOOKUP(B55,'Unit of Measure ship March 2026'!A:C,3,false)</f>
        <v>C4/5LT</v>
      </c>
      <c r="H57" s="9"/>
    </row>
    <row r="58" ht="15.75" customHeight="1">
      <c r="B58" s="8">
        <v>52603.0</v>
      </c>
      <c r="C58" s="9" t="str">
        <f>VLOOKUP(B58,'FML March 2026'!E:F,2,false)</f>
        <v>OLIVE/CANOLA BLEND OIL</v>
      </c>
      <c r="D58" s="9" t="str">
        <f>VLOOKUP(B56,'Unit of Measure ship March 2026'!A:C,3,false)</f>
        <v>CS4/5LT</v>
      </c>
      <c r="H58" s="9"/>
    </row>
    <row r="59" ht="15.75" customHeight="1">
      <c r="B59" s="8">
        <v>52603.0</v>
      </c>
      <c r="C59" s="9" t="str">
        <f>VLOOKUP(B59,'FML March 2026'!E:F,2,false)</f>
        <v>OLIVE/CANOLA BLEND OIL</v>
      </c>
      <c r="D59" s="9" t="str">
        <f>VLOOKUP(B57,'Unit of Measure ship March 2026'!A:C,3,false)</f>
        <v>TIN16/OZ</v>
      </c>
      <c r="H59" s="9"/>
    </row>
    <row r="60" ht="15.75" customHeight="1">
      <c r="B60" s="8">
        <v>52603.0</v>
      </c>
      <c r="C60" s="9" t="str">
        <f>VLOOKUP(B60,'FML March 2026'!E:F,2,false)</f>
        <v>OLIVE/CANOLA BLEND OIL</v>
      </c>
      <c r="D60" s="9" t="str">
        <f>VLOOKUP(B58,'Unit of Measure ship March 2026'!A:C,3,false)</f>
        <v>LT</v>
      </c>
    </row>
    <row r="61" ht="15.75" customHeight="1">
      <c r="B61" s="8">
        <v>16431.0</v>
      </c>
      <c r="C61" s="9" t="str">
        <f>VLOOKUP(B61,'FML March 2026'!E:F,2,false)</f>
        <v>OLIVES KALAMATA PITTED AMBROSIA 16122 (8X5) (TURKEY)</v>
      </c>
      <c r="D61" s="9" t="str">
        <f>VLOOKUP(B59,'Unit of Measure ship March 2026'!A:C,3,false)</f>
        <v>LT</v>
      </c>
    </row>
    <row r="62" ht="15.75" customHeight="1">
      <c r="B62" s="8">
        <v>41451.0</v>
      </c>
      <c r="C62" s="9" t="str">
        <f>VLOOKUP(B62,'FML March 2026'!E:F,2,false)</f>
        <v>OLIVES QUEEN STUFFED 100/110CT 4/1GALLON PREMIUM/ DEL DESTINO</v>
      </c>
      <c r="D62" s="9" t="str">
        <f>VLOOKUP(B61,'Unit of Measure ship March 2026'!A:C,3,false)</f>
        <v>CAN/2KG</v>
      </c>
    </row>
    <row r="63" ht="15.75" customHeight="1">
      <c r="B63" s="18">
        <v>16268.0</v>
      </c>
      <c r="C63" s="9" t="str">
        <f>VLOOKUP(B63,'FML March 2026'!E:F,2,false)</f>
        <v>OREGANO LEAVES WHOLE D`ALLESANDRO/ SPICECO</v>
      </c>
      <c r="D63" s="9" t="str">
        <f>VLOOKUP(B61,'Unit of Measure ship March 2026'!A:C,3,false)</f>
        <v>CAN/2KG</v>
      </c>
    </row>
    <row r="64" ht="15.75" customHeight="1">
      <c r="B64" s="18">
        <v>106302.0</v>
      </c>
      <c r="C64" s="9" t="str">
        <f>VLOOKUP(B64,'FML March 2026'!E:F,2,false)</f>
        <v>OREGANO MEXICAN DRY CS1/LBS TERRA SPICE</v>
      </c>
      <c r="D64" s="9" t="str">
        <f>VLOOKUP(B62,'Unit of Measure ship March 2026'!A:C,3,false)</f>
        <v>GAL</v>
      </c>
    </row>
    <row r="65" ht="15.75" customHeight="1">
      <c r="B65" s="8">
        <v>109697.0</v>
      </c>
      <c r="C65" s="9" t="str">
        <f>VLOOKUP(B65,'FML March 2026'!E:F,2,false)</f>
        <v>PAPRIKA SMOKED PKG 26.46  OZ LA CHINATA</v>
      </c>
      <c r="D65" s="9" t="str">
        <f>VLOOKUP(B63,'Unit of Measure ship March 2026'!A:C,3,false)</f>
        <v>PC/5OZ</v>
      </c>
    </row>
    <row r="66" ht="15.75" customHeight="1">
      <c r="B66" s="18">
        <v>16269.0</v>
      </c>
      <c r="C66" s="9" t="str">
        <f>VLOOKUP(B66,'FML March 2026'!E:F,2,false)</f>
        <v>PAPRIKA SPANISH MUNOZ Y PUJANTE/ D`ALLESANDRO/ SPICECO</v>
      </c>
      <c r="D66" s="9" t="str">
        <f>VLOOKUP(B64,'Unit of Measure ship March 2026'!A:C,3,false)</f>
        <v>OZ</v>
      </c>
    </row>
    <row r="67" ht="15.75" customHeight="1">
      <c r="B67" s="8">
        <v>51211.0</v>
      </c>
      <c r="C67" s="9" t="str">
        <f>VLOOKUP(B67,'FML March 2026'!E:F,2,false)</f>
        <v>PASTE VANILLA FLAVOR 35 OZ PASTRY STAR #00057</v>
      </c>
      <c r="D67" s="9" t="str">
        <f>VLOOKUP(B65,'Unit of Measure ship March 2026'!A:C,3,false)</f>
        <v>KG</v>
      </c>
    </row>
    <row r="68" ht="15.75" customHeight="1">
      <c r="B68" s="8">
        <v>108553.0</v>
      </c>
      <c r="C68" s="9" t="str">
        <f>VLOOKUP(B68,'FML March 2026'!E:F,2,false)</f>
        <v>PEPPER ARBOL  D'ALLESANDRO CS/5LB</v>
      </c>
      <c r="D68" s="9" t="str">
        <f>VLOOKUP(B64,'Unit of Measure ship March 2026'!A:C,3,false)</f>
        <v>OZ</v>
      </c>
    </row>
    <row r="69" ht="15.75" customHeight="1">
      <c r="B69" s="8">
        <v>33681.0</v>
      </c>
      <c r="C69" s="9" t="str">
        <f>VLOOKUP(B69,'FML March 2026'!E:F,2,false)</f>
        <v>PEPPER BLACK GROUND BADIA (USA )</v>
      </c>
      <c r="D69" s="9" t="str">
        <f>VLOOKUP(B67,'Unit of Measure ship March 2026'!A:C,3,false)</f>
        <v>BTL/35OZ</v>
      </c>
    </row>
    <row r="70" ht="15.75" customHeight="1">
      <c r="B70" s="8">
        <v>16302.0</v>
      </c>
      <c r="C70" s="9" t="str">
        <f>VLOOKUP(B70,'FML March 2026'!E:F,2,false)</f>
        <v>PEPPER CAYENNE GROUND BADIA (USA )</v>
      </c>
      <c r="D70" s="9" t="str">
        <f>VLOOKUP(B66,'Unit of Measure ship March 2026'!A:C,3,false)</f>
        <v>LBS</v>
      </c>
    </row>
    <row r="71" ht="15.75" customHeight="1">
      <c r="B71" s="8">
        <v>16285.0</v>
      </c>
      <c r="C71" s="9" t="str">
        <f>VLOOKUP(B71,'FML March 2026'!E:F,2,false)</f>
        <v>PEPPERCORN, BLACK, WHOLE, DRY, 6/420 G</v>
      </c>
      <c r="D71" s="9" t="str">
        <f>VLOOKUP(B69,'Unit of Measure ship March 2026'!A:C,3,false)</f>
        <v>LBS</v>
      </c>
    </row>
    <row r="72" ht="15.75" customHeight="1">
      <c r="B72" s="18">
        <v>16392.0</v>
      </c>
      <c r="C72" s="9" t="str">
        <f>VLOOKUP(B72,'FML March 2026'!E:F,2,false)</f>
        <v>PEPPERS RED ROASTED 6X#10</v>
      </c>
      <c r="D72" s="9" t="str">
        <f>VLOOKUP(B70,'Unit of Measure ship March 2026'!A:C,3,false)</f>
        <v>LBS</v>
      </c>
    </row>
    <row r="73" ht="15.75" customHeight="1">
      <c r="B73" s="8">
        <v>109709.0</v>
      </c>
      <c r="C73" s="9" t="str">
        <f>VLOOKUP(B73,'FML March 2026'!E:F,2,false)</f>
        <v>PIERRE POIVRE PEPPER (LA BOITE A EPICE BRAND)</v>
      </c>
      <c r="D73" s="9" t="str">
        <f>VLOOKUP(B71,'Unit of Measure ship March 2026'!A:C,3,false)</f>
        <v>LBS</v>
      </c>
    </row>
    <row r="74" ht="15.75" customHeight="1">
      <c r="B74" s="8">
        <v>53666.0</v>
      </c>
      <c r="C74" s="9" t="str">
        <f>VLOOKUP(B74,'FML March 2026'!E:F,2,false)</f>
        <v>PIQUILLO PIMIENTOS WHOLE ROASTED &amp; PEELED 6/#10</v>
      </c>
      <c r="D74" s="9" t="str">
        <f>VLOOKUP(B72,'Unit of Measure ship March 2026'!A:C,3,false)</f>
        <v>TIN/3KG</v>
      </c>
    </row>
    <row r="75" ht="15.75" customHeight="1">
      <c r="B75" s="8">
        <v>15894.0</v>
      </c>
      <c r="C75" s="9" t="str">
        <f>VLOOKUP(B75,'FML March 2026'!E:F,2,false)</f>
        <v>PISTACHIO NUTS WHOLE SHELLED RAW NUTLAND</v>
      </c>
      <c r="D75" s="9" t="str">
        <f>VLOOKUP(B72,'Unit of Measure ship March 2026'!A:C,3,false)</f>
        <v>TIN/3KG</v>
      </c>
    </row>
    <row r="76" ht="15.75" customHeight="1">
      <c r="B76" s="18">
        <v>14967.0</v>
      </c>
      <c r="C76" s="9" t="str">
        <f>VLOOKUP(B76,'FML March 2026'!E:F,2,false)</f>
        <v>PLAIN PLANT BASED YOGURT (BULK PACK)</v>
      </c>
      <c r="D76" s="9" t="str">
        <f>VLOOKUP(B74,'Unit of Measure ship March 2026'!A:C,3,false)</f>
        <v>CAN/3KG</v>
      </c>
    </row>
    <row r="77" ht="15.75" customHeight="1">
      <c r="B77" s="8">
        <v>110935.0</v>
      </c>
      <c r="C77" s="9" t="str">
        <f>VLOOKUP(B77,'FML March 2026'!E:F,2,false)</f>
        <v>PORCINI POWDER</v>
      </c>
      <c r="D77" s="9" t="str">
        <f>VLOOKUP(B75,'Unit of Measure ship March 2026'!A:C,3,false)</f>
        <v>LBS</v>
      </c>
    </row>
    <row r="78" ht="15.75" customHeight="1">
      <c r="B78" s="18">
        <v>16946.0</v>
      </c>
      <c r="C78" s="9" t="str">
        <f>VLOOKUP(B78,'FML March 2026'!E:F,2,false)</f>
        <v>QUINOA WHITE</v>
      </c>
      <c r="D78" s="9" t="str">
        <f>VLOOKUP(B74,'Unit of Measure ship March 2026'!A:C,3,false)</f>
        <v>CAN/3KG</v>
      </c>
    </row>
    <row r="79" ht="15.75" customHeight="1">
      <c r="B79" s="8">
        <v>15805.0</v>
      </c>
      <c r="C79" s="9" t="str">
        <f>VLOOKUP(B79,'FML March 2026'!E:F,2,false)</f>
        <v>RAISINS GOLDEN SEEDLESS</v>
      </c>
      <c r="D79" s="9" t="str">
        <f>VLOOKUP(B75,'Unit of Measure ship March 2026'!A:C,3,false)</f>
        <v>LBS</v>
      </c>
    </row>
    <row r="80" ht="15.75" customHeight="1">
      <c r="B80" s="18">
        <v>16276.0</v>
      </c>
      <c r="C80" s="9" t="str">
        <f>VLOOKUP(B80,'FML March 2026'!E:F,2,false)</f>
        <v>ROSEMARY WHOLE 8 OZ BADIA (USA )</v>
      </c>
      <c r="D80" s="9" t="str">
        <f>VLOOKUP(B78,'Unit of Measure ship March 2026'!A:C,3,false)</f>
        <v>PC/12OZ</v>
      </c>
    </row>
    <row r="81" ht="15.75" customHeight="1">
      <c r="B81" s="8">
        <v>33324.0</v>
      </c>
      <c r="C81" s="9" t="str">
        <f>VLOOKUP(B81,'FML March 2026'!E:F,2,false)</f>
        <v>SAFFRON POWDER MANCHA 1 OZ (IRAN)</v>
      </c>
      <c r="D81" s="9" t="str">
        <f>VLOOKUP(B80,'Unit of Measure ship March 2026'!A:C,3,false)</f>
        <v>PC/8OZ</v>
      </c>
    </row>
    <row r="82" ht="15.75" customHeight="1">
      <c r="B82" s="8">
        <v>16307.0</v>
      </c>
      <c r="C82" s="9" t="str">
        <f>VLOOKUP(B82,'FML March 2026'!E:F,2,false)</f>
        <v>SALT KOSHER GRANULATED</v>
      </c>
      <c r="D82" s="9" t="str">
        <f>VLOOKUP(B80,'Unit of Measure ship March 2026'!A:C,3,false)</f>
        <v>PC/8OZ</v>
      </c>
    </row>
    <row r="83" ht="15.75" customHeight="1">
      <c r="B83" s="8">
        <v>16280.0</v>
      </c>
      <c r="C83" s="9" t="str">
        <f>VLOOKUP(B83,'FML March 2026'!E:F,2,false)</f>
        <v>SALT, GRANULATED, IODIZED, DRY, 12/26 OZ</v>
      </c>
      <c r="D83" s="9" t="str">
        <f>VLOOKUP(B81,'Unit of Measure ship March 2026'!A:C,3,false)</f>
        <v>CAN/1-OZ</v>
      </c>
    </row>
    <row r="84" ht="15.75" customHeight="1">
      <c r="B84" s="18">
        <v>11260.0</v>
      </c>
      <c r="C84" s="9" t="str">
        <f>VLOOKUP(B84,'FML March 2026'!E:F,2,false)</f>
        <v>SESAME SEED BLACK</v>
      </c>
      <c r="D84" s="9" t="str">
        <f>VLOOKUP(B82,'Unit of Measure ship March 2026'!A:C,3,false)</f>
        <v>LBS</v>
      </c>
    </row>
    <row r="85" ht="15.75" customHeight="1">
      <c r="B85" s="8">
        <v>15818.0</v>
      </c>
      <c r="C85" s="9" t="str">
        <f>VLOOKUP(B85,'FML March 2026'!E:F,2,false)</f>
        <v>SESAME SEEDS WHITE BADIA (USA )</v>
      </c>
      <c r="D85" s="9" t="str">
        <f>VLOOKUP(B82,'Unit of Measure ship March 2026'!A:C,3,false)</f>
        <v>LBS</v>
      </c>
    </row>
    <row r="86" ht="15.75" customHeight="1">
      <c r="B86" s="18">
        <v>20887.0</v>
      </c>
      <c r="C86" s="9" t="str">
        <f>VLOOKUP(B86,'FML March 2026'!E:F,2,false)</f>
        <v>SHICHIMI TOGARASHI CHINESE 7 FLAVOR CHILI PEPPERS</v>
      </c>
      <c r="D86" s="9" t="str">
        <f>VLOOKUP(B85,'Unit of Measure ship March 2026'!A:C,3,false)</f>
        <v>LBS</v>
      </c>
    </row>
    <row r="87" ht="15.75" customHeight="1">
      <c r="B87" s="8">
        <v>107138.0</v>
      </c>
      <c r="C87" s="9" t="str">
        <f>VLOOKUP(B87,'FML March 2026'!E:F,2,false)</f>
        <v>SPICE SAFFRON THREADS SPANISH (SPAIN)</v>
      </c>
      <c r="D87" s="9" t="str">
        <f>VLOOKUP(B85,'Unit of Measure ship March 2026'!A:C,3,false)</f>
        <v>LBS</v>
      </c>
    </row>
    <row r="88" ht="15.75" customHeight="1">
      <c r="B88" s="8">
        <v>20879.0</v>
      </c>
      <c r="C88" s="9" t="str">
        <f>VLOOKUP(B88,'FML March 2026'!E:F,2,false)</f>
        <v>SRIRACHA, HOT CHILI SAUCE, HUY FONG, 28OZ</v>
      </c>
      <c r="D88" s="9" t="str">
        <f>VLOOKUP(B85,'Unit of Measure ship March 2026'!A:C,3,false)</f>
        <v>LBS</v>
      </c>
    </row>
    <row r="89" ht="15.75" customHeight="1">
      <c r="B89" s="18">
        <v>15646.0</v>
      </c>
      <c r="C89" s="9" t="str">
        <f>VLOOKUP(B89,'FML March 2026'!E:F,2,false)</f>
        <v>SUGAR BROWN DARK  24/1LB  DOMINO (404310) (USA)</v>
      </c>
      <c r="D89" s="9" t="str">
        <f>VLOOKUP(B85,'Unit of Measure ship March 2026'!A:C,3,false)</f>
        <v>LBS</v>
      </c>
    </row>
    <row r="90" ht="15.75" customHeight="1">
      <c r="B90" s="8">
        <v>15642.0</v>
      </c>
      <c r="C90" s="9" t="str">
        <f>VLOOKUP(B90,'FML March 2026'!E:F,2,false)</f>
        <v>SUGAR, GRANULATED, ICUMSA 150, SUGARCANE, DRY, 1/50 LB</v>
      </c>
      <c r="D90" s="9" t="str">
        <f>VLOOKUP(B88,'Unit of Measure ship March 2026'!A:C,3,false)</f>
        <v>BT/17OZ</v>
      </c>
    </row>
    <row r="91" ht="15.75" customHeight="1">
      <c r="B91" s="8">
        <v>19407.0</v>
      </c>
      <c r="C91" s="9" t="str">
        <f>VLOOKUP(B91,'FML March 2026'!E:F,2,false)</f>
        <v>SUMAC POWDER CHEFS WAREHOUSE</v>
      </c>
      <c r="D91" s="9" t="str">
        <f>VLOOKUP(B89,'Unit of Measure ship March 2026'!A:C,3,false)</f>
        <v>LBS</v>
      </c>
    </row>
    <row r="92" ht="15.75" customHeight="1">
      <c r="B92" s="8">
        <v>15892.0</v>
      </c>
      <c r="C92" s="9" t="str">
        <f>VLOOKUP(B92,'FML March 2026'!E:F,2,false)</f>
        <v>SUNFLOWER SEEDS WHOLE SHELL-OFF RAW  HIALEAH (USA )</v>
      </c>
      <c r="D92" s="9" t="str">
        <f>VLOOKUP(B89,'Unit of Measure ship March 2026'!A:C,3,false)</f>
        <v>LBS</v>
      </c>
    </row>
    <row r="93" ht="15.75" customHeight="1">
      <c r="B93" s="8">
        <v>110928.0</v>
      </c>
      <c r="C93" s="9" t="str">
        <f>VLOOKUP(B93,'FML March 2026'!E:F,2,false)</f>
        <v>TAHINI PASTE  CS12/1LB SOOM</v>
      </c>
      <c r="D93" s="9" t="str">
        <f>VLOOKUP(B91,'Unit of Measure ship March 2026'!A:C,3,false)</f>
        <v>LBS</v>
      </c>
    </row>
    <row r="94" ht="15.75" customHeight="1">
      <c r="B94" s="8">
        <v>16581.0</v>
      </c>
      <c r="C94" s="9" t="str">
        <f>VLOOKUP(B94,'FML March 2026'!E:F,2,false)</f>
        <v>TOMATO, PASTE, HEINZ, 57310, DRY, 6/#10</v>
      </c>
      <c r="D94" s="9" t="str">
        <f>VLOOKUP(B90,'Unit of Measure ship March 2026'!A:C,3,false)</f>
        <v>LBS</v>
      </c>
    </row>
    <row r="95" ht="15.75" customHeight="1">
      <c r="B95" s="8">
        <v>101990.0</v>
      </c>
      <c r="C95" s="9" t="str">
        <f>VLOOKUP(B95,'FML March 2026'!E:F,2,false)</f>
        <v>TRUFFLE AESTIVUM-SUMMER PEELINGS HENRAS (FRANCE)</v>
      </c>
      <c r="D95" s="9" t="str">
        <f>VLOOKUP(B93,'Unit of Measure ship March 2026'!A:C,3,false)</f>
        <v>LBS</v>
      </c>
    </row>
    <row r="96" ht="15.75" customHeight="1">
      <c r="B96" s="8">
        <v>16310.0</v>
      </c>
      <c r="C96" s="9" t="str">
        <f>VLOOKUP(B96,'FML March 2026'!E:F,2,false)</f>
        <v>TURMERIC GROUND</v>
      </c>
      <c r="D96" s="9" t="str">
        <f>VLOOKUP(B93,'Unit of Measure ship March 2026'!A:C,3,false)</f>
        <v>LBS</v>
      </c>
    </row>
    <row r="97" ht="15.75" customHeight="1">
      <c r="B97" s="18">
        <v>111933.0</v>
      </c>
      <c r="C97" s="9" t="str">
        <f>VLOOKUP(B97,'FML March 2026'!E:F,2,false)</f>
        <v>VEGETABLE STOCK LIQUID  CS 4.5/ LITER SAVORY CHOICE</v>
      </c>
      <c r="D97" s="9" t="str">
        <f>VLOOKUP(B95,'Unit of Measure ship March 2026'!A:C,3,false)</f>
        <v>CAN/7OZ</v>
      </c>
    </row>
    <row r="98" ht="15.75" customHeight="1">
      <c r="B98" s="8">
        <v>109665.0</v>
      </c>
      <c r="C98" s="9" t="str">
        <f>VLOOKUP(B98,'FML March 2026'!E:F,2,false)</f>
        <v>VINEGAR CABERNET SPARROW LANE</v>
      </c>
      <c r="D98" s="9" t="str">
        <f>VLOOKUP(B94,'Unit of Measure ship March 2026'!A:C,3,false)</f>
        <v>CN/6.5LB</v>
      </c>
    </row>
    <row r="99" ht="15.75" customHeight="1">
      <c r="B99" s="8">
        <v>109666.0</v>
      </c>
      <c r="C99" s="9" t="str">
        <f>VLOOKUP(B99,'FML March 2026'!E:F,2,false)</f>
        <v>VINEGAR CHAMPAGNE WINE SPARROW LANE/ PACKER</v>
      </c>
      <c r="D99" s="9" t="str">
        <f>VLOOKUP(B95,'Unit of Measure ship March 2026'!A:C,3,false)</f>
        <v>CAN/7OZ</v>
      </c>
    </row>
    <row r="100" ht="15.75" customHeight="1">
      <c r="B100" s="8">
        <v>16399.0</v>
      </c>
      <c r="C100" s="9" t="str">
        <f>VLOOKUP(B100,'FML March 2026'!E:F,2,false)</f>
        <v>VINEGAR RASPBERRY 12/33.8 OZ ROLAND</v>
      </c>
      <c r="D100" s="9" t="str">
        <f>VLOOKUP(B97,'Unit of Measure ship March 2026'!A:C,3,false)</f>
        <v>LT</v>
      </c>
    </row>
    <row r="101" ht="15.75" customHeight="1">
      <c r="B101" s="18">
        <v>16402.0</v>
      </c>
      <c r="C101" s="9" t="str">
        <f>VLOOKUP(B101,'FML March 2026'!E:F,2,false)</f>
        <v>VINEGAR SHERRY/ XERES CS4/5 LT ROLAND</v>
      </c>
      <c r="D101" s="9" t="str">
        <f>VLOOKUP(B97,'Unit of Measure ship March 2026'!A:C,3,false)</f>
        <v>LT</v>
      </c>
    </row>
    <row r="102" ht="15.75" customHeight="1">
      <c r="B102" s="8">
        <v>15802.0</v>
      </c>
      <c r="C102" s="9" t="str">
        <f>VLOOKUP(B102,'FML March 2026'!E:F,2,false)</f>
        <v>WALNUTS LARGE HALVES</v>
      </c>
      <c r="D102" s="9" t="str">
        <f>VLOOKUP(B99,'Unit of Measure ship March 2026'!A:C,3,false)</f>
        <v>GAL</v>
      </c>
    </row>
    <row r="103" ht="15.75" customHeight="1">
      <c r="B103" s="8">
        <v>15732.0</v>
      </c>
      <c r="C103" s="9" t="str">
        <f>VLOOKUP(B103,'FML March 2026'!E:F,2,false)</f>
        <v>WHEAT, BULGUR WHEAT CS6/2LB INHARVEST</v>
      </c>
      <c r="D103" s="9" t="str">
        <f>VLOOKUP(B99,'Unit of Measure ship March 2026'!A:C,3,false)</f>
        <v>GAL</v>
      </c>
    </row>
    <row r="104" ht="15.75" customHeight="1">
      <c r="B104" s="8">
        <v>16387.0</v>
      </c>
      <c r="C104" s="9" t="str">
        <f>VLOOKUP(B104,'FML March 2026'!E:F,2,false)</f>
        <v>WHITE TRUFFLE OIL</v>
      </c>
      <c r="D104" s="9" t="str">
        <f>VLOOKUP(B100,'Unit of Measure ship March 2026'!A:C,3,false)</f>
        <v>BTL/34OZ</v>
      </c>
    </row>
    <row r="105" ht="15.75" customHeight="1">
      <c r="B105" s="8">
        <v>102288.0</v>
      </c>
      <c r="C105" s="9" t="str">
        <f>VLOOKUP(B105,'FML March 2026'!E:F,2,false)</f>
        <v>XANTHAN GUM (AUSTRIA)</v>
      </c>
      <c r="D105" s="9" t="str">
        <f>VLOOKUP(B101,'Unit of Measure ship March 2026'!A:C,3,false)</f>
        <v>BT/750ML</v>
      </c>
    </row>
    <row r="106" ht="15.75" customHeight="1">
      <c r="B106" s="8">
        <v>15032.0</v>
      </c>
      <c r="C106" s="9" t="str">
        <f>VLOOKUP(B106,'FML March 2026'!E:F,2,false)</f>
        <v>YEAST ACTIVE 24/1# FRESH &amp; REFRIGERATED, FLEISCHMANS</v>
      </c>
      <c r="D106" s="9" t="str">
        <f>VLOOKUP(B104,'Unit of Measure ship March 2026'!A:C,3,false)</f>
        <v>BT/250ML</v>
      </c>
    </row>
    <row r="107" ht="15.75" customHeight="1">
      <c r="B107" s="8">
        <v>109846.0</v>
      </c>
      <c r="C107" s="9" t="str">
        <f>VLOOKUP(B107,'FML March 2026'!E:F,2,false)</f>
        <v>YOGURT GREEK BULK</v>
      </c>
      <c r="D107" s="9" t="str">
        <f>VLOOKUP(B105,'Unit of Measure ship March 2026'!A:C,3,false)</f>
        <v>LBS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>
      <c r="C148" s="9"/>
    </row>
    <row r="149" ht="15.75" customHeight="1">
      <c r="C149" s="9"/>
    </row>
    <row r="150" ht="15.75" customHeight="1">
      <c r="C150" s="9"/>
    </row>
    <row r="151" ht="15.75" customHeight="1">
      <c r="C151" s="9"/>
    </row>
    <row r="152" ht="15.75" customHeight="1">
      <c r="C152" s="9"/>
    </row>
    <row r="153" ht="15.75" customHeight="1">
      <c r="C153" s="9"/>
    </row>
    <row r="154" ht="15.75" customHeight="1">
      <c r="C154" s="9"/>
    </row>
    <row r="155" ht="15.75" customHeight="1">
      <c r="C155" s="9"/>
    </row>
    <row r="156" ht="15.75" customHeight="1">
      <c r="C156" s="9"/>
    </row>
    <row r="157" ht="15.75" customHeight="1">
      <c r="C157" s="9"/>
    </row>
    <row r="158" ht="15.75" customHeight="1">
      <c r="C158" s="9"/>
    </row>
    <row r="159" ht="15.75" customHeight="1">
      <c r="C159" s="9"/>
    </row>
    <row r="160" ht="15.75" customHeight="1">
      <c r="C160" s="9"/>
    </row>
    <row r="161" ht="15.75" customHeight="1">
      <c r="C161" s="9"/>
    </row>
    <row r="162" ht="15.75" customHeight="1">
      <c r="C162" s="9"/>
    </row>
    <row r="163" ht="15.75" customHeight="1">
      <c r="C163" s="9"/>
    </row>
    <row r="164" ht="15.75" customHeight="1">
      <c r="C164" s="9"/>
    </row>
    <row r="165" ht="15.75" customHeight="1">
      <c r="C165" s="9"/>
    </row>
    <row r="166" ht="15.75" customHeight="1">
      <c r="C166" s="9"/>
    </row>
    <row r="167" ht="15.75" customHeight="1">
      <c r="C167" s="9"/>
    </row>
    <row r="168" ht="15.75" customHeight="1">
      <c r="C168" s="9"/>
    </row>
    <row r="169" ht="15.75" customHeight="1">
      <c r="C169" s="9"/>
    </row>
    <row r="170" ht="15.75" customHeight="1">
      <c r="C170" s="9"/>
    </row>
    <row r="171" ht="15.75" customHeight="1">
      <c r="C171" s="9"/>
    </row>
    <row r="172" ht="15.75" customHeight="1">
      <c r="C172" s="9"/>
    </row>
    <row r="173" ht="15.75" customHeight="1">
      <c r="C173" s="9"/>
    </row>
    <row r="174" ht="15.75" customHeight="1">
      <c r="C174" s="9"/>
    </row>
    <row r="175" ht="15.75" customHeight="1">
      <c r="C175" s="9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59.57"/>
    <col customWidth="1" min="4" max="4" width="11.57"/>
    <col customWidth="1" min="5" max="5" width="2.43"/>
    <col customWidth="1" min="6" max="6" width="9.57"/>
    <col customWidth="1" min="7" max="7" width="55.71"/>
    <col customWidth="1" min="8" max="8" width="6.71"/>
    <col customWidth="1" min="9" max="9" width="3.14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99</v>
      </c>
      <c r="D1" s="142"/>
      <c r="E1" s="144"/>
      <c r="F1" s="143" t="s">
        <v>100</v>
      </c>
      <c r="I1" s="144"/>
      <c r="J1" s="142"/>
      <c r="K1" s="143" t="s">
        <v>101</v>
      </c>
      <c r="L1" s="142"/>
      <c r="M1" s="144"/>
      <c r="N1" s="142"/>
      <c r="O1" s="143" t="s">
        <v>102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I2" s="156"/>
      <c r="J2" s="145" t="s">
        <v>6</v>
      </c>
      <c r="K2" s="146" t="s">
        <v>7</v>
      </c>
      <c r="L2" s="145" t="s">
        <v>8</v>
      </c>
      <c r="N2" s="147" t="s">
        <v>6</v>
      </c>
      <c r="O2" s="148" t="s">
        <v>7</v>
      </c>
      <c r="P2" s="145" t="s">
        <v>8</v>
      </c>
    </row>
    <row r="3" ht="14.25" customHeight="1">
      <c r="B3" s="18">
        <v>111083.0</v>
      </c>
      <c r="C3" s="9" t="str">
        <f>VLOOKUP(B3,'FML March 2026'!E:F,2,false)</f>
        <v>ALEPPO PEPPER  PKG 1/LB  LA BOITE</v>
      </c>
      <c r="D3" s="9" t="str">
        <f>VLOOKUP(B3,'Unit of Measure ship March 2026'!A:C,3,false)</f>
        <v>LBS</v>
      </c>
      <c r="F3" s="8">
        <v>24182.0</v>
      </c>
      <c r="G3" s="15" t="str">
        <f>VLOOKUP(F3,'FML March 2026'!E:F,2,false)</f>
        <v>ARUGULA, BABY</v>
      </c>
      <c r="H3" s="15" t="str">
        <f>VLOOKUP(F3,'Unit of Measure ship March 2026'!A:C,3,false)</f>
        <v>LBS</v>
      </c>
      <c r="I3" s="48"/>
      <c r="J3" s="48">
        <v>11189.0</v>
      </c>
      <c r="K3" s="9" t="str">
        <f>VLOOKUP(J3,'FML March 2026'!E:F,2,false)</f>
        <v>BEEF GROUND CHUCK C.A.B./ ANGUS NAMP 137-2</v>
      </c>
      <c r="L3" s="9" t="str">
        <f>VLOOKUP(J3,'Unit of Measure ship March 2026'!A:C,3,false)</f>
        <v>LBS</v>
      </c>
      <c r="N3" s="78">
        <v>102829.0</v>
      </c>
      <c r="O3" s="9" t="str">
        <f>VLOOKUP(N3,'FML March 2026'!E:F,2,false)</f>
        <v>Scallops 10/15 CT</v>
      </c>
      <c r="P3" s="9" t="str">
        <f>VLOOKUP(N3,'Unit of Measure ship March 2026'!A:C,3,false)</f>
        <v>LBS</v>
      </c>
    </row>
    <row r="4" ht="14.25" customHeight="1">
      <c r="B4" s="8">
        <v>16011.0</v>
      </c>
      <c r="C4" s="9" t="str">
        <f>VLOOKUP(B4,'FML March 2026'!E:F,2,false)</f>
        <v>ANCHOVY FILLETS IN OLIVE OIL</v>
      </c>
      <c r="D4" s="9" t="str">
        <f>VLOOKUP(B4,'Unit of Measure ship March 2026'!A:C,3,false)</f>
        <v>CAN/28OZ</v>
      </c>
      <c r="F4" s="8">
        <v>15378.0</v>
      </c>
      <c r="G4" s="15" t="str">
        <f>VLOOKUP(F4,'FML March 2026'!E:F,2,false)</f>
        <v>AVOCADOS HASS FRESH CA-48PC FL-12/14PC 20#</v>
      </c>
      <c r="H4" s="15" t="str">
        <f>VLOOKUP(F4,'Unit of Measure ship March 2026'!A:C,3,false)</f>
        <v>LBS</v>
      </c>
      <c r="I4" s="48"/>
      <c r="J4" s="48">
        <v>11690.0</v>
      </c>
      <c r="K4" s="9" t="str">
        <f>VLOOKUP(J4,'FML March 2026'!E:F,2,false)</f>
        <v>CHICKEN BREAST, BONELESS, SKINLESS, NON-MARINATED, NON-INJECTED, 6-7 OZ EA, FZN, 1/40 LB</v>
      </c>
      <c r="L4" s="9" t="str">
        <f>VLOOKUP(J4,'Unit of Measure ship March 2026'!A:C,3,false)</f>
        <v>LBS</v>
      </c>
      <c r="N4" s="48">
        <v>42269.0</v>
      </c>
      <c r="O4" s="9" t="str">
        <f>VLOOKUP(N4,'FML March 2026'!E:F,2,false)</f>
        <v>SHRIMP 16/20 RAW P&amp;D TAIL-ON CS10/LB SURAM ROYAL WHITE (VIETNAM)</v>
      </c>
      <c r="P4" s="9" t="str">
        <f>VLOOKUP(N4,'Unit of Measure ship March 2026'!A:C,3,false)</f>
        <v>LBS</v>
      </c>
    </row>
    <row r="5" ht="14.25" customHeight="1">
      <c r="B5" s="8">
        <v>15231.0</v>
      </c>
      <c r="C5" s="9" t="str">
        <f>VLOOKUP(B5,'FML March 2026'!E:F,2,false)</f>
        <v>ARTICHOKE, BOTTOMS, WHOLE, IQF, FRZN</v>
      </c>
      <c r="D5" s="9" t="str">
        <f>VLOOKUP(B5,'Unit of Measure ship March 2026'!A:C,3,false)</f>
        <v>LBS</v>
      </c>
      <c r="F5" s="8">
        <v>15429.0</v>
      </c>
      <c r="G5" s="15" t="str">
        <f>VLOOKUP(F5,'FML March 2026'!E:F,2,false)</f>
        <v>BASIL (12 BUNCH) HYDROPONIC OR REGULAR 1 LB/CS</v>
      </c>
      <c r="H5" s="15" t="str">
        <f>VLOOKUP(F5,'Unit of Measure ship March 2026'!A:C,3,false)</f>
        <v>LBS</v>
      </c>
      <c r="I5" s="48"/>
      <c r="J5" s="48">
        <v>14576.0</v>
      </c>
      <c r="K5" s="9" t="str">
        <f>VLOOKUP(J5,'FML March 2026'!E:F,2,false)</f>
        <v>CHICKEN, FRYER, WOG, IND WRAPPED, NON-INJECTED, 2.50-3.25 LB EA, FZN, 12/1 EA</v>
      </c>
      <c r="L5" s="9" t="str">
        <f>VLOOKUP(J5,'Unit of Measure ship March 2026'!A:C,3,false)</f>
        <v>LBS</v>
      </c>
      <c r="N5" s="17">
        <v>14714.0</v>
      </c>
      <c r="O5" s="9" t="str">
        <f>VLOOKUP(N5,'FML March 2026'!E:F,2,false)</f>
        <v>SMOKED SALMON SLAB LG. 2.0-2.5 LB VAC PK (USA)</v>
      </c>
      <c r="P5" s="9" t="str">
        <f>VLOOKUP(N5,'Unit of Measure ship March 2026'!A:C,3,false)</f>
        <v>LBS</v>
      </c>
    </row>
    <row r="6" ht="14.25" customHeight="1">
      <c r="B6" s="17">
        <v>12284.0</v>
      </c>
      <c r="C6" s="9" t="str">
        <f>VLOOKUP(B6,'FML March 2026'!E:F,2,false)</f>
        <v>BARBEQUE SAUCE, HICKORY</v>
      </c>
      <c r="D6" s="9" t="str">
        <f>VLOOKUP(B6,'Unit of Measure ship March 2026'!A:C,3,false)</f>
        <v>GAL</v>
      </c>
      <c r="F6" s="8">
        <v>15433.0</v>
      </c>
      <c r="G6" s="15" t="str">
        <f>VLOOKUP(F6,'FML March 2026'!E:F,2,false)</f>
        <v>DILL</v>
      </c>
      <c r="H6" s="15" t="str">
        <f>VLOOKUP(F6,'Unit of Measure ship March 2026'!A:C,3,false)</f>
        <v>LBS</v>
      </c>
      <c r="K6" s="9"/>
      <c r="L6" s="9"/>
    </row>
    <row r="7" ht="14.25" customHeight="1">
      <c r="B7" s="8">
        <v>16250.0</v>
      </c>
      <c r="C7" s="9" t="str">
        <f>VLOOKUP(B7,'FML March 2026'!E:F,2,false)</f>
        <v>BAY LEAVES WHOLE D`ALLESANDRO/ SPICECO</v>
      </c>
      <c r="D7" s="9" t="str">
        <f>VLOOKUP(B7,'Unit of Measure ship March 2026'!A:C,3,false)</f>
        <v>LBS</v>
      </c>
      <c r="F7" s="8">
        <v>15464.0</v>
      </c>
      <c r="G7" s="15" t="str">
        <f>VLOOKUP(F7,'FML March 2026'!E:F,2,false)</f>
        <v>EGGPLANT MEDIUM, 225 - 300 MM</v>
      </c>
      <c r="H7" s="15" t="str">
        <f>VLOOKUP(F7,'Unit of Measure ship March 2026'!A:C,3,false)</f>
        <v>LBS</v>
      </c>
      <c r="I7" s="49"/>
      <c r="J7" s="49"/>
      <c r="K7" s="9"/>
      <c r="L7" s="9"/>
      <c r="N7" s="49"/>
      <c r="O7" s="9"/>
      <c r="P7" s="9"/>
    </row>
    <row r="8" ht="14.25" customHeight="1">
      <c r="B8" s="8">
        <v>109712.0</v>
      </c>
      <c r="C8" s="9" t="str">
        <f>VLOOKUP(B8,'FML March 2026'!E:F,2,false)</f>
        <v>BREAD SOURDOUGH COUNTRY WHEAT BRD40B19  1KG LOAF  ZAK THE BAKER</v>
      </c>
      <c r="D8" s="9" t="str">
        <f>VLOOKUP(B8,'Unit of Measure ship March 2026'!A:C,3,false)</f>
        <v>LV</v>
      </c>
      <c r="F8" s="8">
        <v>15466.0</v>
      </c>
      <c r="G8" s="15" t="str">
        <f>VLOOKUP(F8,'FML March 2026'!E:F,2,false)</f>
        <v>GARLIC CRATE JUMBO 30# 8 CT</v>
      </c>
      <c r="H8" s="15" t="str">
        <f>VLOOKUP(F8,'Unit of Measure ship March 2026'!A:C,3,false)</f>
        <v>LBS</v>
      </c>
      <c r="I8" s="49"/>
      <c r="J8" s="49"/>
      <c r="K8" s="9"/>
      <c r="L8" s="9"/>
      <c r="N8" s="49"/>
      <c r="O8" s="9"/>
      <c r="P8" s="9"/>
    </row>
    <row r="9" ht="14.25" customHeight="1">
      <c r="B9" s="8">
        <v>15016.0</v>
      </c>
      <c r="C9" s="9" t="str">
        <f>VLOOKUP(B9,'FML March 2026'!E:F,2,false)</f>
        <v>BUTTER, UNSALTED, 82% FAT, FZN, 50/200 G</v>
      </c>
      <c r="D9" s="9" t="str">
        <f>VLOOKUP(B9,'Unit of Measure ship March 2026'!A:C,3,false)</f>
        <v>LBS</v>
      </c>
      <c r="F9" s="53">
        <v>30639.0</v>
      </c>
      <c r="G9" s="15" t="str">
        <f>VLOOKUP(F9,'FML March 2026'!E:F,2,false)</f>
        <v>GARLIC PEELED</v>
      </c>
      <c r="H9" s="15" t="str">
        <f>VLOOKUP(F9,'Unit of Measure ship March 2026'!A:C,3,false)</f>
        <v>LBS</v>
      </c>
      <c r="I9" s="49"/>
      <c r="J9" s="49"/>
      <c r="K9" s="9"/>
      <c r="L9" s="9"/>
      <c r="N9" s="49"/>
      <c r="O9" s="9"/>
      <c r="P9" s="9"/>
    </row>
    <row r="10" ht="14.25" customHeight="1">
      <c r="B10" s="8">
        <v>109527.0</v>
      </c>
      <c r="C10" s="9" t="str">
        <f>VLOOKUP(B10,'FML March 2026'!E:F,2,false)</f>
        <v>CHEESE VEGAN MOZZARELLA BLOCK CS12.5KG VIOLIFE</v>
      </c>
      <c r="D10" s="9" t="str">
        <f>VLOOKUP(B10,'Unit of Measure ship March 2026'!A:C,3,false)</f>
        <v>LBS</v>
      </c>
      <c r="F10" s="8">
        <v>15489.0</v>
      </c>
      <c r="G10" s="15" t="str">
        <f>VLOOKUP(F10,'FML March 2026'!E:F,2,false)</f>
        <v>LETTUCE ROMAINE, CAL., CRISP 24HD 38#</v>
      </c>
      <c r="H10" s="15" t="str">
        <f>VLOOKUP(F10,'Unit of Measure ship March 2026'!A:C,3,false)</f>
        <v>LBS</v>
      </c>
      <c r="I10" s="49"/>
      <c r="J10" s="49"/>
      <c r="K10" s="9"/>
      <c r="L10" s="9"/>
      <c r="N10" s="49"/>
      <c r="O10" s="9"/>
      <c r="P10" s="9"/>
    </row>
    <row r="11" ht="14.25" customHeight="1">
      <c r="B11" s="8">
        <v>27418.0</v>
      </c>
      <c r="C11" s="9" t="str">
        <f>VLOOKUP(B11,'FML March 2026'!E:F,2,false)</f>
        <v>CHEESE, PARMIGIANO REGGIANO, DOP, QUARTERS, 18-20 LB EA, CHL, 2/1 EA</v>
      </c>
      <c r="D11" s="9" t="str">
        <f>VLOOKUP(B11,'Unit of Measure ship March 2026'!A:C,3,false)</f>
        <v>LBS</v>
      </c>
      <c r="F11" s="8">
        <v>15399.0</v>
      </c>
      <c r="G11" s="15" t="str">
        <f>VLOOKUP(F11,'FML March 2026'!E:F,2,false)</f>
        <v>LIMES, FRESH, FIRM #1 200CT 40#</v>
      </c>
      <c r="H11" s="15" t="str">
        <f>VLOOKUP(F11,'Unit of Measure ship March 2026'!A:C,3,false)</f>
        <v>LBS</v>
      </c>
      <c r="I11" s="49"/>
      <c r="J11" s="49"/>
      <c r="K11" s="9"/>
      <c r="L11" s="9"/>
      <c r="N11" s="49"/>
      <c r="O11" s="9"/>
      <c r="P11" s="9"/>
    </row>
    <row r="12" ht="14.25" customHeight="1">
      <c r="B12" s="8">
        <v>47179.0</v>
      </c>
      <c r="C12" s="9" t="str">
        <f>VLOOKUP(B12,'FML March 2026'!E:F,2,false)</f>
        <v>CHEESE, PECORINO ROMANO</v>
      </c>
      <c r="D12" s="9" t="str">
        <f>VLOOKUP(B12,'Unit of Measure ship March 2026'!A:C,3,false)</f>
        <v>LBS</v>
      </c>
      <c r="F12" s="53">
        <v>110068.0</v>
      </c>
      <c r="G12" s="15" t="str">
        <f>VLOOKUP(F12,'FML March 2026'!E:F,2,false)</f>
        <v>MAITAKE MUSHROOM FRESH</v>
      </c>
      <c r="H12" s="15" t="str">
        <f>VLOOKUP(F12,'Unit of Measure ship March 2026'!A:C,3,false)</f>
        <v>LBS</v>
      </c>
      <c r="I12" s="49"/>
      <c r="J12" s="49"/>
      <c r="K12" s="9"/>
      <c r="L12" s="9"/>
      <c r="N12" s="49"/>
      <c r="O12" s="9"/>
      <c r="P12" s="9"/>
    </row>
    <row r="13" ht="14.25" customHeight="1">
      <c r="B13" s="18">
        <v>147889.0</v>
      </c>
      <c r="C13" s="9" t="str">
        <f>VLOOKUP(B13,'FML March 2026'!E:F,2,false)</f>
        <v>CHORIZO SAUSAGE MEAT 12/14 OZ BULK OLE FOODS</v>
      </c>
      <c r="D13" s="9" t="str">
        <f>VLOOKUP(B13,'Unit of Measure ship March 2026'!A:C,3,false)</f>
        <v>LBS</v>
      </c>
      <c r="F13" s="53">
        <v>111046.0</v>
      </c>
      <c r="G13" s="15" t="str">
        <f>VLOOKUP(F13,'FML March 2026'!E:F,2,false)</f>
        <v>MUSHROOM HON SHIMEJII BROIWNFRESH CS3/LB</v>
      </c>
      <c r="H13" s="15" t="str">
        <f>VLOOKUP(F13,'Unit of Measure ship March 2026'!A:C,3,false)</f>
        <v>LBS</v>
      </c>
      <c r="I13" s="49"/>
      <c r="J13" s="49"/>
      <c r="K13" s="9"/>
      <c r="L13" s="9"/>
      <c r="N13" s="49"/>
      <c r="O13" s="9"/>
      <c r="P13" s="9"/>
    </row>
    <row r="14" ht="14.25" customHeight="1">
      <c r="B14" s="17">
        <v>14546.0</v>
      </c>
      <c r="C14" s="9" t="str">
        <f>VLOOKUP(B14,'FML March 2026'!E:F,2,false)</f>
        <v>COOKED HAM NATURAL JUICE (BOILED HAM EXTRA)</v>
      </c>
      <c r="D14" s="9" t="str">
        <f>VLOOKUP(B14,'Unit of Measure ship March 2026'!A:C,3,false)</f>
        <v>LBS</v>
      </c>
      <c r="F14" s="53">
        <v>15551.0</v>
      </c>
      <c r="G14" s="15" t="str">
        <f>VLOOKUP(F14,'FML March 2026'!E:F,2,false)</f>
        <v>MUSHROOMS PORTOBELLO FRESH</v>
      </c>
      <c r="H14" s="15" t="str">
        <f>VLOOKUP(F14,'Unit of Measure ship March 2026'!A:C,3,false)</f>
        <v>LBS</v>
      </c>
      <c r="I14" s="49"/>
      <c r="J14" s="49"/>
      <c r="K14" s="9"/>
      <c r="L14" s="9"/>
      <c r="N14" s="49"/>
      <c r="O14" s="9"/>
      <c r="P14" s="9"/>
    </row>
    <row r="15" ht="14.25" customHeight="1">
      <c r="B15" s="8">
        <v>16288.0</v>
      </c>
      <c r="C15" s="9" t="str">
        <f>VLOOKUP(B15,'FML March 2026'!E:F,2,false)</f>
        <v>CORIANDER WHOLE BADIA (USA )</v>
      </c>
      <c r="D15" s="9" t="str">
        <f>VLOOKUP(B15,'Unit of Measure ship March 2026'!A:C,3,false)</f>
        <v>LBS</v>
      </c>
      <c r="F15" s="53">
        <v>15556.0</v>
      </c>
      <c r="G15" s="15" t="str">
        <f>VLOOKUP(F15,'FML March 2026'!E:F,2,false)</f>
        <v>MUSHROOMS SHIITAKE  FRESH NO 1</v>
      </c>
      <c r="H15" s="15" t="str">
        <f>VLOOKUP(F15,'Unit of Measure ship March 2026'!A:C,3,false)</f>
        <v>LBS</v>
      </c>
      <c r="I15" s="49"/>
      <c r="J15" s="49"/>
      <c r="K15" s="9"/>
      <c r="L15" s="9"/>
      <c r="N15" s="49"/>
      <c r="O15" s="9"/>
      <c r="P15" s="9"/>
    </row>
    <row r="16" ht="14.25" customHeight="1">
      <c r="B16" s="8">
        <v>15133.0</v>
      </c>
      <c r="C16" s="9" t="str">
        <f>VLOOKUP(B16,'FML March 2026'!E:F,2,false)</f>
        <v>CORN, WHOLE KERNEL, GRADE A, IQF, FZN, 1/10 KG</v>
      </c>
      <c r="D16" s="9" t="str">
        <f>VLOOKUP(B16,'Unit of Measure ship March 2026'!A:C,3,false)</f>
        <v>LBS</v>
      </c>
      <c r="F16" s="53">
        <v>31638.0</v>
      </c>
      <c r="G16" s="15" t="str">
        <f>VLOOKUP(F16,'FML March 2026'!E:F,2,false)</f>
        <v>MUSHROOMS, FRESH WHITE, 8 OZ CELLO PACK</v>
      </c>
      <c r="H16" s="15" t="str">
        <f>VLOOKUP(F16,'Unit of Measure ship March 2026'!A:C,3,false)</f>
        <v>LBS</v>
      </c>
      <c r="I16" s="49"/>
      <c r="J16" s="49"/>
      <c r="K16" s="9"/>
      <c r="L16" s="9"/>
      <c r="N16" s="49"/>
      <c r="O16" s="9"/>
      <c r="P16" s="9"/>
    </row>
    <row r="17" ht="14.25" customHeight="1">
      <c r="B17" s="8">
        <v>15022.0</v>
      </c>
      <c r="C17" s="9" t="str">
        <f>VLOOKUP(B17,'FML March 2026'!E:F,2,false)</f>
        <v>EGGS-DATED, MEDIUM, REGULAR</v>
      </c>
      <c r="D17" s="9" t="str">
        <f>VLOOKUP(B17,'Unit of Measure ship March 2026'!A:C,3,false)</f>
        <v>PC</v>
      </c>
      <c r="F17" s="8">
        <v>15496.0</v>
      </c>
      <c r="G17" s="15" t="str">
        <f>VLOOKUP(F17,'FML March 2026'!E:F,2,false)</f>
        <v>ONIONS RED, MEDIUM 25#</v>
      </c>
      <c r="H17" s="15" t="str">
        <f>VLOOKUP(F17,'Unit of Measure ship March 2026'!A:C,3,false)</f>
        <v>LBS</v>
      </c>
      <c r="I17" s="49"/>
      <c r="J17" s="49"/>
      <c r="K17" s="9"/>
      <c r="L17" s="9"/>
      <c r="N17" s="49"/>
      <c r="O17" s="9"/>
      <c r="P17" s="9"/>
    </row>
    <row r="18" ht="14.25" customHeight="1">
      <c r="B18" s="8">
        <v>16259.0</v>
      </c>
      <c r="C18" s="9" t="str">
        <f>VLOOKUP(B18,'FML March 2026'!E:F,2,false)</f>
        <v>FENNEL SEED WHOLE BADIA (USA )</v>
      </c>
      <c r="D18" s="9" t="str">
        <f>VLOOKUP(B18,'Unit of Measure ship March 2026'!A:C,3,false)</f>
        <v>LBS</v>
      </c>
      <c r="F18" s="53">
        <v>15497.0</v>
      </c>
      <c r="G18" s="15" t="str">
        <f>VLOOKUP(F18,'FML March 2026'!E:F,2,false)</f>
        <v>ONIONS, YELLOW, MEDIUM, SPANISH #1, 50#</v>
      </c>
      <c r="H18" s="15" t="str">
        <f>VLOOKUP(F18,'Unit of Measure ship March 2026'!A:C,3,false)</f>
        <v>LBS</v>
      </c>
      <c r="I18" s="49"/>
      <c r="J18" s="49"/>
      <c r="K18" s="9"/>
      <c r="L18" s="9"/>
      <c r="N18" s="49"/>
      <c r="O18" s="9"/>
      <c r="P18" s="9"/>
    </row>
    <row r="19" ht="14.25" customHeight="1">
      <c r="B19" s="17">
        <v>14990.0</v>
      </c>
      <c r="C19" s="9" t="str">
        <f>VLOOKUP(B19,'FML March 2026'!E:F,2,false)</f>
        <v>FETA, IN BRINE, TUB</v>
      </c>
      <c r="D19" s="9" t="str">
        <f>VLOOKUP(B19,'Unit of Measure ship March 2026'!A:C,3,false)</f>
        <v>LBS</v>
      </c>
      <c r="F19" s="8">
        <v>15447.0</v>
      </c>
      <c r="G19" s="15" t="str">
        <f>VLOOKUP(F19,'FML March 2026'!E:F,2,false)</f>
        <v>OREGANO FRESH</v>
      </c>
      <c r="H19" s="15" t="str">
        <f>VLOOKUP(F19,'Unit of Measure ship March 2026'!A:C,3,false)</f>
        <v>LBS</v>
      </c>
      <c r="I19" s="49"/>
      <c r="J19" s="49"/>
      <c r="K19" s="9"/>
      <c r="L19" s="9"/>
      <c r="N19" s="49"/>
      <c r="O19" s="9"/>
      <c r="P19" s="9"/>
    </row>
    <row r="20" ht="14.25" customHeight="1">
      <c r="B20" s="8">
        <v>111865.0</v>
      </c>
      <c r="C20" s="9" t="str">
        <f>VLOOKUP(B20,'FML March 2026'!E:F,2,false)</f>
        <v>FLOUR ALL PURPOSE SIR GALAHAD BAG50/LBS KING ARTHUR</v>
      </c>
      <c r="D20" s="9" t="str">
        <f>VLOOKUP(B20,'Unit of Measure ship March 2026'!A:C,3,false)</f>
        <v>LBS</v>
      </c>
      <c r="F20" s="8">
        <v>15504.0</v>
      </c>
      <c r="G20" s="15" t="str">
        <f>VLOOKUP(F20,'FML March 2026'!E:F,2,false)</f>
        <v>PEPPERS HOT, JALAPENOS 10#</v>
      </c>
      <c r="H20" s="15" t="str">
        <f>VLOOKUP(F20,'Unit of Measure ship March 2026'!A:C,3,false)</f>
        <v>LBS</v>
      </c>
      <c r="I20" s="49"/>
      <c r="J20" s="49"/>
      <c r="K20" s="9"/>
      <c r="L20" s="9"/>
      <c r="N20" s="49"/>
      <c r="O20" s="9"/>
      <c r="P20" s="9"/>
    </row>
    <row r="21" ht="14.25" customHeight="1">
      <c r="B21" s="8">
        <v>15741.0</v>
      </c>
      <c r="C21" s="9" t="str">
        <f>VLOOKUP(B21,'FML March 2026'!E:F,2,false)</f>
        <v>FLOUR SEMOLINA BAG 50/LBS DURAKOTA/BAY STATE (USA)</v>
      </c>
      <c r="D21" s="9" t="str">
        <f>VLOOKUP(B21,'Unit of Measure ship March 2026'!A:C,3,false)</f>
        <v>LBS</v>
      </c>
      <c r="F21" s="8">
        <v>15502.0</v>
      </c>
      <c r="G21" s="15" t="str">
        <f>VLOOKUP(F21,'FML March 2026'!E:F,2,false)</f>
        <v>PEPPERS RED, MEDIUM, 88-100 MM</v>
      </c>
      <c r="H21" s="15" t="str">
        <f>VLOOKUP(F21,'Unit of Measure ship March 2026'!A:C,3,false)</f>
        <v>LBS</v>
      </c>
      <c r="I21" s="49"/>
      <c r="J21" s="49"/>
      <c r="K21" s="9"/>
      <c r="L21" s="9"/>
      <c r="N21" s="49"/>
      <c r="O21" s="9"/>
      <c r="P21" s="9"/>
    </row>
    <row r="22" ht="14.25" customHeight="1">
      <c r="B22" s="8">
        <v>15658.0</v>
      </c>
      <c r="C22" s="9" t="str">
        <f>VLOOKUP(B22,'FML March 2026'!E:F,2,false)</f>
        <v>HONEY 6/5 LB GROEB/MELONIA/SWEET HARVEST</v>
      </c>
      <c r="D22" s="9" t="str">
        <f>VLOOKUP(B22,'Unit of Measure ship March 2026'!A:C,3,false)</f>
        <v>KG</v>
      </c>
      <c r="F22" s="8">
        <v>15577.0</v>
      </c>
      <c r="G22" s="15" t="str">
        <f>VLOOKUP(F22,'FML March 2026'!E:F,2,false)</f>
        <v>PEPPERS YELLOW, MEDIUM, 88-100 MM</v>
      </c>
      <c r="H22" s="15" t="str">
        <f>VLOOKUP(F22,'Unit of Measure ship March 2026'!A:C,3,false)</f>
        <v>LBS</v>
      </c>
      <c r="I22" s="49"/>
      <c r="J22" s="49"/>
      <c r="K22" s="9"/>
      <c r="L22" s="9"/>
      <c r="N22" s="49"/>
      <c r="O22" s="9"/>
      <c r="P22" s="9"/>
    </row>
    <row r="23" ht="14.25" customHeight="1">
      <c r="B23" s="8">
        <v>14869.0</v>
      </c>
      <c r="C23" s="9" t="str">
        <f>VLOOKUP(B23,'FML March 2026'!E:F,2,false)</f>
        <v>MILK, UHT, WHOLE, 3.5% FAT, DRY, 12/1 LT</v>
      </c>
      <c r="D23" s="9" t="str">
        <f>VLOOKUP(B23,'Unit of Measure ship March 2026'!A:C,3,false)</f>
        <v>LT</v>
      </c>
      <c r="F23" s="8">
        <v>108577.0</v>
      </c>
      <c r="G23" s="15" t="str">
        <f>VLOOKUP(F23,'FML March 2026'!E:F,2,false)</f>
        <v>PINEAPPLES, CROWNLESS, GOLD, FRESH</v>
      </c>
      <c r="H23" s="15" t="str">
        <f>VLOOKUP(F23,'Unit of Measure ship March 2026'!A:C,3,false)</f>
        <v>LBS</v>
      </c>
      <c r="I23" s="49"/>
      <c r="J23" s="49"/>
      <c r="K23" s="9"/>
      <c r="L23" s="9"/>
      <c r="N23" s="49"/>
      <c r="O23" s="9"/>
      <c r="P23" s="9"/>
    </row>
    <row r="24" ht="14.25" customHeight="1">
      <c r="B24" s="16">
        <v>15010.0</v>
      </c>
      <c r="C24" s="9" t="str">
        <f>VLOOKUP(B24,'FML March 2026'!E:F,2,false)</f>
        <v>MONTERREY JACK 10 LB WHEEL</v>
      </c>
      <c r="D24" s="9" t="str">
        <f>VLOOKUP(B24,'Unit of Measure ship March 2026'!A:C,3,false)</f>
        <v>LBS</v>
      </c>
      <c r="F24" s="8">
        <v>15513.0</v>
      </c>
      <c r="G24" s="15" t="str">
        <f>VLOOKUP(F24,'FML March 2026'!E:F,2,false)</f>
        <v>POTATOES CHEF (BAG) 50#</v>
      </c>
      <c r="H24" s="15" t="str">
        <f>VLOOKUP(F24,'Unit of Measure ship March 2026'!A:C,3,false)</f>
        <v>LBS</v>
      </c>
      <c r="I24" s="49"/>
      <c r="J24" s="49"/>
      <c r="K24" s="9"/>
      <c r="L24" s="9"/>
      <c r="N24" s="49"/>
      <c r="O24" s="9"/>
      <c r="P24" s="9"/>
    </row>
    <row r="25" ht="14.25" customHeight="1">
      <c r="B25" s="8">
        <v>141988.0</v>
      </c>
      <c r="C25" s="9" t="str">
        <f>VLOOKUP(B25,'FML March 2026'!E:F,2,false)</f>
        <v>MOZZARELLA BURRATA</v>
      </c>
      <c r="D25" s="9" t="str">
        <f>VLOOKUP(B25,'Unit of Measure ship March 2026'!A:C,3,false)</f>
        <v>LBS</v>
      </c>
      <c r="F25" s="8">
        <v>15427.0</v>
      </c>
      <c r="G25" s="15" t="str">
        <f>VLOOKUP(F25,'FML March 2026'!E:F,2,false)</f>
        <v>ROSEMARY (12 BUNCH) 1 LB/CS</v>
      </c>
      <c r="H25" s="15" t="str">
        <f>VLOOKUP(F25,'Unit of Measure ship March 2026'!A:C,3,false)</f>
        <v>LBS</v>
      </c>
      <c r="I25" s="49"/>
      <c r="J25" s="49"/>
      <c r="K25" s="9"/>
      <c r="L25" s="9"/>
      <c r="N25" s="49"/>
      <c r="O25" s="9"/>
      <c r="P25" s="9"/>
    </row>
    <row r="26" ht="14.25" customHeight="1">
      <c r="B26" s="8">
        <v>15051.0</v>
      </c>
      <c r="C26" s="9" t="str">
        <f>VLOOKUP(B26,'FML March 2026'!E:F,2,false)</f>
        <v>MOZZARELLA DI BUFFALA CHEESE FRESH ABC BRAND 10/8.8 OZ- CI16 (ITALY)</v>
      </c>
      <c r="D26" s="9" t="str">
        <f>VLOOKUP(B26,'Unit of Measure ship March 2026'!A:C,3,false)</f>
        <v>PC/8.8OZ</v>
      </c>
      <c r="F26" s="53">
        <v>15522.0</v>
      </c>
      <c r="G26" s="15" t="str">
        <f>VLOOKUP(F26,'FML March 2026'!E:F,2,false)</f>
        <v>SHALLOTS CLOVES #1 FRESH 5#</v>
      </c>
      <c r="H26" s="15" t="str">
        <f>VLOOKUP(F26,'Unit of Measure ship March 2026'!A:C,3,false)</f>
        <v>LBS</v>
      </c>
      <c r="I26" s="49"/>
      <c r="J26" s="49"/>
      <c r="K26" s="9"/>
      <c r="L26" s="9"/>
      <c r="N26" s="49"/>
      <c r="O26" s="9"/>
      <c r="P26" s="9"/>
    </row>
    <row r="27" ht="14.25" customHeight="1">
      <c r="B27" s="17">
        <v>14995.0</v>
      </c>
      <c r="C27" s="9" t="str">
        <f>VLOOKUP(B27,'FML March 2026'!E:F,2,false)</f>
        <v>MOZZARELLA, 100%, SHREDDED, WHOLE MILK</v>
      </c>
      <c r="D27" s="9" t="str">
        <f>VLOOKUP(B27,'Unit of Measure ship March 2026'!A:C,3,false)</f>
        <v>LBS</v>
      </c>
      <c r="F27" s="8">
        <v>15145.0</v>
      </c>
      <c r="G27" s="15" t="str">
        <f>VLOOKUP(F27,'FML March 2026'!E:F,2,false)</f>
        <v>SPINACH, BABY LEAF</v>
      </c>
      <c r="H27" s="15" t="str">
        <f>VLOOKUP(F27,'Unit of Measure ship March 2026'!A:C,3,false)</f>
        <v>LBS</v>
      </c>
      <c r="I27" s="49"/>
      <c r="J27" s="49"/>
      <c r="K27" s="9"/>
      <c r="L27" s="9"/>
      <c r="O27" s="9"/>
      <c r="P27" s="9"/>
    </row>
    <row r="28" ht="14.25" customHeight="1">
      <c r="B28" s="8">
        <v>16266.0</v>
      </c>
      <c r="C28" s="9" t="str">
        <f>VLOOKUP(B28,'FML March 2026'!E:F,2,false)</f>
        <v>NUTMEG GROUND D`ALLESANDRO/ SPICECO (USA)</v>
      </c>
      <c r="D28" s="9" t="str">
        <f>VLOOKUP(B28,'Unit of Measure ship March 2026'!A:C,3,false)</f>
        <v>UNIT/1LB</v>
      </c>
      <c r="F28" s="8">
        <v>15446.0</v>
      </c>
      <c r="G28" s="15" t="str">
        <f>VLOOKUP(F28,'FML March 2026'!E:F,2,false)</f>
        <v>THYME FRESH</v>
      </c>
      <c r="H28" s="15" t="str">
        <f>VLOOKUP(F28,'Unit of Measure ship March 2026'!A:C,3,false)</f>
        <v>LBS</v>
      </c>
      <c r="I28" s="149"/>
      <c r="J28" s="149"/>
      <c r="K28" s="9"/>
      <c r="L28" s="9"/>
      <c r="O28" s="9"/>
      <c r="P28" s="9"/>
    </row>
    <row r="29" ht="14.25" customHeight="1">
      <c r="B29" s="18">
        <v>52602.0</v>
      </c>
      <c r="C29" s="9" t="str">
        <f>VLOOKUP(B29,'FML March 2026'!E:F,2,false)</f>
        <v>OIL, 100% OLIVE, EXTRA VIRGIN, DRY, 4/5 LT</v>
      </c>
      <c r="D29" s="9" t="str">
        <f>VLOOKUP(B29,'Unit of Measure ship March 2026'!A:C,3,false)</f>
        <v>LT</v>
      </c>
      <c r="F29" s="8">
        <v>15537.0</v>
      </c>
      <c r="G29" s="15" t="str">
        <f>VLOOKUP(F29,'FML March 2026'!E:F,2,false)</f>
        <v>TOMATOES 6X6 #1 18# RED RIPE, FIRM (LAYERED), 55-65 MM</v>
      </c>
      <c r="H29" s="15" t="str">
        <f>VLOOKUP(F29,'Unit of Measure ship March 2026'!A:C,3,false)</f>
        <v>LBS</v>
      </c>
      <c r="I29" s="149"/>
      <c r="J29" s="149"/>
      <c r="K29" s="9"/>
      <c r="L29" s="9"/>
      <c r="O29" s="9"/>
      <c r="P29" s="9"/>
    </row>
    <row r="30" ht="14.25" customHeight="1">
      <c r="B30" s="8">
        <v>16377.0</v>
      </c>
      <c r="C30" s="9" t="str">
        <f>VLOOKUP(B30,'FML March 2026'!E:F,2,false)</f>
        <v>OIL, 100% VEGETABLE SOYBEAN, DRY, 4/5 LT</v>
      </c>
      <c r="D30" s="9" t="str">
        <f>VLOOKUP(B30,'Unit of Measure ship March 2026'!A:C,3,false)</f>
        <v>C4/5LT</v>
      </c>
      <c r="F30" s="16">
        <v>15534.0</v>
      </c>
      <c r="G30" s="15" t="str">
        <f>VLOOKUP(F30,'FML March 2026'!E:F,2,false)</f>
        <v>TOMATOES CHERRY #1 (GRAPE) 10 PINK, RED, FIRM SMALL</v>
      </c>
      <c r="H30" s="15" t="str">
        <f>VLOOKUP(F30,'Unit of Measure ship March 2026'!A:C,3,false)</f>
        <v>LBS</v>
      </c>
      <c r="I30" s="149"/>
      <c r="J30" s="149"/>
      <c r="K30" s="9"/>
      <c r="L30" s="9"/>
      <c r="O30" s="9"/>
      <c r="P30" s="9"/>
    </row>
    <row r="31" ht="14.25" customHeight="1">
      <c r="B31" s="8">
        <v>16431.0</v>
      </c>
      <c r="C31" s="9" t="str">
        <f>VLOOKUP(B31,'FML March 2026'!E:F,2,false)</f>
        <v>OLIVES KALAMATA PITTED AMBROSIA 16122 (8X5) (TURKEY)</v>
      </c>
      <c r="D31" s="9" t="str">
        <f>VLOOKUP(B31,'Unit of Measure ship March 2026'!A:C,3,false)</f>
        <v>CAN/2KG</v>
      </c>
      <c r="F31" s="8">
        <v>109765.0</v>
      </c>
      <c r="G31" s="15" t="str">
        <f>VLOOKUP(F31,'FML March 2026'!E:F,2,false)</f>
        <v>TOMATOES CHERRY MIXED HEIRLOOM</v>
      </c>
      <c r="H31" s="15" t="str">
        <f>VLOOKUP(F31,'Unit of Measure ship March 2026'!A:C,3,false)</f>
        <v>LBS</v>
      </c>
      <c r="I31" s="149"/>
      <c r="J31" s="149"/>
      <c r="K31" s="9"/>
      <c r="L31" s="9"/>
      <c r="N31" s="101"/>
      <c r="O31" s="9"/>
      <c r="P31" s="9"/>
    </row>
    <row r="32" ht="15.75" customHeight="1">
      <c r="B32" s="8">
        <v>41451.0</v>
      </c>
      <c r="C32" s="9" t="str">
        <f>VLOOKUP(B32,'FML March 2026'!E:F,2,false)</f>
        <v>OLIVES QUEEN STUFFED 100/110CT 4/1GALLON PREMIUM/ DEL DESTINO</v>
      </c>
      <c r="D32" s="9" t="str">
        <f>VLOOKUP(B32,'Unit of Measure ship March 2026'!A:C,3,false)</f>
        <v>GAL</v>
      </c>
      <c r="F32" s="8">
        <v>15542.0</v>
      </c>
      <c r="G32" s="15" t="str">
        <f>VLOOKUP(F32,'FML March 2026'!E:F,2,false)</f>
        <v>ZUCCHINI MEDIUM #1 FANCY 20#/CS, 180-210 MM</v>
      </c>
      <c r="H32" s="15" t="str">
        <f>VLOOKUP(F32,'Unit of Measure ship March 2026'!A:C,3,false)</f>
        <v>LBS</v>
      </c>
    </row>
    <row r="33" ht="15.75" customHeight="1">
      <c r="B33" s="8">
        <v>16432.0</v>
      </c>
      <c r="C33" s="9" t="str">
        <f>VLOOKUP(B33,'FML March 2026'!E:F,2,false)</f>
        <v>OLIVES, BLACK, PITTED, MEDIUM</v>
      </c>
      <c r="D33" s="9" t="str">
        <f>VLOOKUP(B33,'Unit of Measure ship March 2026'!A:C,3,false)</f>
        <v>CN/6.5LB</v>
      </c>
    </row>
    <row r="34" ht="15.75" customHeight="1">
      <c r="B34" s="17">
        <v>14993.0</v>
      </c>
      <c r="C34" s="9" t="str">
        <f>VLOOKUP(B34,'FML March 2026'!E:F,2,false)</f>
        <v>PARMESAN, GRATED</v>
      </c>
      <c r="D34" s="9" t="str">
        <f>VLOOKUP(B34,'Unit of Measure ship March 2026'!A:C,3,false)</f>
        <v>LBS</v>
      </c>
    </row>
    <row r="35" ht="15.75" customHeight="1">
      <c r="B35" s="8">
        <v>16285.0</v>
      </c>
      <c r="C35" s="9" t="str">
        <f>VLOOKUP(B35,'FML March 2026'!E:F,2,false)</f>
        <v>PEPPERCORN, BLACK, WHOLE, DRY, 6/420 G</v>
      </c>
      <c r="D35" s="9" t="str">
        <f>VLOOKUP(B35,'Unit of Measure ship March 2026'!A:C,3,false)</f>
        <v>LBS</v>
      </c>
    </row>
    <row r="36" ht="15.75" customHeight="1">
      <c r="B36" s="8">
        <v>101542.0</v>
      </c>
      <c r="C36" s="9" t="str">
        <f>VLOOKUP(B36,'FML March 2026'!E:F,2,false)</f>
        <v>PEPPERONI SLICED FOR PIZZA, 10 LBS CASE</v>
      </c>
      <c r="D36" s="9" t="str">
        <f>VLOOKUP(B36,'Unit of Measure ship March 2026'!A:C,3,false)</f>
        <v>LBS</v>
      </c>
    </row>
    <row r="37" ht="15.75" customHeight="1">
      <c r="B37" s="8">
        <v>111122.0</v>
      </c>
      <c r="C37" s="9" t="str">
        <f>VLOOKUP(B37,'FML March 2026'!E:F,2,false)</f>
        <v>PEPPERS  CALABRIAN CHILIES IN OIL CS2/2KG BELARIA</v>
      </c>
      <c r="D37" s="9" t="str">
        <f>VLOOKUP(B37,'Unit of Measure ship March 2026'!A:C,3,false)</f>
        <v>LBS</v>
      </c>
    </row>
    <row r="38" ht="15.75" customHeight="1">
      <c r="B38" s="8">
        <v>16422.0</v>
      </c>
      <c r="C38" s="9" t="str">
        <f>VLOOKUP(B38,'FML March 2026'!E:F,2,false)</f>
        <v>PINE NUTS WHOLE</v>
      </c>
      <c r="D38" s="9" t="str">
        <f>VLOOKUP(B38,'Unit of Measure ship March 2026'!A:C,3,false)</f>
        <v>LBS</v>
      </c>
    </row>
    <row r="39" ht="15.75" customHeight="1">
      <c r="B39" s="8">
        <v>16422.0</v>
      </c>
      <c r="C39" s="9" t="str">
        <f>VLOOKUP(B39,'FML March 2026'!E:F,2,false)</f>
        <v>PINE NUTS WHOLE</v>
      </c>
      <c r="D39" s="9" t="str">
        <f>VLOOKUP(B39,'Unit of Measure ship March 2026'!A:C,3,false)</f>
        <v>LBS</v>
      </c>
    </row>
    <row r="40" ht="15.75" customHeight="1">
      <c r="B40" s="8">
        <v>146513.0</v>
      </c>
      <c r="C40" s="9" t="str">
        <f>VLOOKUP(B40,'FML March 2026'!E:F,2,false)</f>
        <v>PIZZA CRUST GLUTEN-FREE BANZA  CS20/PC</v>
      </c>
      <c r="D40" s="9" t="str">
        <f>VLOOKUP(B40,'Unit of Measure ship March 2026'!A:C,3,false)</f>
        <v>PC</v>
      </c>
    </row>
    <row r="41" ht="15.75" customHeight="1">
      <c r="B41" s="8">
        <v>101442.0</v>
      </c>
      <c r="C41" s="9" t="str">
        <f>VLOOKUP(B41,'FML March 2026'!E:F,2,false)</f>
        <v>PROSCIUTTO DI SAN DANIELE LEVONI BONELESS 16 MONTH  RESERVE CS/16 LBS</v>
      </c>
      <c r="D41" s="9" t="str">
        <f>VLOOKUP(B41,'Unit of Measure ship March 2026'!A:C,3,false)</f>
        <v>LBS</v>
      </c>
    </row>
    <row r="42" ht="15.75" customHeight="1">
      <c r="B42" s="8">
        <v>15047.0</v>
      </c>
      <c r="C42" s="9" t="str">
        <f>VLOOKUP(B42,'FML March 2026'!E:F,2,false)</f>
        <v>PROVOLONE, LOAF</v>
      </c>
      <c r="D42" s="9" t="str">
        <f>VLOOKUP(B42,'Unit of Measure ship March 2026'!A:C,3,false)</f>
        <v>LBS</v>
      </c>
    </row>
    <row r="43" ht="15.75" customHeight="1">
      <c r="B43" s="8">
        <v>109653.0</v>
      </c>
      <c r="C43" s="9" t="str">
        <f>VLOOKUP(B43,'FML March 2026'!E:F,2,false)</f>
        <v>RICOTTA CHEESE FRESH CALABRO</v>
      </c>
      <c r="D43" s="9" t="str">
        <f>VLOOKUP(B43,'Unit of Measure ship March 2026'!A:C,3,false)</f>
        <v>LBS</v>
      </c>
    </row>
    <row r="44" ht="15.75" customHeight="1">
      <c r="B44" s="8">
        <v>16307.0</v>
      </c>
      <c r="C44" s="9" t="str">
        <f>VLOOKUP(B44,'FML March 2026'!E:F,2,false)</f>
        <v>SALT KOSHER GRANULATED</v>
      </c>
      <c r="D44" s="9" t="str">
        <f>VLOOKUP(B44,'Unit of Measure ship March 2026'!A:C,3,false)</f>
        <v>LBS</v>
      </c>
    </row>
    <row r="45" ht="15.75" customHeight="1">
      <c r="B45" s="8">
        <v>16307.0</v>
      </c>
      <c r="C45" s="9" t="str">
        <f>VLOOKUP(B45,'FML March 2026'!E:F,2,false)</f>
        <v>SALT KOSHER GRANULATED</v>
      </c>
      <c r="D45" s="9" t="str">
        <f>VLOOKUP(B45,'Unit of Measure ship March 2026'!A:C,3,false)</f>
        <v>LBS</v>
      </c>
    </row>
    <row r="46" ht="15.75" customHeight="1">
      <c r="B46" s="8">
        <v>142852.0</v>
      </c>
      <c r="C46" s="9" t="str">
        <f>VLOOKUP(B46,'FML March 2026'!E:F,2,false)</f>
        <v>SAUSAGE, CHICKEN APPLE BREAKFAST  SMOKED 2 OZ. SHEEP CASING AIDELLS  10000020317</v>
      </c>
      <c r="D46" s="9" t="str">
        <f>VLOOKUP(B46,'Unit of Measure ship March 2026'!A:C,3,false)</f>
        <v>LBS</v>
      </c>
    </row>
    <row r="47" ht="15.75" customHeight="1">
      <c r="B47" s="8">
        <v>143140.0</v>
      </c>
      <c r="C47" s="9" t="str">
        <f>VLOOKUP(B47,'FML March 2026'!E:F,2,false)</f>
        <v>TOMATO, WHOLE, PEELED, IN JUICE, DRY, 6/#10</v>
      </c>
      <c r="D47" s="9" t="str">
        <f>VLOOKUP(B47,'Unit of Measure ship March 2026'!A:C,3,false)</f>
        <v>C6/6.5LB</v>
      </c>
    </row>
    <row r="48" ht="15.75" customHeight="1">
      <c r="B48" s="8">
        <v>49450.0</v>
      </c>
      <c r="C48" s="9" t="str">
        <f>VLOOKUP(B48,'FML March 2026'!E:F,2,false)</f>
        <v>WHIPPING CREAM (35% TO 36%) UHT</v>
      </c>
      <c r="D48" s="9" t="str">
        <f>VLOOKUP(B48,'Unit of Measure ship March 2026'!A:C,3,false)</f>
        <v>QRT</v>
      </c>
    </row>
    <row r="49" ht="15.75" customHeight="1"/>
    <row r="50" ht="15.75" customHeight="1"/>
    <row r="51" ht="15.75" customHeight="1"/>
    <row r="52" ht="15.75" customHeight="1">
      <c r="B52" s="8"/>
    </row>
    <row r="53" ht="15.75" customHeight="1">
      <c r="B53" s="52"/>
    </row>
    <row r="54" ht="15.75" customHeight="1">
      <c r="B54" s="52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</sheetData>
  <mergeCells count="1">
    <mergeCell ref="F1:H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95.0"/>
    <col customWidth="1" min="4" max="4" width="11.57"/>
    <col customWidth="1" min="5" max="14" width="8.71"/>
  </cols>
  <sheetData>
    <row r="1">
      <c r="A1" s="101"/>
      <c r="B1" s="142"/>
      <c r="C1" s="143" t="s">
        <v>103</v>
      </c>
      <c r="D1" s="142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>
      <c r="B2" s="145" t="s">
        <v>6</v>
      </c>
      <c r="C2" s="146" t="s">
        <v>7</v>
      </c>
      <c r="D2" s="145" t="s">
        <v>8</v>
      </c>
    </row>
    <row r="3" ht="14.25" customHeight="1">
      <c r="B3" s="8">
        <v>54020.0</v>
      </c>
      <c r="C3" s="9" t="str">
        <f>VLOOKUP(B3,'FML March 2026'!E:F,2,false)</f>
        <v>ALMOND MILK DIAMOND/ ALMOND BREEZE</v>
      </c>
      <c r="D3" s="9" t="str">
        <f>VLOOKUP(B3,'Unit of Measure ship March 2026'!A:C,3,false)</f>
        <v>LT</v>
      </c>
    </row>
    <row r="4" ht="14.25" customHeight="1">
      <c r="B4" s="17">
        <v>15798.0</v>
      </c>
      <c r="C4" s="9" t="str">
        <f>VLOOKUP(B4,'FML March 2026'!E:F,2,false)</f>
        <v>ALMONDS BLANCHED SLICED</v>
      </c>
      <c r="D4" s="9" t="str">
        <f>VLOOKUP(B4,'Unit of Measure ship March 2026'!A:C,3,false)</f>
        <v>LBS</v>
      </c>
    </row>
    <row r="5" ht="14.25" customHeight="1">
      <c r="B5" s="8">
        <v>110031.0</v>
      </c>
      <c r="C5" s="9" t="str">
        <f>VLOOKUP(B5,'FML March 2026'!E:F,2,false)</f>
        <v>ALMONDS MARCONA CS/11LBS SAVOR IMPORTS</v>
      </c>
      <c r="D5" s="9" t="str">
        <f>VLOOKUP(B5,'Unit of Measure ship March 2026'!A:C,3,false)</f>
        <v>LBS</v>
      </c>
    </row>
    <row r="6" ht="14.25" customHeight="1">
      <c r="B6" s="17">
        <v>15700.0</v>
      </c>
      <c r="C6" s="9" t="str">
        <f>VLOOKUP(B6,'FML March 2026'!E:F,2,false)</f>
        <v>APRICOTS DRIED 27.5 LB HIALEAH</v>
      </c>
      <c r="D6" s="9" t="str">
        <f>VLOOKUP(B6,'Unit of Measure ship March 2026'!A:C,3,false)</f>
        <v>LBS</v>
      </c>
    </row>
    <row r="7" ht="14.25" customHeight="1">
      <c r="B7" s="17">
        <v>19448.0</v>
      </c>
      <c r="C7" s="9" t="str">
        <f>VLOOKUP(B7,'FML March 2026'!E:F,2,false)</f>
        <v>AVOCADO, HALVES, PITLESS, IQF, FRZN</v>
      </c>
      <c r="D7" s="9" t="str">
        <f>VLOOKUP(B7,'Unit of Measure ship March 2026'!A:C,3,false)</f>
        <v>LBS</v>
      </c>
    </row>
    <row r="8" ht="14.25" customHeight="1">
      <c r="B8" s="8">
        <v>15651.0</v>
      </c>
      <c r="C8" s="9" t="str">
        <f>VLOOKUP(B8,'FML March 2026'!E:F,2,false)</f>
        <v>BAKING POWDER 50 LB</v>
      </c>
      <c r="D8" s="9" t="str">
        <f>VLOOKUP(B8,'Unit of Measure ship March 2026'!A:C,3,false)</f>
        <v>LBS</v>
      </c>
    </row>
    <row r="9" ht="14.25" customHeight="1">
      <c r="B9" s="8">
        <v>109933.0</v>
      </c>
      <c r="C9" s="9" t="str">
        <f>VLOOKUP(B9,'FML March 2026'!E:F,2,false)</f>
        <v>BUTTER ALTERNATIVE VEGAN PLANT PERFECT (USA)</v>
      </c>
      <c r="D9" s="9" t="str">
        <f>VLOOKUP(B9,'Unit of Measure ship March 2026'!A:C,3,false)</f>
        <v>LBS</v>
      </c>
    </row>
    <row r="10" ht="14.25" customHeight="1">
      <c r="B10" s="17">
        <v>15016.0</v>
      </c>
      <c r="C10" s="9" t="str">
        <f>VLOOKUP(B10,'FML March 2026'!E:F,2,false)</f>
        <v>BUTTER, UNSALTED, 82% FAT, FZN, 50/200 G</v>
      </c>
      <c r="D10" s="9" t="str">
        <f>VLOOKUP(B10,'Unit of Measure ship March 2026'!A:C,3,false)</f>
        <v>LBS</v>
      </c>
    </row>
    <row r="11" ht="14.25" customHeight="1">
      <c r="B11" s="17">
        <v>15688.0</v>
      </c>
      <c r="C11" s="9" t="str">
        <f>VLOOKUP(B11,'FML March 2026'!E:F,2,false)</f>
        <v>CHOCOLATE CHIP BITS 20KG CALLEBAUT/ COCOA BARRY</v>
      </c>
      <c r="D11" s="9" t="str">
        <f>VLOOKUP(B11,'Unit of Measure ship March 2026'!A:C,3,false)</f>
        <v>LBS</v>
      </c>
    </row>
    <row r="12" ht="14.25" customHeight="1">
      <c r="B12" s="17">
        <v>35443.0</v>
      </c>
      <c r="C12" s="9" t="str">
        <f>VLOOKUP(B12,'FML March 2026'!E:F,2,false)</f>
        <v>CHOCOLATE COUVERTURE BLACK CALLETS 58.7% CALLEBAUT</v>
      </c>
      <c r="D12" s="9" t="str">
        <f>VLOOKUP(B12,'Unit of Measure ship March 2026'!A:C,3,false)</f>
        <v>LBS</v>
      </c>
    </row>
    <row r="13" ht="14.25" customHeight="1">
      <c r="B13" s="17">
        <v>35441.0</v>
      </c>
      <c r="C13" s="9" t="str">
        <f>VLOOKUP(B13,'FML March 2026'!E:F,2,false)</f>
        <v>CHOCOLATE COUVERTURE DARK 70% CALLETS CALLEBAUT</v>
      </c>
      <c r="D13" s="9" t="str">
        <f>VLOOKUP(B13,'Unit of Measure ship March 2026'!A:C,3,false)</f>
        <v>LBS</v>
      </c>
    </row>
    <row r="14" ht="14.25" customHeight="1">
      <c r="B14" s="17">
        <v>15697.0</v>
      </c>
      <c r="C14" s="9" t="str">
        <f>VLOOKUP(B14,'FML March 2026'!E:F,2,false)</f>
        <v>COCOA EXTRA BRUT 6/1 KG. RED COCOA POWDER CALLEBAUT/ COCOA BARRY</v>
      </c>
      <c r="D14" s="9" t="str">
        <f>VLOOKUP(B14,'Unit of Measure ship March 2026'!A:C,3,false)</f>
        <v>LBS</v>
      </c>
    </row>
    <row r="15" ht="14.25" customHeight="1">
      <c r="B15" s="17">
        <v>15792.0</v>
      </c>
      <c r="C15" s="9" t="str">
        <f>VLOOKUP(B15,'FML March 2026'!E:F,2,false)</f>
        <v>COCONUT SHREDDED MEDIUM</v>
      </c>
      <c r="D15" s="9" t="str">
        <f>VLOOKUP(B15,'Unit of Measure ship March 2026'!A:C,3,false)</f>
        <v>LBS</v>
      </c>
    </row>
    <row r="16" ht="14.25" customHeight="1">
      <c r="B16" s="17">
        <v>51160.0</v>
      </c>
      <c r="C16" s="9" t="str">
        <f>VLOOKUP(B16,'FML March 2026'!E:F,2,false)</f>
        <v>COFFEE EXTRACT, TRABLIT  12/1 LT</v>
      </c>
      <c r="D16" s="9" t="str">
        <f>VLOOKUP(B16,'Unit of Measure ship March 2026'!A:C,3,false)</f>
        <v>LT</v>
      </c>
    </row>
    <row r="17" ht="14.25" customHeight="1">
      <c r="B17" s="17">
        <v>15863.0</v>
      </c>
      <c r="C17" s="9" t="str">
        <f>VLOOKUP(B17,'FML March 2026'!E:F,2,false)</f>
        <v>CRACKER CRUMBS GRAHAM (USA)</v>
      </c>
      <c r="D17" s="9" t="str">
        <f>VLOOKUP(B17,'Unit of Measure ship March 2026'!A:C,3,false)</f>
        <v>LBS</v>
      </c>
    </row>
    <row r="18" ht="14.25" customHeight="1">
      <c r="B18" s="17">
        <v>15027.0</v>
      </c>
      <c r="C18" s="9" t="str">
        <f>VLOOKUP(B18,'FML March 2026'!E:F,2,false)</f>
        <v>EGG YOLKS FROZEN NO SUGAR OR SALT ADDED 6/5 LB SUNNY FRESH/ DEBEL (USA)</v>
      </c>
      <c r="D18" s="9" t="str">
        <f>VLOOKUP(B18,'Unit of Measure ship March 2026'!A:C,3,false)</f>
        <v>LBS</v>
      </c>
    </row>
    <row r="19" ht="14.25" customHeight="1">
      <c r="B19" s="8">
        <v>111659.0</v>
      </c>
      <c r="C19" s="9" t="str">
        <f>VLOOKUP(B19,'FML March 2026'!E:F,2,false)</f>
        <v>FLAVOR COCOPAT TRADITIONAL PASTE CS 2/13.2 LB PREGEL</v>
      </c>
      <c r="D19" s="9" t="str">
        <f>VLOOKUP(B19,'Unit of Measure ship March 2026'!A:C,3,false)</f>
        <v>LBS</v>
      </c>
    </row>
    <row r="20" ht="14.25" customHeight="1">
      <c r="B20" s="8">
        <v>111660.0</v>
      </c>
      <c r="C20" s="9" t="str">
        <f>VLOOKUP(B20,'FML March 2026'!E:F,2,false)</f>
        <v>FLAVOR GIANDUIOTTO ROCK PASTE CS 2/11 LB PREGEL</v>
      </c>
      <c r="D20" s="9" t="str">
        <f>VLOOKUP(B20,'Unit of Measure ship March 2026'!A:C,3,false)</f>
        <v>LBS</v>
      </c>
    </row>
    <row r="21" ht="14.25" customHeight="1">
      <c r="B21" s="8">
        <v>111663.0</v>
      </c>
      <c r="C21" s="9" t="str">
        <f>VLOOKUP(B21,'FML March 2026'!E:F,2,false)</f>
        <v>FLAVOR GREEN APPLE FORTEFRUTTO  CS2/6.6LB PREGEL</v>
      </c>
      <c r="D21" s="9" t="str">
        <f>VLOOKUP(B21,'Unit of Measure ship March 2026'!A:C,3,false)</f>
        <v>LBS</v>
      </c>
    </row>
    <row r="22" ht="14.25" customHeight="1">
      <c r="B22" s="8">
        <v>111668.0</v>
      </c>
      <c r="C22" s="9" t="str">
        <f>VLOOKUP(B22,'FML March 2026'!E:F,2,false)</f>
        <v>FLAVOR RASPBERRY FORTEFRUTTO CS 2/6.6 LB PREGEL</v>
      </c>
      <c r="D22" s="9" t="str">
        <f>VLOOKUP(B22,'Unit of Measure ship March 2026'!A:C,3,false)</f>
        <v>LBS</v>
      </c>
    </row>
    <row r="23" ht="14.25" customHeight="1">
      <c r="B23" s="8">
        <v>111662.0</v>
      </c>
      <c r="C23" s="9" t="str">
        <f>VLOOKUP(B23,'FML March 2026'!E:F,2,false)</f>
        <v>FLAVOR ROASTED ALMOND TRADITIONAL PASTE CS 2/13.2 LB PREGEL</v>
      </c>
      <c r="D23" s="9" t="str">
        <f>VLOOKUP(B23,'Unit of Measure ship March 2026'!A:C,3,false)</f>
        <v>LBS</v>
      </c>
    </row>
    <row r="24" ht="14.25" customHeight="1">
      <c r="B24" s="8">
        <v>147847.0</v>
      </c>
      <c r="C24" s="9" t="str">
        <f>VLOOKUP(B24,'FML March 2026'!E:F,2,false)</f>
        <v>FLOUR GLUTEN FREE/ SUGAR FREE  CUP 4 CUP CS25/ LB</v>
      </c>
      <c r="D24" s="9" t="str">
        <f>VLOOKUP(B24,'Unit of Measure ship March 2026'!A:C,3,false)</f>
        <v>LBS</v>
      </c>
    </row>
    <row r="25" ht="14.25" customHeight="1">
      <c r="B25" s="17">
        <v>111649.0</v>
      </c>
      <c r="C25" s="9" t="str">
        <f>VLOOKUP(B25,'FML March 2026'!E:F,2,false)</f>
        <v>GELATO BASE  ALWAYS FRESCO CS8/4LB PREGEL</v>
      </c>
      <c r="D25" s="9" t="str">
        <f>VLOOKUP(B25,'Unit of Measure ship March 2026'!A:C,3,false)</f>
        <v>LBS</v>
      </c>
    </row>
    <row r="26" ht="14.25" customHeight="1">
      <c r="B26" s="8">
        <v>111651.0</v>
      </c>
      <c r="C26" s="9" t="str">
        <f>VLOOKUP(B26,'FML March 2026'!E:F,2,false)</f>
        <v>GELATO BASE  BUTTER PECAN SPRINT  CS 12/2LB PREGEL</v>
      </c>
      <c r="D26" s="9" t="str">
        <f>VLOOKUP(B26,'Unit of Measure ship March 2026'!A:C,3,false)</f>
        <v>LBS</v>
      </c>
    </row>
    <row r="27" ht="14.25" customHeight="1">
      <c r="B27" s="8">
        <v>111650.0</v>
      </c>
      <c r="C27" s="9" t="str">
        <f>VLOOKUP(B27,'FML March 2026'!E:F,2,false)</f>
        <v>GELATO BASE ALWAYS FRESCO FRUIT CS12/2.4 LB PREGEL</v>
      </c>
      <c r="D27" s="9" t="str">
        <f>VLOOKUP(B27,'Unit of Measure ship March 2026'!A:C,3,false)</f>
        <v>LBS</v>
      </c>
    </row>
    <row r="28" ht="14.25" customHeight="1">
      <c r="B28" s="8">
        <v>111655.0</v>
      </c>
      <c r="C28" s="9" t="str">
        <f>VLOOKUP(B28,'FML March 2026'!E:F,2,false)</f>
        <v>GELATO BASE FIBRA PLUS  CS 12/2.2 LB PREGEL</v>
      </c>
      <c r="D28" s="9" t="str">
        <f>VLOOKUP(B28,'Unit of Measure ship March 2026'!A:C,3,false)</f>
        <v>LBS</v>
      </c>
    </row>
    <row r="29" ht="14.25" customHeight="1">
      <c r="B29" s="8">
        <v>111656.0</v>
      </c>
      <c r="C29" s="9" t="str">
        <f>VLOOKUP(B29,'FML March 2026'!E:F,2,false)</f>
        <v>GELATO BASE SUBLIME  CS 8/4.4 LB PREGEL</v>
      </c>
      <c r="D29" s="9" t="str">
        <f>VLOOKUP(B29,'Unit of Measure ship March 2026'!A:C,3,false)</f>
        <v>LBS</v>
      </c>
    </row>
    <row r="30" ht="14.25" customHeight="1">
      <c r="B30" s="8">
        <v>111653.0</v>
      </c>
      <c r="C30" s="9" t="str">
        <f>VLOOKUP(B30,'FML March 2026'!E:F,2,false)</f>
        <v>GELATO BASE VANILLA STEVIA CS12/2.2LB PREGEL</v>
      </c>
      <c r="D30" s="9" t="str">
        <f>VLOOKUP(B30,'Unit of Measure ship March 2026'!A:C,3,false)</f>
        <v>LBS</v>
      </c>
    </row>
    <row r="31" ht="14.25" customHeight="1">
      <c r="B31" s="8">
        <v>111654.0</v>
      </c>
      <c r="C31" s="9" t="str">
        <f>VLOOKUP(B31,'FML March 2026'!E:F,2,false)</f>
        <v>GELATO BASE VELUTINA CS 2/6.5 LB PREGEL</v>
      </c>
      <c r="D31" s="9" t="str">
        <f>VLOOKUP(B31,'Unit of Measure ship March 2026'!A:C,3,false)</f>
        <v>LBS</v>
      </c>
    </row>
    <row r="32" ht="14.25" customHeight="1">
      <c r="B32" s="17">
        <v>14907.0</v>
      </c>
      <c r="C32" s="9" t="str">
        <f>VLOOKUP(B32,'FML March 2026'!E:F,2,false)</f>
        <v>HEAVY CREAM UHT LONG LIFE 38%-40% 12/1LT</v>
      </c>
      <c r="D32" s="9" t="str">
        <f>VLOOKUP(B32,'Unit of Measure ship March 2026'!A:C,3,false)</f>
        <v>LT</v>
      </c>
    </row>
    <row r="33" ht="14.25" customHeight="1">
      <c r="B33" s="17">
        <v>15661.0</v>
      </c>
      <c r="C33" s="9" t="str">
        <f>VLOOKUP(B33,'FML March 2026'!E:F,2,false)</f>
        <v>MAG 140 OZ SWTND CONDENSED MILK</v>
      </c>
      <c r="D33" s="9" t="str">
        <f>VLOOKUP(B33,'Unit of Measure ship March 2026'!A:C,3,false)</f>
        <v>C3/140OZ</v>
      </c>
    </row>
    <row r="34" ht="14.25" customHeight="1">
      <c r="B34" s="17">
        <v>44297.0</v>
      </c>
      <c r="C34" s="9" t="str">
        <f>VLOOKUP(B34,'FML March 2026'!E:F,2,false)</f>
        <v>MALT POWDER, NESTLE-CARNATION 6/2.5 LB</v>
      </c>
      <c r="D34" s="9" t="str">
        <f>VLOOKUP(B34,'Unit of Measure ship March 2026'!A:C,3,false)</f>
        <v>LBS</v>
      </c>
    </row>
    <row r="35" ht="14.25" customHeight="1">
      <c r="B35" s="17">
        <v>110962.0</v>
      </c>
      <c r="C35" s="9" t="str">
        <f>VLOOKUP(B35,'FML March 2026'!E:F,2,false)</f>
        <v>MARSHMALLOW DEHYDRATED CS3/LB HOOSIER HILL</v>
      </c>
      <c r="D35" s="9" t="str">
        <f>VLOOKUP(B35,'Unit of Measure ship March 2026'!A:C,3,false)</f>
        <v>LBS</v>
      </c>
    </row>
    <row r="36" ht="14.25" customHeight="1">
      <c r="B36" s="17">
        <v>40533.0</v>
      </c>
      <c r="C36" s="9" t="str">
        <f>VLOOKUP(B36,'FML March 2026'!E:F,2,false)</f>
        <v>MARSHMALLOW LARGE 12/16 OZ KRAFT  06006996611600</v>
      </c>
      <c r="D36" s="9" t="str">
        <f>VLOOKUP(B36,'Unit of Measure ship March 2026'!A:C,3,false)</f>
        <v>LBS</v>
      </c>
    </row>
    <row r="37" ht="14.25" customHeight="1">
      <c r="B37" s="17">
        <v>110932.0</v>
      </c>
      <c r="C37" s="9" t="str">
        <f>VLOOKUP(B37,'FML March 2026'!E:F,2,false)</f>
        <v>MILK POWDER  NON-FAT INSTANT</v>
      </c>
      <c r="D37" s="9" t="str">
        <f>VLOOKUP(B37,'Unit of Measure ship March 2026'!A:C,3,false)</f>
        <v>LBS</v>
      </c>
    </row>
    <row r="38" ht="14.25" customHeight="1">
      <c r="B38" s="17">
        <v>14869.0</v>
      </c>
      <c r="C38" s="9" t="str">
        <f>VLOOKUP(B38,'FML March 2026'!E:F,2,false)</f>
        <v>MILK, UHT, WHOLE, 3.5% FAT, DRY, 12/1 LT</v>
      </c>
      <c r="D38" s="9" t="str">
        <f>VLOOKUP(B38,'Unit of Measure ship March 2026'!A:C,3,false)</f>
        <v>LT</v>
      </c>
    </row>
    <row r="39" ht="14.25" customHeight="1">
      <c r="B39" s="17">
        <v>15726.0</v>
      </c>
      <c r="C39" s="9" t="str">
        <f>VLOOKUP(B39,'FML March 2026'!E:F,2,false)</f>
        <v>PASTE PISTACHIO PATISFRANCE/CALLEBAUT</v>
      </c>
      <c r="D39" s="9" t="str">
        <f>VLOOKUP(B39,'Unit of Measure ship March 2026'!A:C,3,false)</f>
        <v>LBS</v>
      </c>
    </row>
    <row r="40" ht="14.25" customHeight="1">
      <c r="B40" s="8">
        <v>51211.0</v>
      </c>
      <c r="C40" s="9" t="str">
        <f>VLOOKUP(B40,'FML March 2026'!E:F,2,false)</f>
        <v>PASTE VANILLA FLAVOR 35 OZ PASTRY STAR #00057</v>
      </c>
      <c r="D40" s="9" t="str">
        <f>VLOOKUP(B40,'Unit of Measure ship March 2026'!A:C,3,false)</f>
        <v>BTL/35OZ</v>
      </c>
    </row>
    <row r="41" ht="14.25" customHeight="1">
      <c r="B41" s="17">
        <v>15819.0</v>
      </c>
      <c r="C41" s="9" t="str">
        <f>VLOOKUP(B41,'FML March 2026'!E:F,2,false)</f>
        <v>PECANS, HALVES, FANCY, JUMBO, DRY, 1/30 LB</v>
      </c>
      <c r="D41" s="9" t="str">
        <f>VLOOKUP(B41,'Unit of Measure ship March 2026'!A:C,3,false)</f>
        <v>LBS</v>
      </c>
    </row>
    <row r="42" ht="14.25" customHeight="1">
      <c r="B42" s="17">
        <v>15894.0</v>
      </c>
      <c r="C42" s="9" t="str">
        <f>VLOOKUP(B42,'FML March 2026'!E:F,2,false)</f>
        <v>PISTACHIO NUTS WHOLE SHELLED RAW NUTLAND</v>
      </c>
      <c r="D42" s="9" t="str">
        <f>VLOOKUP(B42,'Unit of Measure ship March 2026'!A:C,3,false)</f>
        <v>LBS</v>
      </c>
    </row>
    <row r="43" ht="14.25" customHeight="1">
      <c r="B43" s="17">
        <v>109646.0</v>
      </c>
      <c r="C43" s="9" t="str">
        <f>VLOOKUP(B43,'FML March 2026'!E:F,2,false)</f>
        <v>PISTACHIOS, IRANIAN BAZZINI</v>
      </c>
      <c r="D43" s="9" t="str">
        <f>VLOOKUP(B43,'Unit of Measure ship March 2026'!A:C,3,false)</f>
        <v>KG</v>
      </c>
    </row>
    <row r="44" ht="14.25" customHeight="1">
      <c r="B44" s="48">
        <v>146187.0</v>
      </c>
      <c r="C44" s="9" t="str">
        <f>VLOOKUP(B44,'FML March 2026'!E:F,2,false)</f>
        <v>PUREE APRICOT ,  BOIRON/SICOLY  FRZN 6/1 KG</v>
      </c>
      <c r="D44" s="9" t="str">
        <f>VLOOKUP(B44,'Unit of Measure ship March 2026'!A:C,3,false)</f>
        <v>KG</v>
      </c>
    </row>
    <row r="45" ht="14.25" customHeight="1">
      <c r="B45" s="48">
        <v>108803.0</v>
      </c>
      <c r="C45" s="9" t="str">
        <f>VLOOKUP(B45,'FML March 2026'!E:F,2,false)</f>
        <v>PUREE COCUNUT, SUGAR ADDED, BOIRON/LAFRUTIERE/SICOLY   FRZN 6/1 KG</v>
      </c>
      <c r="D45" s="9" t="str">
        <f>VLOOKUP(B45,'Unit of Measure ship March 2026'!A:C,3,false)</f>
        <v>KG</v>
      </c>
    </row>
    <row r="46" ht="14.25" customHeight="1">
      <c r="B46" s="32">
        <v>27397.0</v>
      </c>
      <c r="C46" s="9" t="str">
        <f>VLOOKUP(B46,'FML March 2026'!E:F,2,false)</f>
        <v>PUREE FRUIT, BLACKBERRY, BOIRON/SICOLY, KG, FRZN</v>
      </c>
      <c r="D46" s="9" t="str">
        <f>VLOOKUP(B46,'Unit of Measure ship March 2026'!A:C,3,false)</f>
        <v>LBS</v>
      </c>
    </row>
    <row r="47" ht="14.25" customHeight="1">
      <c r="B47" s="48">
        <v>45163.0</v>
      </c>
      <c r="C47" s="9" t="str">
        <f>VLOOKUP(B47,'FML March 2026'!E:F,2,false)</f>
        <v>PUREE PASSION FRUIT ,  BOIRON/SICOLY  FRZN 6/1 KG</v>
      </c>
      <c r="D47" s="9" t="str">
        <f>VLOOKUP(B47,'Unit of Measure ship March 2026'!A:C,3,false)</f>
        <v>KG</v>
      </c>
    </row>
    <row r="48" ht="14.25" customHeight="1">
      <c r="B48" s="48">
        <v>141639.0</v>
      </c>
      <c r="C48" s="9" t="str">
        <f>VLOOKUP(B48,'FML March 2026'!E:F,2,false)</f>
        <v>PUREE RASPBERRY , SUGAR ADDED, BOIRON/LAFRUTIERE/SICOLY    FRZN 6/1 KG</v>
      </c>
      <c r="D48" s="9" t="str">
        <f>VLOOKUP(B48,'Unit of Measure ship March 2026'!A:C,3,false)</f>
        <v>KG</v>
      </c>
    </row>
    <row r="49" ht="14.25" customHeight="1">
      <c r="B49" s="48">
        <v>141640.0</v>
      </c>
      <c r="C49" s="9" t="str">
        <f>VLOOKUP(B49,'FML March 2026'!E:F,2,false)</f>
        <v>PUREE STRAWBERRY, SUGAR ADDED,   BOIRON/LAFRUTIERE/SICOLY   FRZN 6/1 KG</v>
      </c>
      <c r="D49" s="9" t="str">
        <f>VLOOKUP(B49,'Unit of Measure ship March 2026'!A:C,3,false)</f>
        <v>KG</v>
      </c>
    </row>
    <row r="50" ht="14.25" customHeight="1">
      <c r="B50" s="17">
        <v>15805.0</v>
      </c>
      <c r="C50" s="9" t="str">
        <f>VLOOKUP(B50,'FML March 2026'!E:F,2,false)</f>
        <v>RAISINS GOLDEN SEEDLESS</v>
      </c>
      <c r="D50" s="9" t="str">
        <f>VLOOKUP(B50,'Unit of Measure ship March 2026'!A:C,3,false)</f>
        <v>LBS</v>
      </c>
    </row>
    <row r="51" ht="14.25" customHeight="1">
      <c r="B51" s="17">
        <v>109653.0</v>
      </c>
      <c r="C51" s="9" t="str">
        <f>VLOOKUP(B51,'FML March 2026'!E:F,2,false)</f>
        <v>RICOTTA CHEESE FRESH CALABRO</v>
      </c>
      <c r="D51" s="9" t="str">
        <f>VLOOKUP(B51,'Unit of Measure ship March 2026'!A:C,3,false)</f>
        <v>LBS</v>
      </c>
    </row>
    <row r="52" ht="14.25" customHeight="1">
      <c r="B52" s="17">
        <v>16307.0</v>
      </c>
      <c r="C52" s="9" t="str">
        <f>VLOOKUP(B52,'FML March 2026'!E:F,2,false)</f>
        <v>SALT KOSHER GRANULATED</v>
      </c>
      <c r="D52" s="9" t="str">
        <f>VLOOKUP(B52,'Unit of Measure ship March 2026'!A:C,3,false)</f>
        <v>LBS</v>
      </c>
    </row>
    <row r="53" ht="14.25" customHeight="1">
      <c r="B53" s="17">
        <v>102790.0</v>
      </c>
      <c r="C53" s="9" t="str">
        <f>VLOOKUP(B53,'FML March 2026'!E:F,2,false)</f>
        <v>SHREDDED COCONUT MED RAW ORGANIC 25LB</v>
      </c>
      <c r="D53" s="9" t="str">
        <f>VLOOKUP(B53,'Unit of Measure ship March 2026'!A:C,3,false)</f>
        <v>LBS</v>
      </c>
    </row>
    <row r="54" ht="14.25" customHeight="1">
      <c r="B54" s="8">
        <v>112795.0</v>
      </c>
      <c r="C54" s="9" t="str">
        <f>VLOOKUP(B54,'FML March 2026'!E:F,2,false)</f>
        <v>SILICA GEL PACKS FOOD GRADE 2 GRAM CS/3000 PC ULINE S3903</v>
      </c>
      <c r="D54" s="9" t="str">
        <f>VLOOKUP(B54,'Unit of Measure ship March 2026'!A:C,3,false)</f>
        <v>EA</v>
      </c>
    </row>
    <row r="55" ht="14.25" customHeight="1">
      <c r="B55" s="17">
        <v>111039.0</v>
      </c>
      <c r="C55" s="9" t="str">
        <f>VLOOKUP(B55,'FML March 2026'!E:F,2,false)</f>
        <v>STRAWBERRY POWDER CS6/4OZ NUTS</v>
      </c>
      <c r="D55" s="9" t="str">
        <f>VLOOKUP(B55,'Unit of Measure ship March 2026'!A:C,3,false)</f>
        <v>EA</v>
      </c>
    </row>
    <row r="56" ht="14.25" customHeight="1">
      <c r="B56" s="17">
        <v>15642.0</v>
      </c>
      <c r="C56" s="9" t="str">
        <f>VLOOKUP(B56,'FML March 2026'!E:F,2,false)</f>
        <v>SUGAR, GRANULATED, ICUMSA 150, SUGARCANE, DRY, 1/50 LB</v>
      </c>
      <c r="D56" s="9" t="str">
        <f>VLOOKUP(B56,'Unit of Measure ship March 2026'!A:C,3,false)</f>
        <v>LBS</v>
      </c>
    </row>
    <row r="57" ht="14.25" customHeight="1">
      <c r="B57" s="17">
        <v>79609.0</v>
      </c>
      <c r="C57" s="9" t="str">
        <f>VLOOKUP(B57,'FML March 2026'!E:F,2,false)</f>
        <v>VEGAN SUGAR ORGANIC (BONE CHAR FREE ) WHOLESOME</v>
      </c>
      <c r="D57" s="9" t="str">
        <f>VLOOKUP(B57,'Unit of Measure ship March 2026'!A:C,3,false)</f>
        <v>LBS</v>
      </c>
    </row>
    <row r="58" ht="14.25" customHeight="1">
      <c r="B58" s="17">
        <v>49450.0</v>
      </c>
      <c r="C58" s="9" t="str">
        <f>VLOOKUP(B58,'FML March 2026'!E:F,2,false)</f>
        <v>WHIPPING CREAM (35% TO 36%) UHT</v>
      </c>
      <c r="D58" s="9" t="str">
        <f>VLOOKUP(B58,'Unit of Measure ship March 2026'!A:C,3,false)</f>
        <v>QRT</v>
      </c>
    </row>
    <row r="59" ht="14.25" customHeight="1">
      <c r="C59" s="9"/>
      <c r="D59" s="9"/>
    </row>
    <row r="60" ht="14.25" customHeight="1">
      <c r="C60" s="9"/>
      <c r="D60" s="9"/>
    </row>
    <row r="61" ht="14.25" customHeight="1">
      <c r="C61" s="9"/>
      <c r="D61" s="9"/>
    </row>
    <row r="62" ht="14.25" customHeight="1"/>
    <row r="63" ht="14.2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8" width="8.71"/>
  </cols>
  <sheetData>
    <row r="1">
      <c r="A1" s="149"/>
      <c r="B1" s="157"/>
      <c r="C1" s="158" t="s">
        <v>104</v>
      </c>
      <c r="D1" s="157"/>
      <c r="E1" s="60"/>
      <c r="F1" s="157"/>
      <c r="G1" s="158" t="s">
        <v>105</v>
      </c>
      <c r="H1" s="157"/>
      <c r="I1" s="149"/>
      <c r="J1" s="149"/>
      <c r="K1" s="149"/>
      <c r="L1" s="149"/>
      <c r="M1" s="149"/>
      <c r="N1" s="149"/>
      <c r="O1" s="149"/>
      <c r="P1" s="149"/>
      <c r="Q1" s="149"/>
      <c r="R1" s="149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17">
        <v>16262.0</v>
      </c>
      <c r="C3" s="9" t="str">
        <f>VLOOKUP(B3,'FML March 2026'!E:F,2,false)</f>
        <v>ALLSPICE BADIA</v>
      </c>
      <c r="D3" s="9" t="str">
        <f>VLOOKUP(B3,'Unit of Measure ship March 2026'!A:C,3,false)</f>
        <v>LBS</v>
      </c>
      <c r="F3" s="48">
        <v>34727.0</v>
      </c>
      <c r="G3" s="9" t="str">
        <f>VLOOKUP(F3,'FML March 2026'!E:F,2,false)</f>
        <v>BEEF EXPORT RIBS, CAB CHOICE 18/DOWN 4/PC, 30D AGE,BLST/FRZN (USA) NAMP-109E</v>
      </c>
      <c r="H3" s="9" t="str">
        <f>VLOOKUP(F3,'Unit of Measure ship March 2026'!A:C,3,false)</f>
        <v>LBS</v>
      </c>
    </row>
    <row r="4" ht="14.25" customHeight="1">
      <c r="B4" s="8">
        <v>109664.0</v>
      </c>
      <c r="C4" s="9" t="str">
        <f>VLOOKUP(B4,'FML March 2026'!E:F,2,false)</f>
        <v>APPLE CIDER VINEGAR SPARROW LANE V</v>
      </c>
      <c r="D4" s="9" t="str">
        <f>VLOOKUP(B4,'Unit of Measure ship March 2026'!A:C,3,false)</f>
        <v>GAL</v>
      </c>
      <c r="F4" s="17">
        <v>62645.0</v>
      </c>
      <c r="G4" s="9" t="str">
        <f>VLOOKUP(F4,'FML March 2026'!E:F,2,false)</f>
        <v>CHICKEN WINGS WHOLE  RAW JUMBO CS4/10 LB</v>
      </c>
      <c r="H4" s="9" t="str">
        <f>VLOOKUP(F4,'Unit of Measure ship March 2026'!A:C,3,false)</f>
        <v>LBS</v>
      </c>
    </row>
    <row r="5" ht="14.25" customHeight="1">
      <c r="B5" s="17">
        <v>16250.0</v>
      </c>
      <c r="C5" s="9" t="str">
        <f>VLOOKUP(B5,'FML March 2026'!E:F,2,false)</f>
        <v>BAY LEAVES WHOLE D`ALLESANDRO/ SPICECO</v>
      </c>
      <c r="D5" s="9" t="str">
        <f>VLOOKUP(B5,'Unit of Measure ship March 2026'!A:C,3,false)</f>
        <v>LBS</v>
      </c>
      <c r="F5" s="17"/>
      <c r="G5" s="9"/>
      <c r="H5" s="9"/>
    </row>
    <row r="6" ht="14.25" customHeight="1">
      <c r="B6" s="17">
        <v>112750.0</v>
      </c>
      <c r="C6" s="9" t="str">
        <f>VLOOKUP(B6,'FML March 2026'!E:F,2,false)</f>
        <v>BEYOND MEAT VEGAN  ORIGINAL BRAT, 3.52 OUNCE CS50/CT BEYOND MEAT</v>
      </c>
      <c r="D6" s="9" t="str">
        <f>VLOOKUP(B6,'Unit of Measure ship March 2026'!A:C,3,false)</f>
        <v>LBS</v>
      </c>
      <c r="F6" s="49"/>
      <c r="G6" s="9"/>
      <c r="H6" s="9"/>
    </row>
    <row r="7" ht="14.25" customHeight="1">
      <c r="B7" s="17">
        <v>15016.0</v>
      </c>
      <c r="C7" s="9" t="str">
        <f>VLOOKUP(B7,'FML March 2026'!E:F,2,false)</f>
        <v>BUTTER, UNSALTED, 82% FAT, FZN, 50/200 G</v>
      </c>
      <c r="D7" s="9" t="str">
        <f>VLOOKUP(B7,'Unit of Measure ship March 2026'!A:C,3,false)</f>
        <v>LBS</v>
      </c>
      <c r="F7" s="49"/>
      <c r="G7" s="9"/>
      <c r="H7" s="9"/>
    </row>
    <row r="8" ht="14.25" customHeight="1">
      <c r="B8" s="17">
        <v>14893.0</v>
      </c>
      <c r="C8" s="9" t="str">
        <f>VLOOKUP(B8,'FML March 2026'!E:F,2,false)</f>
        <v>BUTTERMILK LOCAL 10 DAYS CS9/HGAL</v>
      </c>
      <c r="D8" s="9" t="str">
        <f>VLOOKUP(B8,'Unit of Measure ship March 2026'!A:C,3,false)</f>
        <v>QRT</v>
      </c>
      <c r="F8" s="49"/>
      <c r="G8" s="9"/>
      <c r="H8" s="9"/>
    </row>
    <row r="9" ht="14.25" customHeight="1">
      <c r="B9" s="17">
        <v>14984.0</v>
      </c>
      <c r="C9" s="9" t="str">
        <f>VLOOKUP(B9,'FML March 2026'!E:F,2,false)</f>
        <v>CHEDDAR BLOCK YELLOW IMP.4/11</v>
      </c>
      <c r="D9" s="9" t="str">
        <f>VLOOKUP(B9,'Unit of Measure ship March 2026'!A:C,3,false)</f>
        <v>LBS</v>
      </c>
      <c r="F9" s="159"/>
      <c r="G9" s="9"/>
      <c r="H9" s="9"/>
    </row>
    <row r="10" ht="14.25" customHeight="1">
      <c r="B10" s="17">
        <v>112138.0</v>
      </c>
      <c r="C10" s="9" t="str">
        <f>VLOOKUP(B10,'FML March 2026'!E:F,2,false)</f>
        <v>CHEESE PROCESSED VELVEETA POUCH KRAFT</v>
      </c>
      <c r="D10" s="9" t="str">
        <f>VLOOKUP(B10,'Unit of Measure ship March 2026'!A:C,3,false)</f>
        <v>OZ</v>
      </c>
      <c r="F10" s="49"/>
      <c r="G10" s="9"/>
      <c r="H10" s="9"/>
    </row>
    <row r="11" ht="14.25" customHeight="1">
      <c r="B11" s="8">
        <v>112137.0</v>
      </c>
      <c r="C11" s="9" t="str">
        <f>VLOOKUP(B11,'FML March 2026'!E:F,2,false)</f>
        <v>CHEEZE WHIZ CS6/6.5LB KRAFT</v>
      </c>
      <c r="D11" s="9" t="str">
        <f>VLOOKUP(B11,'Unit of Measure ship March 2026'!A:C,3,false)</f>
        <v>CN6.5/LB</v>
      </c>
      <c r="F11" s="49"/>
      <c r="G11" s="9"/>
      <c r="H11" s="9"/>
    </row>
    <row r="12" ht="14.25" customHeight="1">
      <c r="B12" s="17">
        <v>16288.0</v>
      </c>
      <c r="C12" s="9" t="str">
        <f>VLOOKUP(B12,'FML March 2026'!E:F,2,false)</f>
        <v>CORIANDER WHOLE BADIA (USA )</v>
      </c>
      <c r="D12" s="9" t="str">
        <f>VLOOKUP(B12,'Unit of Measure ship March 2026'!A:C,3,false)</f>
        <v>LBS</v>
      </c>
      <c r="F12" s="49"/>
      <c r="G12" s="9"/>
      <c r="H12" s="9"/>
    </row>
    <row r="13" ht="14.25" customHeight="1">
      <c r="B13" s="17">
        <v>14997.0</v>
      </c>
      <c r="C13" s="9" t="str">
        <f>VLOOKUP(B13,'FML March 2026'!E:F,2,false)</f>
        <v>EMMENTHAL LOAF / DEXPA # 7290 - 7465</v>
      </c>
      <c r="D13" s="9" t="str">
        <f>VLOOKUP(B13,'Unit of Measure ship March 2026'!A:C,3,false)</f>
        <v>LBS</v>
      </c>
      <c r="F13" s="51"/>
      <c r="G13" s="9"/>
      <c r="H13" s="9"/>
    </row>
    <row r="14" ht="14.25" customHeight="1">
      <c r="B14" s="17">
        <v>16259.0</v>
      </c>
      <c r="C14" s="9" t="str">
        <f>VLOOKUP(B14,'FML March 2026'!E:F,2,false)</f>
        <v>FENNEL SEED WHOLE BADIA (USA )</v>
      </c>
      <c r="D14" s="9" t="str">
        <f>VLOOKUP(B14,'Unit of Measure ship March 2026'!A:C,3,false)</f>
        <v>LBS</v>
      </c>
      <c r="F14" s="51"/>
      <c r="G14" s="9"/>
      <c r="H14" s="9"/>
    </row>
    <row r="15" ht="14.25" customHeight="1">
      <c r="B15" s="17">
        <v>109639.0</v>
      </c>
      <c r="C15" s="9" t="str">
        <f>VLOOKUP(B15,'FML March 2026'!E:F,2,false)</f>
        <v>FLOUR SIR LANCELOT HIGH GLUTEN  50 LB KING ARTHUR</v>
      </c>
      <c r="D15" s="9" t="str">
        <f>VLOOKUP(B15,'Unit of Measure ship March 2026'!A:C,3,false)</f>
        <v>KG</v>
      </c>
      <c r="F15" s="51"/>
      <c r="G15" s="9"/>
      <c r="H15" s="9"/>
    </row>
    <row r="16" ht="14.25" customHeight="1">
      <c r="B16" s="17">
        <v>14565.0</v>
      </c>
      <c r="C16" s="9" t="str">
        <f>VLOOKUP(B16,'FML March 2026'!E:F,2,false)</f>
        <v>FRANKFURTERS ALL BEEF SKINLESS 6/1 KOSHER HEBREW NATIONAL/NATHANS (USA)</v>
      </c>
      <c r="D16" s="9" t="str">
        <f>VLOOKUP(B16,'Unit of Measure ship March 2026'!A:C,3,false)</f>
        <v>LBS</v>
      </c>
      <c r="F16" s="51"/>
      <c r="G16" s="9"/>
      <c r="H16" s="9"/>
    </row>
    <row r="17" ht="14.25" customHeight="1">
      <c r="B17" s="17">
        <v>16260.0</v>
      </c>
      <c r="C17" s="9" t="str">
        <f>VLOOKUP(B17,'FML March 2026'!E:F,2,false)</f>
        <v>GARLIC, POWDER, DRY, 12/16 OZ</v>
      </c>
      <c r="D17" s="9" t="str">
        <f>VLOOKUP(B17,'Unit of Measure ship March 2026'!A:C,3,false)</f>
        <v>LBS</v>
      </c>
      <c r="F17" s="51"/>
      <c r="G17" s="9"/>
      <c r="H17" s="9"/>
    </row>
    <row r="18" ht="14.25" customHeight="1">
      <c r="B18" s="17">
        <v>110879.0</v>
      </c>
      <c r="C18" s="9" t="str">
        <f>VLOOKUP(B18,'FML March 2026'!E:F,2,false)</f>
        <v>GOCHUJANG PASTE SEMPIO</v>
      </c>
      <c r="D18" s="9" t="str">
        <f>VLOOKUP(B18,'Unit of Measure ship March 2026'!A:C,3,false)</f>
        <v>PKG1/KG</v>
      </c>
      <c r="F18" s="51"/>
      <c r="G18" s="9"/>
      <c r="H18" s="9"/>
    </row>
    <row r="19" ht="14.25" customHeight="1">
      <c r="B19" s="17">
        <v>14991.0</v>
      </c>
      <c r="C19" s="9" t="str">
        <f>VLOOKUP(B19,'FML March 2026'!E:F,2,false)</f>
        <v>GOUDA LOG</v>
      </c>
      <c r="D19" s="9" t="str">
        <f>VLOOKUP(B19,'Unit of Measure ship March 2026'!A:C,3,false)</f>
        <v>LBS</v>
      </c>
      <c r="F19" s="51"/>
      <c r="G19" s="9"/>
      <c r="H19" s="9"/>
    </row>
    <row r="20" ht="14.25" customHeight="1">
      <c r="B20" s="17">
        <v>14907.0</v>
      </c>
      <c r="C20" s="9" t="str">
        <f>VLOOKUP(B20,'FML March 2026'!E:F,2,false)</f>
        <v>HEAVY CREAM UHT LONG LIFE 38%-40% 12/1LT</v>
      </c>
      <c r="D20" s="9" t="str">
        <f>VLOOKUP(B20,'Unit of Measure ship March 2026'!A:C,3,false)</f>
        <v>LT</v>
      </c>
      <c r="F20" s="51"/>
      <c r="G20" s="9"/>
      <c r="H20" s="9"/>
    </row>
    <row r="21" ht="14.25" customHeight="1">
      <c r="B21" s="8">
        <v>15658.0</v>
      </c>
      <c r="C21" s="9" t="str">
        <f>VLOOKUP(B21,'FML March 2026'!E:F,2,false)</f>
        <v>HONEY 6/5 LB GROEB/MELONIA/SWEET HARVEST</v>
      </c>
      <c r="D21" s="9" t="str">
        <f>VLOOKUP(B21,'Unit of Measure ship March 2026'!A:C,3,false)</f>
        <v>KG</v>
      </c>
      <c r="F21" s="51"/>
      <c r="G21" s="9"/>
      <c r="H21" s="9"/>
    </row>
    <row r="22" ht="14.25" customHeight="1">
      <c r="B22" s="17">
        <v>15913.0</v>
      </c>
      <c r="C22" s="9" t="str">
        <f>VLOOKUP(B22,'FML March 2026'!E:F,2,false)</f>
        <v>HOT DOG ROLLS STADIUM ALPHA BAKERS/ BLOCK &amp; BARREL</v>
      </c>
      <c r="D22" s="9" t="str">
        <f>VLOOKUP(B22,'Unit of Measure ship March 2026'!A:C,3,false)</f>
        <v>PC</v>
      </c>
      <c r="F22" s="51"/>
      <c r="G22" s="9"/>
      <c r="H22" s="9"/>
    </row>
    <row r="23" ht="14.25" customHeight="1">
      <c r="B23" s="17">
        <v>109680.0</v>
      </c>
      <c r="C23" s="9" t="str">
        <f>VLOOKUP(B23,'FML March 2026'!E:F,2,false)</f>
        <v>HOT SAUCE CHOLULAS</v>
      </c>
      <c r="D23" s="9" t="str">
        <f>VLOOKUP(B23,'Unit of Measure ship March 2026'!A:C,3,false)</f>
        <v>BTL/6OZ</v>
      </c>
      <c r="F23" s="51"/>
      <c r="G23" s="9"/>
      <c r="H23" s="9"/>
    </row>
    <row r="24" ht="14.25" customHeight="1">
      <c r="B24" s="17">
        <v>16349.0</v>
      </c>
      <c r="C24" s="9" t="str">
        <f>VLOOKUP(B24,'FML March 2026'!E:F,2,false)</f>
        <v>KETCHUP, HEINZ, 51290, DRY, 6/#10</v>
      </c>
      <c r="D24" s="9" t="str">
        <f>VLOOKUP(B24,'Unit of Measure ship March 2026'!A:C,3,false)</f>
        <v>CN/6.5LB</v>
      </c>
      <c r="F24" s="51"/>
      <c r="G24" s="9"/>
      <c r="H24" s="9"/>
    </row>
    <row r="25" ht="14.25" customHeight="1">
      <c r="B25" s="17">
        <v>109624.0</v>
      </c>
      <c r="C25" s="9" t="str">
        <f>VLOOKUP(B25,'FML March 2026'!E:F,2,false)</f>
        <v>MALT POWDER NON-DIASTATIC CS/50LB  MODERNIST PANTRY</v>
      </c>
      <c r="D25" s="9" t="str">
        <f>VLOOKUP(B25,'Unit of Measure ship March 2026'!A:C,3,false)</f>
        <v>KG</v>
      </c>
      <c r="F25" s="51"/>
      <c r="G25" s="9"/>
      <c r="H25" s="9"/>
    </row>
    <row r="26" ht="14.25" customHeight="1">
      <c r="B26" s="8">
        <v>109668.0</v>
      </c>
      <c r="C26" s="9" t="str">
        <f>VLOOKUP(B26,'FML March 2026'!E:F,2,false)</f>
        <v>MAYONNAISE VEGAN FOLLOW YOUR HEART</v>
      </c>
      <c r="D26" s="9" t="str">
        <f>VLOOKUP(B26,'Unit of Measure ship March 2026'!A:C,3,false)</f>
        <v>GAL</v>
      </c>
      <c r="F26" s="51"/>
      <c r="G26" s="9"/>
      <c r="H26" s="9"/>
    </row>
    <row r="27" ht="14.25" customHeight="1">
      <c r="B27" s="8">
        <v>109667.0</v>
      </c>
      <c r="C27" s="9" t="str">
        <f>VLOOKUP(B27,'FML March 2026'!E:F,2,false)</f>
        <v>MAYONNAISE, UNILEVER - HELLMANN'S, 4800126530, DRY, 4/1 GAL</v>
      </c>
      <c r="D27" s="9" t="str">
        <f>VLOOKUP(B27,'Unit of Measure ship March 2026'!A:C,3,false)</f>
        <v>GAL</v>
      </c>
      <c r="F27" s="51"/>
      <c r="G27" s="9"/>
      <c r="H27" s="9"/>
    </row>
    <row r="28" ht="14.25" customHeight="1">
      <c r="B28" s="8">
        <v>16320.0</v>
      </c>
      <c r="C28" s="9" t="str">
        <f>VLOOKUP(B28,'FML March 2026'!E:F,2,false)</f>
        <v>MUSTARD SEED 24 OZ D`ALLESANDRO/ SPICECO</v>
      </c>
      <c r="D28" s="9" t="str">
        <f>VLOOKUP(B28,'Unit of Measure ship March 2026'!A:C,3,false)</f>
        <v>LBS</v>
      </c>
      <c r="F28" s="51"/>
      <c r="G28" s="9"/>
      <c r="H28" s="9"/>
    </row>
    <row r="29" ht="14.25" customHeight="1">
      <c r="B29" s="17">
        <v>16377.0</v>
      </c>
      <c r="C29" s="9" t="str">
        <f>VLOOKUP(B29,'FML March 2026'!E:F,2,false)</f>
        <v>OIL, 100% VEGETABLE SOYBEAN, DRY, 4/5 LT</v>
      </c>
      <c r="D29" s="9" t="str">
        <f>VLOOKUP(B29,'Unit of Measure ship March 2026'!A:C,3,false)</f>
        <v>C4/5LT</v>
      </c>
      <c r="F29" s="51"/>
      <c r="G29" s="9"/>
      <c r="H29" s="9"/>
    </row>
    <row r="30" ht="14.25" customHeight="1">
      <c r="B30" s="17">
        <v>62951.0</v>
      </c>
      <c r="C30" s="9" t="str">
        <f>VLOOKUP(B30,'FML March 2026'!E:F,2,false)</f>
        <v>ONION POWDER</v>
      </c>
      <c r="D30" s="9" t="str">
        <f>VLOOKUP(B30,'Unit of Measure ship March 2026'!A:C,3,false)</f>
        <v>LBS</v>
      </c>
      <c r="F30" s="51"/>
      <c r="G30" s="9"/>
      <c r="H30" s="9"/>
    </row>
    <row r="31" ht="14.25" customHeight="1">
      <c r="B31" s="17">
        <v>14557.0</v>
      </c>
      <c r="C31" s="9" t="str">
        <f>VLOOKUP(B31,'FML March 2026'!E:F,2,false)</f>
        <v>PASTRAMI BOTTOM ROUND FROZEN 25% NATIONAL DELI</v>
      </c>
      <c r="D31" s="9" t="str">
        <f>VLOOKUP(B31,'Unit of Measure ship March 2026'!A:C,3,false)</f>
        <v>LBS</v>
      </c>
      <c r="F31" s="51"/>
      <c r="G31" s="9"/>
      <c r="H31" s="9"/>
    </row>
    <row r="32" ht="14.25" customHeight="1">
      <c r="B32" s="8">
        <v>33681.0</v>
      </c>
      <c r="C32" s="9" t="str">
        <f>VLOOKUP(B32,'FML March 2026'!E:F,2,false)</f>
        <v>PEPPER BLACK GROUND BADIA (USA )</v>
      </c>
      <c r="D32" s="9" t="str">
        <f>VLOOKUP(B32,'Unit of Measure ship March 2026'!A:C,3,false)</f>
        <v>LBS</v>
      </c>
      <c r="F32" s="51"/>
      <c r="G32" s="9"/>
      <c r="H32" s="9"/>
    </row>
    <row r="33" ht="14.25" customHeight="1">
      <c r="B33" s="17">
        <v>16285.0</v>
      </c>
      <c r="C33" s="9" t="str">
        <f>VLOOKUP(B33,'FML March 2026'!E:F,2,false)</f>
        <v>PEPPERCORN, BLACK, WHOLE, DRY, 6/420 G</v>
      </c>
      <c r="D33" s="9" t="str">
        <f>VLOOKUP(B33,'Unit of Measure ship March 2026'!A:C,3,false)</f>
        <v>LBS</v>
      </c>
      <c r="F33" s="51"/>
      <c r="G33" s="9"/>
      <c r="H33" s="9"/>
    </row>
    <row r="34" ht="14.25" customHeight="1">
      <c r="B34" s="17">
        <v>109709.0</v>
      </c>
      <c r="C34" s="9" t="str">
        <f>VLOOKUP(B34,'FML March 2026'!E:F,2,false)</f>
        <v>PIERRE POIVRE PEPPER (LA BOITE A EPICE BRAND)</v>
      </c>
      <c r="D34" s="9" t="str">
        <f>VLOOKUP(B34,'Unit of Measure ship March 2026'!A:C,3,false)</f>
        <v>UNT/16OZ</v>
      </c>
      <c r="F34" s="51"/>
      <c r="G34" s="9"/>
      <c r="H34" s="9"/>
    </row>
    <row r="35" ht="14.25" customHeight="1">
      <c r="B35" s="8">
        <v>16885.0</v>
      </c>
      <c r="C35" s="9" t="str">
        <f>VLOOKUP(B35,'FML March 2026'!E:F,2,false)</f>
        <v>POPCORN KERNELS YELLOW 50LB PACKER (USA)</v>
      </c>
      <c r="D35" s="9" t="str">
        <f>VLOOKUP(B35,'Unit of Measure ship March 2026'!A:C,3,false)</f>
        <v>LBS</v>
      </c>
      <c r="F35" s="51"/>
      <c r="G35" s="9"/>
      <c r="H35" s="9"/>
    </row>
    <row r="36" ht="14.25" customHeight="1">
      <c r="B36" s="17">
        <v>16307.0</v>
      </c>
      <c r="C36" s="9" t="str">
        <f>VLOOKUP(B36,'FML March 2026'!E:F,2,false)</f>
        <v>SALT KOSHER GRANULATED</v>
      </c>
      <c r="D36" s="9" t="str">
        <f>VLOOKUP(B36,'Unit of Measure ship March 2026'!A:C,3,false)</f>
        <v>LBS</v>
      </c>
      <c r="F36" s="51"/>
      <c r="G36" s="9"/>
      <c r="H36" s="9"/>
    </row>
    <row r="37" ht="14.25" customHeight="1">
      <c r="B37" s="8">
        <v>16357.0</v>
      </c>
      <c r="C37" s="9" t="str">
        <f>VLOOKUP(B37,'FML March 2026'!E:F,2,false)</f>
        <v>SAUCE TABASCO RED  2 OZ</v>
      </c>
      <c r="D37" s="9" t="str">
        <f>VLOOKUP(B37,'Unit of Measure ship March 2026'!A:C,3,false)</f>
        <v>BTL/2OZ</v>
      </c>
      <c r="F37" s="51"/>
      <c r="G37" s="9"/>
      <c r="H37" s="9"/>
    </row>
    <row r="38" ht="14.25" customHeight="1">
      <c r="B38" s="17">
        <v>16561.0</v>
      </c>
      <c r="C38" s="9" t="str">
        <f>VLOOKUP(B38,'FML March 2026'!E:F,2,false)</f>
        <v>SAUERKRAUT SHREDDED 6/#10 CAN SILVER FLOSS/ SENECA</v>
      </c>
      <c r="D38" s="9" t="str">
        <f>VLOOKUP(B38,'Unit of Measure ship March 2026'!A:C,3,false)</f>
        <v>CN/2.5KG</v>
      </c>
      <c r="F38" s="51"/>
      <c r="G38" s="9"/>
      <c r="H38" s="9"/>
    </row>
    <row r="39" ht="14.25" customHeight="1">
      <c r="B39" s="17">
        <v>15818.0</v>
      </c>
      <c r="C39" s="9" t="str">
        <f>VLOOKUP(B39,'FML March 2026'!E:F,2,false)</f>
        <v>SESAME SEEDS WHITE BADIA (USA )</v>
      </c>
      <c r="D39" s="9" t="str">
        <f>VLOOKUP(B39,'Unit of Measure ship March 2026'!A:C,3,false)</f>
        <v>LBS</v>
      </c>
      <c r="F39" s="51"/>
      <c r="G39" s="9"/>
      <c r="H39" s="9"/>
    </row>
    <row r="40" ht="14.25" customHeight="1">
      <c r="B40" s="17">
        <v>14883.0</v>
      </c>
      <c r="C40" s="9" t="str">
        <f>VLOOKUP(B40,'FML March 2026'!E:F,2,false)</f>
        <v>SOUR CREAM LONG LIFE 24% 6/5#</v>
      </c>
      <c r="D40" s="9" t="str">
        <f>VLOOKUP(B40,'Unit of Measure ship March 2026'!A:C,3,false)</f>
        <v>LBS</v>
      </c>
      <c r="F40" s="51"/>
      <c r="G40" s="9"/>
      <c r="H40" s="9"/>
    </row>
    <row r="41" ht="14.25" customHeight="1">
      <c r="B41" s="8">
        <v>20879.0</v>
      </c>
      <c r="C41" s="9" t="str">
        <f>VLOOKUP(B41,'FML March 2026'!E:F,2,false)</f>
        <v>SRIRACHA, HOT CHILI SAUCE, HUY FONG, 28OZ</v>
      </c>
      <c r="D41" s="9" t="str">
        <f>VLOOKUP(B41,'Unit of Measure ship March 2026'!A:C,3,false)</f>
        <v>BT/17OZ</v>
      </c>
      <c r="F41" s="51"/>
      <c r="G41" s="9"/>
      <c r="H41" s="9"/>
    </row>
    <row r="42" ht="14.25" customHeight="1">
      <c r="B42" s="8">
        <v>109666.0</v>
      </c>
      <c r="C42" s="9" t="str">
        <f>VLOOKUP(B42,'FML March 2026'!E:F,2,false)</f>
        <v>VINEGAR CHAMPAGNE WINE SPARROW LANE/ PACKER</v>
      </c>
      <c r="D42" s="9" t="str">
        <f>VLOOKUP(B42,'Unit of Measure ship March 2026'!A:C,3,false)</f>
        <v>GAL</v>
      </c>
      <c r="F42" s="51"/>
      <c r="G42" s="9"/>
      <c r="H42" s="9"/>
    </row>
    <row r="43" ht="14.25" customHeight="1">
      <c r="B43" s="17">
        <v>16358.0</v>
      </c>
      <c r="C43" s="9" t="str">
        <f>VLOOKUP(B43,'FML March 2026'!E:F,2,false)</f>
        <v>WORCESTERSHIRE SAUCE 5 OZ LEA &amp; PERRINS</v>
      </c>
      <c r="D43" s="9" t="str">
        <f>VLOOKUP(B43,'Unit of Measure ship March 2026'!A:C,3,false)</f>
        <v>BTL/5OZ</v>
      </c>
      <c r="F43" s="51"/>
      <c r="G43" s="9"/>
      <c r="H43" s="9"/>
    </row>
    <row r="44" ht="14.25" customHeight="1">
      <c r="F44" s="51"/>
      <c r="G44" s="9"/>
      <c r="H44" s="9"/>
    </row>
    <row r="45" ht="14.25" customHeight="1">
      <c r="F45" s="51"/>
      <c r="G45" s="9"/>
      <c r="H45" s="9"/>
    </row>
    <row r="46" ht="14.25" customHeight="1">
      <c r="C46" s="9"/>
      <c r="D46" s="9"/>
      <c r="F46" s="51"/>
      <c r="G46" s="9"/>
      <c r="H46" s="9"/>
    </row>
    <row r="47" ht="14.25" customHeight="1">
      <c r="C47" s="9"/>
      <c r="D47" s="9"/>
      <c r="F47" s="51"/>
      <c r="G47" s="9"/>
      <c r="H47" s="9"/>
    </row>
    <row r="48" ht="14.25" customHeight="1">
      <c r="F48" s="51"/>
      <c r="G48" s="9"/>
      <c r="H48" s="9"/>
    </row>
    <row r="49" ht="14.25" customHeight="1">
      <c r="F49" s="51"/>
      <c r="G49" s="9"/>
      <c r="H49" s="9"/>
    </row>
    <row r="50" ht="14.25" customHeight="1">
      <c r="F50" s="51"/>
      <c r="G50" s="9"/>
      <c r="H50" s="9"/>
    </row>
    <row r="51" ht="14.25" customHeight="1">
      <c r="F51" s="51"/>
      <c r="G51" s="9"/>
      <c r="H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49"/>
      <c r="B1" s="157"/>
      <c r="C1" s="158" t="s">
        <v>106</v>
      </c>
      <c r="D1" s="157"/>
      <c r="E1" s="60"/>
      <c r="F1" s="157"/>
      <c r="G1" s="158" t="s">
        <v>107</v>
      </c>
      <c r="H1" s="157"/>
      <c r="I1" s="60"/>
      <c r="J1" s="157"/>
      <c r="K1" s="157" t="s">
        <v>108</v>
      </c>
      <c r="L1" s="157"/>
      <c r="M1" s="60"/>
      <c r="N1" s="157"/>
      <c r="O1" s="157" t="s">
        <v>109</v>
      </c>
      <c r="P1" s="157"/>
      <c r="U1" s="149"/>
      <c r="V1" s="149"/>
      <c r="W1" s="149"/>
      <c r="X1" s="149"/>
      <c r="Y1" s="149"/>
      <c r="Z1" s="149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5" t="s">
        <v>6</v>
      </c>
      <c r="O2" s="146" t="s">
        <v>7</v>
      </c>
      <c r="P2" s="145" t="s">
        <v>8</v>
      </c>
    </row>
    <row r="3" ht="14.25" customHeight="1">
      <c r="B3" s="8">
        <v>109520.0</v>
      </c>
      <c r="C3" s="9" t="str">
        <f>VLOOKUP(B3,'FML March 2026'!E:F,2,false)</f>
        <v>AGAVE SYRUP VEGAN BLUE GREEN VS4/1GAL (USA)</v>
      </c>
      <c r="D3" s="9" t="str">
        <f>VLOOKUP(B3,'Unit of Measure ship March 2026'!A:C,3,false)</f>
        <v>LT</v>
      </c>
      <c r="F3" s="17">
        <v>20895.0</v>
      </c>
      <c r="G3" s="9" t="str">
        <f>VLOOKUP(F3,'FML March 2026'!E:F,2,false)</f>
        <v>ASIAN LONG RED CHILI, FRESH MEDIUM HOT</v>
      </c>
      <c r="H3" s="9" t="str">
        <f>VLOOKUP(F3,'Unit of Measure ship March 2026'!A:C,3,false)</f>
        <v>LBS</v>
      </c>
      <c r="J3" s="48">
        <v>34727.0</v>
      </c>
      <c r="K3" s="9" t="str">
        <f>VLOOKUP(J3,'FML March 2026'!E:F,2,false)</f>
        <v>BEEF EXPORT RIBS, CAB CHOICE 18/DOWN 4/PC, 30D AGE,BLST/FRZN (USA) NAMP-109E</v>
      </c>
      <c r="L3" s="9" t="str">
        <f>VLOOKUP(J3,'Unit of Measure ship March 2026'!A:C,3,false)</f>
        <v>LBS</v>
      </c>
      <c r="N3" s="17">
        <v>53625.0</v>
      </c>
      <c r="O3" s="9" t="str">
        <f>VLOOKUP(N3,'FML March 2026'!E:F,2,false)</f>
        <v>SALMON FILLET, ATLANTIC, PREMIUM, FROZEN, 3 - 4 LB D-TRIM INDV. CRYOVAC (CHILE)</v>
      </c>
      <c r="P3" s="9" t="str">
        <f>VLOOKUP(N3,'Unit of Measure ship March 2026'!A:C,3,false)</f>
        <v>LBS</v>
      </c>
    </row>
    <row r="4" ht="14.25" customHeight="1">
      <c r="B4" s="8">
        <v>16262.0</v>
      </c>
      <c r="C4" s="9" t="str">
        <f>VLOOKUP(B4,'FML March 2026'!E:F,2,false)</f>
        <v>ALLSPICE BADIA</v>
      </c>
      <c r="D4" s="9" t="str">
        <f>VLOOKUP(B4,'Unit of Measure ship March 2026'!A:C,3,false)</f>
        <v>LBS</v>
      </c>
      <c r="F4" s="17">
        <v>15572.0</v>
      </c>
      <c r="G4" s="9" t="str">
        <f>VLOOKUP(F4,'FML March 2026'!E:F,2,false)</f>
        <v>ASPARAGUS, FRESH, LARGE, FULL 11# BOX, 17 PC/BOX</v>
      </c>
      <c r="H4" s="9" t="str">
        <f>VLOOKUP(F4,'Unit of Measure ship March 2026'!A:C,3,false)</f>
        <v>LBS</v>
      </c>
      <c r="J4" s="17">
        <v>11690.0</v>
      </c>
      <c r="K4" s="9" t="str">
        <f>VLOOKUP(J4,'FML March 2026'!E:F,2,false)</f>
        <v>CHICKEN BREAST, BONELESS, SKINLESS, NON-MARINATED, NON-INJECTED, 6-7 OZ EA, FZN, 1/40 LB</v>
      </c>
      <c r="L4" s="9" t="str">
        <f>VLOOKUP(J4,'Unit of Measure ship March 2026'!A:C,3,false)</f>
        <v>LBS</v>
      </c>
      <c r="N4" s="17">
        <v>14651.0</v>
      </c>
      <c r="O4" s="9" t="str">
        <f>VLOOKUP(N4,'FML March 2026'!E:F,2,false)</f>
        <v>TUNA LOIN SKINLESS FROZEN,  (IP IS FTZ) (YEMEN)</v>
      </c>
      <c r="P4" s="9" t="str">
        <f>VLOOKUP(N4,'Unit of Measure ship March 2026'!A:C,3,false)</f>
        <v>LBS</v>
      </c>
    </row>
    <row r="5" ht="14.25" customHeight="1">
      <c r="B5" s="8">
        <v>109664.0</v>
      </c>
      <c r="C5" s="9" t="str">
        <f>VLOOKUP(B5,'FML March 2026'!E:F,2,false)</f>
        <v>APPLE CIDER VINEGAR SPARROW LANE V</v>
      </c>
      <c r="D5" s="9" t="str">
        <f>VLOOKUP(B5,'Unit of Measure ship March 2026'!A:C,3,false)</f>
        <v>GAL</v>
      </c>
      <c r="F5" s="17">
        <v>15378.0</v>
      </c>
      <c r="G5" s="9" t="str">
        <f>VLOOKUP(F5,'FML March 2026'!E:F,2,false)</f>
        <v>AVOCADOS HASS FRESH CA-48PC FL-12/14PC 20#</v>
      </c>
      <c r="H5" s="9" t="str">
        <f>VLOOKUP(F5,'Unit of Measure ship March 2026'!A:C,3,false)</f>
        <v>LBS</v>
      </c>
      <c r="J5" s="17"/>
      <c r="K5" s="9"/>
      <c r="L5" s="9"/>
    </row>
    <row r="6" ht="14.25" customHeight="1">
      <c r="B6" s="17">
        <v>15182.0</v>
      </c>
      <c r="C6" s="9" t="str">
        <f>VLOOKUP(B6,'FML March 2026'!E:F,2,false)</f>
        <v>AVOCADO, CHUNKY, PULP, POUCH, GRADE A, IQF, FZN, 1/10 KG</v>
      </c>
      <c r="D6" s="9" t="str">
        <f>VLOOKUP(B6,'Unit of Measure ship March 2026'!A:C,3,false)</f>
        <v>LBS</v>
      </c>
      <c r="F6" s="17">
        <v>15454.0</v>
      </c>
      <c r="G6" s="9" t="str">
        <f>VLOOKUP(F6,'FML March 2026'!E:F,2,false)</f>
        <v>CABBAGE GREEN COMM MED/LG TRIMMED 50#</v>
      </c>
      <c r="H6" s="9" t="str">
        <f>VLOOKUP(F6,'Unit of Measure ship March 2026'!A:C,3,false)</f>
        <v>LBS</v>
      </c>
      <c r="J6" s="49"/>
      <c r="K6" s="9"/>
      <c r="L6" s="9"/>
    </row>
    <row r="7" ht="14.25" customHeight="1">
      <c r="B7" s="8">
        <v>15652.0</v>
      </c>
      <c r="C7" s="9" t="str">
        <f>VLOOKUP(B7,'FML March 2026'!E:F,2,false)</f>
        <v>BAKING SODA</v>
      </c>
      <c r="D7" s="9" t="str">
        <f>VLOOKUP(B7,'Unit of Measure ship March 2026'!A:C,3,false)</f>
        <v>LBS</v>
      </c>
      <c r="F7" s="17">
        <v>15455.0</v>
      </c>
      <c r="G7" s="9" t="str">
        <f>VLOOKUP(F7,'FML March 2026'!E:F,2,false)</f>
        <v>CABBAGE RED COMM MED/LG TRIMMED 50#</v>
      </c>
      <c r="H7" s="9" t="str">
        <f>VLOOKUP(F7,'Unit of Measure ship March 2026'!A:C,3,false)</f>
        <v>LBS</v>
      </c>
      <c r="J7" s="49"/>
      <c r="K7" s="9"/>
      <c r="L7" s="9"/>
      <c r="N7" s="17"/>
      <c r="O7" s="9"/>
      <c r="P7" s="9"/>
    </row>
    <row r="8" ht="14.25" customHeight="1">
      <c r="B8" s="17">
        <v>16250.0</v>
      </c>
      <c r="C8" s="9" t="str">
        <f>VLOOKUP(B8,'FML March 2026'!E:F,2,false)</f>
        <v>BAY LEAVES WHOLE D`ALLESANDRO/ SPICECO</v>
      </c>
      <c r="D8" s="9" t="str">
        <f>VLOOKUP(B8,'Unit of Measure ship March 2026'!A:C,3,false)</f>
        <v>LBS</v>
      </c>
      <c r="F8" s="17">
        <v>15545.0</v>
      </c>
      <c r="G8" s="9" t="str">
        <f>VLOOKUP(F8,'FML March 2026'!E:F,2,false)</f>
        <v>CABBAGE SAVOY LARGE 40#</v>
      </c>
      <c r="H8" s="9" t="str">
        <f>VLOOKUP(F8,'Unit of Measure ship March 2026'!A:C,3,false)</f>
        <v>LBS</v>
      </c>
      <c r="J8" s="49"/>
      <c r="K8" s="9"/>
      <c r="L8" s="9"/>
      <c r="N8" s="17"/>
      <c r="O8" s="9"/>
      <c r="P8" s="9"/>
    </row>
    <row r="9" ht="14.25" customHeight="1">
      <c r="B9" s="8">
        <v>26627.0</v>
      </c>
      <c r="C9" s="9" t="str">
        <f>VLOOKUP(B9,'FML March 2026'!E:F,2,false)</f>
        <v>BEANS CHICK PEAS DRY BULK</v>
      </c>
      <c r="D9" s="9" t="str">
        <f>VLOOKUP(B9,'Unit of Measure ship March 2026'!A:C,3,false)</f>
        <v>LBS</v>
      </c>
      <c r="F9" s="17">
        <v>15458.0</v>
      </c>
      <c r="G9" s="9" t="str">
        <f>VLOOKUP(F9,'FML March 2026'!E:F,2,false)</f>
        <v>CARROTS CLIP TOP 50#</v>
      </c>
      <c r="H9" s="9" t="str">
        <f>VLOOKUP(F9,'Unit of Measure ship March 2026'!A:C,3,false)</f>
        <v>LBS</v>
      </c>
      <c r="J9" s="49"/>
      <c r="K9" s="9"/>
      <c r="L9" s="9"/>
      <c r="N9" s="17"/>
      <c r="O9" s="9"/>
      <c r="P9" s="9"/>
    </row>
    <row r="10" ht="14.25" customHeight="1">
      <c r="B10" s="17">
        <v>15893.0</v>
      </c>
      <c r="C10" s="9" t="str">
        <f>VLOOKUP(B10,'FML March 2026'!E:F,2,false)</f>
        <v>CASHEWS, RAW, WHOLE, #320, DRY, 1/50 LB</v>
      </c>
      <c r="D10" s="9" t="str">
        <f>VLOOKUP(B10,'Unit of Measure ship March 2026'!A:C,3,false)</f>
        <v>LBS</v>
      </c>
      <c r="F10" s="17">
        <v>110064.0</v>
      </c>
      <c r="G10" s="9" t="str">
        <f>VLOOKUP(F10,'FML March 2026'!E:F,2,false)</f>
        <v>CARROTS RAINBOW FRESH</v>
      </c>
      <c r="H10" s="9" t="str">
        <f>VLOOKUP(F10,'Unit of Measure ship March 2026'!A:C,3,false)</f>
        <v>LBS</v>
      </c>
      <c r="J10" s="49"/>
      <c r="K10" s="9"/>
      <c r="L10" s="9"/>
      <c r="O10" s="9"/>
      <c r="P10" s="9"/>
    </row>
    <row r="11" ht="14.25" customHeight="1">
      <c r="B11" s="8">
        <v>109925.0</v>
      </c>
      <c r="C11" s="9" t="str">
        <f>VLOOKUP(B11,'FML March 2026'!E:F,2,false)</f>
        <v>CHEESE VEGAN CREAM CHEESE</v>
      </c>
      <c r="D11" s="9" t="str">
        <f>VLOOKUP(B11,'Unit of Measure ship March 2026'!A:C,3,false)</f>
        <v>LBS</v>
      </c>
      <c r="F11" s="17">
        <v>15431.0</v>
      </c>
      <c r="G11" s="9" t="str">
        <f>VLOOKUP(F11,'FML March 2026'!E:F,2,false)</f>
        <v>CILANTRO (12 BUNCH) 1 LB/CS DOMESTIC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17">
        <v>16308.0</v>
      </c>
      <c r="C12" s="9" t="str">
        <f>VLOOKUP(B12,'FML March 2026'!E:F,2,false)</f>
        <v>CHILI PEPPER RED CRUSHED D`ALLESANDRO/ SPICECO</v>
      </c>
      <c r="D12" s="9" t="str">
        <f>VLOOKUP(B12,'Unit of Measure ship March 2026'!A:C,3,false)</f>
        <v>LBS</v>
      </c>
      <c r="F12" s="17">
        <v>15462.0</v>
      </c>
      <c r="G12" s="9" t="str">
        <f>VLOOKUP(F12,'FML March 2026'!E:F,2,false)</f>
        <v>CUCUMBERS SEEDLESS LARGE, PLASTIC WRAPPED 13#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17">
        <v>16265.0</v>
      </c>
      <c r="C13" s="9" t="str">
        <f>VLOOKUP(B13,'FML March 2026'!E:F,2,false)</f>
        <v>CHINESE FIVE SPICE 16 OZ D`ALLESANDRO/ SPICECO</v>
      </c>
      <c r="D13" s="9" t="str">
        <f>VLOOKUP(B13,'Unit of Measure ship March 2026'!A:C,3,false)</f>
        <v>LBS</v>
      </c>
      <c r="F13" s="17">
        <v>15619.0</v>
      </c>
      <c r="G13" s="9" t="str">
        <f>VLOOKUP(F13,'FML March 2026'!E:F,2,false)</f>
        <v>DAIKON 20#/CS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B14" s="17">
        <v>16253.0</v>
      </c>
      <c r="C14" s="9" t="str">
        <f>VLOOKUP(B14,'FML March 2026'!E:F,2,false)</f>
        <v>CINNAMON GROUND</v>
      </c>
      <c r="D14" s="9" t="str">
        <f>VLOOKUP(B14,'Unit of Measure ship March 2026'!A:C,3,false)</f>
        <v>LBS</v>
      </c>
      <c r="F14" s="17">
        <v>109766.0</v>
      </c>
      <c r="G14" s="9" t="str">
        <f>VLOOKUP(F14,'FML March 2026'!E:F,2,false)</f>
        <v>GARLIC BLACK PEELED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8">
        <v>16288.0</v>
      </c>
      <c r="C15" s="9" t="str">
        <f>VLOOKUP(B15,'FML March 2026'!E:F,2,false)</f>
        <v>CORIANDER WHOLE BADIA (USA )</v>
      </c>
      <c r="D15" s="9" t="str">
        <f>VLOOKUP(B15,'Unit of Measure ship March 2026'!A:C,3,false)</f>
        <v>LBS</v>
      </c>
      <c r="F15" s="17">
        <v>15466.0</v>
      </c>
      <c r="G15" s="9" t="str">
        <f>VLOOKUP(F15,'FML March 2026'!E:F,2,false)</f>
        <v>GARLIC CRATE JUMBO 30# 8 CT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17">
        <v>15133.0</v>
      </c>
      <c r="C16" s="9" t="str">
        <f>VLOOKUP(B16,'FML March 2026'!E:F,2,false)</f>
        <v>CORN, WHOLE KERNEL, GRADE A, IQF, FZN, 1/10 KG</v>
      </c>
      <c r="D16" s="9" t="str">
        <f>VLOOKUP(B16,'Unit of Measure ship March 2026'!A:C,3,false)</f>
        <v>LBS</v>
      </c>
      <c r="F16" s="17">
        <v>38392.0</v>
      </c>
      <c r="G16" s="9" t="str">
        <f>VLOOKUP(F16,'FML March 2026'!E:F,2,false)</f>
        <v>GINGER FRESH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17">
        <v>16256.0</v>
      </c>
      <c r="C17" s="9" t="str">
        <f>VLOOKUP(B17,'FML March 2026'!E:F,2,false)</f>
        <v>CUMIN GROUND D`ALLESANDRO/ SPICECO (USA )</v>
      </c>
      <c r="D17" s="9" t="str">
        <f>VLOOKUP(B17,'Unit of Measure ship March 2026'!A:C,3,false)</f>
        <v>LBS</v>
      </c>
      <c r="F17" s="17">
        <v>15397.0</v>
      </c>
      <c r="G17" s="9" t="str">
        <f>VLOOKUP(F17,'FML March 2026'!E:F,2,false)</f>
        <v>LEMONS FRESH FIRM FANCY CALIF. SUNKIST #1 200CT 40#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17">
        <v>16257.0</v>
      </c>
      <c r="C18" s="9" t="str">
        <f>VLOOKUP(B18,'FML March 2026'!E:F,2,false)</f>
        <v>CURRY POWDER BADIA (USA )</v>
      </c>
      <c r="D18" s="9" t="str">
        <f>VLOOKUP(B18,'Unit of Measure ship March 2026'!A:C,3,false)</f>
        <v>LBS</v>
      </c>
      <c r="F18" s="17">
        <v>15399.0</v>
      </c>
      <c r="G18" s="9" t="str">
        <f>VLOOKUP(F18,'FML March 2026'!E:F,2,false)</f>
        <v>LIMES, FRESH, FIRM #1 200CT 40#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8">
        <v>111106.0</v>
      </c>
      <c r="C19" s="9" t="str">
        <f>VLOOKUP(B19,'FML March 2026'!E:F,2,false)</f>
        <v>DOENJANG SOY BEAN PASTE  ASSI</v>
      </c>
      <c r="D19" s="9" t="str">
        <f>VLOOKUP(B19,'Unit of Measure ship March 2026'!A:C,3,false)</f>
        <v>LBS</v>
      </c>
      <c r="F19" s="17">
        <v>19401.0</v>
      </c>
      <c r="G19" s="9" t="str">
        <f>VLOOKUP(F19,'FML March 2026'!E:F,2,false)</f>
        <v>LOTUS ROOT FRESH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8">
        <v>16259.0</v>
      </c>
      <c r="C20" s="9" t="str">
        <f>VLOOKUP(B20,'FML March 2026'!E:F,2,false)</f>
        <v>FENNEL SEED WHOLE BADIA (USA )</v>
      </c>
      <c r="D20" s="9" t="str">
        <f>VLOOKUP(B20,'Unit of Measure ship March 2026'!A:C,3,false)</f>
        <v>LBS</v>
      </c>
      <c r="F20" s="17">
        <v>15400.0</v>
      </c>
      <c r="G20" s="9" t="str">
        <f>VLOOKUP(F20,'FML March 2026'!E:F,2,false)</f>
        <v>MANGOS, RIPE 9/12 CT, 10#/CS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8">
        <v>111865.0</v>
      </c>
      <c r="C21" s="9" t="str">
        <f>VLOOKUP(B21,'FML March 2026'!E:F,2,false)</f>
        <v>FLOUR ALL PURPOSE SIR GALAHAD BAG50/LBS KING ARTHUR</v>
      </c>
      <c r="D21" s="9" t="str">
        <f>VLOOKUP(B21,'Unit of Measure ship March 2026'!A:C,3,false)</f>
        <v>LBS</v>
      </c>
      <c r="F21" s="17">
        <v>15436.0</v>
      </c>
      <c r="G21" s="9" t="str">
        <f>VLOOKUP(F21,'FML March 2026'!E:F,2,false)</f>
        <v>MINT (12 BUNCH), 1 LB/CS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8">
        <v>111698.0</v>
      </c>
      <c r="C22" s="9" t="str">
        <f>VLOOKUP(B22,'FML March 2026'!E:F,2,false)</f>
        <v>FRIED SHALLOTS LA RUSTICHELLA</v>
      </c>
      <c r="D22" s="9" t="str">
        <f>VLOOKUP(B22,'Unit of Measure ship March 2026'!A:C,3,false)</f>
        <v>LBS</v>
      </c>
      <c r="F22" s="17">
        <v>110069.0</v>
      </c>
      <c r="G22" s="9" t="str">
        <f>VLOOKUP(F22,'FML March 2026'!E:F,2,false)</f>
        <v>MUSHROOM KING TRUMPET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16260.0</v>
      </c>
      <c r="C23" s="9" t="str">
        <f>VLOOKUP(B23,'FML March 2026'!E:F,2,false)</f>
        <v>GARLIC, POWDER, DRY, 12/16 OZ</v>
      </c>
      <c r="D23" s="9" t="str">
        <f>VLOOKUP(B23,'Unit of Measure ship March 2026'!A:C,3,false)</f>
        <v>LBS</v>
      </c>
      <c r="F23" s="17">
        <v>15585.0</v>
      </c>
      <c r="G23" s="9" t="str">
        <f>VLOOKUP(F23,'FML March 2026'!E:F,2,false)</f>
        <v>MUSHROOMS OYSTER 1/5#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16261.0</v>
      </c>
      <c r="C24" s="9" t="str">
        <f>VLOOKUP(B24,'FML March 2026'!E:F,2,false)</f>
        <v>GINGER GROUND D`ALLESANDRO/ SPICECO</v>
      </c>
      <c r="D24" s="9" t="str">
        <f>VLOOKUP(B24,'Unit of Measure ship March 2026'!A:C,3,false)</f>
        <v>LBS</v>
      </c>
      <c r="F24" s="17">
        <v>15556.0</v>
      </c>
      <c r="G24" s="9" t="str">
        <f>VLOOKUP(F24,'FML March 2026'!E:F,2,false)</f>
        <v>MUSHROOMS SHIITAKE  FRESH NO 1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17">
        <v>16318.0</v>
      </c>
      <c r="C25" s="9" t="str">
        <f>VLOOKUP(B25,'FML March 2026'!E:F,2,false)</f>
        <v>GINGER PICKLED PINK CHINESE K SEA/SE FOODS 20 LB</v>
      </c>
      <c r="D25" s="9" t="str">
        <f>VLOOKUP(B25,'Unit of Measure ship March 2026'!A:C,3,false)</f>
        <v>LBS</v>
      </c>
      <c r="F25" s="17">
        <v>15496.0</v>
      </c>
      <c r="G25" s="9" t="str">
        <f>VLOOKUP(F25,'FML March 2026'!E:F,2,false)</f>
        <v>ONIONS RED, MEDIUM 25#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8">
        <v>110091.0</v>
      </c>
      <c r="C26" s="9" t="str">
        <f>VLOOKUP(B26,'FML March 2026'!E:F,2,false)</f>
        <v>GOCHUGARU KOREAN CHILI RED PEPPER FLAKES ASSI</v>
      </c>
      <c r="D26" s="9" t="str">
        <f>VLOOKUP(B26,'Unit of Measure ship March 2026'!A:C,3,false)</f>
        <v>CS8/5LB</v>
      </c>
      <c r="F26" s="17">
        <v>15497.0</v>
      </c>
      <c r="G26" s="9" t="str">
        <f>VLOOKUP(F26,'FML March 2026'!E:F,2,false)</f>
        <v>ONIONS, YELLOW, MEDIUM, SPANISH #1, 50#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8">
        <v>110879.0</v>
      </c>
      <c r="C27" s="9" t="str">
        <f>VLOOKUP(B27,'FML March 2026'!E:F,2,false)</f>
        <v>GOCHUJANG PASTE SEMPIO</v>
      </c>
      <c r="D27" s="9" t="str">
        <f>VLOOKUP(B27,'Unit of Measure ship March 2026'!A:C,3,false)</f>
        <v>PKG1/KG</v>
      </c>
      <c r="F27" s="17">
        <v>15500.0</v>
      </c>
      <c r="G27" s="9" t="str">
        <f>VLOOKUP(F27,'FML March 2026'!E:F,2,false)</f>
        <v>PARSLEY ITALIAN,  20#/CS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8">
        <v>102496.0</v>
      </c>
      <c r="C28" s="9" t="str">
        <f>VLOOKUP(B28,'FML March 2026'!E:F,2,false)</f>
        <v>GUAR GUM CS 8/8 OZ BOBS RED MILL</v>
      </c>
      <c r="D28" s="9" t="str">
        <f>VLOOKUP(B28,'Unit of Measure ship March 2026'!A:C,3,false)</f>
        <v>LBS</v>
      </c>
      <c r="F28" s="17">
        <v>15502.0</v>
      </c>
      <c r="G28" s="9" t="str">
        <f>VLOOKUP(F28,'FML March 2026'!E:F,2,false)</f>
        <v>PEPPERS RED, MEDIUM, 88-100 MM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18">
        <v>101778.0</v>
      </c>
      <c r="C29" s="9" t="str">
        <f>VLOOKUP(B29,'FML March 2026'!E:F,2,false)</f>
        <v>HAZELNUT WHOLE BLANCHED</v>
      </c>
      <c r="D29" s="9" t="str">
        <f>VLOOKUP(B29,'Unit of Measure ship March 2026'!A:C,3,false)</f>
        <v>LBS</v>
      </c>
      <c r="F29" s="17">
        <v>15513.0</v>
      </c>
      <c r="G29" s="9" t="str">
        <f>VLOOKUP(F29,'FML March 2026'!E:F,2,false)</f>
        <v>POTATOES CHEF (BAG) 50#</v>
      </c>
      <c r="H29" s="9" t="str">
        <f>VLOOKUP(F29,'Unit of Measure ship March 2026'!A:C,3,false)</f>
        <v>LBS</v>
      </c>
      <c r="J29" s="49"/>
      <c r="K29" s="9"/>
      <c r="L29" s="9"/>
      <c r="N29" s="49"/>
      <c r="O29" s="9"/>
      <c r="P29" s="9"/>
    </row>
    <row r="30" ht="14.25" customHeight="1">
      <c r="B30" s="17">
        <v>15658.0</v>
      </c>
      <c r="C30" s="9" t="str">
        <f>VLOOKUP(B30,'FML March 2026'!E:F,2,false)</f>
        <v>HONEY 6/5 LB GROEB/MELONIA/SWEET HARVEST</v>
      </c>
      <c r="D30" s="9" t="str">
        <f>VLOOKUP(B30,'Unit of Measure ship March 2026'!A:C,3,false)</f>
        <v>KG</v>
      </c>
      <c r="F30" s="17">
        <v>15516.0</v>
      </c>
      <c r="G30" s="9" t="str">
        <f>VLOOKUP(F30,'FML March 2026'!E:F,2,false)</f>
        <v>POTATOES, SWEET, JUMBO, 40# BAG</v>
      </c>
      <c r="H30" s="9" t="str">
        <f>VLOOKUP(F30,'Unit of Measure ship March 2026'!A:C,3,false)</f>
        <v>LBS</v>
      </c>
      <c r="J30" s="49"/>
      <c r="K30" s="9"/>
      <c r="L30" s="9"/>
      <c r="N30" s="49"/>
      <c r="O30" s="9"/>
      <c r="P30" s="9"/>
    </row>
    <row r="31" ht="14.25" customHeight="1">
      <c r="B31" s="17">
        <v>16344.0</v>
      </c>
      <c r="C31" s="9" t="str">
        <f>VLOOKUP(B31,'FML March 2026'!E:F,2,false)</f>
        <v>HORSERADISH WHITE, PREPARED</v>
      </c>
      <c r="D31" s="9" t="str">
        <f>VLOOKUP(B31,'Unit of Measure ship March 2026'!A:C,3,false)</f>
        <v>GAL</v>
      </c>
      <c r="F31" s="17">
        <v>15518.0</v>
      </c>
      <c r="G31" s="9" t="str">
        <f>VLOOKUP(F31,'FML March 2026'!E:F,2,false)</f>
        <v>RADISHES, FRESH, BULK 40#</v>
      </c>
      <c r="H31" s="9" t="str">
        <f>VLOOKUP(F31,'Unit of Measure ship March 2026'!A:C,3,false)</f>
        <v>LBS</v>
      </c>
      <c r="J31" s="49"/>
      <c r="K31" s="9"/>
      <c r="L31" s="9"/>
      <c r="N31" s="49"/>
      <c r="O31" s="9"/>
      <c r="P31" s="9"/>
    </row>
    <row r="32" ht="14.25" customHeight="1">
      <c r="B32" s="17">
        <v>16949.0</v>
      </c>
      <c r="C32" s="9" t="str">
        <f>VLOOKUP(B32,'FML March 2026'!E:F,2,false)</f>
        <v>KOMBU SQUARE DASHI KST</v>
      </c>
      <c r="D32" s="9" t="str">
        <f>VLOOKUP(B32,'Unit of Measure ship March 2026'!A:C,3,false)</f>
        <v>PK/5LBS</v>
      </c>
      <c r="F32" s="17">
        <v>15427.0</v>
      </c>
      <c r="G32" s="9" t="str">
        <f>VLOOKUP(F32,'FML March 2026'!E:F,2,false)</f>
        <v>ROSEMARY (12 BUNCH) 1 LB/CS</v>
      </c>
      <c r="H32" s="9" t="str">
        <f>VLOOKUP(F32,'Unit of Measure ship March 2026'!A:C,3,false)</f>
        <v>LBS</v>
      </c>
      <c r="J32" s="102"/>
      <c r="K32" s="9"/>
      <c r="L32" s="9"/>
      <c r="N32" s="49"/>
      <c r="O32" s="9"/>
      <c r="P32" s="9"/>
    </row>
    <row r="33" ht="14.25" customHeight="1">
      <c r="B33" s="8">
        <v>111972.0</v>
      </c>
      <c r="C33" s="9" t="str">
        <f>VLOOKUP(B33,'FML March 2026'!E:F,2,false)</f>
        <v>LIME POWDER DEHYDRATED 5 LB INES</v>
      </c>
      <c r="D33" s="9" t="str">
        <f>VLOOKUP(B33,'Unit of Measure ship March 2026'!A:C,3,false)</f>
        <v>LBS</v>
      </c>
      <c r="F33" s="17">
        <v>24185.0</v>
      </c>
      <c r="G33" s="9" t="str">
        <f>VLOOKUP(F33,'FML March 2026'!E:F,2,false)</f>
        <v>SCALLIONS FRESH - ICELESS</v>
      </c>
      <c r="H33" s="9" t="str">
        <f>VLOOKUP(F33,'Unit of Measure ship March 2026'!A:C,3,false)</f>
        <v>LBS</v>
      </c>
      <c r="J33" s="102"/>
      <c r="K33" s="9"/>
      <c r="L33" s="9"/>
      <c r="N33" s="49"/>
      <c r="O33" s="9"/>
      <c r="P33" s="9"/>
    </row>
    <row r="34" ht="14.25" customHeight="1">
      <c r="B34" s="17">
        <v>16316.0</v>
      </c>
      <c r="C34" s="9" t="str">
        <f>VLOOKUP(B34,'FML March 2026'!E:F,2,false)</f>
        <v>LIQUID SMOKE WRIGHTS</v>
      </c>
      <c r="D34" s="9" t="str">
        <f>VLOOKUP(B34,'Unit of Measure ship March 2026'!A:C,3,false)</f>
        <v>GAL</v>
      </c>
      <c r="F34" s="17">
        <v>110912.0</v>
      </c>
      <c r="G34" s="9" t="str">
        <f>VLOOKUP(F34,'FML March 2026'!E:F,2,false)</f>
        <v>SPROUTS GREEN PEA TENDRIL</v>
      </c>
      <c r="H34" s="9" t="str">
        <f>VLOOKUP(F34,'Unit of Measure ship March 2026'!A:C,3,false)</f>
        <v>LBS</v>
      </c>
      <c r="J34" s="102"/>
      <c r="K34" s="9"/>
      <c r="L34" s="9"/>
      <c r="N34" s="49"/>
      <c r="O34" s="9"/>
      <c r="P34" s="9"/>
    </row>
    <row r="35" ht="14.25" customHeight="1">
      <c r="B35" s="8">
        <v>109668.0</v>
      </c>
      <c r="C35" s="9" t="str">
        <f>VLOOKUP(B35,'FML March 2026'!E:F,2,false)</f>
        <v>MAYONNAISE VEGAN FOLLOW YOUR HEART</v>
      </c>
      <c r="D35" s="9" t="str">
        <f>VLOOKUP(B35,'Unit of Measure ship March 2026'!A:C,3,false)</f>
        <v>GAL</v>
      </c>
      <c r="F35" s="17">
        <v>15528.0</v>
      </c>
      <c r="G35" s="9" t="str">
        <f>VLOOKUP(F35,'FML March 2026'!E:F,2,false)</f>
        <v>SQUASH BUTTERNUT 40#</v>
      </c>
      <c r="H35" s="9" t="str">
        <f>VLOOKUP(F35,'Unit of Measure ship March 2026'!A:C,3,false)</f>
        <v>LBS</v>
      </c>
      <c r="J35" s="102"/>
      <c r="K35" s="9"/>
      <c r="L35" s="9"/>
      <c r="N35" s="49"/>
      <c r="O35" s="9"/>
      <c r="P35" s="9"/>
    </row>
    <row r="36" ht="14.25" customHeight="1">
      <c r="B36" s="8">
        <v>109667.0</v>
      </c>
      <c r="C36" s="9" t="str">
        <f>VLOOKUP(B36,'FML March 2026'!E:F,2,false)</f>
        <v>MAYONNAISE, UNILEVER - HELLMANN'S, 4800126530, DRY, 4/1 GAL</v>
      </c>
      <c r="D36" s="9" t="str">
        <f>VLOOKUP(B36,'Unit of Measure ship March 2026'!A:C,3,false)</f>
        <v>GAL</v>
      </c>
      <c r="F36" s="17">
        <v>15446.0</v>
      </c>
      <c r="G36" s="9" t="str">
        <f>VLOOKUP(F36,'FML March 2026'!E:F,2,false)</f>
        <v>THYME FRESH</v>
      </c>
      <c r="H36" s="9" t="str">
        <f>VLOOKUP(F36,'Unit of Measure ship March 2026'!A:C,3,false)</f>
        <v>LBS</v>
      </c>
      <c r="J36" s="102"/>
      <c r="K36" s="9"/>
      <c r="L36" s="9"/>
      <c r="N36" s="49"/>
      <c r="O36" s="9"/>
      <c r="P36" s="9"/>
    </row>
    <row r="37" ht="14.25" customHeight="1">
      <c r="B37" s="8">
        <v>145206.0</v>
      </c>
      <c r="C37" s="9" t="str">
        <f>VLOOKUP(B37,'FML March 2026'!E:F,2,false)</f>
        <v>MORINGA POWDER</v>
      </c>
      <c r="D37" s="9" t="str">
        <f>VLOOKUP(B37,'Unit of Measure ship March 2026'!A:C,3,false)</f>
        <v>LBS</v>
      </c>
      <c r="F37" s="17">
        <v>15425.0</v>
      </c>
      <c r="G37" s="9" t="str">
        <f>VLOOKUP(F37,'FML March 2026'!E:F,2,false)</f>
        <v>WATERMELONS SEEDLESS 4CT/6C 32#</v>
      </c>
      <c r="H37" s="9" t="str">
        <f>VLOOKUP(F37,'Unit of Measure ship March 2026'!A:C,3,false)</f>
        <v>LBS</v>
      </c>
      <c r="J37" s="102"/>
      <c r="K37" s="9"/>
      <c r="L37" s="9"/>
      <c r="N37" s="49"/>
      <c r="O37" s="9"/>
      <c r="P37" s="9"/>
    </row>
    <row r="38" ht="14.25" customHeight="1">
      <c r="B38" s="17">
        <v>16258.0</v>
      </c>
      <c r="C38" s="9" t="str">
        <f>VLOOKUP(B38,'FML March 2026'!E:F,2,false)</f>
        <v>MUSTARD POWDER ENGLISH 12/16 OZ COLEMAN</v>
      </c>
      <c r="D38" s="9" t="str">
        <f>VLOOKUP(B38,'Unit of Measure ship March 2026'!A:C,3,false)</f>
        <v>LBS</v>
      </c>
      <c r="J38" s="102"/>
      <c r="K38" s="9"/>
      <c r="L38" s="9"/>
      <c r="N38" s="49"/>
      <c r="O38" s="9"/>
      <c r="P38" s="9"/>
    </row>
    <row r="39" ht="14.25" customHeight="1">
      <c r="B39" s="8">
        <v>16320.0</v>
      </c>
      <c r="C39" s="9" t="str">
        <f>VLOOKUP(B39,'FML March 2026'!E:F,2,false)</f>
        <v>MUSTARD SEED 24 OZ D`ALLESANDRO/ SPICECO</v>
      </c>
      <c r="D39" s="9" t="str">
        <f>VLOOKUP(B39,'Unit of Measure ship March 2026'!A:C,3,false)</f>
        <v>LBS</v>
      </c>
      <c r="G39" s="9"/>
      <c r="H39" s="9"/>
      <c r="J39" s="102"/>
      <c r="K39" s="9"/>
      <c r="L39" s="9"/>
      <c r="N39" s="49"/>
      <c r="O39" s="9"/>
      <c r="P39" s="9"/>
    </row>
    <row r="40" ht="14.25" customHeight="1">
      <c r="B40" s="17">
        <v>16266.0</v>
      </c>
      <c r="C40" s="9" t="str">
        <f>VLOOKUP(B40,'FML March 2026'!E:F,2,false)</f>
        <v>NUTMEG GROUND D`ALLESANDRO/ SPICECO (USA)</v>
      </c>
      <c r="D40" s="9" t="str">
        <f>VLOOKUP(B40,'Unit of Measure ship March 2026'!A:C,3,false)</f>
        <v>UNIT/1LB</v>
      </c>
      <c r="G40" s="9"/>
      <c r="H40" s="9"/>
      <c r="J40" s="102"/>
      <c r="K40" s="9"/>
      <c r="L40" s="9"/>
      <c r="N40" s="49"/>
      <c r="O40" s="9"/>
      <c r="P40" s="9"/>
    </row>
    <row r="41" ht="14.25" customHeight="1">
      <c r="B41" s="53">
        <v>52602.0</v>
      </c>
      <c r="C41" s="9" t="str">
        <f>VLOOKUP(B41,'FML March 2026'!E:F,2,false)</f>
        <v>OIL, 100% OLIVE, EXTRA VIRGIN, DRY, 4/5 LT</v>
      </c>
      <c r="D41" s="9" t="str">
        <f>VLOOKUP(B41,'Unit of Measure ship March 2026'!A:C,3,false)</f>
        <v>LT</v>
      </c>
      <c r="G41" s="9"/>
      <c r="H41" s="9"/>
      <c r="J41" s="102"/>
      <c r="K41" s="9"/>
      <c r="L41" s="9"/>
      <c r="N41" s="49"/>
      <c r="O41" s="9"/>
      <c r="P41" s="9"/>
    </row>
    <row r="42" ht="14.25" customHeight="1">
      <c r="B42" s="17">
        <v>16346.0</v>
      </c>
      <c r="C42" s="9" t="str">
        <f>VLOOKUP(B42,'FML March 2026'!E:F,2,false)</f>
        <v>OIL, 100% SESAME, TOASTED, DRY, 10/56 OZ</v>
      </c>
      <c r="D42" s="9" t="str">
        <f>VLOOKUP(B42,'Unit of Measure ship March 2026'!A:C,3,false)</f>
        <v>BT/56OZ</v>
      </c>
      <c r="G42" s="9"/>
      <c r="H42" s="9"/>
      <c r="J42" s="102"/>
      <c r="K42" s="9"/>
      <c r="L42" s="9"/>
      <c r="N42" s="49"/>
      <c r="O42" s="9"/>
      <c r="P42" s="9"/>
    </row>
    <row r="43" ht="14.25" customHeight="1">
      <c r="B43" s="17">
        <v>16377.0</v>
      </c>
      <c r="C43" s="9" t="str">
        <f>VLOOKUP(B43,'FML March 2026'!E:F,2,false)</f>
        <v>OIL, 100% VEGETABLE SOYBEAN, DRY, 4/5 LT</v>
      </c>
      <c r="D43" s="9" t="str">
        <f>VLOOKUP(B43,'Unit of Measure ship March 2026'!A:C,3,false)</f>
        <v>C4/5LT</v>
      </c>
      <c r="G43" s="9"/>
      <c r="H43" s="9"/>
      <c r="J43" s="102"/>
      <c r="K43" s="9"/>
      <c r="L43" s="9"/>
      <c r="N43" s="49"/>
      <c r="O43" s="9"/>
      <c r="P43" s="9"/>
    </row>
    <row r="44" ht="14.25" customHeight="1">
      <c r="B44" s="17">
        <v>62951.0</v>
      </c>
      <c r="C44" s="9" t="str">
        <f>VLOOKUP(B44,'FML March 2026'!E:F,2,false)</f>
        <v>ONION POWDER</v>
      </c>
      <c r="D44" s="9" t="str">
        <f>VLOOKUP(B44,'Unit of Measure ship March 2026'!A:C,3,false)</f>
        <v>LBS</v>
      </c>
      <c r="G44" s="9"/>
      <c r="H44" s="9"/>
      <c r="J44" s="102"/>
      <c r="K44" s="9"/>
      <c r="L44" s="9"/>
      <c r="N44" s="49"/>
      <c r="O44" s="9"/>
      <c r="P44" s="9"/>
    </row>
    <row r="45" ht="14.25" customHeight="1">
      <c r="B45" s="17">
        <v>16268.0</v>
      </c>
      <c r="C45" s="9" t="str">
        <f>VLOOKUP(B45,'FML March 2026'!E:F,2,false)</f>
        <v>OREGANO LEAVES WHOLE D`ALLESANDRO/ SPICECO</v>
      </c>
      <c r="D45" s="9" t="str">
        <f>VLOOKUP(B45,'Unit of Measure ship March 2026'!A:C,3,false)</f>
        <v>PC/5OZ</v>
      </c>
      <c r="G45" s="9"/>
      <c r="H45" s="9"/>
      <c r="J45" s="102"/>
      <c r="K45" s="9"/>
      <c r="L45" s="9"/>
      <c r="N45" s="49"/>
      <c r="O45" s="9"/>
      <c r="P45" s="9"/>
    </row>
    <row r="46" ht="14.25" customHeight="1">
      <c r="B46" s="8">
        <v>105727.0</v>
      </c>
      <c r="C46" s="9" t="str">
        <f>VLOOKUP(B46,'FML March 2026'!E:F,2,false)</f>
        <v>OYSTER SAUCE MSG FREE</v>
      </c>
      <c r="D46" s="9" t="str">
        <f>VLOOKUP(B46,'Unit of Measure ship March 2026'!A:C,3,false)</f>
        <v>CAN/5LB</v>
      </c>
      <c r="G46" s="9"/>
      <c r="H46" s="9"/>
      <c r="J46" s="102"/>
      <c r="K46" s="9"/>
      <c r="L46" s="9"/>
      <c r="N46" s="49"/>
      <c r="O46" s="9"/>
      <c r="P46" s="9"/>
    </row>
    <row r="47" ht="14.25" customHeight="1">
      <c r="B47" s="8">
        <v>109697.0</v>
      </c>
      <c r="C47" s="9" t="str">
        <f>VLOOKUP(B47,'FML March 2026'!E:F,2,false)</f>
        <v>PAPRIKA SMOKED PKG 26.46  OZ LA CHINATA</v>
      </c>
      <c r="D47" s="9" t="str">
        <f>VLOOKUP(B47,'Unit of Measure ship March 2026'!A:C,3,false)</f>
        <v>KG</v>
      </c>
      <c r="G47" s="9"/>
      <c r="H47" s="9"/>
      <c r="J47" s="102"/>
      <c r="K47" s="9"/>
      <c r="L47" s="9"/>
      <c r="N47" s="49"/>
      <c r="O47" s="9"/>
      <c r="P47" s="9"/>
    </row>
    <row r="48" ht="14.25" customHeight="1">
      <c r="B48" s="17">
        <v>33681.0</v>
      </c>
      <c r="C48" s="9" t="str">
        <f>VLOOKUP(B48,'FML March 2026'!E:F,2,false)</f>
        <v>PEPPER BLACK GROUND BADIA (USA )</v>
      </c>
      <c r="D48" s="9" t="str">
        <f>VLOOKUP(B48,'Unit of Measure ship March 2026'!A:C,3,false)</f>
        <v>LBS</v>
      </c>
      <c r="G48" s="9"/>
      <c r="H48" s="9"/>
      <c r="J48" s="102"/>
      <c r="K48" s="9"/>
      <c r="L48" s="9"/>
      <c r="N48" s="49"/>
      <c r="O48" s="9"/>
      <c r="P48" s="9"/>
    </row>
    <row r="49" ht="14.25" customHeight="1">
      <c r="B49" s="17">
        <v>16272.0</v>
      </c>
      <c r="C49" s="9" t="str">
        <f>VLOOKUP(B49,'FML March 2026'!E:F,2,false)</f>
        <v>PEPPER WHITE GROUND D`ALLESANDRO/ SPICECO</v>
      </c>
      <c r="D49" s="9" t="str">
        <f>VLOOKUP(B49,'Unit of Measure ship March 2026'!A:C,3,false)</f>
        <v>LBS</v>
      </c>
      <c r="G49" s="9"/>
      <c r="H49" s="9"/>
      <c r="J49" s="102"/>
      <c r="K49" s="9"/>
      <c r="L49" s="9"/>
      <c r="N49" s="49"/>
      <c r="O49" s="9"/>
      <c r="P49" s="9"/>
    </row>
    <row r="50" ht="14.25" customHeight="1">
      <c r="B50" s="8">
        <v>16285.0</v>
      </c>
      <c r="C50" s="9" t="str">
        <f>VLOOKUP(B50,'FML March 2026'!E:F,2,false)</f>
        <v>PEPPERCORN, BLACK, WHOLE, DRY, 6/420 G</v>
      </c>
      <c r="D50" s="9" t="str">
        <f>VLOOKUP(B50,'Unit of Measure ship March 2026'!A:C,3,false)</f>
        <v>LBS</v>
      </c>
      <c r="G50" s="9"/>
      <c r="H50" s="9"/>
      <c r="J50" s="102"/>
      <c r="K50" s="9"/>
      <c r="L50" s="9"/>
      <c r="N50" s="49"/>
      <c r="O50" s="9"/>
      <c r="P50" s="9"/>
    </row>
    <row r="51" ht="14.25" customHeight="1">
      <c r="B51" s="17">
        <v>53666.0</v>
      </c>
      <c r="C51" s="9" t="str">
        <f>VLOOKUP(B51,'FML March 2026'!E:F,2,false)</f>
        <v>PIQUILLO PIMIENTOS WHOLE ROASTED &amp; PEELED 6/#10</v>
      </c>
      <c r="D51" s="9" t="str">
        <f>VLOOKUP(B51,'Unit of Measure ship March 2026'!A:C,3,false)</f>
        <v>CAN/3KG</v>
      </c>
      <c r="G51" s="9"/>
      <c r="H51" s="9"/>
      <c r="J51" s="102"/>
      <c r="K51" s="9"/>
      <c r="L51" s="9"/>
      <c r="N51" s="49"/>
      <c r="O51" s="9"/>
      <c r="P51" s="9"/>
    </row>
    <row r="52" ht="14.25" customHeight="1">
      <c r="B52" s="17">
        <v>15897.0</v>
      </c>
      <c r="C52" s="9" t="str">
        <f>VLOOKUP(B52,'FML March 2026'!E:F,2,false)</f>
        <v>PUMPKIN SEEDS WHOLE SHELLED RAW 10 LB HIALEAH/ D`ALLESANDRO</v>
      </c>
      <c r="D52" s="9" t="str">
        <f>VLOOKUP(B52,'Unit of Measure ship March 2026'!A:C,3,false)</f>
        <v>LBS</v>
      </c>
      <c r="G52" s="9"/>
      <c r="H52" s="9"/>
      <c r="J52" s="102"/>
      <c r="K52" s="9"/>
      <c r="L52" s="9"/>
      <c r="N52" s="49"/>
      <c r="O52" s="9"/>
      <c r="P52" s="9"/>
    </row>
    <row r="53" ht="14.25" customHeight="1">
      <c r="B53" s="8">
        <v>16946.0</v>
      </c>
      <c r="C53" s="9" t="str">
        <f>VLOOKUP(B53,'FML March 2026'!E:F,2,false)</f>
        <v>QUINOA WHITE</v>
      </c>
      <c r="D53" s="9" t="str">
        <f>VLOOKUP(B53,'Unit of Measure ship March 2026'!A:C,3,false)</f>
        <v>PC/12OZ</v>
      </c>
      <c r="J53" s="102"/>
      <c r="K53" s="9"/>
      <c r="L53" s="9"/>
      <c r="N53" s="49"/>
      <c r="O53" s="9"/>
      <c r="P53" s="9"/>
    </row>
    <row r="54" ht="14.25" customHeight="1">
      <c r="B54" s="8">
        <v>112139.0</v>
      </c>
      <c r="C54" s="9" t="str">
        <f>VLOOKUP(B54,'FML March 2026'!E:F,2,false)</f>
        <v>RICE BLACK CS 6/2LB IN HARVEST</v>
      </c>
      <c r="D54" s="9" t="str">
        <f>VLOOKUP(B54,'Unit of Measure ship March 2026'!A:C,3,false)</f>
        <v>BG2/LBS</v>
      </c>
      <c r="J54" s="102"/>
      <c r="K54" s="9"/>
      <c r="L54" s="9"/>
      <c r="N54" s="49"/>
      <c r="O54" s="9"/>
      <c r="P54" s="9"/>
    </row>
    <row r="55" ht="14.25" customHeight="1">
      <c r="B55" s="8">
        <v>40158.0</v>
      </c>
      <c r="C55" s="9" t="str">
        <f>VLOOKUP(B55,'FML March 2026'!E:F,2,false)</f>
        <v>RICE, JASMINE, &lt;4% BROKEN KERNELS, DRY, 1/50 LB</v>
      </c>
      <c r="D55" s="9" t="str">
        <f>VLOOKUP(B55,'Unit of Measure ship March 2026'!A:C,3,false)</f>
        <v>LBS</v>
      </c>
      <c r="J55" s="102"/>
      <c r="K55" s="9"/>
      <c r="L55" s="9"/>
      <c r="N55" s="49"/>
      <c r="O55" s="9"/>
      <c r="P55" s="9"/>
    </row>
    <row r="56" ht="14.25" customHeight="1">
      <c r="B56" s="17">
        <v>16307.0</v>
      </c>
      <c r="C56" s="9" t="str">
        <f>VLOOKUP(B56,'FML March 2026'!E:F,2,false)</f>
        <v>SALT KOSHER GRANULATED</v>
      </c>
      <c r="D56" s="9" t="str">
        <f>VLOOKUP(B56,'Unit of Measure ship March 2026'!A:C,3,false)</f>
        <v>LBS</v>
      </c>
      <c r="G56" s="9"/>
      <c r="H56" s="9"/>
      <c r="J56" s="102"/>
      <c r="K56" s="9"/>
      <c r="L56" s="9"/>
      <c r="N56" s="49"/>
      <c r="O56" s="9"/>
      <c r="P56" s="9"/>
    </row>
    <row r="57" ht="14.25" customHeight="1">
      <c r="B57" s="17">
        <v>20880.0</v>
      </c>
      <c r="C57" s="9" t="str">
        <f>VLOOKUP(B57,'FML March 2026'!E:F,2,false)</f>
        <v>SALT SEA MALDON</v>
      </c>
      <c r="D57" s="9" t="str">
        <f>VLOOKUP(B57,'Unit of Measure ship March 2026'!A:C,3,false)</f>
        <v>LBS</v>
      </c>
      <c r="G57" s="9"/>
      <c r="H57" s="9"/>
      <c r="J57" s="102"/>
      <c r="K57" s="9"/>
      <c r="L57" s="9"/>
      <c r="N57" s="49"/>
      <c r="O57" s="9"/>
      <c r="P57" s="9"/>
    </row>
    <row r="58" ht="14.25" customHeight="1">
      <c r="B58" s="8">
        <v>16409.0</v>
      </c>
      <c r="C58" s="9" t="str">
        <f>VLOOKUP(B58,'FML March 2026'!E:F,2,false)</f>
        <v>SAMBAL OELEK CHILI SAUCE</v>
      </c>
      <c r="D58" s="9" t="str">
        <f>VLOOKUP(B58,'Unit of Measure ship March 2026'!A:C,3,false)</f>
        <v>BT/18OZ</v>
      </c>
      <c r="G58" s="9"/>
      <c r="H58" s="9"/>
      <c r="J58" s="102"/>
      <c r="K58" s="9"/>
      <c r="L58" s="9"/>
      <c r="N58" s="49"/>
      <c r="O58" s="9"/>
      <c r="P58" s="9"/>
    </row>
    <row r="59" ht="14.25" customHeight="1">
      <c r="B59" s="17">
        <v>51001.0</v>
      </c>
      <c r="C59" s="9" t="str">
        <f>VLOOKUP(B59,'FML March 2026'!E:F,2,false)</f>
        <v>SAUCE, SWEET CHILI, MAE PLOY, SWCHIX730, DRY, 12/32 OZ</v>
      </c>
      <c r="D59" s="9" t="str">
        <f>VLOOKUP(B59,'Unit of Measure ship March 2026'!A:C,3,false)</f>
        <v>C12/32OZ</v>
      </c>
      <c r="G59" s="9"/>
      <c r="H59" s="9"/>
      <c r="J59" s="102"/>
      <c r="K59" s="9"/>
      <c r="L59" s="9"/>
      <c r="N59" s="49"/>
      <c r="O59" s="9"/>
      <c r="P59" s="9"/>
    </row>
    <row r="60" ht="14.25" customHeight="1">
      <c r="B60" s="17">
        <v>11260.0</v>
      </c>
      <c r="C60" s="9" t="str">
        <f>VLOOKUP(B60,'FML March 2026'!E:F,2,false)</f>
        <v>SESAME SEED BLACK</v>
      </c>
      <c r="D60" s="9" t="str">
        <f>VLOOKUP(B60,'Unit of Measure ship March 2026'!A:C,3,false)</f>
        <v>LBS</v>
      </c>
      <c r="G60" s="9"/>
      <c r="H60" s="9"/>
      <c r="J60" s="102"/>
      <c r="K60" s="9"/>
      <c r="L60" s="9"/>
      <c r="N60" s="49"/>
      <c r="O60" s="9"/>
      <c r="P60" s="9"/>
    </row>
    <row r="61" ht="14.25" customHeight="1">
      <c r="B61" s="17">
        <v>15818.0</v>
      </c>
      <c r="C61" s="9" t="str">
        <f>VLOOKUP(B61,'FML March 2026'!E:F,2,false)</f>
        <v>SESAME SEEDS WHITE BADIA (USA )</v>
      </c>
      <c r="D61" s="9" t="str">
        <f>VLOOKUP(B61,'Unit of Measure ship March 2026'!A:C,3,false)</f>
        <v>LBS</v>
      </c>
      <c r="G61" s="9"/>
      <c r="H61" s="9"/>
      <c r="J61" s="102"/>
      <c r="K61" s="9"/>
      <c r="L61" s="9"/>
      <c r="N61" s="49"/>
      <c r="O61" s="9"/>
      <c r="P61" s="9"/>
    </row>
    <row r="62" ht="14.25" customHeight="1">
      <c r="B62" s="17">
        <v>20887.0</v>
      </c>
      <c r="C62" s="9" t="str">
        <f>VLOOKUP(B62,'FML March 2026'!E:F,2,false)</f>
        <v>SHICHIMI TOGARASHI CHINESE 7 FLAVOR CHILI PEPPERS</v>
      </c>
      <c r="D62" s="9" t="str">
        <f>VLOOKUP(B62,'Unit of Measure ship March 2026'!A:C,3,false)</f>
        <v>LBS</v>
      </c>
      <c r="G62" s="9"/>
      <c r="H62" s="9"/>
      <c r="J62" s="102"/>
      <c r="K62" s="9"/>
      <c r="L62" s="9"/>
      <c r="N62" s="49"/>
      <c r="O62" s="9"/>
      <c r="P62" s="9"/>
    </row>
    <row r="63" ht="14.25" customHeight="1">
      <c r="B63" s="8">
        <v>111141.0</v>
      </c>
      <c r="C63" s="9" t="str">
        <f>VLOOKUP(B63,'FML March 2026'!E:F,2,false)</f>
        <v>SHITAKE MUSHROOM POWDER CS6/8OZ D'ALLESANDRO</v>
      </c>
      <c r="D63" s="9" t="str">
        <f>VLOOKUP(B63,'Unit of Measure ship March 2026'!A:C,3,false)</f>
        <v>LBS</v>
      </c>
      <c r="G63" s="9"/>
      <c r="H63" s="9"/>
      <c r="J63" s="102"/>
      <c r="K63" s="9"/>
      <c r="L63" s="9"/>
      <c r="N63" s="49"/>
      <c r="O63" s="9"/>
      <c r="P63" s="9"/>
    </row>
    <row r="64" ht="14.25" customHeight="1">
      <c r="B64" s="17">
        <v>20150.0</v>
      </c>
      <c r="C64" s="9" t="str">
        <f>VLOOKUP(B64,'FML March 2026'!E:F,2,false)</f>
        <v>SOY SAUCE 4/1 GALLON KIKKOMAN</v>
      </c>
      <c r="D64" s="9" t="str">
        <f>VLOOKUP(B64,'Unit of Measure ship March 2026'!A:C,3,false)</f>
        <v>GAL</v>
      </c>
      <c r="G64" s="9"/>
      <c r="H64" s="9"/>
      <c r="J64" s="102"/>
      <c r="K64" s="9"/>
      <c r="L64" s="9"/>
      <c r="N64" s="49"/>
      <c r="O64" s="9"/>
      <c r="P64" s="9"/>
    </row>
    <row r="65" ht="14.25" customHeight="1">
      <c r="B65" s="8">
        <v>111107.0</v>
      </c>
      <c r="C65" s="9" t="str">
        <f>VLOOKUP(B65,'FML March 2026'!E:F,2,false)</f>
        <v>SOY SAUCE BREWED GLUTEN FREE SEMPIO CS 12/930</v>
      </c>
      <c r="D65" s="9" t="str">
        <f>VLOOKUP(B65,'Unit of Measure ship March 2026'!A:C,3,false)</f>
        <v>BT/60 OZ</v>
      </c>
      <c r="G65" s="9"/>
      <c r="H65" s="9"/>
      <c r="J65" s="102"/>
      <c r="K65" s="9"/>
      <c r="L65" s="9"/>
      <c r="N65" s="49"/>
      <c r="O65" s="9"/>
      <c r="P65" s="9"/>
    </row>
    <row r="66" ht="14.25" customHeight="1">
      <c r="B66" s="17">
        <v>16355.0</v>
      </c>
      <c r="C66" s="9" t="str">
        <f>VLOOKUP(B66,'FML March 2026'!E:F,2,false)</f>
        <v>SOY SAUCE KETJAP MANIS 12/21OZ ABC</v>
      </c>
      <c r="D66" s="9" t="str">
        <f>VLOOKUP(B66,'Unit of Measure ship March 2026'!A:C,3,false)</f>
        <v>BTL/21OZ</v>
      </c>
      <c r="G66" s="9"/>
      <c r="H66" s="9"/>
      <c r="J66" s="102"/>
      <c r="K66" s="9"/>
      <c r="L66" s="9"/>
      <c r="N66" s="49"/>
      <c r="O66" s="9"/>
      <c r="P66" s="9"/>
    </row>
    <row r="67" ht="14.25" customHeight="1">
      <c r="B67" s="8">
        <v>110881.0</v>
      </c>
      <c r="C67" s="9" t="str">
        <f>VLOOKUP(B67,'FML March 2026'!E:F,2,false)</f>
        <v>SOY SAUCE WHITE BTL 750ML HAMIAMATSU HOMINTO</v>
      </c>
      <c r="D67" s="9" t="str">
        <f>VLOOKUP(B67,'Unit of Measure ship March 2026'!A:C,3,false)</f>
        <v>BT/750ML</v>
      </c>
      <c r="G67" s="9"/>
      <c r="H67" s="9"/>
      <c r="J67" s="102"/>
      <c r="K67" s="9"/>
      <c r="L67" s="9"/>
      <c r="O67" s="9"/>
      <c r="P67" s="9"/>
    </row>
    <row r="68" ht="14.25" customHeight="1">
      <c r="B68" s="17">
        <v>15646.0</v>
      </c>
      <c r="C68" s="9" t="str">
        <f>VLOOKUP(B68,'FML March 2026'!E:F,2,false)</f>
        <v>SUGAR BROWN DARK  24/1LB  DOMINO (404310) (USA)</v>
      </c>
      <c r="D68" s="9" t="str">
        <f>VLOOKUP(B68,'Unit of Measure ship March 2026'!A:C,3,false)</f>
        <v>LBS</v>
      </c>
      <c r="G68" s="9"/>
      <c r="H68" s="9"/>
      <c r="J68" s="102"/>
      <c r="K68" s="9"/>
      <c r="L68" s="9"/>
      <c r="O68" s="9"/>
      <c r="P68" s="9"/>
    </row>
    <row r="69" ht="14.25" customHeight="1">
      <c r="B69" s="17">
        <v>100872.0</v>
      </c>
      <c r="C69" s="9" t="str">
        <f>VLOOKUP(B69,'FML March 2026'!E:F,2,false)</f>
        <v>SUGAR BROWN LIGHT 24LB  DOMINO (404309)</v>
      </c>
      <c r="D69" s="9" t="str">
        <f>VLOOKUP(B69,'Unit of Measure ship March 2026'!A:C,3,false)</f>
        <v>LBS</v>
      </c>
      <c r="G69" s="9"/>
      <c r="H69" s="9"/>
      <c r="J69" s="102"/>
      <c r="K69" s="9"/>
      <c r="L69" s="9"/>
      <c r="O69" s="9"/>
      <c r="P69" s="9"/>
    </row>
    <row r="70" ht="14.25" customHeight="1">
      <c r="B70" s="17">
        <v>15642.0</v>
      </c>
      <c r="C70" s="9" t="str">
        <f>VLOOKUP(B70,'FML March 2026'!E:F,2,false)</f>
        <v>SUGAR, GRANULATED, ICUMSA 150, SUGARCANE, DRY, 1/50 LB</v>
      </c>
      <c r="D70" s="9" t="str">
        <f>VLOOKUP(B70,'Unit of Measure ship March 2026'!A:C,3,false)</f>
        <v>LBS</v>
      </c>
      <c r="G70" s="9"/>
      <c r="H70" s="9"/>
      <c r="J70" s="102"/>
      <c r="K70" s="9"/>
      <c r="L70" s="9"/>
      <c r="O70" s="9"/>
      <c r="P70" s="9"/>
    </row>
    <row r="71" ht="14.25" customHeight="1">
      <c r="B71" s="8">
        <v>110037.0</v>
      </c>
      <c r="C71" s="9" t="str">
        <f>VLOOKUP(B71,'FML March 2026'!E:F,2,false)</f>
        <v>SYRUP BARLEY MALT CS 12/20 OZ EDEN</v>
      </c>
      <c r="D71" s="9" t="str">
        <f>VLOOKUP(B71,'Unit of Measure ship March 2026'!A:C,3,false)</f>
        <v>BT/566GR</v>
      </c>
      <c r="G71" s="9"/>
      <c r="H71" s="9"/>
      <c r="J71" s="102"/>
      <c r="K71" s="9"/>
      <c r="L71" s="9"/>
      <c r="O71" s="9"/>
      <c r="P71" s="9"/>
    </row>
    <row r="72" ht="14.25" customHeight="1">
      <c r="B72" s="17">
        <v>19508.0</v>
      </c>
      <c r="C72" s="9" t="str">
        <f>VLOOKUP(B72,'FML March 2026'!E:F,2,false)</f>
        <v>SYRUP CORN DARK KARO/ HARTLEYS CS 4/1 GAL (USA)</v>
      </c>
      <c r="D72" s="9" t="str">
        <f>VLOOKUP(B72,'Unit of Measure ship March 2026'!A:C,3,false)</f>
        <v>GAL</v>
      </c>
      <c r="G72" s="9"/>
      <c r="H72" s="9"/>
      <c r="J72" s="102"/>
      <c r="K72" s="9"/>
      <c r="L72" s="9"/>
      <c r="O72" s="9"/>
      <c r="P72" s="9"/>
    </row>
    <row r="73" ht="14.25" customHeight="1">
      <c r="B73" s="17">
        <v>29904.0</v>
      </c>
      <c r="C73" s="9" t="str">
        <f>VLOOKUP(B73,'FML March 2026'!E:F,2,false)</f>
        <v>SYRUP, MAPLE, 100% PURE, GRADE A, AMBER, DRY, 4/4 LT</v>
      </c>
      <c r="D73" s="9" t="str">
        <f>VLOOKUP(B73,'Unit of Measure ship March 2026'!A:C,3,false)</f>
        <v>BOX/4LTR</v>
      </c>
      <c r="G73" s="9"/>
      <c r="H73" s="9"/>
      <c r="J73" s="102"/>
      <c r="K73" s="9"/>
      <c r="L73" s="9"/>
      <c r="O73" s="9"/>
      <c r="P73" s="9"/>
    </row>
    <row r="74" ht="14.25" customHeight="1">
      <c r="B74" s="17">
        <v>16939.0</v>
      </c>
      <c r="C74" s="9" t="str">
        <f>VLOOKUP(B74,'FML March 2026'!E:F,2,false)</f>
        <v>TAMARI, GLUTEN FREE SOY SAUCE IH 11/20</v>
      </c>
      <c r="D74" s="9" t="str">
        <f>VLOOKUP(B74,'Unit of Measure ship March 2026'!A:C,3,false)</f>
        <v>PC/10OZ</v>
      </c>
      <c r="F74" s="160"/>
      <c r="G74" s="9"/>
      <c r="H74" s="9"/>
      <c r="J74" s="102"/>
      <c r="K74" s="9"/>
      <c r="L74" s="9"/>
      <c r="O74" s="9"/>
      <c r="P74" s="9"/>
    </row>
    <row r="75" ht="14.25" customHeight="1">
      <c r="B75" s="17">
        <v>101990.0</v>
      </c>
      <c r="C75" s="9" t="str">
        <f>VLOOKUP(B75,'FML March 2026'!E:F,2,false)</f>
        <v>TRUFFLE AESTIVUM-SUMMER PEELINGS HENRAS (FRANCE)</v>
      </c>
      <c r="D75" s="9" t="str">
        <f>VLOOKUP(B75,'Unit of Measure ship March 2026'!A:C,3,false)</f>
        <v>CAN/7OZ</v>
      </c>
      <c r="F75" s="160"/>
      <c r="G75" s="9"/>
      <c r="H75" s="9"/>
      <c r="J75" s="102"/>
      <c r="K75" s="9"/>
      <c r="L75" s="9"/>
      <c r="O75" s="9"/>
      <c r="P75" s="9"/>
    </row>
    <row r="76" ht="14.25" customHeight="1">
      <c r="B76" s="17">
        <v>16310.0</v>
      </c>
      <c r="C76" s="9" t="str">
        <f>VLOOKUP(B76,'FML March 2026'!E:F,2,false)</f>
        <v>TURMERIC GROUND</v>
      </c>
      <c r="D76" s="9" t="str">
        <f>VLOOKUP(B76,'Unit of Measure ship March 2026'!A:C,3,false)</f>
        <v>LBS</v>
      </c>
      <c r="F76" s="160"/>
      <c r="G76" s="9"/>
      <c r="H76" s="9"/>
      <c r="J76" s="102"/>
      <c r="K76" s="9"/>
      <c r="L76" s="9"/>
      <c r="N76" s="51"/>
      <c r="O76" s="9"/>
      <c r="P76" s="9"/>
    </row>
    <row r="77" ht="14.25" customHeight="1">
      <c r="B77" s="8">
        <v>110035.0</v>
      </c>
      <c r="C77" s="9" t="str">
        <f>VLOOKUP(B77,'FML March 2026'!E:F,2,false)</f>
        <v>VEGAN WORCESTERSHIRE SAUCE CS12/8 OZ ANNIES</v>
      </c>
      <c r="D77" s="9" t="str">
        <f>VLOOKUP(B77,'Unit of Measure ship March 2026'!A:C,3,false)</f>
        <v>CS12/8OZ</v>
      </c>
      <c r="F77" s="160"/>
      <c r="G77" s="9"/>
      <c r="H77" s="9"/>
      <c r="J77" s="102"/>
      <c r="K77" s="9"/>
      <c r="L77" s="9"/>
      <c r="N77" s="51"/>
      <c r="O77" s="9"/>
      <c r="P77" s="9"/>
    </row>
    <row r="78" ht="14.25" customHeight="1">
      <c r="B78" s="8">
        <v>111933.0</v>
      </c>
      <c r="C78" s="9" t="str">
        <f>VLOOKUP(B78,'FML March 2026'!E:F,2,false)</f>
        <v>VEGETABLE STOCK LIQUID  CS 4.5/ LITER SAVORY CHOICE</v>
      </c>
      <c r="D78" s="9" t="str">
        <f>VLOOKUP(B78,'Unit of Measure ship March 2026'!A:C,3,false)</f>
        <v>LT</v>
      </c>
      <c r="F78" s="160"/>
      <c r="G78" s="9"/>
      <c r="H78" s="9"/>
      <c r="J78" s="102"/>
      <c r="K78" s="9"/>
      <c r="L78" s="9"/>
      <c r="N78" s="51"/>
      <c r="O78" s="9"/>
      <c r="P78" s="9"/>
    </row>
    <row r="79" ht="14.25" customHeight="1">
      <c r="B79" s="8">
        <v>109666.0</v>
      </c>
      <c r="C79" s="9" t="str">
        <f>VLOOKUP(B79,'FML March 2026'!E:F,2,false)</f>
        <v>VINEGAR CHAMPAGNE WINE SPARROW LANE/ PACKER</v>
      </c>
      <c r="D79" s="9" t="str">
        <f>VLOOKUP(B79,'Unit of Measure ship March 2026'!A:C,3,false)</f>
        <v>GAL</v>
      </c>
      <c r="F79" s="160"/>
      <c r="G79" s="9"/>
      <c r="H79" s="9"/>
      <c r="J79" s="102"/>
      <c r="K79" s="9"/>
      <c r="L79" s="9"/>
      <c r="N79" s="51"/>
      <c r="O79" s="9"/>
      <c r="P79" s="9"/>
    </row>
    <row r="80" ht="14.25" customHeight="1">
      <c r="B80" s="17">
        <v>16413.0</v>
      </c>
      <c r="C80" s="9" t="str">
        <f>VLOOKUP(B80,'FML March 2026'!E:F,2,false)</f>
        <v>VINEGAR, RICE WINE, UNSEASONED, JUG</v>
      </c>
      <c r="D80" s="9" t="str">
        <f>VLOOKUP(B80,'Unit of Measure ship March 2026'!A:C,3,false)</f>
        <v>GAL</v>
      </c>
      <c r="F80" s="160"/>
      <c r="G80" s="9"/>
      <c r="H80" s="9"/>
      <c r="J80" s="102"/>
      <c r="K80" s="9"/>
      <c r="L80" s="9"/>
      <c r="N80" s="51"/>
      <c r="O80" s="9"/>
      <c r="P80" s="9"/>
    </row>
    <row r="81" ht="14.25" customHeight="1">
      <c r="B81" s="17">
        <v>24829.0</v>
      </c>
      <c r="C81" s="9" t="str">
        <f>VLOOKUP(B81,'FML March 2026'!E:F,2,false)</f>
        <v>WAKAME DRY FOR MISO SOUP K-SEA  MA/RV (USA)</v>
      </c>
      <c r="D81" s="9" t="str">
        <f>VLOOKUP(B81,'Unit of Measure ship March 2026'!A:C,3,false)</f>
        <v>LBS</v>
      </c>
      <c r="F81" s="160"/>
      <c r="G81" s="9"/>
      <c r="H81" s="9"/>
      <c r="J81" s="102"/>
      <c r="K81" s="9"/>
      <c r="L81" s="9"/>
      <c r="N81" s="51"/>
      <c r="O81" s="9"/>
      <c r="P81" s="9"/>
    </row>
    <row r="82" ht="14.25" customHeight="1">
      <c r="B82" s="17">
        <v>38071.0</v>
      </c>
      <c r="C82" s="9" t="str">
        <f>VLOOKUP(B82,'FML March 2026'!E:F,2,false)</f>
        <v>WASABI POWDER SANWA JAPANESE</v>
      </c>
      <c r="D82" s="9" t="str">
        <f>VLOOKUP(B82,'Unit of Measure ship March 2026'!A:C,3,false)</f>
        <v>KG</v>
      </c>
      <c r="F82" s="160"/>
      <c r="G82" s="9"/>
      <c r="H82" s="9"/>
      <c r="J82" s="102"/>
      <c r="K82" s="9"/>
      <c r="L82" s="9"/>
      <c r="N82" s="51"/>
      <c r="O82" s="9"/>
      <c r="P82" s="9"/>
    </row>
    <row r="83" ht="14.25" customHeight="1">
      <c r="B83" s="17">
        <v>16387.0</v>
      </c>
      <c r="C83" s="9" t="str">
        <f>VLOOKUP(B83,'FML March 2026'!E:F,2,false)</f>
        <v>WHITE TRUFFLE OIL</v>
      </c>
      <c r="D83" s="9" t="str">
        <f>VLOOKUP(B83,'Unit of Measure ship March 2026'!A:C,3,false)</f>
        <v>BT/250ML</v>
      </c>
      <c r="F83" s="160"/>
      <c r="G83" s="9"/>
      <c r="H83" s="9"/>
      <c r="J83" s="102"/>
      <c r="K83" s="9"/>
      <c r="L83" s="9"/>
      <c r="N83" s="51"/>
      <c r="O83" s="9"/>
      <c r="P83" s="9"/>
    </row>
    <row r="84" ht="14.25" customHeight="1">
      <c r="B84" s="17">
        <v>16358.0</v>
      </c>
      <c r="C84" s="9" t="str">
        <f>VLOOKUP(B84,'FML March 2026'!E:F,2,false)</f>
        <v>WORCESTERSHIRE SAUCE 5 OZ LEA &amp; PERRINS</v>
      </c>
      <c r="D84" s="9" t="str">
        <f>VLOOKUP(B84,'Unit of Measure ship March 2026'!A:C,3,false)</f>
        <v>BTL/5OZ</v>
      </c>
      <c r="F84" s="160"/>
      <c r="G84" s="9"/>
      <c r="H84" s="9"/>
      <c r="J84" s="102"/>
      <c r="K84" s="9"/>
      <c r="L84" s="9"/>
      <c r="N84" s="51"/>
      <c r="O84" s="9"/>
      <c r="P84" s="9"/>
    </row>
    <row r="85" ht="14.25" customHeight="1">
      <c r="B85" s="8">
        <v>102288.0</v>
      </c>
      <c r="C85" s="9" t="str">
        <f>VLOOKUP(B85,'FML March 2026'!E:F,2,false)</f>
        <v>XANTHAN GUM (AUSTRIA)</v>
      </c>
      <c r="D85" s="9" t="str">
        <f>VLOOKUP(B85,'Unit of Measure ship March 2026'!A:C,3,false)</f>
        <v>LBS</v>
      </c>
      <c r="F85" s="160"/>
      <c r="G85" s="9"/>
      <c r="H85" s="9"/>
      <c r="J85" s="102"/>
      <c r="K85" s="9"/>
      <c r="L85" s="9"/>
      <c r="N85" s="51"/>
      <c r="O85" s="9"/>
      <c r="P85" s="9"/>
    </row>
    <row r="86" ht="14.25" customHeight="1">
      <c r="B86" s="8">
        <v>109846.0</v>
      </c>
      <c r="C86" s="9" t="str">
        <f>VLOOKUP(B86,'FML March 2026'!E:F,2,false)</f>
        <v>YOGURT GREEK BULK</v>
      </c>
      <c r="D86" s="9" t="str">
        <f>VLOOKUP(B86,'Unit of Measure ship March 2026'!A:C,3,false)</f>
        <v>LBS</v>
      </c>
      <c r="F86" s="160"/>
      <c r="G86" s="9"/>
      <c r="H86" s="9"/>
      <c r="J86" s="102"/>
      <c r="K86" s="9"/>
      <c r="L86" s="9"/>
      <c r="N86" s="51"/>
      <c r="O86" s="9"/>
      <c r="P86" s="9"/>
    </row>
    <row r="87" ht="14.25" customHeight="1">
      <c r="B87" s="17">
        <v>19409.0</v>
      </c>
      <c r="C87" s="9" t="str">
        <f>VLOOKUP(B87,'FML March 2026'!E:F,2,false)</f>
        <v>YUZU JUICE PURE UNSEASONED SHIBORI YAKAMI ORCHARD</v>
      </c>
      <c r="D87" s="9" t="str">
        <f>VLOOKUP(B87,'Unit of Measure ship March 2026'!A:C,3,false)</f>
        <v>BT/750ML</v>
      </c>
      <c r="F87" s="160"/>
      <c r="G87" s="9"/>
      <c r="H87" s="9"/>
      <c r="J87" s="102"/>
      <c r="K87" s="9"/>
      <c r="L87" s="9"/>
      <c r="N87" s="51"/>
      <c r="O87" s="9"/>
      <c r="P87" s="9"/>
    </row>
    <row r="88" ht="14.25" customHeight="1">
      <c r="F88" s="160"/>
      <c r="G88" s="9"/>
      <c r="H88" s="9"/>
      <c r="J88" s="102"/>
      <c r="K88" s="9"/>
      <c r="L88" s="9"/>
      <c r="N88" s="51"/>
      <c r="O88" s="9"/>
      <c r="P88" s="9"/>
    </row>
    <row r="89" ht="14.25" customHeight="1">
      <c r="F89" s="160"/>
      <c r="G89" s="9"/>
      <c r="H89" s="9"/>
      <c r="J89" s="102"/>
      <c r="K89" s="9"/>
      <c r="L89" s="9"/>
      <c r="N89" s="51"/>
      <c r="O89" s="9"/>
      <c r="P89" s="9"/>
    </row>
    <row r="90" ht="14.25" customHeight="1">
      <c r="F90" s="160"/>
      <c r="G90" s="9"/>
      <c r="H90" s="9"/>
      <c r="J90" s="102"/>
      <c r="K90" s="9"/>
      <c r="L90" s="9"/>
      <c r="N90" s="51"/>
      <c r="O90" s="9"/>
      <c r="P90" s="9"/>
    </row>
    <row r="91" ht="14.25" customHeight="1">
      <c r="F91" s="160"/>
      <c r="G91" s="9"/>
      <c r="H91" s="9"/>
      <c r="J91" s="102"/>
      <c r="K91" s="9"/>
      <c r="L91" s="9"/>
      <c r="N91" s="51"/>
      <c r="O91" s="9"/>
      <c r="P91" s="9"/>
    </row>
    <row r="92" ht="14.25" customHeight="1">
      <c r="F92" s="160"/>
      <c r="G92" s="9"/>
      <c r="H92" s="9"/>
      <c r="J92" s="102"/>
      <c r="K92" s="9"/>
      <c r="L92" s="9"/>
      <c r="N92" s="51"/>
      <c r="O92" s="9"/>
      <c r="P92" s="9"/>
    </row>
    <row r="93" ht="14.25" customHeight="1">
      <c r="F93" s="160"/>
      <c r="G93" s="9"/>
      <c r="H93" s="9"/>
      <c r="J93" s="102"/>
      <c r="K93" s="9"/>
      <c r="L93" s="9"/>
      <c r="N93" s="51"/>
      <c r="O93" s="9"/>
      <c r="P93" s="9"/>
    </row>
    <row r="94" ht="14.25" customHeight="1">
      <c r="F94" s="160"/>
      <c r="G94" s="9"/>
      <c r="H94" s="9"/>
      <c r="J94" s="102"/>
      <c r="K94" s="9"/>
      <c r="L94" s="9"/>
      <c r="N94" s="51"/>
      <c r="O94" s="9"/>
      <c r="P94" s="9"/>
    </row>
    <row r="95" ht="14.25" customHeight="1">
      <c r="F95" s="160"/>
      <c r="G95" s="9"/>
      <c r="H95" s="9"/>
      <c r="J95" s="102"/>
      <c r="K95" s="9"/>
      <c r="L95" s="9"/>
      <c r="N95" s="51"/>
      <c r="O95" s="9"/>
      <c r="P95" s="9"/>
    </row>
    <row r="96" ht="14.25" customHeight="1">
      <c r="F96" s="160"/>
      <c r="G96" s="9"/>
      <c r="H96" s="9"/>
      <c r="J96" s="102"/>
      <c r="K96" s="9"/>
      <c r="L96" s="9"/>
      <c r="N96" s="51"/>
      <c r="O96" s="9"/>
      <c r="P96" s="9"/>
    </row>
    <row r="97" ht="14.25" customHeight="1">
      <c r="B97" s="17"/>
      <c r="C97" s="9"/>
      <c r="D97" s="9"/>
      <c r="F97" s="160"/>
      <c r="G97" s="9"/>
      <c r="H97" s="9"/>
      <c r="J97" s="102"/>
      <c r="K97" s="9"/>
      <c r="L97" s="9"/>
      <c r="N97" s="51"/>
      <c r="O97" s="9"/>
      <c r="P97" s="9"/>
    </row>
    <row r="98" ht="14.25" customHeight="1">
      <c r="B98" s="17"/>
      <c r="C98" s="9"/>
      <c r="D98" s="9"/>
      <c r="F98" s="160"/>
      <c r="G98" s="9"/>
      <c r="H98" s="9"/>
      <c r="J98" s="102"/>
      <c r="K98" s="9"/>
      <c r="L98" s="9"/>
      <c r="N98" s="51"/>
      <c r="O98" s="9"/>
      <c r="P98" s="9"/>
    </row>
    <row r="99" ht="14.25" customHeight="1">
      <c r="C99" s="9"/>
      <c r="D99" s="9"/>
      <c r="F99" s="160"/>
      <c r="G99" s="9"/>
      <c r="H99" s="9"/>
      <c r="J99" s="102"/>
      <c r="K99" s="9"/>
      <c r="L99" s="9"/>
      <c r="N99" s="51"/>
      <c r="O99" s="9"/>
      <c r="P99" s="9"/>
    </row>
    <row r="100" ht="14.25" customHeight="1">
      <c r="C100" s="9"/>
      <c r="D100" s="9"/>
      <c r="F100" s="160"/>
      <c r="G100" s="9"/>
      <c r="H100" s="9"/>
      <c r="J100" s="102"/>
      <c r="K100" s="9"/>
      <c r="L100" s="9"/>
      <c r="N100" s="51"/>
      <c r="O100" s="9"/>
      <c r="P100" s="9"/>
    </row>
    <row r="101" ht="14.25" customHeight="1">
      <c r="B101" s="49"/>
      <c r="C101" s="9"/>
      <c r="D101" s="9"/>
      <c r="F101" s="160"/>
      <c r="G101" s="9"/>
      <c r="H101" s="9"/>
      <c r="J101" s="102"/>
      <c r="K101" s="9"/>
      <c r="L101" s="9"/>
      <c r="N101" s="51"/>
      <c r="O101" s="9"/>
      <c r="P101" s="9"/>
    </row>
    <row r="102" ht="14.25" customHeight="1">
      <c r="C102" s="9"/>
      <c r="D102" s="9"/>
      <c r="F102" s="160"/>
      <c r="G102" s="9"/>
      <c r="H102" s="9"/>
      <c r="J102" s="102"/>
      <c r="K102" s="9"/>
      <c r="L102" s="9"/>
      <c r="N102" s="51"/>
      <c r="O102" s="9"/>
      <c r="P102" s="9"/>
    </row>
    <row r="103" ht="14.25" customHeight="1">
      <c r="C103" s="9"/>
      <c r="D103" s="9"/>
      <c r="F103" s="160"/>
      <c r="G103" s="9"/>
      <c r="H103" s="9"/>
      <c r="J103" s="102"/>
      <c r="K103" s="9"/>
      <c r="L103" s="9"/>
      <c r="N103" s="51"/>
      <c r="O103" s="9"/>
      <c r="P103" s="9"/>
    </row>
    <row r="104" ht="14.25" customHeight="1">
      <c r="C104" s="9"/>
      <c r="D104" s="9"/>
      <c r="F104" s="160"/>
      <c r="G104" s="9"/>
      <c r="H104" s="9"/>
      <c r="J104" s="102"/>
      <c r="K104" s="9"/>
      <c r="L104" s="9"/>
      <c r="N104" s="51"/>
      <c r="O104" s="9"/>
      <c r="P104" s="9"/>
    </row>
    <row r="105" ht="14.25" customHeight="1">
      <c r="C105" s="9"/>
      <c r="D105" s="9"/>
      <c r="F105" s="160"/>
      <c r="G105" s="9"/>
      <c r="H105" s="9"/>
      <c r="J105" s="102"/>
      <c r="K105" s="9"/>
      <c r="L105" s="9"/>
      <c r="N105" s="51"/>
      <c r="O105" s="9"/>
      <c r="P105" s="9"/>
    </row>
    <row r="106" ht="14.25" customHeight="1">
      <c r="C106" s="9"/>
      <c r="D106" s="9"/>
      <c r="F106" s="160"/>
      <c r="G106" s="9"/>
      <c r="H106" s="9"/>
      <c r="J106" s="102"/>
      <c r="K106" s="9"/>
      <c r="L106" s="9"/>
      <c r="N106" s="51"/>
      <c r="O106" s="9"/>
      <c r="P106" s="9"/>
    </row>
    <row r="107" ht="14.25" customHeight="1">
      <c r="C107" s="9"/>
      <c r="D107" s="9"/>
      <c r="F107" s="160"/>
      <c r="G107" s="9"/>
      <c r="H107" s="9"/>
      <c r="J107" s="102"/>
      <c r="K107" s="9"/>
      <c r="L107" s="9"/>
      <c r="N107" s="51"/>
      <c r="O107" s="9"/>
      <c r="P107" s="9"/>
    </row>
    <row r="108" ht="14.25" customHeight="1">
      <c r="C108" s="9"/>
      <c r="D108" s="9"/>
      <c r="F108" s="160"/>
      <c r="G108" s="9"/>
      <c r="H108" s="9"/>
      <c r="J108" s="102"/>
      <c r="K108" s="9"/>
      <c r="L108" s="9"/>
      <c r="N108" s="51"/>
      <c r="O108" s="9"/>
      <c r="P108" s="9"/>
    </row>
    <row r="109" ht="14.25" customHeight="1">
      <c r="C109" s="9"/>
      <c r="D109" s="9"/>
      <c r="F109" s="160"/>
      <c r="G109" s="9"/>
      <c r="H109" s="9"/>
      <c r="J109" s="102"/>
      <c r="K109" s="9"/>
      <c r="L109" s="9"/>
      <c r="N109" s="51"/>
      <c r="O109" s="9"/>
      <c r="P109" s="9"/>
    </row>
    <row r="110" ht="14.25" customHeight="1">
      <c r="C110" s="9"/>
      <c r="D110" s="9"/>
      <c r="F110" s="160"/>
      <c r="G110" s="9"/>
      <c r="H110" s="9"/>
      <c r="J110" s="102"/>
      <c r="K110" s="9"/>
      <c r="L110" s="9"/>
      <c r="N110" s="51"/>
      <c r="O110" s="9"/>
      <c r="P110" s="9"/>
    </row>
    <row r="111" ht="14.25" customHeight="1">
      <c r="C111" s="9"/>
      <c r="D111" s="9"/>
      <c r="F111" s="160"/>
      <c r="G111" s="9"/>
      <c r="H111" s="9"/>
      <c r="J111" s="102"/>
      <c r="K111" s="9"/>
      <c r="L111" s="9"/>
      <c r="N111" s="51"/>
      <c r="O111" s="9"/>
      <c r="P111" s="9"/>
    </row>
    <row r="112" ht="14.25" customHeight="1">
      <c r="C112" s="9"/>
      <c r="D112" s="9"/>
      <c r="F112" s="160"/>
      <c r="G112" s="9"/>
      <c r="H112" s="9"/>
      <c r="J112" s="102"/>
      <c r="K112" s="9"/>
      <c r="L112" s="9"/>
      <c r="N112" s="51"/>
      <c r="O112" s="9"/>
      <c r="P112" s="9"/>
    </row>
    <row r="113" ht="14.25" customHeight="1">
      <c r="C113" s="9"/>
      <c r="D113" s="9"/>
      <c r="F113" s="160"/>
      <c r="G113" s="9"/>
      <c r="H113" s="9"/>
      <c r="J113" s="102"/>
      <c r="K113" s="9"/>
      <c r="L113" s="9"/>
      <c r="N113" s="51"/>
      <c r="O113" s="9"/>
      <c r="P113" s="9"/>
    </row>
    <row r="114" ht="14.25" customHeight="1">
      <c r="F114" s="160"/>
      <c r="G114" s="9"/>
      <c r="H114" s="9"/>
      <c r="N114" s="51"/>
      <c r="O114" s="9"/>
      <c r="P114" s="9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8.71"/>
    <col customWidth="1" min="3" max="3" width="59.57"/>
    <col customWidth="1" min="4" max="4" width="11.57"/>
    <col customWidth="1" min="5" max="5" width="1.86"/>
    <col customWidth="1" min="6" max="6" width="8.71"/>
    <col customWidth="1" min="7" max="7" width="59.57"/>
    <col customWidth="1" min="8" max="8" width="12.14"/>
    <col customWidth="1" min="9" max="9" width="1.86"/>
    <col customWidth="1" min="10" max="10" width="8.71"/>
    <col customWidth="1" min="11" max="11" width="59.57"/>
    <col customWidth="1" min="12" max="12" width="11.57"/>
    <col customWidth="1" min="13" max="13" width="1.86"/>
    <col customWidth="1" min="14" max="22" width="8.71"/>
  </cols>
  <sheetData>
    <row r="1" ht="14.25" customHeight="1">
      <c r="A1" s="101"/>
      <c r="B1" s="161"/>
      <c r="C1" s="162" t="s">
        <v>110</v>
      </c>
      <c r="D1" s="161"/>
      <c r="E1" s="101"/>
      <c r="F1" s="161"/>
      <c r="G1" s="162" t="s">
        <v>111</v>
      </c>
      <c r="H1" s="161"/>
      <c r="I1" s="101"/>
      <c r="J1" s="161"/>
      <c r="K1" s="162" t="s">
        <v>112</v>
      </c>
      <c r="L1" s="161"/>
      <c r="M1" s="101"/>
      <c r="O1" s="101"/>
      <c r="P1" s="101"/>
      <c r="Q1" s="101"/>
      <c r="R1" s="101"/>
      <c r="S1" s="101"/>
      <c r="T1" s="101"/>
      <c r="U1" s="101"/>
      <c r="V1" s="101"/>
    </row>
    <row r="2" ht="14.25" customHeight="1">
      <c r="B2" s="4" t="s">
        <v>6</v>
      </c>
      <c r="C2" s="5" t="s">
        <v>7</v>
      </c>
      <c r="D2" s="4" t="s">
        <v>8</v>
      </c>
      <c r="F2" s="4" t="s">
        <v>6</v>
      </c>
      <c r="G2" s="5" t="s">
        <v>7</v>
      </c>
      <c r="H2" s="4" t="s">
        <v>8</v>
      </c>
      <c r="J2" s="4" t="s">
        <v>6</v>
      </c>
      <c r="K2" s="5" t="s">
        <v>7</v>
      </c>
      <c r="L2" s="4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113</v>
      </c>
      <c r="D1" s="142"/>
      <c r="E1" s="144"/>
      <c r="F1" s="142"/>
      <c r="G1" s="143" t="s">
        <v>114</v>
      </c>
      <c r="H1" s="142"/>
      <c r="I1" s="144"/>
      <c r="J1" s="142"/>
      <c r="K1" s="142" t="s">
        <v>115</v>
      </c>
      <c r="L1" s="142"/>
      <c r="M1" s="144"/>
      <c r="N1" s="142"/>
      <c r="O1" s="142" t="s">
        <v>116</v>
      </c>
      <c r="P1" s="142"/>
      <c r="Q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5" t="s">
        <v>6</v>
      </c>
      <c r="O2" s="146" t="s">
        <v>7</v>
      </c>
      <c r="P2" s="145" t="s">
        <v>8</v>
      </c>
    </row>
    <row r="3" ht="14.25" customHeight="1">
      <c r="B3" s="8">
        <v>111083.0</v>
      </c>
      <c r="C3" s="9" t="str">
        <f>VLOOKUP(B3,'FML March 2026'!E:F,2,false)</f>
        <v>ALEPPO PEPPER  PKG 1/LB  LA BOITE</v>
      </c>
      <c r="D3" s="9" t="str">
        <f>VLOOKUP(B3,'Unit of Measure ship March 2026'!A:C,3,false)</f>
        <v>LBS</v>
      </c>
      <c r="F3" s="17">
        <v>15572.0</v>
      </c>
      <c r="G3" s="9" t="str">
        <f>VLOOKUP(F3,'FML March 2026'!E:F,2,false)</f>
        <v>ASPARAGUS, FRESH, LARGE, FULL 11# BOX, 17 PC/BOX</v>
      </c>
      <c r="H3" s="9" t="str">
        <f>VLOOKUP(F3,'Unit of Measure ship March 2026'!A:C,3,false)</f>
        <v>LBS</v>
      </c>
      <c r="J3" s="8">
        <v>11189.0</v>
      </c>
      <c r="K3" s="9" t="str">
        <f>VLOOKUP(J3,'FML March 2026'!E:F,2,false)</f>
        <v>BEEF GROUND CHUCK C.A.B./ ANGUS NAMP 137-2</v>
      </c>
      <c r="L3" s="9" t="str">
        <f>VLOOKUP(J3,'Unit of Measure ship March 2026'!A:C,3,false)</f>
        <v>LBS</v>
      </c>
      <c r="N3" s="48">
        <v>53677.0</v>
      </c>
      <c r="O3" s="9" t="str">
        <f>VLOOKUP(N3,'FML March 2026'!E:F,2,false)</f>
        <v>STRIPED BASS FILLET WILD SKIN-ON 2/3 LB  IQFCS/25 LB</v>
      </c>
      <c r="P3" s="9" t="str">
        <f>VLOOKUP(N3,'Unit of Measure ship March 2026'!A:C,3,false)</f>
        <v>LBS</v>
      </c>
    </row>
    <row r="4" ht="14.25" customHeight="1">
      <c r="B4" s="17">
        <v>16262.0</v>
      </c>
      <c r="C4" s="9" t="str">
        <f>VLOOKUP(B4,'FML March 2026'!E:F,2,false)</f>
        <v>ALLSPICE BADIA</v>
      </c>
      <c r="D4" s="9" t="str">
        <f>VLOOKUP(B4,'Unit of Measure ship March 2026'!A:C,3,false)</f>
        <v>LBS</v>
      </c>
      <c r="F4" s="17">
        <v>43516.0</v>
      </c>
      <c r="G4" s="9" t="str">
        <f>VLOOKUP(F4,'FML March 2026'!E:F,2,false)</f>
        <v>BANANAS STAGE #3</v>
      </c>
      <c r="H4" s="9" t="str">
        <f>VLOOKUP(F4,'Unit of Measure ship March 2026'!A:C,3,false)</f>
        <v>LBS</v>
      </c>
      <c r="J4" s="8">
        <v>102748.0</v>
      </c>
      <c r="K4" s="9" t="str">
        <f>VLOOKUP(J4,'FML March 2026'!E:F,2,false)</f>
        <v>BEEF PATTIES 5.33 OZ CHUCK/BRISKET/SHORT RIB CS/10 LB  (USA) NAMP-1137</v>
      </c>
      <c r="L4" s="9" t="str">
        <f>VLOOKUP(J4,'Unit of Measure ship March 2026'!A:C,3,false)</f>
        <v>LBS</v>
      </c>
      <c r="N4" s="49"/>
      <c r="O4" s="9"/>
      <c r="P4" s="9"/>
    </row>
    <row r="5" ht="14.25" customHeight="1">
      <c r="B5" s="8">
        <v>109664.0</v>
      </c>
      <c r="C5" s="9" t="str">
        <f>VLOOKUP(B5,'FML March 2026'!E:F,2,false)</f>
        <v>APPLE CIDER VINEGAR SPARROW LANE V</v>
      </c>
      <c r="D5" s="9" t="str">
        <f>VLOOKUP(B5,'Unit of Measure ship March 2026'!A:C,3,false)</f>
        <v>GAL</v>
      </c>
      <c r="F5" s="17">
        <v>15449.0</v>
      </c>
      <c r="G5" s="9" t="str">
        <f>VLOOKUP(F5,'FML March 2026'!E:F,2,false)</f>
        <v>BEET ROOTS LARGE 1/25#</v>
      </c>
      <c r="H5" s="9" t="str">
        <f>VLOOKUP(F5,'Unit of Measure ship March 2026'!A:C,3,false)</f>
        <v>LBS</v>
      </c>
      <c r="J5" s="15">
        <v>34728.0</v>
      </c>
      <c r="K5" s="9" t="str">
        <f>VLOOKUP(J5,'FML March 2026'!E:F,2,false)</f>
        <v>BEEF, STRIPLOIN, BONELESS, 13 DWN, UPPER 2/3, CHOICE, ANGUS, 40 DAY AGED, 0X1, NAMP 180, USA ONLY, &lt;22 LB EA, FZN, 3/1 EA</v>
      </c>
      <c r="L5" s="9" t="str">
        <f>VLOOKUP(J5,'Unit of Measure ship March 2026'!A:C,3,false)</f>
        <v>LBS</v>
      </c>
      <c r="N5" s="49"/>
      <c r="O5" s="9"/>
      <c r="P5" s="9"/>
    </row>
    <row r="6" ht="14.25" customHeight="1">
      <c r="B6" s="8">
        <v>109686.0</v>
      </c>
      <c r="C6" s="9" t="str">
        <f>VLOOKUP(B6,'FML March 2026'!E:F,2,false)</f>
        <v>BACON, NUESKE 24 HOUR  APPLEWOOD SMOKED BACON (NUESKI 2131)</v>
      </c>
      <c r="D6" s="9" t="str">
        <f>VLOOKUP(B6,'Unit of Measure ship March 2026'!A:C,3,false)</f>
        <v>LBS</v>
      </c>
      <c r="F6" s="17">
        <v>15333.0</v>
      </c>
      <c r="G6" s="9" t="str">
        <f>VLOOKUP(F6,'FML March 2026'!E:F,2,false)</f>
        <v>BLACKBERRIES FRESH 12 1/2 PT 4.5#</v>
      </c>
      <c r="H6" s="9" t="str">
        <f>VLOOKUP(F6,'Unit of Measure ship March 2026'!A:C,3,false)</f>
        <v>LBS</v>
      </c>
      <c r="J6" s="8">
        <v>11690.0</v>
      </c>
      <c r="K6" s="9" t="str">
        <f>VLOOKUP(J6,'FML March 2026'!E:F,2,false)</f>
        <v>CHICKEN BREAST, BONELESS, SKINLESS, NON-MARINATED, NON-INJECTED, 6-7 OZ EA, FZN, 1/40 LB</v>
      </c>
      <c r="L6" s="9" t="str">
        <f>VLOOKUP(J6,'Unit of Measure ship March 2026'!A:C,3,false)</f>
        <v>LBS</v>
      </c>
      <c r="N6" s="49"/>
      <c r="O6" s="9"/>
      <c r="P6" s="9"/>
    </row>
    <row r="7" ht="14.25" customHeight="1">
      <c r="B7" s="17">
        <v>16250.0</v>
      </c>
      <c r="C7" s="9" t="str">
        <f>VLOOKUP(B7,'FML March 2026'!E:F,2,false)</f>
        <v>BAY LEAVES WHOLE D`ALLESANDRO/ SPICECO</v>
      </c>
      <c r="D7" s="9" t="str">
        <f>VLOOKUP(B7,'Unit of Measure ship March 2026'!A:C,3,false)</f>
        <v>LBS</v>
      </c>
      <c r="F7" s="17">
        <v>15335.0</v>
      </c>
      <c r="G7" s="9" t="str">
        <f>VLOOKUP(F7,'FML March 2026'!E:F,2,false)</f>
        <v>BLUEBERRIES FRESH 12 1/2 PT 4.5#</v>
      </c>
      <c r="H7" s="9" t="str">
        <f>VLOOKUP(F7,'Unit of Measure ship March 2026'!A:C,3,false)</f>
        <v>LBS</v>
      </c>
      <c r="J7" s="8">
        <v>14576.0</v>
      </c>
      <c r="K7" s="9" t="str">
        <f>VLOOKUP(J7,'FML March 2026'!E:F,2,false)</f>
        <v>CHICKEN, FRYER, WOG, IND WRAPPED, NON-INJECTED, 2.50-3.25 LB EA, FZN, 12/1 EA</v>
      </c>
      <c r="L7" s="9" t="str">
        <f>VLOOKUP(J7,'Unit of Measure ship March 2026'!A:C,3,false)</f>
        <v>LBS</v>
      </c>
      <c r="N7" s="49"/>
      <c r="O7" s="9"/>
      <c r="P7" s="9"/>
    </row>
    <row r="8" ht="14.25" customHeight="1">
      <c r="B8" s="8">
        <v>35667.0</v>
      </c>
      <c r="C8" s="9" t="str">
        <f>VLOOKUP(B8,'FML March 2026'!E:F,2,false)</f>
        <v>BRANSTON PICKLE (GIELOW)</v>
      </c>
      <c r="D8" s="9" t="str">
        <f>VLOOKUP(B8,'Unit of Measure ship March 2026'!A:C,3,false)</f>
        <v>KG</v>
      </c>
      <c r="F8" s="17">
        <v>38191.0</v>
      </c>
      <c r="G8" s="9" t="str">
        <f>VLOOKUP(F8,'FML March 2026'!E:F,2,false)</f>
        <v>BRUSSELS SPROUTS SMALL</v>
      </c>
      <c r="H8" s="9" t="str">
        <f>VLOOKUP(F8,'Unit of Measure ship March 2026'!A:C,3,false)</f>
        <v>LBS</v>
      </c>
      <c r="J8" s="8">
        <v>10533.0</v>
      </c>
      <c r="K8" s="9" t="str">
        <f>VLOOKUP(J8,'FML March 2026'!E:F,2,false)</f>
        <v>PORK SHOULDER BUTT BONELESS</v>
      </c>
      <c r="L8" s="9" t="str">
        <f>VLOOKUP(J8,'Unit of Measure ship March 2026'!A:C,3,false)</f>
        <v>LBS</v>
      </c>
      <c r="N8" s="49"/>
      <c r="O8" s="9"/>
      <c r="P8" s="9"/>
    </row>
    <row r="9" ht="14.25" customHeight="1">
      <c r="B9" s="8">
        <v>20884.0</v>
      </c>
      <c r="C9" s="9" t="str">
        <f>VLOOKUP(B9,'FML March 2026'!E:F,2,false)</f>
        <v>BREAD CRUMBS PANKO 25 LB KIKKOMAN #05010 (USA)</v>
      </c>
      <c r="D9" s="9" t="str">
        <f>VLOOKUP(B9,'Unit of Measure ship March 2026'!A:C,3,false)</f>
        <v>LBS</v>
      </c>
      <c r="F9" s="17">
        <v>111931.0</v>
      </c>
      <c r="G9" s="9" t="str">
        <f>VLOOKUP(F9,'FML March 2026'!E:F,2,false)</f>
        <v>CACTUS PEAR RED  XOCONOSTLE 30/36 CT</v>
      </c>
      <c r="H9" s="9" t="str">
        <f>VLOOKUP(F9,'Unit of Measure ship March 2026'!A:C,3,false)</f>
        <v>LBS</v>
      </c>
      <c r="K9" s="9"/>
      <c r="L9" s="9"/>
      <c r="N9" s="49"/>
      <c r="O9" s="9"/>
      <c r="P9" s="9"/>
    </row>
    <row r="10" ht="14.25" customHeight="1">
      <c r="B10" s="17">
        <v>16981.0</v>
      </c>
      <c r="C10" s="9" t="str">
        <f>VLOOKUP(B10,'FML March 2026'!E:F,2,false)</f>
        <v>BRIE MON PERE 60% 3KG / DEXPA # 53726</v>
      </c>
      <c r="D10" s="9" t="str">
        <f>VLOOKUP(B10,'Unit of Measure ship March 2026'!A:C,3,false)</f>
        <v>LBS</v>
      </c>
      <c r="F10" s="17">
        <v>15458.0</v>
      </c>
      <c r="G10" s="9" t="str">
        <f>VLOOKUP(F10,'FML March 2026'!E:F,2,false)</f>
        <v>CARROTS CLIP TOP 50#</v>
      </c>
      <c r="H10" s="9" t="str">
        <f>VLOOKUP(F10,'Unit of Measure ship March 2026'!A:C,3,false)</f>
        <v>LBS</v>
      </c>
      <c r="K10" s="9"/>
      <c r="L10" s="9"/>
      <c r="N10" s="49"/>
      <c r="O10" s="9"/>
      <c r="P10" s="9"/>
    </row>
    <row r="11" ht="14.25" customHeight="1">
      <c r="B11" s="17">
        <v>15016.0</v>
      </c>
      <c r="C11" s="9" t="str">
        <f>VLOOKUP(B11,'FML March 2026'!E:F,2,false)</f>
        <v>BUTTER, UNSALTED, 82% FAT, FZN, 50/200 G</v>
      </c>
      <c r="D11" s="9" t="str">
        <f>VLOOKUP(B11,'Unit of Measure ship March 2026'!A:C,3,false)</f>
        <v>LBS</v>
      </c>
      <c r="F11" s="17">
        <v>110078.0</v>
      </c>
      <c r="G11" s="9" t="str">
        <f>VLOOKUP(F11,'FML March 2026'!E:F,2,false)</f>
        <v>CAULIFLOWER PURPLR FRESH</v>
      </c>
      <c r="H11" s="9" t="str">
        <f>VLOOKUP(F11,'Unit of Measure ship March 2026'!A:C,3,false)</f>
        <v>EA</v>
      </c>
      <c r="K11" s="9"/>
      <c r="L11" s="9"/>
      <c r="N11" s="49"/>
      <c r="O11" s="9"/>
      <c r="P11" s="9"/>
    </row>
    <row r="12" ht="14.25" customHeight="1">
      <c r="B12" s="17">
        <v>14984.0</v>
      </c>
      <c r="C12" s="9" t="str">
        <f>VLOOKUP(B12,'FML March 2026'!E:F,2,false)</f>
        <v>CHEDDAR BLOCK YELLOW IMP.4/11</v>
      </c>
      <c r="D12" s="9" t="str">
        <f>VLOOKUP(B12,'Unit of Measure ship March 2026'!A:C,3,false)</f>
        <v>LBS</v>
      </c>
      <c r="F12" s="17">
        <v>15460.0</v>
      </c>
      <c r="G12" s="9" t="str">
        <f>VLOOKUP(F12,'FML March 2026'!E:F,2,false)</f>
        <v>CELERY #1 CAL. 36CT 60#</v>
      </c>
      <c r="H12" s="9" t="str">
        <f>VLOOKUP(F12,'Unit of Measure ship March 2026'!A:C,3,false)</f>
        <v>LBS</v>
      </c>
      <c r="K12" s="9"/>
      <c r="L12" s="9"/>
      <c r="N12" s="49"/>
      <c r="O12" s="9"/>
      <c r="P12" s="9"/>
    </row>
    <row r="13" ht="14.25" customHeight="1">
      <c r="B13" s="17">
        <v>27418.0</v>
      </c>
      <c r="C13" s="9" t="str">
        <f>VLOOKUP(B13,'FML March 2026'!E:F,2,false)</f>
        <v>CHEESE, PARMIGIANO REGGIANO, DOP, QUARTERS, 18-20 LB EA, CHL, 2/1 EA</v>
      </c>
      <c r="D13" s="9" t="str">
        <f>VLOOKUP(B13,'Unit of Measure ship March 2026'!A:C,3,false)</f>
        <v>LBS</v>
      </c>
      <c r="F13" s="17">
        <v>15543.0</v>
      </c>
      <c r="G13" s="9" t="str">
        <f>VLOOKUP(F13,'FML March 2026'!E:F,2,false)</f>
        <v>CHERVIL, FRESH, 12BU 1 LB/CS</v>
      </c>
      <c r="H13" s="9" t="str">
        <f>VLOOKUP(F13,'Unit of Measure ship March 2026'!A:C,3,false)</f>
        <v>LBS</v>
      </c>
      <c r="K13" s="9"/>
      <c r="L13" s="9"/>
      <c r="N13" s="49"/>
      <c r="O13" s="9"/>
      <c r="P13" s="9"/>
    </row>
    <row r="14" ht="14.25" customHeight="1">
      <c r="B14" s="8">
        <v>47179.0</v>
      </c>
      <c r="C14" s="9" t="str">
        <f>VLOOKUP(B14,'FML March 2026'!E:F,2,false)</f>
        <v>CHEESE, PECORINO ROMANO</v>
      </c>
      <c r="D14" s="9" t="str">
        <f>VLOOKUP(B14,'Unit of Measure ship March 2026'!A:C,3,false)</f>
        <v>LBS</v>
      </c>
      <c r="F14" s="17">
        <v>15438.0</v>
      </c>
      <c r="G14" s="9" t="str">
        <f>VLOOKUP(F14,'FML March 2026'!E:F,2,false)</f>
        <v>CHIVES (12 BUNCH), 1 LB/CS</v>
      </c>
      <c r="H14" s="9" t="str">
        <f>VLOOKUP(F14,'Unit of Measure ship March 2026'!A:C,3,false)</f>
        <v>LBS</v>
      </c>
      <c r="K14" s="9"/>
      <c r="L14" s="9"/>
      <c r="N14" s="49"/>
      <c r="O14" s="9"/>
      <c r="P14" s="9"/>
    </row>
    <row r="15" ht="14.25" customHeight="1">
      <c r="B15" s="8">
        <v>109681.0</v>
      </c>
      <c r="C15" s="9" t="str">
        <f>VLOOKUP(B15,'FML March 2026'!E:F,2,false)</f>
        <v>CHICKEN STOCK  CS4.5 LT SAVORY CHOICE  FLAVOR</v>
      </c>
      <c r="D15" s="9" t="str">
        <f>VLOOKUP(B15,'Unit of Measure ship March 2026'!A:C,3,false)</f>
        <v>LITER</v>
      </c>
      <c r="F15" s="17">
        <v>15431.0</v>
      </c>
      <c r="G15" s="9" t="str">
        <f>VLOOKUP(F15,'FML March 2026'!E:F,2,false)</f>
        <v>CILANTRO (12 BUNCH) 1 LB/CS DOMESTIC</v>
      </c>
      <c r="H15" s="9" t="str">
        <f>VLOOKUP(F15,'Unit of Measure ship March 2026'!A:C,3,false)</f>
        <v>LBS</v>
      </c>
      <c r="K15" s="9"/>
      <c r="L15" s="9"/>
      <c r="N15" s="49"/>
      <c r="O15" s="9"/>
      <c r="P15" s="9"/>
    </row>
    <row r="16" ht="14.25" customHeight="1">
      <c r="B16" s="17">
        <v>16308.0</v>
      </c>
      <c r="C16" s="9" t="str">
        <f>VLOOKUP(B16,'FML March 2026'!E:F,2,false)</f>
        <v>CHILI PEPPER RED CRUSHED D`ALLESANDRO/ SPICECO</v>
      </c>
      <c r="D16" s="9" t="str">
        <f>VLOOKUP(B16,'Unit of Measure ship March 2026'!A:C,3,false)</f>
        <v>LBS</v>
      </c>
      <c r="F16" s="17">
        <v>15433.0</v>
      </c>
      <c r="G16" s="9" t="str">
        <f>VLOOKUP(F16,'FML March 2026'!E:F,2,false)</f>
        <v>DILL</v>
      </c>
      <c r="H16" s="9" t="str">
        <f>VLOOKUP(F16,'Unit of Measure ship March 2026'!A:C,3,false)</f>
        <v>LBS</v>
      </c>
      <c r="K16" s="9"/>
      <c r="L16" s="9"/>
      <c r="N16" s="49"/>
      <c r="O16" s="9"/>
      <c r="P16" s="9"/>
    </row>
    <row r="17" ht="14.25" customHeight="1">
      <c r="B17" s="17">
        <v>16882.0</v>
      </c>
      <c r="C17" s="9" t="str">
        <f>VLOOKUP(B17,'FML March 2026'!E:F,2,false)</f>
        <v>CHIPS POTATO CHIPS BULK</v>
      </c>
      <c r="D17" s="9" t="str">
        <f>VLOOKUP(B17,'Unit of Measure ship March 2026'!A:C,3,false)</f>
        <v>LBS</v>
      </c>
      <c r="F17" s="17">
        <v>15466.0</v>
      </c>
      <c r="G17" s="9" t="str">
        <f>VLOOKUP(F17,'FML March 2026'!E:F,2,false)</f>
        <v>GARLIC CRATE JUMBO 30# 8 CT</v>
      </c>
      <c r="H17" s="9" t="str">
        <f>VLOOKUP(F17,'Unit of Measure ship March 2026'!A:C,3,false)</f>
        <v>LBS</v>
      </c>
      <c r="K17" s="9"/>
      <c r="L17" s="9"/>
      <c r="N17" s="49"/>
      <c r="O17" s="9"/>
      <c r="P17" s="9"/>
    </row>
    <row r="18" ht="14.25" customHeight="1">
      <c r="B18" s="17">
        <v>16253.0</v>
      </c>
      <c r="C18" s="9" t="str">
        <f>VLOOKUP(B18,'FML March 2026'!E:F,2,false)</f>
        <v>CINNAMON GROUND</v>
      </c>
      <c r="D18" s="9" t="str">
        <f>VLOOKUP(B18,'Unit of Measure ship March 2026'!A:C,3,false)</f>
        <v>LBS</v>
      </c>
      <c r="F18" s="17">
        <v>30639.0</v>
      </c>
      <c r="G18" s="9" t="str">
        <f>VLOOKUP(F18,'FML March 2026'!E:F,2,false)</f>
        <v>GARLIC PEELED</v>
      </c>
      <c r="H18" s="9" t="str">
        <f>VLOOKUP(F18,'Unit of Measure ship March 2026'!A:C,3,false)</f>
        <v>LBS</v>
      </c>
      <c r="K18" s="9"/>
      <c r="L18" s="9"/>
      <c r="N18" s="49"/>
      <c r="O18" s="9"/>
      <c r="P18" s="9"/>
    </row>
    <row r="19" ht="14.25" customHeight="1">
      <c r="B19" s="17">
        <v>16267.0</v>
      </c>
      <c r="C19" s="9" t="str">
        <f>VLOOKUP(B19,'FML March 2026'!E:F,2,false)</f>
        <v>CINNAMON STICKS BADIA (USA)</v>
      </c>
      <c r="D19" s="9" t="str">
        <f>VLOOKUP(B19,'Unit of Measure ship March 2026'!A:C,3,false)</f>
        <v>LBS</v>
      </c>
      <c r="F19" s="17">
        <v>38392.0</v>
      </c>
      <c r="G19" s="9" t="str">
        <f>VLOOKUP(F19,'FML March 2026'!E:F,2,false)</f>
        <v>GINGER FRESH</v>
      </c>
      <c r="H19" s="9" t="str">
        <f>VLOOKUP(F19,'Unit of Measure ship March 2026'!A:C,3,false)</f>
        <v>LBS</v>
      </c>
      <c r="K19" s="9"/>
      <c r="L19" s="9"/>
      <c r="N19" s="49"/>
      <c r="O19" s="9"/>
      <c r="P19" s="9"/>
    </row>
    <row r="20" ht="14.25" customHeight="1">
      <c r="B20" s="17">
        <v>16288.0</v>
      </c>
      <c r="C20" s="9" t="str">
        <f>VLOOKUP(B20,'FML March 2026'!E:F,2,false)</f>
        <v>CORIANDER WHOLE BADIA (USA )</v>
      </c>
      <c r="D20" s="9" t="str">
        <f>VLOOKUP(B20,'Unit of Measure ship March 2026'!A:C,3,false)</f>
        <v>LBS</v>
      </c>
      <c r="F20" s="17">
        <v>15397.0</v>
      </c>
      <c r="G20" s="9" t="str">
        <f>VLOOKUP(F20,'FML March 2026'!E:F,2,false)</f>
        <v>LEMONS FRESH FIRM FANCY CALIF. SUNKIST #1 200CT 40#</v>
      </c>
      <c r="H20" s="9" t="str">
        <f>VLOOKUP(F20,'Unit of Measure ship March 2026'!A:C,3,false)</f>
        <v>LBS</v>
      </c>
      <c r="K20" s="9"/>
      <c r="L20" s="9"/>
      <c r="N20" s="49"/>
      <c r="O20" s="9"/>
      <c r="P20" s="9"/>
    </row>
    <row r="21" ht="14.25" customHeight="1">
      <c r="B21" s="17">
        <v>16264.0</v>
      </c>
      <c r="C21" s="9" t="str">
        <f>VLOOKUP(B21,'FML March 2026'!E:F,2,false)</f>
        <v>CUMIN SEED WHOLE BADIA (USA )</v>
      </c>
      <c r="D21" s="9" t="str">
        <f>VLOOKUP(B21,'Unit of Measure ship March 2026'!A:C,3,false)</f>
        <v>LBS</v>
      </c>
      <c r="F21" s="17">
        <v>111049.0</v>
      </c>
      <c r="G21" s="9" t="str">
        <f>VLOOKUP(F21,'FML March 2026'!E:F,2,false)</f>
        <v>LETTUCE BABY GEM FRESH CS24/CT</v>
      </c>
      <c r="H21" s="9" t="str">
        <f>VLOOKUP(F21,'Unit of Measure ship March 2026'!A:C,3,false)</f>
        <v>LBS</v>
      </c>
      <c r="K21" s="9"/>
      <c r="L21" s="9"/>
      <c r="N21" s="49"/>
      <c r="O21" s="9"/>
      <c r="P21" s="9"/>
    </row>
    <row r="22" ht="14.25" customHeight="1">
      <c r="B22" s="17">
        <v>15025.0</v>
      </c>
      <c r="C22" s="9" t="str">
        <f>VLOOKUP(B22,'FML March 2026'!E:F,2,false)</f>
        <v>EGG WHITES FROZEN 6/5# PAPETTI/ 12X1KG EUROVO/15X2LB DEBEL (USA)</v>
      </c>
      <c r="D22" s="9" t="str">
        <f>VLOOKUP(B22,'Unit of Measure ship March 2026'!A:C,3,false)</f>
        <v>LBS</v>
      </c>
      <c r="F22" s="17">
        <v>15399.0</v>
      </c>
      <c r="G22" s="9" t="str">
        <f>VLOOKUP(F22,'FML March 2026'!E:F,2,false)</f>
        <v>LIMES, FRESH, FIRM #1 200CT 40#</v>
      </c>
      <c r="H22" s="9" t="str">
        <f>VLOOKUP(F22,'Unit of Measure ship March 2026'!A:C,3,false)</f>
        <v>LBS</v>
      </c>
      <c r="K22" s="9"/>
      <c r="L22" s="9"/>
      <c r="N22" s="49"/>
      <c r="O22" s="9"/>
      <c r="P22" s="9"/>
    </row>
    <row r="23" ht="14.25" customHeight="1">
      <c r="B23" s="17">
        <v>15022.0</v>
      </c>
      <c r="C23" s="9" t="str">
        <f>VLOOKUP(B23,'FML March 2026'!E:F,2,false)</f>
        <v>EGGS-DATED, MEDIUM, REGULAR</v>
      </c>
      <c r="D23" s="9" t="str">
        <f>VLOOKUP(B23,'Unit of Measure ship March 2026'!A:C,3,false)</f>
        <v>PC</v>
      </c>
      <c r="F23" s="17">
        <v>110068.0</v>
      </c>
      <c r="G23" s="9" t="str">
        <f>VLOOKUP(F23,'FML March 2026'!E:F,2,false)</f>
        <v>MAITAKE MUSHROOM FRESH</v>
      </c>
      <c r="H23" s="9" t="str">
        <f>VLOOKUP(F23,'Unit of Measure ship March 2026'!A:C,3,false)</f>
        <v>LBS</v>
      </c>
      <c r="K23" s="9"/>
      <c r="L23" s="9"/>
      <c r="N23" s="49"/>
      <c r="O23" s="9"/>
      <c r="P23" s="9"/>
    </row>
    <row r="24" ht="14.25" customHeight="1">
      <c r="B24" s="17">
        <v>15026.0</v>
      </c>
      <c r="C24" s="9" t="str">
        <f>VLOOKUP(B24,'FML March 2026'!E:F,2,false)</f>
        <v>EGGS, WHOLE, LIQUID, W/ CITRIC ACID, NO SUGAR, 1-5 LB/1-5 LT, FZN, 6/5 LB</v>
      </c>
      <c r="D24" s="9" t="str">
        <f>VLOOKUP(B24,'Unit of Measure ship March 2026'!A:C,3,false)</f>
        <v>LBS</v>
      </c>
      <c r="F24" s="17">
        <v>15402.0</v>
      </c>
      <c r="G24" s="9" t="str">
        <f>VLOOKUP(F24,'FML March 2026'!E:F,2,false)</f>
        <v>MELON CANTALOUPE 12 CT, 40#/CS</v>
      </c>
      <c r="H24" s="9" t="str">
        <f>VLOOKUP(F24,'Unit of Measure ship March 2026'!A:C,3,false)</f>
        <v>LBS</v>
      </c>
      <c r="K24" s="9"/>
      <c r="L24" s="9"/>
      <c r="N24" s="49"/>
      <c r="O24" s="9"/>
      <c r="P24" s="9"/>
    </row>
    <row r="25" ht="14.25" customHeight="1">
      <c r="B25" s="17">
        <v>14997.0</v>
      </c>
      <c r="C25" s="9" t="str">
        <f>VLOOKUP(B25,'FML March 2026'!E:F,2,false)</f>
        <v>EMMENTHAL LOAF / DEXPA # 7290 - 7465</v>
      </c>
      <c r="D25" s="9" t="str">
        <f>VLOOKUP(B25,'Unit of Measure ship March 2026'!A:C,3,false)</f>
        <v>LBS</v>
      </c>
      <c r="F25" s="17">
        <v>15404.0</v>
      </c>
      <c r="G25" s="9" t="str">
        <f>VLOOKUP(F25,'FML March 2026'!E:F,2,false)</f>
        <v>MELON HONEYDEW #1 6/8CT. 25#</v>
      </c>
      <c r="H25" s="9" t="str">
        <f>VLOOKUP(F25,'Unit of Measure ship March 2026'!A:C,3,false)</f>
        <v>LBS</v>
      </c>
      <c r="K25" s="9"/>
      <c r="L25" s="9"/>
      <c r="N25" s="49"/>
      <c r="O25" s="9"/>
      <c r="P25" s="9"/>
    </row>
    <row r="26" ht="14.25" customHeight="1">
      <c r="B26" s="17">
        <v>16259.0</v>
      </c>
      <c r="C26" s="9" t="str">
        <f>VLOOKUP(B26,'FML March 2026'!E:F,2,false)</f>
        <v>FENNEL SEED WHOLE BADIA (USA )</v>
      </c>
      <c r="D26" s="9" t="str">
        <f>VLOOKUP(B26,'Unit of Measure ship March 2026'!A:C,3,false)</f>
        <v>LBS</v>
      </c>
      <c r="F26" s="17">
        <v>110056.0</v>
      </c>
      <c r="G26" s="9" t="str">
        <f>VLOOKUP(F26,'FML March 2026'!E:F,2,false)</f>
        <v>MICRO LEMON BALM</v>
      </c>
      <c r="H26" s="9" t="str">
        <f>VLOOKUP(F26,'Unit of Measure ship March 2026'!A:C,3,false)</f>
        <v>LBS</v>
      </c>
      <c r="K26" s="9"/>
      <c r="L26" s="9"/>
      <c r="N26" s="49"/>
      <c r="O26" s="9"/>
      <c r="P26" s="9"/>
    </row>
    <row r="27" ht="14.25" customHeight="1">
      <c r="B27" s="17">
        <v>14990.0</v>
      </c>
      <c r="C27" s="9" t="str">
        <f>VLOOKUP(B27,'FML March 2026'!E:F,2,false)</f>
        <v>FETA, IN BRINE, TUB</v>
      </c>
      <c r="D27" s="9" t="str">
        <f>VLOOKUP(B27,'Unit of Measure ship March 2026'!A:C,3,false)</f>
        <v>LBS</v>
      </c>
      <c r="F27" s="17">
        <v>15436.0</v>
      </c>
      <c r="G27" s="9" t="str">
        <f>VLOOKUP(F27,'FML March 2026'!E:F,2,false)</f>
        <v>MINT (12 BUNCH), 1 LB/CS</v>
      </c>
      <c r="H27" s="9" t="str">
        <f>VLOOKUP(F27,'Unit of Measure ship March 2026'!A:C,3,false)</f>
        <v>LBS</v>
      </c>
      <c r="K27" s="9"/>
      <c r="L27" s="9"/>
      <c r="N27" s="49"/>
      <c r="O27" s="9"/>
      <c r="P27" s="9"/>
    </row>
    <row r="28" ht="14.25" customHeight="1">
      <c r="B28" s="17">
        <v>15703.0</v>
      </c>
      <c r="C28" s="9" t="str">
        <f>VLOOKUP(B28,'FML March 2026'!E:F,2,false)</f>
        <v>FIGS, TURKISH, DRIED (TURKEY)</v>
      </c>
      <c r="D28" s="9" t="str">
        <f>VLOOKUP(B28,'Unit of Measure ship March 2026'!A:C,3,false)</f>
        <v>LBS</v>
      </c>
      <c r="F28" s="17">
        <v>111046.0</v>
      </c>
      <c r="G28" s="9" t="str">
        <f>VLOOKUP(F28,'FML March 2026'!E:F,2,false)</f>
        <v>MUSHROOM HON SHIMEJII BROIWNFRESH CS3/LB</v>
      </c>
      <c r="H28" s="9" t="str">
        <f>VLOOKUP(F28,'Unit of Measure ship March 2026'!A:C,3,false)</f>
        <v>LBS</v>
      </c>
      <c r="K28" s="9"/>
      <c r="L28" s="9"/>
      <c r="N28" s="49"/>
      <c r="O28" s="9"/>
      <c r="P28" s="9"/>
    </row>
    <row r="29" ht="14.25" customHeight="1">
      <c r="B29" s="8">
        <v>16535.0</v>
      </c>
      <c r="C29" s="9" t="str">
        <f>VLOOKUP(B29,'FML March 2026'!E:F,2,false)</f>
        <v>FISH SAUCE, BTL (REQUIRES INSPECTION)</v>
      </c>
      <c r="D29" s="9" t="str">
        <f>VLOOKUP(B29,'Unit of Measure ship March 2026'!A:C,3,false)</f>
        <v>BTL/24OZ</v>
      </c>
      <c r="F29" s="17">
        <v>15585.0</v>
      </c>
      <c r="G29" s="9" t="str">
        <f>VLOOKUP(F29,'FML March 2026'!E:F,2,false)</f>
        <v>MUSHROOMS OYSTER 1/5#</v>
      </c>
      <c r="H29" s="9" t="str">
        <f>VLOOKUP(F29,'Unit of Measure ship March 2026'!A:C,3,false)</f>
        <v>LBS</v>
      </c>
      <c r="K29" s="9"/>
      <c r="L29" s="9"/>
      <c r="N29" s="49"/>
      <c r="O29" s="9"/>
      <c r="P29" s="9"/>
    </row>
    <row r="30" ht="14.25" customHeight="1">
      <c r="B30" s="8">
        <v>51164.0</v>
      </c>
      <c r="C30" s="9" t="str">
        <f>VLOOKUP(B30,'FML March 2026'!E:F,2,false)</f>
        <v>GELATIN LEAVES 160BLOOM 1KG/PACK /400 LEAVES PASTISFRANCE/ GELITA</v>
      </c>
      <c r="D30" s="9" t="str">
        <f>VLOOKUP(B30,'Unit of Measure ship March 2026'!A:C,3,false)</f>
        <v>PACK/1KG</v>
      </c>
      <c r="F30" s="17">
        <v>15551.0</v>
      </c>
      <c r="G30" s="9" t="str">
        <f>VLOOKUP(F30,'FML March 2026'!E:F,2,false)</f>
        <v>MUSHROOMS PORTOBELLO FRESH</v>
      </c>
      <c r="H30" s="9" t="str">
        <f>VLOOKUP(F30,'Unit of Measure ship March 2026'!A:C,3,false)</f>
        <v>LBS</v>
      </c>
      <c r="K30" s="9"/>
      <c r="L30" s="9"/>
      <c r="N30" s="49"/>
      <c r="O30" s="9"/>
      <c r="P30" s="9"/>
    </row>
    <row r="31" ht="14.25" customHeight="1">
      <c r="B31" s="8">
        <v>110879.0</v>
      </c>
      <c r="C31" s="9" t="str">
        <f>VLOOKUP(B31,'FML March 2026'!E:F,2,false)</f>
        <v>GOCHUJANG PASTE SEMPIO</v>
      </c>
      <c r="D31" s="9" t="str">
        <f>VLOOKUP(B31,'Unit of Measure ship March 2026'!A:C,3,false)</f>
        <v>PKG1/KG</v>
      </c>
      <c r="F31" s="17">
        <v>15556.0</v>
      </c>
      <c r="G31" s="9" t="str">
        <f>VLOOKUP(F31,'FML March 2026'!E:F,2,false)</f>
        <v>MUSHROOMS SHIITAKE  FRESH NO 1</v>
      </c>
      <c r="H31" s="9" t="str">
        <f>VLOOKUP(F31,'Unit of Measure ship March 2026'!A:C,3,false)</f>
        <v>LBS</v>
      </c>
      <c r="K31" s="9"/>
      <c r="L31" s="9"/>
      <c r="N31" s="49"/>
      <c r="O31" s="9"/>
      <c r="P31" s="9"/>
    </row>
    <row r="32" ht="14.25" customHeight="1">
      <c r="B32" s="17">
        <v>27417.0</v>
      </c>
      <c r="C32" s="9" t="str">
        <f>VLOOKUP(B32,'FML March 2026'!E:F,2,false)</f>
        <v>GORGONZOLA DOLCE LATTE</v>
      </c>
      <c r="D32" s="9" t="str">
        <f>VLOOKUP(B32,'Unit of Measure ship March 2026'!A:C,3,false)</f>
        <v>LBS</v>
      </c>
      <c r="F32" s="17">
        <v>31638.0</v>
      </c>
      <c r="G32" s="9" t="str">
        <f>VLOOKUP(F32,'FML March 2026'!E:F,2,false)</f>
        <v>MUSHROOMS, FRESH WHITE, 8 OZ CELLO PACK</v>
      </c>
      <c r="H32" s="9" t="str">
        <f>VLOOKUP(F32,'Unit of Measure ship March 2026'!A:C,3,false)</f>
        <v>LBS</v>
      </c>
      <c r="K32" s="9"/>
      <c r="L32" s="9"/>
      <c r="N32" s="49"/>
      <c r="O32" s="9"/>
      <c r="P32" s="9"/>
    </row>
    <row r="33" ht="14.25" customHeight="1">
      <c r="B33" s="8">
        <v>111055.0</v>
      </c>
      <c r="C33" s="9" t="str">
        <f>VLOOKUP(B33,'FML March 2026'!E:F,2,false)</f>
        <v>GUANCIALE FROZEN CS7/LB LA QUERCIA</v>
      </c>
      <c r="D33" s="9" t="str">
        <f>VLOOKUP(B33,'Unit of Measure ship March 2026'!A:C,3,false)</f>
        <v>LBS</v>
      </c>
      <c r="F33" s="17">
        <v>15496.0</v>
      </c>
      <c r="G33" s="9" t="str">
        <f>VLOOKUP(F33,'FML March 2026'!E:F,2,false)</f>
        <v>ONIONS RED, MEDIUM 25#</v>
      </c>
      <c r="H33" s="9" t="str">
        <f>VLOOKUP(F33,'Unit of Measure ship March 2026'!A:C,3,false)</f>
        <v>LBS</v>
      </c>
      <c r="K33" s="9"/>
      <c r="L33" s="9"/>
      <c r="N33" s="49"/>
      <c r="O33" s="9"/>
      <c r="P33" s="9"/>
    </row>
    <row r="34" ht="14.25" customHeight="1">
      <c r="B34" s="17">
        <v>15912.0</v>
      </c>
      <c r="C34" s="9" t="str">
        <f>VLOOKUP(B34,'FML March 2026'!E:F,2,false)</f>
        <v>HAMBURGER BUNS 4  INCH SESAME SEEDED  CS8/12 PC</v>
      </c>
      <c r="D34" s="9" t="str">
        <f>VLOOKUP(B34,'Unit of Measure ship March 2026'!A:C,3,false)</f>
        <v>PC</v>
      </c>
      <c r="F34" s="17">
        <v>111864.0</v>
      </c>
      <c r="G34" s="9" t="str">
        <f>VLOOKUP(F34,'FML March 2026'!E:F,2,false)</f>
        <v>ONIONS, PEARL ONIONS RED FRESH 1/12PT 4#/CS</v>
      </c>
      <c r="H34" s="9" t="str">
        <f>VLOOKUP(F34,'Unit of Measure ship March 2026'!A:C,3,false)</f>
        <v>LBS</v>
      </c>
      <c r="K34" s="9"/>
      <c r="L34" s="9"/>
      <c r="N34" s="49"/>
      <c r="O34" s="9"/>
      <c r="P34" s="9"/>
    </row>
    <row r="35" ht="14.25" customHeight="1">
      <c r="B35" s="17">
        <v>23904.0</v>
      </c>
      <c r="C35" s="9" t="str">
        <f>VLOOKUP(B35,'FML March 2026'!E:F,2,false)</f>
        <v>HEAVENLY ORGANICS, 100% RAW ACACIA HONEY ORGANIC</v>
      </c>
      <c r="D35" s="9" t="str">
        <f>VLOOKUP(B35,'Unit of Measure ship March 2026'!A:C,3,false)</f>
        <v>PC/13OZ</v>
      </c>
      <c r="F35" s="17">
        <v>15497.0</v>
      </c>
      <c r="G35" s="9" t="str">
        <f>VLOOKUP(F35,'FML March 2026'!E:F,2,false)</f>
        <v>ONIONS, YELLOW, MEDIUM, SPANISH #1, 50#</v>
      </c>
      <c r="H35" s="9" t="str">
        <f>VLOOKUP(F35,'Unit of Measure ship March 2026'!A:C,3,false)</f>
        <v>LBS</v>
      </c>
      <c r="K35" s="9"/>
      <c r="L35" s="9"/>
      <c r="N35" s="49"/>
      <c r="O35" s="9"/>
      <c r="P35" s="9"/>
    </row>
    <row r="36" ht="14.25" customHeight="1">
      <c r="B36" s="17">
        <v>15658.0</v>
      </c>
      <c r="C36" s="9" t="str">
        <f>VLOOKUP(B36,'FML March 2026'!E:F,2,false)</f>
        <v>HONEY 6/5 LB GROEB/MELONIA/SWEET HARVEST</v>
      </c>
      <c r="D36" s="9" t="str">
        <f>VLOOKUP(B36,'Unit of Measure ship March 2026'!A:C,3,false)</f>
        <v>KG</v>
      </c>
      <c r="F36" s="17">
        <v>15447.0</v>
      </c>
      <c r="G36" s="9" t="str">
        <f>VLOOKUP(F36,'FML March 2026'!E:F,2,false)</f>
        <v>OREGANO FRESH</v>
      </c>
      <c r="H36" s="9" t="str">
        <f>VLOOKUP(F36,'Unit of Measure ship March 2026'!A:C,3,false)</f>
        <v>LBS</v>
      </c>
      <c r="K36" s="9"/>
      <c r="L36" s="9"/>
      <c r="N36" s="49"/>
      <c r="O36" s="9"/>
      <c r="P36" s="9"/>
    </row>
    <row r="37" ht="14.25" customHeight="1">
      <c r="B37" s="17">
        <v>16349.0</v>
      </c>
      <c r="C37" s="9" t="str">
        <f>VLOOKUP(B37,'FML March 2026'!E:F,2,false)</f>
        <v>KETCHUP, HEINZ, 51290, DRY, 6/#10</v>
      </c>
      <c r="D37" s="9" t="str">
        <f>VLOOKUP(B37,'Unit of Measure ship March 2026'!A:C,3,false)</f>
        <v>CN/6.5LB</v>
      </c>
      <c r="F37" s="17">
        <v>15500.0</v>
      </c>
      <c r="G37" s="9" t="str">
        <f>VLOOKUP(F37,'FML March 2026'!E:F,2,false)</f>
        <v>PARSLEY ITALIAN,  20#/CS</v>
      </c>
      <c r="H37" s="9" t="str">
        <f>VLOOKUP(F37,'Unit of Measure ship March 2026'!A:C,3,false)</f>
        <v>LBS</v>
      </c>
      <c r="K37" s="9"/>
      <c r="L37" s="9"/>
      <c r="N37" s="49"/>
      <c r="O37" s="9"/>
      <c r="P37" s="9"/>
    </row>
    <row r="38" ht="14.25" customHeight="1">
      <c r="B38" s="8">
        <v>109667.0</v>
      </c>
      <c r="C38" s="9" t="str">
        <f>VLOOKUP(B38,'FML March 2026'!E:F,2,false)</f>
        <v>MAYONNAISE, UNILEVER - HELLMANN'S, 4800126530, DRY, 4/1 GAL</v>
      </c>
      <c r="D38" s="9" t="str">
        <f>VLOOKUP(B38,'Unit of Measure ship March 2026'!A:C,3,false)</f>
        <v>GAL</v>
      </c>
      <c r="F38" s="17">
        <v>112615.0</v>
      </c>
      <c r="G38" s="9" t="str">
        <f>VLOOKUP(F38,'FML March 2026'!E:F,2,false)</f>
        <v>PEPPER JALAPENO RED FRESH</v>
      </c>
      <c r="H38" s="9" t="str">
        <f>VLOOKUP(F38,'Unit of Measure ship March 2026'!A:C,3,false)</f>
        <v>LBS</v>
      </c>
      <c r="K38" s="9"/>
      <c r="L38" s="9"/>
      <c r="N38" s="49"/>
      <c r="O38" s="9"/>
      <c r="P38" s="9"/>
    </row>
    <row r="39" ht="14.25" customHeight="1">
      <c r="B39" s="17">
        <v>11745.0</v>
      </c>
      <c r="C39" s="9" t="str">
        <f>VLOOKUP(B39,'FML March 2026'!E:F,2,false)</f>
        <v>MAYTAG BLUE CHEESE</v>
      </c>
      <c r="D39" s="9" t="str">
        <f>VLOOKUP(B39,'Unit of Measure ship March 2026'!A:C,3,false)</f>
        <v>LBS</v>
      </c>
      <c r="F39" s="17">
        <v>15504.0</v>
      </c>
      <c r="G39" s="9" t="str">
        <f>VLOOKUP(F39,'FML March 2026'!E:F,2,false)</f>
        <v>PEPPERS HOT, JALAPENOS 10#</v>
      </c>
      <c r="H39" s="9" t="str">
        <f>VLOOKUP(F39,'Unit of Measure ship March 2026'!A:C,3,false)</f>
        <v>LBS</v>
      </c>
      <c r="K39" s="9"/>
      <c r="L39" s="9"/>
      <c r="N39" s="49"/>
      <c r="O39" s="9"/>
      <c r="P39" s="9"/>
    </row>
    <row r="40" ht="14.25" customHeight="1">
      <c r="B40" s="17">
        <v>14869.0</v>
      </c>
      <c r="C40" s="9" t="str">
        <f>VLOOKUP(B40,'FML March 2026'!E:F,2,false)</f>
        <v>MILK, UHT, WHOLE, 3.5% FAT, DRY, 12/1 LT</v>
      </c>
      <c r="D40" s="9" t="str">
        <f>VLOOKUP(B40,'Unit of Measure ship March 2026'!A:C,3,false)</f>
        <v>LT</v>
      </c>
      <c r="F40" s="17">
        <v>108577.0</v>
      </c>
      <c r="G40" s="9" t="str">
        <f>VLOOKUP(F40,'FML March 2026'!E:F,2,false)</f>
        <v>PINEAPPLES, CROWNLESS, GOLD, FRESH</v>
      </c>
      <c r="H40" s="9" t="str">
        <f>VLOOKUP(F40,'Unit of Measure ship March 2026'!A:C,3,false)</f>
        <v>LBS</v>
      </c>
      <c r="K40" s="9"/>
      <c r="L40" s="9"/>
      <c r="N40" s="49"/>
      <c r="O40" s="9"/>
      <c r="P40" s="9"/>
    </row>
    <row r="41" ht="14.25" customHeight="1">
      <c r="B41" s="8">
        <v>112699.0</v>
      </c>
      <c r="C41" s="9" t="str">
        <f>VLOOKUP(B41,'FML March 2026'!E:F,2,false)</f>
        <v>MISO MOROMI (HISHIO) CS24/26.4 OZ MARUFUKU</v>
      </c>
      <c r="D41" s="9" t="str">
        <f>VLOOKUP(B41,'Unit of Measure ship March 2026'!A:C,3,false)</f>
        <v>LBS</v>
      </c>
      <c r="F41" s="17">
        <v>15316.0</v>
      </c>
      <c r="G41" s="9" t="str">
        <f>VLOOKUP(F41,'FML March 2026'!E:F,2,false)</f>
        <v>POMEGRANATE 20-35 CT. 22#</v>
      </c>
      <c r="H41" s="9" t="str">
        <f>VLOOKUP(F41,'Unit of Measure ship March 2026'!A:C,3,false)</f>
        <v>LBS</v>
      </c>
      <c r="K41" s="9"/>
      <c r="L41" s="9"/>
      <c r="N41" s="49"/>
      <c r="O41" s="9"/>
      <c r="P41" s="9"/>
    </row>
    <row r="42" ht="14.25" customHeight="1">
      <c r="B42" s="8">
        <v>110018.0</v>
      </c>
      <c r="C42" s="9" t="str">
        <f>VLOOKUP(B42,'FML March 2026'!E:F,2,false)</f>
        <v>MISO PASTE CHIC PEA CS6/16OZ MISO MASTER</v>
      </c>
      <c r="D42" s="9" t="str">
        <f>VLOOKUP(B42,'Unit of Measure ship March 2026'!A:C,3,false)</f>
        <v>CS6/16OZ</v>
      </c>
      <c r="F42" s="17">
        <v>110075.0</v>
      </c>
      <c r="G42" s="9" t="str">
        <f>VLOOKUP(F42,'FML March 2026'!E:F,2,false)</f>
        <v>POTATO PEE WEE MULTI COLORED MARBLE</v>
      </c>
      <c r="H42" s="9" t="str">
        <f>VLOOKUP(F42,'Unit of Measure ship March 2026'!A:C,3,false)</f>
        <v>LBS</v>
      </c>
      <c r="K42" s="9"/>
      <c r="L42" s="9"/>
      <c r="O42" s="9"/>
      <c r="P42" s="9"/>
    </row>
    <row r="43" ht="14.25" customHeight="1">
      <c r="B43" s="8">
        <v>16948.0</v>
      </c>
      <c r="C43" s="9" t="str">
        <f>VLOOKUP(B43,'FML March 2026'!E:F,2,false)</f>
        <v>MISO PASTE WHITE, TUB</v>
      </c>
      <c r="D43" s="9" t="str">
        <f>VLOOKUP(B43,'Unit of Measure ship March 2026'!A:C,3,false)</f>
        <v>PC/2.2LB</v>
      </c>
      <c r="F43" s="17">
        <v>15507.0</v>
      </c>
      <c r="G43" s="9" t="str">
        <f>VLOOKUP(F43,'FML March 2026'!E:F,2,false)</f>
        <v>POTATOES, BAKING, IDAHO #1, 100CT 50#/CS</v>
      </c>
      <c r="H43" s="9" t="str">
        <f>VLOOKUP(F43,'Unit of Measure ship March 2026'!A:C,3,false)</f>
        <v>LBS</v>
      </c>
      <c r="K43" s="9"/>
      <c r="L43" s="9"/>
      <c r="O43" s="9"/>
      <c r="P43" s="9"/>
    </row>
    <row r="44" ht="14.25" customHeight="1">
      <c r="B44" s="17">
        <v>15711.0</v>
      </c>
      <c r="C44" s="9" t="str">
        <f>VLOOKUP(B44,'FML March 2026'!E:F,2,false)</f>
        <v>MOLASSES 4/1 GALLON GRANDMAS/ TORINO (USA )</v>
      </c>
      <c r="D44" s="9" t="str">
        <f>VLOOKUP(B44,'Unit of Measure ship March 2026'!A:C,3,false)</f>
        <v>GAL</v>
      </c>
      <c r="F44" s="17">
        <v>15334.0</v>
      </c>
      <c r="G44" s="9" t="str">
        <f>VLOOKUP(F44,'FML March 2026'!E:F,2,false)</f>
        <v>RASPBERRIES FRESH 12 1/2 PT PINK 4.5#</v>
      </c>
      <c r="H44" s="9" t="str">
        <f>VLOOKUP(F44,'Unit of Measure ship March 2026'!A:C,3,false)</f>
        <v>LBS</v>
      </c>
      <c r="K44" s="9"/>
      <c r="L44" s="9"/>
      <c r="O44" s="9"/>
      <c r="P44" s="9"/>
    </row>
    <row r="45" ht="14.25" customHeight="1">
      <c r="B45" s="17">
        <v>16426.0</v>
      </c>
      <c r="C45" s="9" t="str">
        <f>VLOOKUP(B45,'FML March 2026'!E:F,2,false)</f>
        <v>MUSTARD  TUB GREY POUPON - DIJON MUSTARD PLAIN (FRANCE)</v>
      </c>
      <c r="D45" s="9" t="str">
        <f>VLOOKUP(B45,'Unit of Measure ship March 2026'!A:C,3,false)</f>
        <v>JAR/48OZ</v>
      </c>
      <c r="F45" s="17">
        <v>15427.0</v>
      </c>
      <c r="G45" s="9" t="str">
        <f>VLOOKUP(F45,'FML March 2026'!E:F,2,false)</f>
        <v>ROSEMARY (12 BUNCH) 1 LB/CS</v>
      </c>
      <c r="H45" s="9" t="str">
        <f>VLOOKUP(F45,'Unit of Measure ship March 2026'!A:C,3,false)</f>
        <v>LBS</v>
      </c>
      <c r="K45" s="9"/>
      <c r="L45" s="9"/>
      <c r="O45" s="9"/>
      <c r="P45" s="9"/>
    </row>
    <row r="46" ht="14.25" customHeight="1">
      <c r="B46" s="17">
        <v>16320.0</v>
      </c>
      <c r="C46" s="9" t="str">
        <f>VLOOKUP(B46,'FML March 2026'!E:F,2,false)</f>
        <v>MUSTARD SEED 24 OZ D`ALLESANDRO/ SPICECO</v>
      </c>
      <c r="D46" s="9" t="str">
        <f>VLOOKUP(B46,'Unit of Measure ship March 2026'!A:C,3,false)</f>
        <v>LBS</v>
      </c>
      <c r="F46" s="17">
        <v>15444.0</v>
      </c>
      <c r="G46" s="9" t="str">
        <f>VLOOKUP(F46,'FML March 2026'!E:F,2,false)</f>
        <v>SAGE FRESH</v>
      </c>
      <c r="H46" s="9" t="str">
        <f>VLOOKUP(F46,'Unit of Measure ship March 2026'!A:C,3,false)</f>
        <v>LBS</v>
      </c>
      <c r="K46" s="9"/>
      <c r="L46" s="9"/>
      <c r="O46" s="9"/>
      <c r="P46" s="9"/>
    </row>
    <row r="47" ht="14.25" customHeight="1">
      <c r="B47" s="17">
        <v>42554.0</v>
      </c>
      <c r="C47" s="9" t="str">
        <f>VLOOKUP(B47,'FML March 2026'!E:F,2,false)</f>
        <v>NUTELLA SPREAD CS 12/26 OZ JAR 87011 FERRARO (ITALY)</v>
      </c>
      <c r="D47" s="9" t="str">
        <f>VLOOKUP(B47,'Unit of Measure ship March 2026'!A:C,3,false)</f>
        <v>JR/26OZ</v>
      </c>
      <c r="F47" s="17">
        <v>15522.0</v>
      </c>
      <c r="G47" s="9" t="str">
        <f>VLOOKUP(F47,'FML March 2026'!E:F,2,false)</f>
        <v>SHALLOTS CLOVES #1 FRESH 5#</v>
      </c>
      <c r="H47" s="9" t="str">
        <f>VLOOKUP(F47,'Unit of Measure ship March 2026'!A:C,3,false)</f>
        <v>LBS</v>
      </c>
      <c r="K47" s="9"/>
      <c r="L47" s="9"/>
      <c r="O47" s="9"/>
      <c r="P47" s="9"/>
    </row>
    <row r="48" ht="14.25" customHeight="1">
      <c r="B48" s="8">
        <v>109227.0</v>
      </c>
      <c r="C48" s="9" t="str">
        <f>VLOOKUP(B48,'FML March 2026'!E:F,2,false)</f>
        <v>NUTRITIONAL YEAST FLAKES VEGAN C6/5OZ BOBS RED ,MILL (USA)</v>
      </c>
      <c r="D48" s="9" t="str">
        <f>VLOOKUP(B48,'Unit of Measure ship March 2026'!A:C,3,false)</f>
        <v>CS6/5OZ</v>
      </c>
      <c r="F48" s="17">
        <v>15525.0</v>
      </c>
      <c r="G48" s="9" t="str">
        <f>VLOOKUP(F48,'FML March 2026'!E:F,2,false)</f>
        <v>SPINACH FLAT LEAF, FRESH, CRISP 4/2.5# 10#</v>
      </c>
      <c r="H48" s="9" t="str">
        <f>VLOOKUP(F48,'Unit of Measure ship March 2026'!A:C,3,false)</f>
        <v>LBS</v>
      </c>
      <c r="K48" s="9"/>
      <c r="L48" s="9"/>
      <c r="O48" s="9"/>
      <c r="P48" s="9"/>
    </row>
    <row r="49" ht="14.25" customHeight="1">
      <c r="B49" s="53">
        <v>52602.0</v>
      </c>
      <c r="C49" s="9" t="str">
        <f>VLOOKUP(B49,'FML March 2026'!E:F,2,false)</f>
        <v>OIL, 100% OLIVE, EXTRA VIRGIN, DRY, 4/5 LT</v>
      </c>
      <c r="D49" s="9" t="str">
        <f>VLOOKUP(B49,'Unit of Measure ship March 2026'!A:C,3,false)</f>
        <v>LT</v>
      </c>
      <c r="F49" s="17">
        <v>15420.0</v>
      </c>
      <c r="G49" s="9" t="str">
        <f>VLOOKUP(F49,'FML March 2026'!E:F,2,false)</f>
        <v>STRAWBERRIES DRISCOL CAL. LIGHT RED, PINTS</v>
      </c>
      <c r="H49" s="9" t="str">
        <f>VLOOKUP(F49,'Unit of Measure ship March 2026'!A:C,3,false)</f>
        <v>LBS</v>
      </c>
      <c r="K49" s="9"/>
      <c r="L49" s="9"/>
      <c r="O49" s="9"/>
      <c r="P49" s="9"/>
    </row>
    <row r="50" ht="14.25" customHeight="1">
      <c r="B50" s="17">
        <v>16377.0</v>
      </c>
      <c r="C50" s="9" t="str">
        <f>VLOOKUP(B50,'FML March 2026'!E:F,2,false)</f>
        <v>OIL, 100% VEGETABLE SOYBEAN, DRY, 4/5 LT</v>
      </c>
      <c r="D50" s="9" t="str">
        <f>VLOOKUP(B50,'Unit of Measure ship March 2026'!A:C,3,false)</f>
        <v>C4/5LT</v>
      </c>
      <c r="F50" s="17">
        <v>15446.0</v>
      </c>
      <c r="G50" s="9" t="str">
        <f>VLOOKUP(F50,'FML March 2026'!E:F,2,false)</f>
        <v>THYME FRESH</v>
      </c>
      <c r="H50" s="9" t="str">
        <f>VLOOKUP(F50,'Unit of Measure ship March 2026'!A:C,3,false)</f>
        <v>LBS</v>
      </c>
      <c r="K50" s="9"/>
      <c r="L50" s="9"/>
      <c r="O50" s="9"/>
      <c r="P50" s="9"/>
    </row>
    <row r="51" ht="14.25" customHeight="1">
      <c r="B51" s="8">
        <v>18644.0</v>
      </c>
      <c r="C51" s="9" t="str">
        <f>VLOOKUP(B51,'FML March 2026'!E:F,2,false)</f>
        <v>OLD BAY SEASONING 16 OZ MC CORMICK</v>
      </c>
      <c r="D51" s="9" t="str">
        <f>VLOOKUP(B51,'Unit of Measure ship March 2026'!A:C,3,false)</f>
        <v>TIN16/OZ</v>
      </c>
      <c r="F51" s="17">
        <v>15537.0</v>
      </c>
      <c r="G51" s="9" t="str">
        <f>VLOOKUP(F51,'FML March 2026'!E:F,2,false)</f>
        <v>TOMATOES 6X6 #1 18# RED RIPE, FIRM (LAYERED), 55-65 MM</v>
      </c>
      <c r="H51" s="9" t="str">
        <f>VLOOKUP(F51,'Unit of Measure ship March 2026'!A:C,3,false)</f>
        <v>LBS</v>
      </c>
      <c r="K51" s="9"/>
      <c r="L51" s="9"/>
      <c r="O51" s="9"/>
      <c r="P51" s="9"/>
    </row>
    <row r="52" ht="14.25" customHeight="1">
      <c r="B52" s="17">
        <v>52603.0</v>
      </c>
      <c r="C52" s="9" t="str">
        <f>VLOOKUP(B52,'FML March 2026'!E:F,2,false)</f>
        <v>OLIVE/CANOLA BLEND OIL</v>
      </c>
      <c r="D52" s="9" t="str">
        <f>VLOOKUP(B52,'Unit of Measure ship March 2026'!A:C,3,false)</f>
        <v>LT</v>
      </c>
      <c r="F52" s="17">
        <v>15568.0</v>
      </c>
      <c r="G52" s="9" t="str">
        <f>VLOOKUP(F52,'FML March 2026'!E:F,2,false)</f>
        <v>TOMATOES, TOMATILLOS 10#</v>
      </c>
      <c r="H52" s="9" t="str">
        <f>VLOOKUP(F52,'Unit of Measure ship March 2026'!A:C,3,false)</f>
        <v>LBS</v>
      </c>
      <c r="K52" s="9"/>
      <c r="L52" s="9"/>
      <c r="O52" s="9"/>
      <c r="P52" s="9"/>
    </row>
    <row r="53" ht="14.25" customHeight="1">
      <c r="B53" s="17">
        <v>16431.0</v>
      </c>
      <c r="C53" s="9" t="str">
        <f>VLOOKUP(B53,'FML March 2026'!E:F,2,false)</f>
        <v>OLIVES KALAMATA PITTED AMBROSIA 16122 (8X5) (TURKEY)</v>
      </c>
      <c r="D53" s="9" t="str">
        <f>VLOOKUP(B53,'Unit of Measure ship March 2026'!A:C,3,false)</f>
        <v>CAN/2KG</v>
      </c>
      <c r="F53" s="17">
        <v>102794.0</v>
      </c>
      <c r="G53" s="9" t="str">
        <f>VLOOKUP(F53,'FML March 2026'!E:F,2,false)</f>
        <v>TURMERIC FRESH</v>
      </c>
      <c r="H53" s="9" t="str">
        <f>VLOOKUP(F53,'Unit of Measure ship March 2026'!A:C,3,false)</f>
        <v>LBS</v>
      </c>
      <c r="K53" s="9"/>
      <c r="L53" s="9"/>
      <c r="O53" s="9"/>
      <c r="P53" s="9"/>
    </row>
    <row r="54" ht="14.25" customHeight="1">
      <c r="B54" s="17">
        <v>16268.0</v>
      </c>
      <c r="C54" s="9" t="str">
        <f>VLOOKUP(B54,'FML March 2026'!E:F,2,false)</f>
        <v>OREGANO LEAVES WHOLE D`ALLESANDRO/ SPICECO</v>
      </c>
      <c r="D54" s="9" t="str">
        <f>VLOOKUP(B54,'Unit of Measure ship March 2026'!A:C,3,false)</f>
        <v>PC/5OZ</v>
      </c>
      <c r="F54" s="17">
        <v>110101.0</v>
      </c>
      <c r="G54" s="9" t="str">
        <f>VLOOKUP(F54,'FML March 2026'!E:F,2,false)</f>
        <v>VIOLAS, FRESH FLOWER</v>
      </c>
      <c r="H54" s="9" t="str">
        <f>VLOOKUP(F54,'Unit of Measure ship March 2026'!A:C,3,false)</f>
        <v>EA</v>
      </c>
      <c r="K54" s="9"/>
      <c r="L54" s="9"/>
      <c r="O54" s="9"/>
      <c r="P54" s="9"/>
    </row>
    <row r="55" ht="14.25" customHeight="1">
      <c r="B55" s="8">
        <v>106302.0</v>
      </c>
      <c r="C55" s="9" t="str">
        <f>VLOOKUP(B55,'FML March 2026'!E:F,2,false)</f>
        <v>OREGANO MEXICAN DRY CS1/LBS TERRA SPICE</v>
      </c>
      <c r="D55" s="9" t="str">
        <f>VLOOKUP(B55,'Unit of Measure ship March 2026'!A:C,3,false)</f>
        <v>OZ</v>
      </c>
      <c r="G55" s="9"/>
      <c r="H55" s="9"/>
      <c r="K55" s="9"/>
      <c r="L55" s="9"/>
      <c r="O55" s="9"/>
      <c r="P55" s="9"/>
    </row>
    <row r="56" ht="14.25" customHeight="1">
      <c r="B56" s="17">
        <v>42948.0</v>
      </c>
      <c r="C56" s="9" t="str">
        <f>VLOOKUP(B56,'FML March 2026'!E:F,2,false)</f>
        <v>PANCETTA COPPATA MAGRA GALBANI MP10/ SAN DANIEL</v>
      </c>
      <c r="D56" s="9" t="str">
        <f>VLOOKUP(B56,'Unit of Measure ship March 2026'!A:C,3,false)</f>
        <v>LBS</v>
      </c>
      <c r="G56" s="9"/>
      <c r="H56" s="9"/>
      <c r="K56" s="9"/>
      <c r="L56" s="9"/>
      <c r="O56" s="9"/>
      <c r="P56" s="9"/>
    </row>
    <row r="57" ht="14.25" customHeight="1">
      <c r="B57" s="8">
        <v>109697.0</v>
      </c>
      <c r="C57" s="9" t="str">
        <f>VLOOKUP(B57,'FML March 2026'!E:F,2,false)</f>
        <v>PAPRIKA SMOKED PKG 26.46  OZ LA CHINATA</v>
      </c>
      <c r="D57" s="9" t="str">
        <f>VLOOKUP(B57,'Unit of Measure ship March 2026'!A:C,3,false)</f>
        <v>KG</v>
      </c>
      <c r="G57" s="9"/>
      <c r="H57" s="9"/>
      <c r="K57" s="9"/>
      <c r="L57" s="9"/>
      <c r="O57" s="9"/>
      <c r="P57" s="9"/>
    </row>
    <row r="58" ht="14.25" customHeight="1">
      <c r="B58" s="17">
        <v>15973.0</v>
      </c>
      <c r="C58" s="9" t="str">
        <f>VLOOKUP(B58,'FML March 2026'!E:F,2,false)</f>
        <v>PASTA ORECCHIETTE - BARILLA BR56/ DE CECCO</v>
      </c>
      <c r="D58" s="9" t="str">
        <f>VLOOKUP(B58,'Unit of Measure ship March 2026'!A:C,3,false)</f>
        <v>LBS</v>
      </c>
      <c r="G58" s="9"/>
      <c r="H58" s="9"/>
      <c r="K58" s="9"/>
      <c r="L58" s="9"/>
      <c r="O58" s="9"/>
      <c r="P58" s="9"/>
    </row>
    <row r="59" ht="14.25" customHeight="1">
      <c r="B59" s="8">
        <v>51211.0</v>
      </c>
      <c r="C59" s="9" t="str">
        <f>VLOOKUP(B59,'FML March 2026'!E:F,2,false)</f>
        <v>PASTE VANILLA FLAVOR 35 OZ PASTRY STAR #00057</v>
      </c>
      <c r="D59" s="9" t="str">
        <f>VLOOKUP(B59,'Unit of Measure ship March 2026'!A:C,3,false)</f>
        <v>BTL/35OZ</v>
      </c>
      <c r="G59" s="9"/>
      <c r="H59" s="9"/>
      <c r="K59" s="9"/>
      <c r="L59" s="9"/>
      <c r="O59" s="9"/>
      <c r="P59" s="9"/>
    </row>
    <row r="60" ht="14.25" customHeight="1">
      <c r="B60" s="8">
        <v>108553.0</v>
      </c>
      <c r="C60" s="9" t="str">
        <f>VLOOKUP(B60,'FML March 2026'!E:F,2,false)</f>
        <v>PEPPER ARBOL  D'ALLESANDRO CS/5LB</v>
      </c>
      <c r="D60" s="9" t="str">
        <f>VLOOKUP(B60,'Unit of Measure ship March 2026'!A:C,3,false)</f>
        <v>KG</v>
      </c>
      <c r="G60" s="9"/>
      <c r="H60" s="9"/>
      <c r="K60" s="9"/>
      <c r="L60" s="9"/>
      <c r="O60" s="9"/>
      <c r="P60" s="9"/>
    </row>
    <row r="61" ht="14.25" customHeight="1">
      <c r="B61" s="17">
        <v>33681.0</v>
      </c>
      <c r="C61" s="9" t="str">
        <f>VLOOKUP(B61,'FML March 2026'!E:F,2,false)</f>
        <v>PEPPER BLACK GROUND BADIA (USA )</v>
      </c>
      <c r="D61" s="9" t="str">
        <f>VLOOKUP(B61,'Unit of Measure ship March 2026'!A:C,3,false)</f>
        <v>LBS</v>
      </c>
      <c r="G61" s="9"/>
      <c r="H61" s="9"/>
      <c r="K61" s="9"/>
      <c r="L61" s="9"/>
      <c r="O61" s="9"/>
      <c r="P61" s="9"/>
    </row>
    <row r="62" ht="14.25" customHeight="1">
      <c r="B62" s="17">
        <v>16302.0</v>
      </c>
      <c r="C62" s="9" t="str">
        <f>VLOOKUP(B62,'FML March 2026'!E:F,2,false)</f>
        <v>PEPPER CAYENNE GROUND BADIA (USA )</v>
      </c>
      <c r="D62" s="9" t="str">
        <f>VLOOKUP(B62,'Unit of Measure ship March 2026'!A:C,3,false)</f>
        <v>LBS</v>
      </c>
      <c r="G62" s="9"/>
      <c r="H62" s="9"/>
      <c r="K62" s="9"/>
      <c r="L62" s="9"/>
      <c r="O62" s="9"/>
      <c r="P62" s="9"/>
    </row>
    <row r="63" ht="14.25" customHeight="1">
      <c r="B63" s="17">
        <v>16285.0</v>
      </c>
      <c r="C63" s="9" t="str">
        <f>VLOOKUP(B63,'FML March 2026'!E:F,2,false)</f>
        <v>PEPPERCORN, BLACK, WHOLE, DRY, 6/420 G</v>
      </c>
      <c r="D63" s="9" t="str">
        <f>VLOOKUP(B63,'Unit of Measure ship March 2026'!A:C,3,false)</f>
        <v>LBS</v>
      </c>
      <c r="G63" s="9"/>
      <c r="H63" s="9"/>
      <c r="K63" s="9"/>
      <c r="L63" s="9"/>
      <c r="O63" s="9"/>
      <c r="P63" s="9"/>
    </row>
    <row r="64" ht="14.25" customHeight="1">
      <c r="B64" s="17">
        <v>47893.0</v>
      </c>
      <c r="C64" s="9" t="str">
        <f>VLOOKUP(B64,'FML March 2026'!E:F,2,false)</f>
        <v>PICKLES KOSHER DRY B&amp;G (USA)</v>
      </c>
      <c r="D64" s="9" t="str">
        <f>VLOOKUP(B64,'Unit of Measure ship March 2026'!A:C,3,false)</f>
        <v>GAL</v>
      </c>
      <c r="G64" s="9"/>
      <c r="H64" s="9"/>
      <c r="K64" s="9"/>
      <c r="L64" s="9"/>
      <c r="O64" s="9"/>
      <c r="P64" s="9"/>
    </row>
    <row r="65" ht="14.25" customHeight="1">
      <c r="B65" s="17">
        <v>110935.0</v>
      </c>
      <c r="C65" s="9" t="str">
        <f>VLOOKUP(B65,'FML March 2026'!E:F,2,false)</f>
        <v>PORCINI POWDER</v>
      </c>
      <c r="D65" s="9" t="str">
        <f>VLOOKUP(B65,'Unit of Measure ship March 2026'!A:C,3,false)</f>
        <v>LBS</v>
      </c>
      <c r="G65" s="9"/>
      <c r="H65" s="9"/>
      <c r="K65" s="9"/>
      <c r="L65" s="9"/>
      <c r="O65" s="9"/>
      <c r="P65" s="9"/>
    </row>
    <row r="66" ht="14.25" customHeight="1">
      <c r="B66" s="17">
        <v>14541.0</v>
      </c>
      <c r="C66" s="9" t="str">
        <f>VLOOKUP(B66,'FML March 2026'!E:F,2,false)</f>
        <v>PORK, BACON, SLICED, APPLEWOOD SMOKED, LAID OUT, 18-22/LB, FZN, 1/15 LB</v>
      </c>
      <c r="D66" s="9" t="str">
        <f>VLOOKUP(B66,'Unit of Measure ship March 2026'!A:C,3,false)</f>
        <v>LBS</v>
      </c>
      <c r="G66" s="9"/>
      <c r="H66" s="9"/>
      <c r="K66" s="9"/>
      <c r="L66" s="9"/>
      <c r="O66" s="9"/>
      <c r="P66" s="9"/>
    </row>
    <row r="67" ht="14.25" customHeight="1">
      <c r="B67" s="48">
        <v>101442.0</v>
      </c>
      <c r="C67" s="9" t="str">
        <f>VLOOKUP(B67,'FML March 2026'!E:F,2,false)</f>
        <v>PROSCIUTTO DI SAN DANIELE LEVONI BONELESS 16 MONTH  RESERVE CS/16 LBS</v>
      </c>
      <c r="D67" s="9" t="str">
        <f>VLOOKUP(B67,'Unit of Measure ship March 2026'!A:C,3,false)</f>
        <v>LBS</v>
      </c>
      <c r="G67" s="9"/>
      <c r="H67" s="9"/>
      <c r="K67" s="9"/>
      <c r="L67" s="9"/>
      <c r="O67" s="9"/>
      <c r="P67" s="9"/>
    </row>
    <row r="68" ht="14.25" customHeight="1">
      <c r="B68" s="17">
        <v>15897.0</v>
      </c>
      <c r="C68" s="9" t="str">
        <f>VLOOKUP(B68,'FML March 2026'!E:F,2,false)</f>
        <v>PUMPKIN SEEDS WHOLE SHELLED RAW 10 LB HIALEAH/ D`ALLESANDRO</v>
      </c>
      <c r="D68" s="9" t="str">
        <f>VLOOKUP(B68,'Unit of Measure ship March 2026'!A:C,3,false)</f>
        <v>LBS</v>
      </c>
      <c r="G68" s="9"/>
      <c r="H68" s="9"/>
      <c r="K68" s="9"/>
      <c r="L68" s="9"/>
      <c r="O68" s="9"/>
      <c r="P68" s="9"/>
    </row>
    <row r="69" ht="14.25" customHeight="1">
      <c r="B69" s="8">
        <v>111998.0</v>
      </c>
      <c r="C69" s="9" t="str">
        <f>VLOOKUP(B69,'FML March 2026'!E:F,2,false)</f>
        <v>PUREE TAMARIND CS6/30 OZ PERFECT PUREE</v>
      </c>
      <c r="D69" s="9" t="str">
        <f>VLOOKUP(B69,'Unit of Measure ship March 2026'!A:C,3,false)</f>
        <v>LBS</v>
      </c>
      <c r="G69" s="9"/>
      <c r="H69" s="9"/>
      <c r="K69" s="9"/>
      <c r="L69" s="9"/>
      <c r="O69" s="9"/>
      <c r="P69" s="9"/>
    </row>
    <row r="70" ht="14.25" customHeight="1">
      <c r="B70" s="17">
        <v>16276.0</v>
      </c>
      <c r="C70" s="9" t="str">
        <f>VLOOKUP(B70,'FML March 2026'!E:F,2,false)</f>
        <v>ROSEMARY WHOLE 8 OZ BADIA (USA )</v>
      </c>
      <c r="D70" s="9" t="str">
        <f>VLOOKUP(B70,'Unit of Measure ship March 2026'!A:C,3,false)</f>
        <v>PC/8OZ</v>
      </c>
      <c r="G70" s="9"/>
      <c r="H70" s="9"/>
      <c r="K70" s="9"/>
      <c r="L70" s="9"/>
      <c r="O70" s="9"/>
      <c r="P70" s="9"/>
    </row>
    <row r="71" ht="14.25" customHeight="1">
      <c r="B71" s="17">
        <v>106535.0</v>
      </c>
      <c r="C71" s="9" t="str">
        <f>VLOOKUP(B71,'FML March 2026'!E:F,2,false)</f>
        <v>SALAME LEVONETTO MILANO LEVONI</v>
      </c>
      <c r="D71" s="9" t="str">
        <f>VLOOKUP(B71,'Unit of Measure ship March 2026'!A:C,3,false)</f>
        <v>LBS</v>
      </c>
      <c r="G71" s="9"/>
      <c r="H71" s="9"/>
      <c r="K71" s="9"/>
      <c r="L71" s="9"/>
      <c r="O71" s="9"/>
      <c r="P71" s="9"/>
    </row>
    <row r="72" ht="14.25" customHeight="1">
      <c r="B72" s="17">
        <v>16307.0</v>
      </c>
      <c r="C72" s="9" t="str">
        <f>VLOOKUP(B72,'FML March 2026'!E:F,2,false)</f>
        <v>SALT KOSHER GRANULATED</v>
      </c>
      <c r="D72" s="9" t="str">
        <f>VLOOKUP(B72,'Unit of Measure ship March 2026'!A:C,3,false)</f>
        <v>LBS</v>
      </c>
      <c r="G72" s="9"/>
      <c r="H72" s="9"/>
      <c r="K72" s="9"/>
      <c r="L72" s="9"/>
      <c r="O72" s="9"/>
      <c r="P72" s="9"/>
    </row>
    <row r="73" ht="14.25" customHeight="1">
      <c r="B73" s="8">
        <v>20880.0</v>
      </c>
      <c r="C73" s="9" t="str">
        <f>VLOOKUP(B73,'FML March 2026'!E:F,2,false)</f>
        <v>SALT SEA MALDON</v>
      </c>
      <c r="D73" s="9" t="str">
        <f>VLOOKUP(B73,'Unit of Measure ship March 2026'!A:C,3,false)</f>
        <v>LBS</v>
      </c>
      <c r="G73" s="9"/>
      <c r="H73" s="9"/>
      <c r="K73" s="9"/>
      <c r="L73" s="9"/>
      <c r="O73" s="9"/>
      <c r="P73" s="9"/>
    </row>
    <row r="74" ht="14.25" customHeight="1">
      <c r="B74" s="8">
        <v>51001.0</v>
      </c>
      <c r="C74" s="9" t="str">
        <f>VLOOKUP(B74,'FML March 2026'!E:F,2,false)</f>
        <v>SAUCE, SWEET CHILI, MAE PLOY, SWCHIX730, DRY, 12/32 OZ</v>
      </c>
      <c r="D74" s="9" t="str">
        <f>VLOOKUP(B74,'Unit of Measure ship March 2026'!A:C,3,false)</f>
        <v>C12/32OZ</v>
      </c>
      <c r="G74" s="9"/>
      <c r="H74" s="9"/>
      <c r="K74" s="9"/>
      <c r="L74" s="9"/>
      <c r="O74" s="9"/>
      <c r="P74" s="9"/>
    </row>
    <row r="75" ht="14.25" customHeight="1">
      <c r="B75" s="17">
        <v>142852.0</v>
      </c>
      <c r="C75" s="9" t="str">
        <f>VLOOKUP(B75,'FML March 2026'!E:F,2,false)</f>
        <v>SAUSAGE, CHICKEN APPLE BREAKFAST  SMOKED 2 OZ. SHEEP CASING AIDELLS  10000020317</v>
      </c>
      <c r="D75" s="9" t="str">
        <f>VLOOKUP(B75,'Unit of Measure ship March 2026'!A:C,3,false)</f>
        <v>LBS</v>
      </c>
      <c r="G75" s="9"/>
      <c r="H75" s="9"/>
      <c r="K75" s="9"/>
      <c r="L75" s="9"/>
      <c r="O75" s="9"/>
      <c r="P75" s="9"/>
    </row>
    <row r="76" ht="14.25" customHeight="1">
      <c r="B76" s="17">
        <v>15818.0</v>
      </c>
      <c r="C76" s="9" t="str">
        <f>VLOOKUP(B76,'FML March 2026'!E:F,2,false)</f>
        <v>SESAME SEEDS WHITE BADIA (USA )</v>
      </c>
      <c r="D76" s="9" t="str">
        <f>VLOOKUP(B76,'Unit of Measure ship March 2026'!A:C,3,false)</f>
        <v>LBS</v>
      </c>
      <c r="G76" s="9"/>
      <c r="H76" s="9"/>
      <c r="K76" s="9"/>
      <c r="L76" s="9"/>
      <c r="O76" s="9"/>
      <c r="P76" s="9"/>
    </row>
    <row r="77" ht="14.25" customHeight="1">
      <c r="B77" s="17">
        <v>30013.0</v>
      </c>
      <c r="C77" s="9" t="str">
        <f>VLOOKUP(B77,'FML March 2026'!E:F,2,false)</f>
        <v>SMOKED BUFFALA MOZZARELLA</v>
      </c>
      <c r="D77" s="9" t="str">
        <f>VLOOKUP(B77,'Unit of Measure ship March 2026'!A:C,3,false)</f>
        <v>LBS</v>
      </c>
      <c r="G77" s="9"/>
      <c r="H77" s="9"/>
      <c r="K77" s="9"/>
      <c r="L77" s="9"/>
      <c r="O77" s="9"/>
      <c r="P77" s="9"/>
    </row>
    <row r="78" ht="14.25" customHeight="1">
      <c r="B78" s="8">
        <v>20151.0</v>
      </c>
      <c r="C78" s="9" t="str">
        <f>VLOOKUP(B78,'FML March 2026'!E:F,2,false)</f>
        <v>SOY SAUCE LOWER SODIUM CS6/64OZ KIKKOMAN #00130 (USA)</v>
      </c>
      <c r="D78" s="9" t="str">
        <f>VLOOKUP(B78,'Unit of Measure ship March 2026'!A:C,3,false)</f>
        <v>BTL/64OZ</v>
      </c>
      <c r="G78" s="9"/>
      <c r="H78" s="9"/>
      <c r="K78" s="9"/>
      <c r="L78" s="9"/>
      <c r="O78" s="9"/>
      <c r="P78" s="9"/>
    </row>
    <row r="79" ht="14.25" customHeight="1">
      <c r="B79" s="17">
        <v>15646.0</v>
      </c>
      <c r="C79" s="9" t="str">
        <f>VLOOKUP(B79,'FML March 2026'!E:F,2,false)</f>
        <v>SUGAR BROWN DARK  24/1LB  DOMINO (404310) (USA)</v>
      </c>
      <c r="D79" s="9" t="str">
        <f>VLOOKUP(B79,'Unit of Measure ship March 2026'!A:C,3,false)</f>
        <v>LBS</v>
      </c>
      <c r="G79" s="9"/>
      <c r="H79" s="9"/>
      <c r="K79" s="9"/>
      <c r="L79" s="9"/>
      <c r="O79" s="9"/>
      <c r="P79" s="9"/>
    </row>
    <row r="80" ht="14.25" customHeight="1">
      <c r="B80" s="8">
        <v>109843.0</v>
      </c>
      <c r="C80" s="9" t="str">
        <f>VLOOKUP(B80,'FML March 2026'!E:F,2,false)</f>
        <v>SUGAR IN THE RAW  CS12/2 LB</v>
      </c>
      <c r="D80" s="9" t="str">
        <f>VLOOKUP(B80,'Unit of Measure ship March 2026'!A:C,3,false)</f>
        <v>KG</v>
      </c>
      <c r="G80" s="9"/>
      <c r="H80" s="9"/>
      <c r="K80" s="9"/>
      <c r="L80" s="9"/>
      <c r="O80" s="9"/>
      <c r="P80" s="9"/>
    </row>
    <row r="81" ht="14.25" customHeight="1">
      <c r="B81" s="17">
        <v>15642.0</v>
      </c>
      <c r="C81" s="9" t="str">
        <f>VLOOKUP(B81,'FML March 2026'!E:F,2,false)</f>
        <v>SUGAR, GRANULATED, ICUMSA 150, SUGARCANE, DRY, 1/50 LB</v>
      </c>
      <c r="D81" s="9" t="str">
        <f>VLOOKUP(B81,'Unit of Measure ship March 2026'!A:C,3,false)</f>
        <v>LBS</v>
      </c>
      <c r="G81" s="9"/>
      <c r="H81" s="9"/>
      <c r="K81" s="9"/>
      <c r="L81" s="9"/>
      <c r="O81" s="9"/>
      <c r="P81" s="9"/>
    </row>
    <row r="82" ht="14.25" customHeight="1">
      <c r="B82" s="17">
        <v>15644.0</v>
      </c>
      <c r="C82" s="9" t="str">
        <f>VLOOKUP(B82,'FML March 2026'!E:F,2,false)</f>
        <v>SUGAR, POWDERED, W/ CORNSTARCH, DRY, 24/1 LB</v>
      </c>
      <c r="D82" s="9" t="str">
        <f>VLOOKUP(B82,'Unit of Measure ship March 2026'!A:C,3,false)</f>
        <v>LBS</v>
      </c>
      <c r="G82" s="9"/>
      <c r="H82" s="9"/>
      <c r="K82" s="9"/>
      <c r="L82" s="9"/>
      <c r="O82" s="9"/>
      <c r="P82" s="9"/>
    </row>
    <row r="83" ht="14.25" customHeight="1">
      <c r="B83" s="8">
        <v>19508.0</v>
      </c>
      <c r="C83" s="9" t="str">
        <f>VLOOKUP(B83,'FML March 2026'!E:F,2,false)</f>
        <v>SYRUP CORN DARK KARO/ HARTLEYS CS 4/1 GAL (USA)</v>
      </c>
      <c r="D83" s="9" t="str">
        <f>VLOOKUP(B83,'Unit of Measure ship March 2026'!A:C,3,false)</f>
        <v>GAL</v>
      </c>
      <c r="G83" s="9"/>
      <c r="H83" s="9"/>
      <c r="K83" s="9"/>
      <c r="L83" s="9"/>
      <c r="O83" s="9"/>
      <c r="P83" s="9"/>
    </row>
    <row r="84" ht="14.25" customHeight="1">
      <c r="B84" s="17">
        <v>29904.0</v>
      </c>
      <c r="C84" s="9" t="str">
        <f>VLOOKUP(B84,'FML March 2026'!E:F,2,false)</f>
        <v>SYRUP, MAPLE, 100% PURE, GRADE A, AMBER, DRY, 4/4 LT</v>
      </c>
      <c r="D84" s="9" t="str">
        <f>VLOOKUP(B84,'Unit of Measure ship March 2026'!A:C,3,false)</f>
        <v>BOX/4LTR</v>
      </c>
      <c r="G84" s="9"/>
      <c r="H84" s="9"/>
      <c r="K84" s="9"/>
      <c r="L84" s="9"/>
      <c r="O84" s="9"/>
      <c r="P84" s="9"/>
    </row>
    <row r="85" ht="14.25" customHeight="1">
      <c r="B85" s="8">
        <v>110928.0</v>
      </c>
      <c r="C85" s="9" t="str">
        <f>VLOOKUP(B85,'FML March 2026'!E:F,2,false)</f>
        <v>TAHINI PASTE  CS12/1LB SOOM</v>
      </c>
      <c r="D85" s="9" t="str">
        <f>VLOOKUP(B85,'Unit of Measure ship March 2026'!A:C,3,false)</f>
        <v>LBS</v>
      </c>
      <c r="G85" s="9"/>
      <c r="H85" s="9"/>
      <c r="K85" s="9"/>
      <c r="L85" s="9"/>
      <c r="O85" s="9"/>
      <c r="P85" s="9"/>
    </row>
    <row r="86" ht="14.25" customHeight="1">
      <c r="B86" s="31">
        <v>143140.0</v>
      </c>
      <c r="C86" s="9" t="str">
        <f>VLOOKUP(B86,'FML March 2026'!E:F,2,false)</f>
        <v>TOMATO, WHOLE, PEELED, IN JUICE, DRY, 6/#10</v>
      </c>
      <c r="D86" s="9" t="str">
        <f>VLOOKUP(B86,'Unit of Measure ship March 2026'!A:C,3,false)</f>
        <v>C6/6.5LB</v>
      </c>
      <c r="G86" s="9"/>
      <c r="H86" s="9"/>
      <c r="K86" s="9"/>
      <c r="L86" s="9"/>
      <c r="O86" s="9"/>
      <c r="P86" s="9"/>
    </row>
    <row r="87" ht="14.25" customHeight="1">
      <c r="B87" s="8">
        <v>102794.0</v>
      </c>
      <c r="C87" s="9" t="str">
        <f>VLOOKUP(B87,'FML March 2026'!E:F,2,false)</f>
        <v>TURMERIC FRESH</v>
      </c>
      <c r="D87" s="9" t="str">
        <f>VLOOKUP(B87,'Unit of Measure ship March 2026'!A:C,3,false)</f>
        <v>LBS</v>
      </c>
      <c r="G87" s="9"/>
      <c r="H87" s="9"/>
      <c r="K87" s="9"/>
      <c r="L87" s="9"/>
      <c r="O87" s="9"/>
      <c r="P87" s="9"/>
    </row>
    <row r="88" ht="14.25" customHeight="1">
      <c r="B88" s="8">
        <v>111082.0</v>
      </c>
      <c r="C88" s="9" t="str">
        <f>VLOOKUP(B88,'FML March 2026'!E:F,2,false)</f>
        <v>VADOUVAN  SPICE BLEND NO. 28 LA BOITE</v>
      </c>
      <c r="D88" s="9" t="str">
        <f>VLOOKUP(B88,'Unit of Measure ship March 2026'!A:C,3,false)</f>
        <v>LBS</v>
      </c>
      <c r="G88" s="9"/>
      <c r="H88" s="9"/>
      <c r="K88" s="9"/>
      <c r="L88" s="9"/>
      <c r="O88" s="9"/>
      <c r="P88" s="9"/>
    </row>
    <row r="89" ht="14.25" customHeight="1">
      <c r="B89" s="8">
        <v>111933.0</v>
      </c>
      <c r="C89" s="9" t="str">
        <f>VLOOKUP(B89,'FML March 2026'!E:F,2,false)</f>
        <v>VEGETABLE STOCK LIQUID  CS 4.5/ LITER SAVORY CHOICE</v>
      </c>
      <c r="D89" s="9" t="str">
        <f>VLOOKUP(B89,'Unit of Measure ship March 2026'!A:C,3,false)</f>
        <v>LT</v>
      </c>
      <c r="G89" s="9"/>
      <c r="H89" s="9"/>
      <c r="K89" s="9"/>
      <c r="L89" s="9"/>
      <c r="O89" s="9"/>
      <c r="P89" s="9"/>
    </row>
    <row r="90" ht="14.25" customHeight="1">
      <c r="B90" s="8">
        <v>109665.0</v>
      </c>
      <c r="C90" s="9" t="str">
        <f>VLOOKUP(B90,'FML March 2026'!E:F,2,false)</f>
        <v>VINEGAR CABERNET SPARROW LANE</v>
      </c>
      <c r="D90" s="9" t="str">
        <f>VLOOKUP(B90,'Unit of Measure ship March 2026'!A:C,3,false)</f>
        <v>GAL</v>
      </c>
      <c r="G90" s="9"/>
      <c r="H90" s="9"/>
      <c r="K90" s="9"/>
      <c r="L90" s="9"/>
      <c r="O90" s="9"/>
      <c r="P90" s="9"/>
    </row>
    <row r="91" ht="14.25" customHeight="1">
      <c r="B91" s="8">
        <v>109666.0</v>
      </c>
      <c r="C91" s="9" t="str">
        <f>VLOOKUP(B91,'FML March 2026'!E:F,2,false)</f>
        <v>VINEGAR CHAMPAGNE WINE SPARROW LANE/ PACKER</v>
      </c>
      <c r="D91" s="9" t="str">
        <f>VLOOKUP(B91,'Unit of Measure ship March 2026'!A:C,3,false)</f>
        <v>GAL</v>
      </c>
      <c r="G91" s="9"/>
      <c r="H91" s="9"/>
      <c r="K91" s="9"/>
      <c r="L91" s="9"/>
      <c r="O91" s="9"/>
      <c r="P91" s="9"/>
    </row>
    <row r="92" ht="14.25" customHeight="1">
      <c r="B92" s="8">
        <v>112015.0</v>
      </c>
      <c r="C92" s="9" t="str">
        <f>VLOOKUP(B92,'FML March 2026'!E:F,2,false)</f>
        <v>VINEGAR DARK BALSAMIC CS 4/1 GAL  SPARROW LANE</v>
      </c>
      <c r="D92" s="9" t="str">
        <f>VLOOKUP(B92,'Unit of Measure ship March 2026'!A:C,3,false)</f>
        <v>GAL</v>
      </c>
      <c r="G92" s="9"/>
      <c r="H92" s="9"/>
      <c r="K92" s="9"/>
      <c r="L92" s="9"/>
      <c r="O92" s="9"/>
      <c r="P92" s="9"/>
    </row>
    <row r="93" ht="14.25" customHeight="1">
      <c r="B93" s="8">
        <v>16399.0</v>
      </c>
      <c r="C93" s="9" t="str">
        <f>VLOOKUP(B93,'FML March 2026'!E:F,2,false)</f>
        <v>VINEGAR RASPBERRY 12/33.8 OZ ROLAND</v>
      </c>
      <c r="D93" s="9" t="str">
        <f>VLOOKUP(B93,'Unit of Measure ship March 2026'!A:C,3,false)</f>
        <v>BTL/34OZ</v>
      </c>
      <c r="G93" s="9"/>
      <c r="H93" s="9"/>
      <c r="K93" s="9"/>
      <c r="L93" s="9"/>
      <c r="O93" s="9"/>
      <c r="P93" s="9"/>
    </row>
    <row r="94" ht="14.25" customHeight="1">
      <c r="B94" s="8">
        <v>16402.0</v>
      </c>
      <c r="C94" s="9" t="str">
        <f>VLOOKUP(B94,'FML March 2026'!E:F,2,false)</f>
        <v>VINEGAR SHERRY/ XERES CS4/5 LT ROLAND</v>
      </c>
      <c r="D94" s="9" t="str">
        <f>VLOOKUP(B94,'Unit of Measure ship March 2026'!A:C,3,false)</f>
        <v>BT/750ML</v>
      </c>
      <c r="G94" s="9"/>
      <c r="H94" s="9"/>
      <c r="K94" s="9"/>
      <c r="L94" s="9"/>
      <c r="O94" s="9"/>
      <c r="P94" s="9"/>
    </row>
    <row r="95" ht="14.25" customHeight="1">
      <c r="B95" s="17">
        <v>16374.0</v>
      </c>
      <c r="C95" s="9" t="str">
        <f>VLOOKUP(B95,'FML March 2026'!E:F,2,false)</f>
        <v>VINEGAR, WHITE DISTILLED</v>
      </c>
      <c r="D95" s="9" t="str">
        <f>VLOOKUP(B95,'Unit of Measure ship March 2026'!A:C,3,false)</f>
        <v>BTL/5LT</v>
      </c>
      <c r="G95" s="9"/>
      <c r="H95" s="9"/>
      <c r="K95" s="9"/>
      <c r="L95" s="9"/>
      <c r="O95" s="9"/>
      <c r="P95" s="9"/>
    </row>
    <row r="96" ht="14.25" customHeight="1">
      <c r="B96" s="8">
        <v>49450.0</v>
      </c>
      <c r="C96" s="9" t="str">
        <f>VLOOKUP(B96,'FML March 2026'!E:F,2,false)</f>
        <v>WHIPPING CREAM (35% TO 36%) UHT</v>
      </c>
      <c r="D96" s="9" t="str">
        <f>VLOOKUP(B96,'Unit of Measure ship March 2026'!A:C,3,false)</f>
        <v>QRT</v>
      </c>
      <c r="G96" s="9"/>
      <c r="H96" s="9"/>
      <c r="K96" s="9"/>
      <c r="L96" s="9"/>
      <c r="O96" s="9"/>
      <c r="P96" s="9"/>
    </row>
    <row r="97" ht="14.25" customHeight="1">
      <c r="B97" s="17">
        <v>16387.0</v>
      </c>
      <c r="C97" s="9" t="str">
        <f>VLOOKUP(B97,'FML March 2026'!E:F,2,false)</f>
        <v>WHITE TRUFFLE OIL</v>
      </c>
      <c r="D97" s="9" t="str">
        <f>VLOOKUP(B97,'Unit of Measure ship March 2026'!A:C,3,false)</f>
        <v>BT/250ML</v>
      </c>
      <c r="G97" s="9"/>
      <c r="H97" s="9"/>
      <c r="K97" s="9"/>
      <c r="L97" s="9"/>
      <c r="O97" s="9"/>
      <c r="P97" s="9"/>
    </row>
    <row r="98" ht="14.25" customHeight="1">
      <c r="B98" s="17">
        <v>16358.0</v>
      </c>
      <c r="C98" s="9" t="str">
        <f>VLOOKUP(B98,'FML March 2026'!E:F,2,false)</f>
        <v>WORCESTERSHIRE SAUCE 5 OZ LEA &amp; PERRINS</v>
      </c>
      <c r="D98" s="9" t="str">
        <f>VLOOKUP(B98,'Unit of Measure ship March 2026'!A:C,3,false)</f>
        <v>BTL/5OZ</v>
      </c>
      <c r="G98" s="9"/>
      <c r="H98" s="9"/>
      <c r="K98" s="9"/>
      <c r="L98" s="9"/>
      <c r="O98" s="9"/>
      <c r="P98" s="9"/>
    </row>
    <row r="99" ht="14.25" customHeight="1">
      <c r="B99" s="8">
        <v>102288.0</v>
      </c>
      <c r="C99" s="9" t="str">
        <f>VLOOKUP(B99,'FML March 2026'!E:F,2,false)</f>
        <v>XANTHAN GUM (AUSTRIA)</v>
      </c>
      <c r="D99" s="9" t="str">
        <f>VLOOKUP(B99,'Unit of Measure ship March 2026'!A:C,3,false)</f>
        <v>LBS</v>
      </c>
      <c r="G99" s="9"/>
      <c r="H99" s="9"/>
      <c r="K99" s="9"/>
      <c r="L99" s="9"/>
      <c r="O99" s="9"/>
      <c r="P99" s="9"/>
    </row>
    <row r="100" ht="14.25" customHeight="1">
      <c r="B100" s="8">
        <v>19409.0</v>
      </c>
      <c r="C100" s="9" t="str">
        <f>VLOOKUP(B100,'FML March 2026'!E:F,2,false)</f>
        <v>YUZU JUICE PURE UNSEASONED SHIBORI YAKAMI ORCHARD</v>
      </c>
      <c r="D100" s="9" t="str">
        <f>VLOOKUP(B100,'Unit of Measure ship March 2026'!A:C,3,false)</f>
        <v>BT/750ML</v>
      </c>
      <c r="G100" s="9"/>
      <c r="H100" s="9"/>
      <c r="K100" s="9"/>
      <c r="L100" s="9"/>
      <c r="O100" s="9"/>
      <c r="P100" s="9"/>
    </row>
    <row r="101" ht="14.25" customHeight="1">
      <c r="C101" s="9"/>
      <c r="D101" s="9"/>
      <c r="G101" s="9"/>
      <c r="H101" s="9"/>
      <c r="K101" s="9"/>
      <c r="L101" s="9"/>
      <c r="O101" s="9"/>
      <c r="P101" s="9"/>
    </row>
    <row r="102" ht="14.25" customHeight="1">
      <c r="C102" s="9"/>
      <c r="D102" s="9"/>
      <c r="G102" s="9"/>
      <c r="H102" s="9"/>
      <c r="K102" s="9"/>
      <c r="L102" s="9"/>
      <c r="O102" s="9"/>
      <c r="P102" s="9"/>
    </row>
    <row r="103" ht="14.25" customHeight="1">
      <c r="C103" s="9"/>
      <c r="D103" s="9"/>
      <c r="G103" s="9"/>
      <c r="H103" s="9"/>
      <c r="K103" s="9"/>
      <c r="L103" s="9"/>
      <c r="O103" s="9"/>
      <c r="P103" s="9"/>
    </row>
    <row r="104" ht="14.25" customHeight="1">
      <c r="C104" s="9"/>
      <c r="D104" s="9"/>
      <c r="G104" s="9"/>
      <c r="H104" s="9"/>
      <c r="K104" s="9"/>
      <c r="L104" s="9"/>
      <c r="O104" s="9"/>
      <c r="P104" s="9"/>
    </row>
    <row r="105" ht="14.25" customHeight="1">
      <c r="C105" s="9"/>
      <c r="D105" s="9"/>
      <c r="G105" s="9"/>
      <c r="H105" s="9"/>
      <c r="K105" s="9"/>
      <c r="L105" s="9"/>
      <c r="O105" s="9"/>
      <c r="P105" s="9"/>
    </row>
    <row r="106" ht="14.25" customHeight="1">
      <c r="C106" s="9"/>
      <c r="D106" s="9"/>
      <c r="G106" s="9"/>
      <c r="H106" s="9"/>
      <c r="K106" s="9"/>
      <c r="L106" s="9"/>
      <c r="O106" s="9"/>
      <c r="P106" s="9"/>
    </row>
    <row r="107" ht="14.25" customHeight="1">
      <c r="C107" s="9"/>
      <c r="D107" s="9"/>
      <c r="G107" s="9"/>
      <c r="H107" s="9"/>
      <c r="K107" s="9"/>
      <c r="L107" s="9"/>
    </row>
    <row r="108" ht="14.25" customHeight="1">
      <c r="C108" s="9"/>
      <c r="D108" s="9"/>
      <c r="G108" s="9"/>
      <c r="H108" s="9"/>
      <c r="K108" s="9"/>
      <c r="L108" s="9"/>
    </row>
    <row r="109" ht="14.25" customHeight="1">
      <c r="C109" s="9"/>
      <c r="D109" s="9"/>
      <c r="G109" s="9"/>
      <c r="H109" s="9"/>
      <c r="K109" s="9"/>
      <c r="L109" s="9"/>
    </row>
    <row r="110" ht="14.25" customHeight="1">
      <c r="C110" s="9"/>
      <c r="D110" s="9"/>
      <c r="G110" s="9"/>
      <c r="H110" s="9"/>
      <c r="K110" s="9"/>
      <c r="L110" s="9"/>
    </row>
    <row r="111" ht="14.25" customHeight="1">
      <c r="C111" s="9"/>
      <c r="D111" s="9"/>
      <c r="G111" s="9"/>
      <c r="H111" s="9"/>
      <c r="K111" s="9"/>
      <c r="L111" s="9"/>
    </row>
    <row r="112" ht="14.25" customHeight="1">
      <c r="C112" s="9"/>
      <c r="D112" s="9"/>
      <c r="G112" s="9"/>
      <c r="H112" s="9"/>
      <c r="K112" s="9"/>
      <c r="L112" s="9"/>
    </row>
    <row r="113" ht="14.25" customHeight="1">
      <c r="C113" s="9"/>
      <c r="D113" s="9"/>
      <c r="G113" s="9"/>
      <c r="H113" s="9"/>
      <c r="K113" s="9"/>
      <c r="L113" s="9"/>
    </row>
    <row r="114" ht="14.25" customHeight="1">
      <c r="C114" s="9"/>
      <c r="D114" s="9"/>
      <c r="G114" s="9"/>
      <c r="H114" s="9"/>
      <c r="K114" s="9"/>
      <c r="L114" s="9"/>
    </row>
    <row r="115" ht="14.25" customHeight="1">
      <c r="C115" s="9"/>
      <c r="D115" s="9"/>
      <c r="G115" s="9"/>
      <c r="H115" s="9"/>
      <c r="K115" s="9"/>
      <c r="L115" s="9"/>
    </row>
    <row r="116" ht="14.25" customHeight="1">
      <c r="C116" s="9"/>
      <c r="D116" s="9"/>
      <c r="G116" s="9"/>
      <c r="H116" s="9"/>
      <c r="K116" s="9"/>
      <c r="L116" s="9"/>
    </row>
    <row r="117" ht="14.25" customHeight="1">
      <c r="C117" s="9"/>
      <c r="D117" s="9"/>
      <c r="G117" s="9"/>
      <c r="H117" s="9"/>
      <c r="K117" s="9"/>
      <c r="L117" s="9"/>
    </row>
    <row r="118" ht="14.25" customHeight="1">
      <c r="C118" s="9"/>
      <c r="D118" s="9"/>
      <c r="G118" s="9"/>
      <c r="H118" s="9"/>
      <c r="K118" s="9"/>
      <c r="L118" s="9"/>
    </row>
    <row r="119" ht="14.25" customHeight="1">
      <c r="C119" s="9"/>
      <c r="D119" s="9"/>
      <c r="F119" s="159"/>
      <c r="G119" s="9"/>
      <c r="H119" s="9"/>
      <c r="K119" s="9"/>
      <c r="L119" s="9"/>
    </row>
    <row r="120" ht="14.25" customHeight="1">
      <c r="C120" s="9"/>
      <c r="D120" s="9"/>
      <c r="F120" s="159"/>
      <c r="G120" s="9"/>
      <c r="H120" s="9"/>
      <c r="K120" s="9"/>
      <c r="L120" s="9"/>
    </row>
    <row r="121" ht="14.25" customHeight="1">
      <c r="C121" s="9"/>
      <c r="D121" s="9"/>
      <c r="F121" s="159"/>
      <c r="G121" s="9"/>
      <c r="H121" s="9"/>
      <c r="K121" s="9"/>
      <c r="L121" s="9"/>
    </row>
    <row r="122" ht="14.25" customHeight="1">
      <c r="C122" s="9"/>
      <c r="D122" s="9"/>
      <c r="F122" s="159"/>
      <c r="G122" s="9"/>
      <c r="H122" s="9"/>
      <c r="K122" s="9"/>
      <c r="L122" s="9"/>
    </row>
    <row r="123" ht="14.25" customHeight="1">
      <c r="C123" s="9"/>
      <c r="D123" s="9"/>
      <c r="F123" s="159"/>
      <c r="G123" s="9"/>
      <c r="H123" s="9"/>
      <c r="K123" s="9"/>
      <c r="L123" s="9"/>
    </row>
    <row r="124" ht="14.25" customHeight="1">
      <c r="C124" s="9"/>
      <c r="D124" s="9"/>
      <c r="F124" s="159"/>
      <c r="G124" s="9"/>
      <c r="H124" s="9"/>
      <c r="K124" s="9"/>
      <c r="L124" s="9"/>
    </row>
    <row r="125" ht="14.25" customHeight="1">
      <c r="C125" s="9"/>
      <c r="D125" s="9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3.14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>
      <c r="A1" s="101"/>
      <c r="B1" s="142"/>
      <c r="C1" s="143" t="s">
        <v>117</v>
      </c>
      <c r="D1" s="142"/>
      <c r="E1" s="144"/>
      <c r="F1" s="142"/>
      <c r="G1" s="143" t="s">
        <v>118</v>
      </c>
      <c r="H1" s="142"/>
      <c r="I1" s="144"/>
      <c r="J1" s="142"/>
      <c r="K1" s="142" t="s">
        <v>119</v>
      </c>
      <c r="L1" s="142"/>
      <c r="M1" s="144"/>
      <c r="N1" s="142"/>
      <c r="O1" s="142" t="s">
        <v>120</v>
      </c>
      <c r="P1" s="142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63" t="s">
        <v>6</v>
      </c>
      <c r="O2" s="164" t="s">
        <v>7</v>
      </c>
      <c r="P2" s="165" t="s">
        <v>8</v>
      </c>
    </row>
    <row r="3" ht="14.25" customHeight="1">
      <c r="B3" s="17">
        <v>51236.0</v>
      </c>
      <c r="C3" s="9" t="str">
        <f>VLOOKUP(B3,'FML March 2026'!E:F,2,false)</f>
        <v>ACID CITRIC  1 KG L. FRANCOIS CUISINE TECH</v>
      </c>
      <c r="D3" s="9" t="str">
        <f>VLOOKUP(B3,'Unit of Measure ship March 2026'!A:C,3,false)</f>
        <v>LBS</v>
      </c>
      <c r="E3" s="13"/>
      <c r="F3" s="17">
        <v>24182.0</v>
      </c>
      <c r="G3" s="9" t="str">
        <f>VLOOKUP(F3,'FML March 2026'!E:F,2,false)</f>
        <v>ARUGULA, BABY</v>
      </c>
      <c r="H3" s="9" t="str">
        <f>VLOOKUP(F3,'Unit of Measure ship March 2026'!A:C,3,false)</f>
        <v>LBS</v>
      </c>
      <c r="J3" s="53">
        <v>14576.0</v>
      </c>
      <c r="K3" s="9" t="str">
        <f>VLOOKUP(J3,'FML March 2026'!E:F,2,false)</f>
        <v>CHICKEN, FRYER, WOG, IND WRAPPED, NON-INJECTED, 2.50-3.25 LB EA, FZN, 12/1 EA</v>
      </c>
      <c r="L3" s="9" t="str">
        <f>VLOOKUP(J3,'Unit of Measure ship March 2026'!A:C,3,false)</f>
        <v>LBS</v>
      </c>
      <c r="N3" s="49"/>
      <c r="O3" s="9"/>
      <c r="P3" s="9"/>
    </row>
    <row r="4" ht="14.25" customHeight="1">
      <c r="B4" s="17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E4" s="13"/>
      <c r="F4" s="17">
        <v>15378.0</v>
      </c>
      <c r="G4" s="9" t="str">
        <f>VLOOKUP(F4,'FML March 2026'!E:F,2,false)</f>
        <v>AVOCADOS HASS FRESH CA-48PC FL-12/14PC 20#</v>
      </c>
      <c r="H4" s="9" t="str">
        <f>VLOOKUP(F4,'Unit of Measure ship March 2026'!A:C,3,false)</f>
        <v>LBS</v>
      </c>
      <c r="J4" s="48"/>
      <c r="K4" s="9"/>
      <c r="L4" s="9"/>
      <c r="N4" s="49"/>
      <c r="O4" s="9"/>
      <c r="P4" s="9"/>
    </row>
    <row r="5" ht="14.25" customHeight="1">
      <c r="B5" s="17">
        <v>16013.0</v>
      </c>
      <c r="C5" s="9" t="str">
        <f>VLOOKUP(B5,'FML March 2026'!E:F,2,false)</f>
        <v>ANCHOVY PASTE 12/1 LB ROLAND</v>
      </c>
      <c r="D5" s="9" t="str">
        <f>VLOOKUP(B5,'Unit of Measure ship March 2026'!A:C,3,false)</f>
        <v>CAN/1LB</v>
      </c>
      <c r="E5" s="13"/>
      <c r="F5" s="17">
        <v>15458.0</v>
      </c>
      <c r="G5" s="9" t="str">
        <f>VLOOKUP(F5,'FML March 2026'!E:F,2,false)</f>
        <v>CARROTS CLIP TOP 50#</v>
      </c>
      <c r="H5" s="9" t="str">
        <f>VLOOKUP(F5,'Unit of Measure ship March 2026'!A:C,3,false)</f>
        <v>LBS</v>
      </c>
      <c r="J5" s="49"/>
      <c r="K5" s="9"/>
      <c r="L5" s="9"/>
      <c r="N5" s="49"/>
      <c r="O5" s="9"/>
      <c r="P5" s="9"/>
    </row>
    <row r="6" ht="14.25" customHeight="1">
      <c r="B6" s="17">
        <v>109686.0</v>
      </c>
      <c r="C6" s="9" t="str">
        <f>VLOOKUP(B6,'FML March 2026'!E:F,2,false)</f>
        <v>BACON, NUESKE 24 HOUR  APPLEWOOD SMOKED BACON (NUESKI 2131)</v>
      </c>
      <c r="D6" s="9" t="str">
        <f>VLOOKUP(B6,'Unit of Measure ship March 2026'!A:C,3,false)</f>
        <v>LBS</v>
      </c>
      <c r="E6" s="13"/>
      <c r="F6" s="17">
        <v>15460.0</v>
      </c>
      <c r="G6" s="9" t="str">
        <f>VLOOKUP(F6,'FML March 2026'!E:F,2,false)</f>
        <v>CELERY #1 CAL. 36CT 60#</v>
      </c>
      <c r="H6" s="9" t="str">
        <f>VLOOKUP(F6,'Unit of Measure ship March 2026'!A:C,3,false)</f>
        <v>LBS</v>
      </c>
      <c r="J6" s="49"/>
      <c r="K6" s="9"/>
      <c r="L6" s="9"/>
      <c r="N6" s="49"/>
      <c r="O6" s="9"/>
      <c r="P6" s="9"/>
    </row>
    <row r="7" ht="14.25" customHeight="1">
      <c r="B7" s="17">
        <v>15652.0</v>
      </c>
      <c r="C7" s="9" t="str">
        <f>VLOOKUP(B7,'FML March 2026'!E:F,2,false)</f>
        <v>BAKING SODA</v>
      </c>
      <c r="D7" s="9" t="str">
        <f>VLOOKUP(B7,'Unit of Measure ship March 2026'!A:C,3,false)</f>
        <v>LBS</v>
      </c>
      <c r="E7" s="13"/>
      <c r="F7" s="17">
        <v>15543.0</v>
      </c>
      <c r="G7" s="9" t="str">
        <f>VLOOKUP(F7,'FML March 2026'!E:F,2,false)</f>
        <v>CHERVIL, FRESH, 12BU 1 LB/CS</v>
      </c>
      <c r="H7" s="9" t="str">
        <f>VLOOKUP(F7,'Unit of Measure ship March 2026'!A:C,3,false)</f>
        <v>LBS</v>
      </c>
      <c r="J7" s="49"/>
      <c r="K7" s="9"/>
      <c r="L7" s="9"/>
      <c r="N7" s="49"/>
      <c r="O7" s="9"/>
      <c r="P7" s="9"/>
    </row>
    <row r="8" ht="14.25" customHeight="1">
      <c r="B8" s="17">
        <v>26627.0</v>
      </c>
      <c r="C8" s="9" t="str">
        <f>VLOOKUP(B8,'FML March 2026'!E:F,2,false)</f>
        <v>BEANS CHICK PEAS DRY BULK</v>
      </c>
      <c r="D8" s="9" t="str">
        <f>VLOOKUP(B8,'Unit of Measure ship March 2026'!A:C,3,false)</f>
        <v>LBS</v>
      </c>
      <c r="E8" s="13"/>
      <c r="F8" s="17">
        <v>15438.0</v>
      </c>
      <c r="G8" s="9" t="str">
        <f>VLOOKUP(F8,'FML March 2026'!E:F,2,false)</f>
        <v>CHIVES (12 BUNCH), 1 LB/CS</v>
      </c>
      <c r="H8" s="9" t="str">
        <f>VLOOKUP(F8,'Unit of Measure ship March 2026'!A:C,3,false)</f>
        <v>LBS</v>
      </c>
      <c r="J8" s="49"/>
      <c r="K8" s="9"/>
      <c r="L8" s="9"/>
      <c r="N8" s="49"/>
      <c r="O8" s="9"/>
      <c r="P8" s="9"/>
    </row>
    <row r="9" ht="14.25" customHeight="1">
      <c r="B9" s="17">
        <v>109712.0</v>
      </c>
      <c r="C9" s="9" t="str">
        <f>VLOOKUP(B9,'FML March 2026'!E:F,2,false)</f>
        <v>BREAD SOURDOUGH COUNTRY WHEAT BRD40B19  1KG LOAF  ZAK THE BAKER</v>
      </c>
      <c r="D9" s="9" t="str">
        <f>VLOOKUP(B9,'Unit of Measure ship March 2026'!A:C,3,false)</f>
        <v>LV</v>
      </c>
      <c r="E9" s="13"/>
      <c r="F9" s="17">
        <v>15464.0</v>
      </c>
      <c r="G9" s="9" t="str">
        <f>VLOOKUP(F9,'FML March 2026'!E:F,2,false)</f>
        <v>EGGPLANT MEDIUM, 225 - 300 MM</v>
      </c>
      <c r="H9" s="9" t="str">
        <f>VLOOKUP(F9,'Unit of Measure ship March 2026'!A:C,3,false)</f>
        <v>LBS</v>
      </c>
      <c r="J9" s="49"/>
      <c r="K9" s="9"/>
      <c r="L9" s="9"/>
      <c r="N9" s="49"/>
      <c r="O9" s="9"/>
      <c r="P9" s="9"/>
    </row>
    <row r="10" ht="14.25" customHeight="1">
      <c r="B10" s="17">
        <v>14893.0</v>
      </c>
      <c r="C10" s="9" t="str">
        <f>VLOOKUP(B10,'FML March 2026'!E:F,2,false)</f>
        <v>BUTTERMILK LOCAL 10 DAYS CS9/HGAL</v>
      </c>
      <c r="D10" s="9" t="str">
        <f>VLOOKUP(B10,'Unit of Measure ship March 2026'!A:C,3,false)</f>
        <v>QRT</v>
      </c>
      <c r="E10" s="13"/>
      <c r="F10" s="17">
        <v>15466.0</v>
      </c>
      <c r="G10" s="9" t="str">
        <f>VLOOKUP(F10,'FML March 2026'!E:F,2,false)</f>
        <v>GARLIC CRATE JUMBO 30# 8 CT</v>
      </c>
      <c r="H10" s="9" t="str">
        <f>VLOOKUP(F10,'Unit of Measure ship March 2026'!A:C,3,false)</f>
        <v>LBS</v>
      </c>
      <c r="J10" s="49"/>
      <c r="K10" s="9"/>
      <c r="L10" s="9"/>
      <c r="N10" s="49"/>
      <c r="O10" s="9"/>
      <c r="P10" s="9"/>
    </row>
    <row r="11" ht="14.25" customHeight="1">
      <c r="B11" s="17">
        <v>11938.0</v>
      </c>
      <c r="C11" s="9" t="str">
        <f>VLOOKUP(B11,'FML March 2026'!E:F,2,false)</f>
        <v>CAPER BERRIES STEMMED 6/64 OZ DEL DESTINO/ ROLAND</v>
      </c>
      <c r="D11" s="9" t="str">
        <f>VLOOKUP(B11,'Unit of Measure ship March 2026'!A:C,3,false)</f>
        <v>CAN/64OZ</v>
      </c>
      <c r="E11" s="13"/>
      <c r="F11" s="17">
        <v>30639.0</v>
      </c>
      <c r="G11" s="9" t="str">
        <f>VLOOKUP(F11,'FML March 2026'!E:F,2,false)</f>
        <v>GARLIC PEELED</v>
      </c>
      <c r="H11" s="9" t="str">
        <f>VLOOKUP(F11,'Unit of Measure ship March 2026'!A:C,3,false)</f>
        <v>LBS</v>
      </c>
      <c r="J11" s="49"/>
      <c r="K11" s="9"/>
      <c r="L11" s="9"/>
      <c r="N11" s="49"/>
      <c r="O11" s="9"/>
      <c r="P11" s="9"/>
    </row>
    <row r="12" ht="14.25" customHeight="1">
      <c r="B12" s="17">
        <v>109527.0</v>
      </c>
      <c r="C12" s="9" t="str">
        <f>VLOOKUP(B12,'FML March 2026'!E:F,2,false)</f>
        <v>CHEESE VEGAN MOZZARELLA BLOCK CS12.5KG VIOLIFE</v>
      </c>
      <c r="D12" s="9" t="str">
        <f>VLOOKUP(B12,'Unit of Measure ship March 2026'!A:C,3,false)</f>
        <v>LBS</v>
      </c>
      <c r="E12" s="13"/>
      <c r="F12" s="17">
        <v>15397.0</v>
      </c>
      <c r="G12" s="9" t="str">
        <f>VLOOKUP(F12,'FML March 2026'!E:F,2,false)</f>
        <v>LEMONS FRESH FIRM FANCY CALIF. SUNKIST #1 200CT 40#</v>
      </c>
      <c r="H12" s="9" t="str">
        <f>VLOOKUP(F12,'Unit of Measure ship March 2026'!A:C,3,false)</f>
        <v>LBS</v>
      </c>
      <c r="J12" s="49"/>
      <c r="K12" s="9"/>
      <c r="L12" s="9"/>
      <c r="N12" s="49"/>
      <c r="O12" s="9"/>
      <c r="P12" s="9"/>
    </row>
    <row r="13" ht="14.25" customHeight="1">
      <c r="B13" s="17">
        <v>27418.0</v>
      </c>
      <c r="C13" s="9" t="str">
        <f>VLOOKUP(B13,'FML March 2026'!E:F,2,false)</f>
        <v>CHEESE, PARMIGIANO REGGIANO, DOP, QUARTERS, 18-20 LB EA, CHL, 2/1 EA</v>
      </c>
      <c r="D13" s="9" t="str">
        <f>VLOOKUP(B13,'Unit of Measure ship March 2026'!A:C,3,false)</f>
        <v>LBS</v>
      </c>
      <c r="E13" s="13"/>
      <c r="F13" s="17">
        <v>15489.0</v>
      </c>
      <c r="G13" s="9" t="str">
        <f>VLOOKUP(F13,'FML March 2026'!E:F,2,false)</f>
        <v>LETTUCE ROMAINE, CAL., CRISP 24HD 38#</v>
      </c>
      <c r="H13" s="9" t="str">
        <f>VLOOKUP(F13,'Unit of Measure ship March 2026'!A:C,3,false)</f>
        <v>LBS</v>
      </c>
      <c r="J13" s="49"/>
      <c r="K13" s="9"/>
      <c r="L13" s="9"/>
      <c r="N13" s="49"/>
      <c r="O13" s="9"/>
      <c r="P13" s="9"/>
    </row>
    <row r="14" ht="14.25" customHeight="1">
      <c r="B14" s="17">
        <v>16882.0</v>
      </c>
      <c r="C14" s="9" t="str">
        <f>VLOOKUP(B14,'FML March 2026'!E:F,2,false)</f>
        <v>CHIPS POTATO CHIPS BULK</v>
      </c>
      <c r="D14" s="9" t="str">
        <f>VLOOKUP(B14,'Unit of Measure ship March 2026'!A:C,3,false)</f>
        <v>LBS</v>
      </c>
      <c r="E14" s="13"/>
      <c r="F14" s="17">
        <v>15623.0</v>
      </c>
      <c r="G14" s="9" t="str">
        <f>VLOOKUP(F14,'FML March 2026'!E:F,2,false)</f>
        <v>LETTUCE, MESCLUN  3#/CS</v>
      </c>
      <c r="H14" s="9" t="str">
        <f>VLOOKUP(F14,'Unit of Measure ship March 2026'!A:C,3,false)</f>
        <v>LBS</v>
      </c>
      <c r="J14" s="49"/>
      <c r="K14" s="9"/>
      <c r="L14" s="9"/>
      <c r="N14" s="49"/>
      <c r="O14" s="9"/>
      <c r="P14" s="9"/>
    </row>
    <row r="15" ht="14.25" customHeight="1">
      <c r="B15" s="17">
        <v>16267.0</v>
      </c>
      <c r="C15" s="9" t="str">
        <f>VLOOKUP(B15,'FML March 2026'!E:F,2,false)</f>
        <v>CINNAMON STICKS BADIA (USA)</v>
      </c>
      <c r="D15" s="9" t="str">
        <f>VLOOKUP(B15,'Unit of Measure ship March 2026'!A:C,3,false)</f>
        <v>LBS</v>
      </c>
      <c r="E15" s="13"/>
      <c r="F15" s="17">
        <v>15399.0</v>
      </c>
      <c r="G15" s="9" t="str">
        <f>VLOOKUP(F15,'FML March 2026'!E:F,2,false)</f>
        <v>LIMES, FRESH, FIRM #1 200CT 40#</v>
      </c>
      <c r="H15" s="9" t="str">
        <f>VLOOKUP(F15,'Unit of Measure ship March 2026'!A:C,3,false)</f>
        <v>LBS</v>
      </c>
      <c r="J15" s="49"/>
      <c r="K15" s="9"/>
      <c r="L15" s="9"/>
      <c r="N15" s="49"/>
      <c r="O15" s="9"/>
      <c r="P15" s="9"/>
    </row>
    <row r="16" ht="14.25" customHeight="1">
      <c r="B16" s="17">
        <v>16288.0</v>
      </c>
      <c r="C16" s="9" t="str">
        <f>VLOOKUP(B16,'FML March 2026'!E:F,2,false)</f>
        <v>CORIANDER WHOLE BADIA (USA )</v>
      </c>
      <c r="D16" s="9" t="str">
        <f>VLOOKUP(B16,'Unit of Measure ship March 2026'!A:C,3,false)</f>
        <v>LBS</v>
      </c>
      <c r="E16" s="13"/>
      <c r="F16" s="17">
        <v>15436.0</v>
      </c>
      <c r="G16" s="9" t="str">
        <f>VLOOKUP(F16,'FML March 2026'!E:F,2,false)</f>
        <v>MINT (12 BUNCH), 1 LB/CS</v>
      </c>
      <c r="H16" s="9" t="str">
        <f>VLOOKUP(F16,'Unit of Measure ship March 2026'!A:C,3,false)</f>
        <v>LBS</v>
      </c>
      <c r="J16" s="49"/>
      <c r="K16" s="9"/>
      <c r="L16" s="9"/>
      <c r="N16" s="49"/>
      <c r="O16" s="9"/>
      <c r="P16" s="9"/>
    </row>
    <row r="17" ht="14.25" customHeight="1">
      <c r="B17" s="17">
        <v>11882.0</v>
      </c>
      <c r="C17" s="9" t="str">
        <f>VLOOKUP(B17,'FML March 2026'!E:F,2,false)</f>
        <v>CREME FRAICHE</v>
      </c>
      <c r="D17" s="9" t="str">
        <f>VLOOKUP(B17,'Unit of Measure ship March 2026'!A:C,3,false)</f>
        <v>QRT</v>
      </c>
      <c r="E17" s="13"/>
      <c r="F17" s="17">
        <v>15496.0</v>
      </c>
      <c r="G17" s="9" t="str">
        <f>VLOOKUP(F17,'FML March 2026'!E:F,2,false)</f>
        <v>ONIONS RED, MEDIUM 25#</v>
      </c>
      <c r="H17" s="9" t="str">
        <f>VLOOKUP(F17,'Unit of Measure ship March 2026'!A:C,3,false)</f>
        <v>LBS</v>
      </c>
      <c r="J17" s="49"/>
      <c r="K17" s="9"/>
      <c r="L17" s="9"/>
      <c r="N17" s="49"/>
      <c r="O17" s="9"/>
      <c r="P17" s="9"/>
    </row>
    <row r="18" ht="14.25" customHeight="1">
      <c r="B18" s="17">
        <v>15022.0</v>
      </c>
      <c r="C18" s="9" t="str">
        <f>VLOOKUP(B18,'FML March 2026'!E:F,2,false)</f>
        <v>EGGS-DATED, MEDIUM, REGULAR</v>
      </c>
      <c r="D18" s="9" t="str">
        <f>VLOOKUP(B18,'Unit of Measure ship March 2026'!A:C,3,false)</f>
        <v>PC</v>
      </c>
      <c r="E18" s="13"/>
      <c r="F18" s="17">
        <v>15500.0</v>
      </c>
      <c r="G18" s="9" t="str">
        <f>VLOOKUP(F18,'FML March 2026'!E:F,2,false)</f>
        <v>PARSLEY ITALIAN,  20#/CS</v>
      </c>
      <c r="H18" s="9" t="str">
        <f>VLOOKUP(F18,'Unit of Measure ship March 2026'!A:C,3,false)</f>
        <v>LBS</v>
      </c>
      <c r="J18" s="49"/>
      <c r="K18" s="9"/>
      <c r="L18" s="9"/>
      <c r="N18" s="49"/>
      <c r="O18" s="9"/>
      <c r="P18" s="9"/>
    </row>
    <row r="19" ht="14.25" customHeight="1">
      <c r="B19" s="17">
        <v>16259.0</v>
      </c>
      <c r="C19" s="9" t="str">
        <f>VLOOKUP(B19,'FML March 2026'!E:F,2,false)</f>
        <v>FENNEL SEED WHOLE BADIA (USA )</v>
      </c>
      <c r="D19" s="9" t="str">
        <f>VLOOKUP(B19,'Unit of Measure ship March 2026'!A:C,3,false)</f>
        <v>LBS</v>
      </c>
      <c r="E19" s="13"/>
      <c r="F19" s="17">
        <v>15504.0</v>
      </c>
      <c r="G19" s="9" t="str">
        <f>VLOOKUP(F19,'FML March 2026'!E:F,2,false)</f>
        <v>PEPPERS HOT, JALAPENOS 10#</v>
      </c>
      <c r="H19" s="9" t="str">
        <f>VLOOKUP(F19,'Unit of Measure ship March 2026'!A:C,3,false)</f>
        <v>LBS</v>
      </c>
      <c r="J19" s="49"/>
      <c r="K19" s="9"/>
      <c r="L19" s="9"/>
      <c r="N19" s="49"/>
      <c r="O19" s="9"/>
      <c r="P19" s="9"/>
    </row>
    <row r="20" ht="14.25" customHeight="1">
      <c r="B20" s="15">
        <v>14990.0</v>
      </c>
      <c r="C20" s="9" t="str">
        <f>VLOOKUP(B20,'FML March 2026'!E:F,2,false)</f>
        <v>FETA, IN BRINE, TUB</v>
      </c>
      <c r="D20" s="9" t="str">
        <f>VLOOKUP(B20,'Unit of Measure ship March 2026'!A:C,3,false)</f>
        <v>LBS</v>
      </c>
      <c r="E20" s="13"/>
      <c r="F20" s="17">
        <v>15502.0</v>
      </c>
      <c r="G20" s="9" t="str">
        <f>VLOOKUP(F20,'FML March 2026'!E:F,2,false)</f>
        <v>PEPPERS RED, MEDIUM, 88-100 MM</v>
      </c>
      <c r="H20" s="9" t="str">
        <f>VLOOKUP(F20,'Unit of Measure ship March 2026'!A:C,3,false)</f>
        <v>LBS</v>
      </c>
      <c r="J20" s="49"/>
      <c r="K20" s="9"/>
      <c r="L20" s="9"/>
      <c r="N20" s="49"/>
      <c r="O20" s="9"/>
      <c r="P20" s="9"/>
    </row>
    <row r="21" ht="14.25" customHeight="1">
      <c r="B21" s="17">
        <v>27417.0</v>
      </c>
      <c r="C21" s="9" t="str">
        <f>VLOOKUP(B21,'FML March 2026'!E:F,2,false)</f>
        <v>GORGONZOLA DOLCE LATTE</v>
      </c>
      <c r="D21" s="9" t="str">
        <f>VLOOKUP(B21,'Unit of Measure ship March 2026'!A:C,3,false)</f>
        <v>LBS</v>
      </c>
      <c r="E21" s="13"/>
      <c r="F21" s="17">
        <v>15518.0</v>
      </c>
      <c r="G21" s="9" t="str">
        <f>VLOOKUP(F21,'FML March 2026'!E:F,2,false)</f>
        <v>RADISHES, FRESH, BULK 40#</v>
      </c>
      <c r="H21" s="9" t="str">
        <f>VLOOKUP(F21,'Unit of Measure ship March 2026'!A:C,3,false)</f>
        <v>LBS</v>
      </c>
      <c r="J21" s="49"/>
      <c r="K21" s="9"/>
      <c r="L21" s="9"/>
      <c r="N21" s="49"/>
      <c r="O21" s="9"/>
      <c r="P21" s="9"/>
    </row>
    <row r="22" ht="14.25" customHeight="1">
      <c r="B22" s="17">
        <v>102496.0</v>
      </c>
      <c r="C22" s="9" t="str">
        <f>VLOOKUP(B22,'FML March 2026'!E:F,2,false)</f>
        <v>GUAR GUM CS 8/8 OZ BOBS RED MILL</v>
      </c>
      <c r="D22" s="9" t="str">
        <f>VLOOKUP(B22,'Unit of Measure ship March 2026'!A:C,3,false)</f>
        <v>LBS</v>
      </c>
      <c r="E22" s="13"/>
      <c r="F22" s="17">
        <v>15427.0</v>
      </c>
      <c r="G22" s="9" t="str">
        <f>VLOOKUP(F22,'FML March 2026'!E:F,2,false)</f>
        <v>ROSEMARY (12 BUNCH) 1 LB/CS</v>
      </c>
      <c r="H22" s="9" t="str">
        <f>VLOOKUP(F22,'Unit of Measure ship March 2026'!A:C,3,false)</f>
        <v>LBS</v>
      </c>
      <c r="J22" s="49"/>
      <c r="K22" s="9"/>
      <c r="L22" s="9"/>
      <c r="N22" s="49"/>
      <c r="O22" s="9"/>
      <c r="P22" s="9"/>
    </row>
    <row r="23" ht="14.25" customHeight="1">
      <c r="B23" s="17">
        <v>15658.0</v>
      </c>
      <c r="C23" s="9" t="str">
        <f>VLOOKUP(B23,'FML March 2026'!E:F,2,false)</f>
        <v>HONEY 6/5 LB GROEB/MELONIA/SWEET HARVEST</v>
      </c>
      <c r="D23" s="9" t="str">
        <f>VLOOKUP(B23,'Unit of Measure ship March 2026'!A:C,3,false)</f>
        <v>KG</v>
      </c>
      <c r="E23" s="13"/>
      <c r="F23" s="17">
        <v>15531.0</v>
      </c>
      <c r="G23" s="9" t="str">
        <f>VLOOKUP(F23,'FML March 2026'!E:F,2,false)</f>
        <v>SQUASH YELLOW, STRAIGHT NK FANCY 1/2 BUSHEL 20#, 180-210 MM</v>
      </c>
      <c r="H23" s="9" t="str">
        <f>VLOOKUP(F23,'Unit of Measure ship March 2026'!A:C,3,false)</f>
        <v>LBS</v>
      </c>
      <c r="J23" s="49"/>
      <c r="K23" s="9"/>
      <c r="L23" s="9"/>
      <c r="N23" s="49"/>
      <c r="O23" s="9"/>
      <c r="P23" s="9"/>
    </row>
    <row r="24" ht="14.25" customHeight="1">
      <c r="B24" s="17">
        <v>109680.0</v>
      </c>
      <c r="C24" s="9" t="str">
        <f>VLOOKUP(B24,'FML March 2026'!E:F,2,false)</f>
        <v>HOT SAUCE CHOLULAS</v>
      </c>
      <c r="D24" s="9" t="str">
        <f>VLOOKUP(B24,'Unit of Measure ship March 2026'!A:C,3,false)</f>
        <v>BTL/6OZ</v>
      </c>
      <c r="E24" s="13"/>
      <c r="F24" s="17">
        <v>15442.0</v>
      </c>
      <c r="G24" s="9" t="str">
        <f>VLOOKUP(F24,'FML March 2026'!E:F,2,false)</f>
        <v>TARRAGON (12 BUNCH), 1 LB/CS</v>
      </c>
      <c r="H24" s="9" t="str">
        <f>VLOOKUP(F24,'Unit of Measure ship March 2026'!A:C,3,false)</f>
        <v>LBS</v>
      </c>
      <c r="J24" s="49"/>
      <c r="K24" s="9"/>
      <c r="L24" s="9"/>
      <c r="N24" s="49"/>
      <c r="O24" s="9"/>
      <c r="P24" s="9"/>
    </row>
    <row r="25" ht="14.25" customHeight="1">
      <c r="B25" s="17">
        <v>109668.0</v>
      </c>
      <c r="C25" s="9" t="str">
        <f>VLOOKUP(B25,'FML March 2026'!E:F,2,false)</f>
        <v>MAYONNAISE VEGAN FOLLOW YOUR HEART</v>
      </c>
      <c r="D25" s="9" t="str">
        <f>VLOOKUP(B25,'Unit of Measure ship March 2026'!A:C,3,false)</f>
        <v>GAL</v>
      </c>
      <c r="E25" s="13"/>
      <c r="F25" s="17">
        <v>15446.0</v>
      </c>
      <c r="G25" s="9" t="str">
        <f>VLOOKUP(F25,'FML March 2026'!E:F,2,false)</f>
        <v>THYME FRESH</v>
      </c>
      <c r="H25" s="9" t="str">
        <f>VLOOKUP(F25,'Unit of Measure ship March 2026'!A:C,3,false)</f>
        <v>LBS</v>
      </c>
      <c r="J25" s="49"/>
      <c r="K25" s="9"/>
      <c r="L25" s="9"/>
      <c r="N25" s="49"/>
      <c r="O25" s="9"/>
      <c r="P25" s="9"/>
    </row>
    <row r="26" ht="14.25" customHeight="1">
      <c r="B26" s="17">
        <v>109667.0</v>
      </c>
      <c r="C26" s="9" t="str">
        <f>VLOOKUP(B26,'FML March 2026'!E:F,2,false)</f>
        <v>MAYONNAISE, UNILEVER - HELLMANN'S, 4800126530, DRY, 4/1 GAL</v>
      </c>
      <c r="D26" s="9" t="str">
        <f>VLOOKUP(B26,'Unit of Measure ship March 2026'!A:C,3,false)</f>
        <v>GAL</v>
      </c>
      <c r="E26" s="13"/>
      <c r="F26" s="17">
        <v>15537.0</v>
      </c>
      <c r="G26" s="9" t="str">
        <f>VLOOKUP(F26,'FML March 2026'!E:F,2,false)</f>
        <v>TOMATOES 6X6 #1 18# RED RIPE, FIRM (LAYERED), 55-65 MM</v>
      </c>
      <c r="H26" s="9" t="str">
        <f>VLOOKUP(F26,'Unit of Measure ship March 2026'!A:C,3,false)</f>
        <v>LBS</v>
      </c>
      <c r="J26" s="49"/>
      <c r="K26" s="9"/>
      <c r="L26" s="9"/>
      <c r="N26" s="49"/>
      <c r="O26" s="9"/>
      <c r="P26" s="9"/>
    </row>
    <row r="27" ht="14.25" customHeight="1">
      <c r="B27" s="17">
        <v>15010.0</v>
      </c>
      <c r="C27" s="9" t="str">
        <f>VLOOKUP(B27,'FML March 2026'!E:F,2,false)</f>
        <v>MONTERREY JACK 10 LB WHEEL</v>
      </c>
      <c r="D27" s="9" t="str">
        <f>VLOOKUP(B27,'Unit of Measure ship March 2026'!A:C,3,false)</f>
        <v>LBS</v>
      </c>
      <c r="E27" s="13"/>
      <c r="F27" s="17">
        <v>15534.0</v>
      </c>
      <c r="G27" s="9" t="str">
        <f>VLOOKUP(F27,'FML March 2026'!E:F,2,false)</f>
        <v>TOMATOES CHERRY #1 (GRAPE) 10 PINK, RED, FIRM SMALL</v>
      </c>
      <c r="H27" s="9" t="str">
        <f>VLOOKUP(F27,'Unit of Measure ship March 2026'!A:C,3,false)</f>
        <v>LBS</v>
      </c>
      <c r="J27" s="49"/>
      <c r="K27" s="9"/>
      <c r="L27" s="9"/>
      <c r="N27" s="49"/>
      <c r="O27" s="9"/>
      <c r="P27" s="9"/>
    </row>
    <row r="28" ht="14.25" customHeight="1">
      <c r="B28" s="17">
        <v>16426.0</v>
      </c>
      <c r="C28" s="9" t="str">
        <f>VLOOKUP(B28,'FML March 2026'!E:F,2,false)</f>
        <v>MUSTARD  TUB GREY POUPON - DIJON MUSTARD PLAIN (FRANCE)</v>
      </c>
      <c r="D28" s="9" t="str">
        <f>VLOOKUP(B28,'Unit of Measure ship March 2026'!A:C,3,false)</f>
        <v>JAR/48OZ</v>
      </c>
      <c r="E28" s="13"/>
      <c r="F28" s="17">
        <v>15542.0</v>
      </c>
      <c r="G28" s="9" t="str">
        <f>VLOOKUP(F28,'FML March 2026'!E:F,2,false)</f>
        <v>ZUCCHINI MEDIUM #1 FANCY 20#/CS, 180-210 MM</v>
      </c>
      <c r="H28" s="9" t="str">
        <f>VLOOKUP(F28,'Unit of Measure ship March 2026'!A:C,3,false)</f>
        <v>LBS</v>
      </c>
      <c r="J28" s="49"/>
      <c r="K28" s="9"/>
      <c r="L28" s="9"/>
      <c r="N28" s="49"/>
      <c r="O28" s="9"/>
      <c r="P28" s="9"/>
    </row>
    <row r="29" ht="14.25" customHeight="1">
      <c r="B29" s="53">
        <v>52602.0</v>
      </c>
      <c r="C29" s="9" t="str">
        <f>VLOOKUP(B29,'FML March 2026'!E:F,2,false)</f>
        <v>OIL, 100% OLIVE, EXTRA VIRGIN, DRY, 4/5 LT</v>
      </c>
      <c r="D29" s="9" t="str">
        <f>VLOOKUP(B29,'Unit of Measure ship March 2026'!A:C,3,false)</f>
        <v>LT</v>
      </c>
      <c r="E29" s="13"/>
      <c r="F29" s="166"/>
      <c r="G29" s="59"/>
      <c r="H29" s="9"/>
      <c r="J29" s="49"/>
      <c r="K29" s="9"/>
      <c r="L29" s="9"/>
      <c r="N29" s="49"/>
      <c r="O29" s="9"/>
      <c r="P29" s="9"/>
    </row>
    <row r="30" ht="14.25" customHeight="1">
      <c r="B30" s="17">
        <v>16377.0</v>
      </c>
      <c r="C30" s="9" t="str">
        <f>VLOOKUP(B30,'FML March 2026'!E:F,2,false)</f>
        <v>OIL, 100% VEGETABLE SOYBEAN, DRY, 4/5 LT</v>
      </c>
      <c r="D30" s="9" t="str">
        <f>VLOOKUP(B30,'Unit of Measure ship March 2026'!A:C,3,false)</f>
        <v>C4/5LT</v>
      </c>
      <c r="E30" s="13"/>
      <c r="F30" s="166"/>
      <c r="G30" s="59"/>
      <c r="H30" s="9"/>
      <c r="J30" s="49"/>
      <c r="K30" s="9"/>
      <c r="L30" s="9"/>
      <c r="N30" s="49"/>
      <c r="O30" s="9"/>
      <c r="P30" s="9"/>
    </row>
    <row r="31" ht="14.25" customHeight="1">
      <c r="B31" s="17">
        <v>52603.0</v>
      </c>
      <c r="C31" s="9" t="str">
        <f>VLOOKUP(B31,'FML March 2026'!E:F,2,false)</f>
        <v>OLIVE/CANOLA BLEND OIL</v>
      </c>
      <c r="D31" s="9" t="str">
        <f>VLOOKUP(B31,'Unit of Measure ship March 2026'!A:C,3,false)</f>
        <v>LT</v>
      </c>
      <c r="E31" s="13"/>
      <c r="F31" s="166"/>
      <c r="G31" s="59"/>
      <c r="H31" s="9"/>
      <c r="J31" s="49"/>
      <c r="K31" s="9"/>
      <c r="L31" s="9"/>
      <c r="N31" s="49"/>
      <c r="O31" s="9"/>
      <c r="P31" s="9"/>
    </row>
    <row r="32" ht="14.25" customHeight="1">
      <c r="B32" s="17">
        <v>16431.0</v>
      </c>
      <c r="C32" s="9" t="str">
        <f>VLOOKUP(B32,'FML March 2026'!E:F,2,false)</f>
        <v>OLIVES KALAMATA PITTED AMBROSIA 16122 (8X5) (TURKEY)</v>
      </c>
      <c r="D32" s="9" t="str">
        <f>VLOOKUP(B32,'Unit of Measure ship March 2026'!A:C,3,false)</f>
        <v>CAN/2KG</v>
      </c>
      <c r="E32" s="13"/>
      <c r="G32" s="9"/>
      <c r="H32" s="9"/>
      <c r="J32" s="49"/>
      <c r="K32" s="9"/>
      <c r="L32" s="9"/>
      <c r="N32" s="49"/>
      <c r="O32" s="9"/>
      <c r="P32" s="9"/>
    </row>
    <row r="33" ht="14.25" customHeight="1">
      <c r="B33" s="17">
        <v>109697.0</v>
      </c>
      <c r="C33" s="9" t="str">
        <f>VLOOKUP(B33,'FML March 2026'!E:F,2,false)</f>
        <v>PAPRIKA SMOKED PKG 26.46  OZ LA CHINATA</v>
      </c>
      <c r="D33" s="9" t="str">
        <f>VLOOKUP(B33,'Unit of Measure ship March 2026'!A:C,3,false)</f>
        <v>KG</v>
      </c>
      <c r="E33" s="13"/>
      <c r="G33" s="9"/>
      <c r="H33" s="9"/>
      <c r="J33" s="167"/>
      <c r="K33" s="9"/>
      <c r="L33" s="9"/>
      <c r="N33" s="49"/>
      <c r="O33" s="9"/>
      <c r="P33" s="9"/>
    </row>
    <row r="34" ht="14.25" customHeight="1">
      <c r="B34" s="8">
        <v>16269.0</v>
      </c>
      <c r="C34" s="9" t="str">
        <f>VLOOKUP(B34,'FML March 2026'!E:F,2,false)</f>
        <v>PAPRIKA SPANISH MUNOZ Y PUJANTE/ D`ALLESANDRO/ SPICECO</v>
      </c>
      <c r="D34" s="9" t="str">
        <f>VLOOKUP(B34,'Unit of Measure ship March 2026'!A:C,3,false)</f>
        <v>LBS</v>
      </c>
      <c r="E34" s="13"/>
      <c r="G34" s="9"/>
      <c r="H34" s="9"/>
      <c r="J34" s="167"/>
      <c r="K34" s="9"/>
      <c r="L34" s="9"/>
      <c r="N34" s="49"/>
      <c r="O34" s="9"/>
      <c r="P34" s="9"/>
    </row>
    <row r="35" ht="14.25" customHeight="1">
      <c r="B35" s="17">
        <v>18536.0</v>
      </c>
      <c r="C35" s="9" t="str">
        <f>VLOOKUP(B35,'FML March 2026'!E:F,2,false)</f>
        <v>PARMIGIANO, GRANA PADANO, QUARTERS</v>
      </c>
      <c r="D35" s="9" t="str">
        <f>VLOOKUP(B35,'Unit of Measure ship March 2026'!A:C,3,false)</f>
        <v>LBS</v>
      </c>
      <c r="E35" s="13"/>
      <c r="G35" s="9"/>
      <c r="H35" s="9"/>
      <c r="J35" s="167"/>
      <c r="K35" s="9"/>
      <c r="L35" s="9"/>
      <c r="N35" s="49"/>
      <c r="O35" s="9"/>
      <c r="P35" s="9"/>
    </row>
    <row r="36" ht="14.25" customHeight="1">
      <c r="B36" s="17">
        <v>108553.0</v>
      </c>
      <c r="C36" s="9" t="str">
        <f>VLOOKUP(B36,'FML March 2026'!E:F,2,false)</f>
        <v>PEPPER ARBOL  D'ALLESANDRO CS/5LB</v>
      </c>
      <c r="D36" s="9" t="str">
        <f>VLOOKUP(B36,'Unit of Measure ship March 2026'!A:C,3,false)</f>
        <v>KG</v>
      </c>
      <c r="E36" s="13"/>
      <c r="G36" s="9"/>
      <c r="H36" s="9"/>
      <c r="J36" s="167"/>
      <c r="K36" s="9"/>
      <c r="L36" s="9"/>
      <c r="N36" s="49"/>
      <c r="O36" s="9"/>
      <c r="P36" s="9"/>
    </row>
    <row r="37" ht="14.25" customHeight="1">
      <c r="B37" s="17">
        <v>33681.0</v>
      </c>
      <c r="C37" s="9" t="str">
        <f>VLOOKUP(B37,'FML March 2026'!E:F,2,false)</f>
        <v>PEPPER BLACK GROUND BADIA (USA )</v>
      </c>
      <c r="D37" s="9" t="str">
        <f>VLOOKUP(B37,'Unit of Measure ship March 2026'!A:C,3,false)</f>
        <v>LBS</v>
      </c>
      <c r="E37" s="13"/>
      <c r="G37" s="9"/>
      <c r="H37" s="9"/>
      <c r="J37" s="167"/>
      <c r="K37" s="9"/>
      <c r="L37" s="9"/>
      <c r="N37" s="49"/>
      <c r="O37" s="9"/>
      <c r="P37" s="9"/>
    </row>
    <row r="38" ht="14.25" customHeight="1">
      <c r="B38" s="17">
        <v>16302.0</v>
      </c>
      <c r="C38" s="9" t="str">
        <f>VLOOKUP(B38,'FML March 2026'!E:F,2,false)</f>
        <v>PEPPER CAYENNE GROUND BADIA (USA )</v>
      </c>
      <c r="D38" s="9" t="str">
        <f>VLOOKUP(B38,'Unit of Measure ship March 2026'!A:C,3,false)</f>
        <v>LBS</v>
      </c>
      <c r="E38" s="13"/>
      <c r="G38" s="9"/>
      <c r="H38" s="9"/>
      <c r="J38" s="167"/>
      <c r="K38" s="9"/>
      <c r="L38" s="9"/>
      <c r="N38" s="49"/>
      <c r="O38" s="9"/>
      <c r="P38" s="9"/>
    </row>
    <row r="39" ht="14.25" customHeight="1">
      <c r="B39" s="17">
        <v>16285.0</v>
      </c>
      <c r="C39" s="9" t="str">
        <f>VLOOKUP(B39,'FML March 2026'!E:F,2,false)</f>
        <v>PEPPERCORN, BLACK, WHOLE, DRY, 6/420 G</v>
      </c>
      <c r="D39" s="9" t="str">
        <f>VLOOKUP(B39,'Unit of Measure ship March 2026'!A:C,3,false)</f>
        <v>LBS</v>
      </c>
      <c r="E39" s="13"/>
      <c r="G39" s="9"/>
      <c r="H39" s="9"/>
      <c r="J39" s="167"/>
      <c r="K39" s="9"/>
      <c r="L39" s="9"/>
      <c r="N39" s="49"/>
      <c r="O39" s="9"/>
      <c r="P39" s="9"/>
    </row>
    <row r="40" ht="14.25" customHeight="1">
      <c r="B40" s="8">
        <v>16392.0</v>
      </c>
      <c r="C40" s="9" t="str">
        <f>VLOOKUP(B40,'FML March 2026'!E:F,2,false)</f>
        <v>PEPPERS RED ROASTED 6X#10</v>
      </c>
      <c r="D40" s="9" t="str">
        <f>VLOOKUP(B40,'Unit of Measure ship March 2026'!A:C,3,false)</f>
        <v>TIN/3KG</v>
      </c>
      <c r="E40" s="13"/>
      <c r="G40" s="9"/>
      <c r="H40" s="9"/>
      <c r="J40" s="167"/>
      <c r="K40" s="9"/>
      <c r="L40" s="9"/>
      <c r="N40" s="49"/>
      <c r="O40" s="9"/>
      <c r="P40" s="9"/>
    </row>
    <row r="41" ht="14.25" customHeight="1">
      <c r="B41" s="48">
        <v>101442.0</v>
      </c>
      <c r="C41" s="9" t="str">
        <f>VLOOKUP(B41,'FML March 2026'!E:F,2,false)</f>
        <v>PROSCIUTTO DI SAN DANIELE LEVONI BONELESS 16 MONTH  RESERVE CS/16 LBS</v>
      </c>
      <c r="D41" s="9" t="str">
        <f>VLOOKUP(B41,'Unit of Measure ship March 2026'!A:C,3,false)</f>
        <v>LBS</v>
      </c>
      <c r="E41" s="13"/>
      <c r="G41" s="9"/>
      <c r="H41" s="9"/>
      <c r="J41" s="167"/>
      <c r="K41" s="9"/>
      <c r="L41" s="9"/>
      <c r="N41" s="49"/>
      <c r="O41" s="9"/>
      <c r="P41" s="9"/>
    </row>
    <row r="42" ht="14.25" customHeight="1">
      <c r="B42" s="17">
        <v>106535.0</v>
      </c>
      <c r="C42" s="9" t="str">
        <f>VLOOKUP(B42,'FML March 2026'!E:F,2,false)</f>
        <v>SALAME LEVONETTO MILANO LEVONI</v>
      </c>
      <c r="D42" s="9" t="str">
        <f>VLOOKUP(B42,'Unit of Measure ship March 2026'!A:C,3,false)</f>
        <v>LBS</v>
      </c>
      <c r="E42" s="13"/>
      <c r="F42" s="168"/>
      <c r="G42" s="9"/>
      <c r="H42" s="9"/>
      <c r="J42" s="167"/>
      <c r="K42" s="9"/>
      <c r="L42" s="9"/>
      <c r="N42" s="49"/>
      <c r="O42" s="9"/>
      <c r="P42" s="9"/>
    </row>
    <row r="43" ht="14.25" customHeight="1">
      <c r="B43" s="17">
        <v>16307.0</v>
      </c>
      <c r="C43" s="9" t="str">
        <f>VLOOKUP(B43,'FML March 2026'!E:F,2,false)</f>
        <v>SALT KOSHER GRANULATED</v>
      </c>
      <c r="D43" s="9" t="str">
        <f>VLOOKUP(B43,'Unit of Measure ship March 2026'!A:C,3,false)</f>
        <v>LBS</v>
      </c>
      <c r="E43" s="13"/>
      <c r="F43" s="168"/>
      <c r="G43" s="9"/>
      <c r="H43" s="9"/>
      <c r="J43" s="167"/>
      <c r="K43" s="9"/>
      <c r="L43" s="9"/>
      <c r="N43" s="49"/>
      <c r="O43" s="9"/>
      <c r="P43" s="9"/>
    </row>
    <row r="44" ht="14.25" customHeight="1">
      <c r="B44" s="48">
        <v>14714.0</v>
      </c>
      <c r="C44" s="9" t="str">
        <f>VLOOKUP(B44,'FML March 2026'!E:F,2,false)</f>
        <v>SMOKED SALMON SLAB LG. 2.0-2.5 LB VAC PK (USA)</v>
      </c>
      <c r="D44" s="9" t="str">
        <f>VLOOKUP(B44,'Unit of Measure ship March 2026'!A:C,3,false)</f>
        <v>LBS</v>
      </c>
      <c r="E44" s="13"/>
      <c r="F44" s="168"/>
      <c r="G44" s="9"/>
      <c r="H44" s="9"/>
      <c r="J44" s="167"/>
      <c r="K44" s="9"/>
      <c r="L44" s="9"/>
      <c r="N44" s="49"/>
      <c r="O44" s="9"/>
      <c r="P44" s="9"/>
    </row>
    <row r="45" ht="14.25" customHeight="1">
      <c r="B45" s="17">
        <v>109843.0</v>
      </c>
      <c r="C45" s="9" t="str">
        <f>VLOOKUP(B45,'FML March 2026'!E:F,2,false)</f>
        <v>SUGAR IN THE RAW  CS12/2 LB</v>
      </c>
      <c r="D45" s="9" t="str">
        <f>VLOOKUP(B45,'Unit of Measure ship March 2026'!A:C,3,false)</f>
        <v>KG</v>
      </c>
      <c r="E45" s="13"/>
      <c r="F45" s="168"/>
      <c r="G45" s="9"/>
      <c r="H45" s="9"/>
      <c r="J45" s="167"/>
      <c r="K45" s="9"/>
      <c r="L45" s="9"/>
      <c r="N45" s="49"/>
      <c r="O45" s="9"/>
      <c r="P45" s="9"/>
    </row>
    <row r="46" ht="14.25" customHeight="1">
      <c r="B46" s="17">
        <v>15642.0</v>
      </c>
      <c r="C46" s="9" t="str">
        <f>VLOOKUP(B46,'FML March 2026'!E:F,2,false)</f>
        <v>SUGAR, GRANULATED, ICUMSA 150, SUGARCANE, DRY, 1/50 LB</v>
      </c>
      <c r="D46" s="9" t="str">
        <f>VLOOKUP(B46,'Unit of Measure ship March 2026'!A:C,3,false)</f>
        <v>LBS</v>
      </c>
      <c r="E46" s="13"/>
      <c r="F46" s="168"/>
      <c r="G46" s="9"/>
      <c r="H46" s="9"/>
      <c r="J46" s="167"/>
      <c r="K46" s="9"/>
      <c r="L46" s="9"/>
      <c r="N46" s="49"/>
      <c r="O46" s="9"/>
      <c r="P46" s="9"/>
    </row>
    <row r="47" ht="14.25" customHeight="1">
      <c r="B47" s="17">
        <v>15194.0</v>
      </c>
      <c r="C47" s="9" t="str">
        <f>VLOOKUP(B47,'FML March 2026'!E:F,2,false)</f>
        <v>TORTILLA, FLOUR, SOFT, 10INCH, FRZN</v>
      </c>
      <c r="D47" s="9" t="str">
        <f>VLOOKUP(B47,'Unit of Measure ship March 2026'!A:C,3,false)</f>
        <v>PC</v>
      </c>
      <c r="E47" s="13"/>
      <c r="F47" s="168"/>
      <c r="G47" s="9"/>
      <c r="H47" s="9"/>
      <c r="J47" s="167"/>
      <c r="K47" s="9"/>
      <c r="L47" s="9"/>
      <c r="N47" s="49"/>
      <c r="O47" s="9"/>
      <c r="P47" s="9"/>
    </row>
    <row r="48" ht="14.25" customHeight="1">
      <c r="B48" s="17">
        <v>14482.0</v>
      </c>
      <c r="C48" s="9" t="str">
        <f>VLOOKUP(B48,'FML March 2026'!E:F,2,false)</f>
        <v>TURKEY BREAST, DELI STYLE SKINLESS, SOLID MUSCLE 3 PIECE OVEN ROASTED 2/10 LB AVG</v>
      </c>
      <c r="D48" s="9" t="str">
        <f>VLOOKUP(B48,'Unit of Measure ship March 2026'!A:C,3,false)</f>
        <v>LBS</v>
      </c>
      <c r="E48" s="13"/>
      <c r="F48" s="168"/>
      <c r="G48" s="9"/>
      <c r="H48" s="9"/>
      <c r="J48" s="167"/>
      <c r="K48" s="9"/>
      <c r="L48" s="9"/>
      <c r="N48" s="49"/>
      <c r="O48" s="9"/>
      <c r="P48" s="9"/>
    </row>
    <row r="49" ht="14.25" customHeight="1">
      <c r="B49" s="17">
        <v>109665.0</v>
      </c>
      <c r="C49" s="9" t="str">
        <f>VLOOKUP(B49,'FML March 2026'!E:F,2,false)</f>
        <v>VINEGAR CABERNET SPARROW LANE</v>
      </c>
      <c r="D49" s="9" t="str">
        <f>VLOOKUP(B49,'Unit of Measure ship March 2026'!A:C,3,false)</f>
        <v>GAL</v>
      </c>
      <c r="E49" s="13"/>
      <c r="F49" s="168"/>
      <c r="G49" s="9"/>
      <c r="H49" s="9"/>
      <c r="J49" s="167"/>
      <c r="K49" s="9"/>
      <c r="L49" s="9"/>
      <c r="N49" s="49"/>
      <c r="O49" s="9"/>
      <c r="P49" s="9"/>
    </row>
    <row r="50" ht="14.25" customHeight="1">
      <c r="B50" s="17">
        <v>16402.0</v>
      </c>
      <c r="C50" s="9" t="str">
        <f>VLOOKUP(B50,'FML March 2026'!E:F,2,false)</f>
        <v>VINEGAR SHERRY/ XERES CS4/5 LT ROLAND</v>
      </c>
      <c r="D50" s="9" t="str">
        <f>VLOOKUP(B50,'Unit of Measure ship March 2026'!A:C,3,false)</f>
        <v>BT/750ML</v>
      </c>
      <c r="E50" s="13"/>
      <c r="F50" s="168"/>
      <c r="G50" s="9"/>
      <c r="H50" s="9"/>
      <c r="J50" s="167"/>
      <c r="K50" s="9"/>
      <c r="L50" s="9"/>
      <c r="N50" s="49"/>
      <c r="O50" s="9"/>
      <c r="P50" s="9"/>
    </row>
    <row r="51" ht="14.25" customHeight="1">
      <c r="B51" s="17">
        <v>16358.0</v>
      </c>
      <c r="C51" s="9" t="str">
        <f>VLOOKUP(B51,'FML March 2026'!E:F,2,false)</f>
        <v>WORCESTERSHIRE SAUCE 5 OZ LEA &amp; PERRINS</v>
      </c>
      <c r="D51" s="9" t="str">
        <f>VLOOKUP(B51,'Unit of Measure ship March 2026'!A:C,3,false)</f>
        <v>BTL/5OZ</v>
      </c>
      <c r="E51" s="13"/>
      <c r="F51" s="168"/>
      <c r="G51" s="9"/>
      <c r="H51" s="9"/>
      <c r="J51" s="167"/>
      <c r="K51" s="9"/>
      <c r="L51" s="9"/>
      <c r="N51" s="102"/>
      <c r="P51" s="9"/>
    </row>
    <row r="52" ht="14.25" customHeight="1">
      <c r="B52" s="8">
        <v>109846.0</v>
      </c>
      <c r="C52" s="9" t="str">
        <f>VLOOKUP(B52,'FML March 2026'!E:F,2,false)</f>
        <v>YOGURT GREEK BULK</v>
      </c>
      <c r="D52" s="9" t="str">
        <f>VLOOKUP(B52,'Unit of Measure ship March 2026'!A:C,3,false)</f>
        <v>LBS</v>
      </c>
      <c r="E52" s="13"/>
      <c r="F52" s="168"/>
      <c r="G52" s="9"/>
      <c r="H52" s="9"/>
      <c r="J52" s="167"/>
      <c r="K52" s="9"/>
      <c r="L52" s="9"/>
      <c r="N52" s="102"/>
      <c r="P52" s="9"/>
    </row>
    <row r="53" ht="14.25" customHeight="1">
      <c r="B53" s="166"/>
      <c r="C53" s="59"/>
      <c r="D53" s="59"/>
      <c r="E53" s="13"/>
      <c r="F53" s="168"/>
      <c r="G53" s="9"/>
      <c r="H53" s="9"/>
      <c r="J53" s="167"/>
      <c r="K53" s="9"/>
      <c r="L53" s="9"/>
      <c r="N53" s="102"/>
      <c r="P53" s="9"/>
    </row>
    <row r="54" ht="14.25" customHeight="1">
      <c r="B54" s="166"/>
      <c r="C54" s="59"/>
      <c r="D54" s="59"/>
      <c r="E54" s="13"/>
      <c r="F54" s="168"/>
      <c r="G54" s="9"/>
      <c r="H54" s="9"/>
      <c r="J54" s="167"/>
      <c r="K54" s="9"/>
      <c r="L54" s="9"/>
      <c r="N54" s="102"/>
      <c r="P54" s="9"/>
    </row>
    <row r="55" ht="14.25" customHeight="1">
      <c r="B55" s="166"/>
      <c r="C55" s="59"/>
      <c r="D55" s="59"/>
      <c r="E55" s="13"/>
      <c r="F55" s="168"/>
      <c r="G55" s="9"/>
      <c r="H55" s="9"/>
      <c r="J55" s="167"/>
      <c r="K55" s="9"/>
      <c r="L55" s="9"/>
      <c r="N55" s="102"/>
      <c r="P55" s="9"/>
    </row>
    <row r="56" ht="14.25" customHeight="1">
      <c r="B56" s="166"/>
      <c r="C56" s="59"/>
      <c r="D56" s="59"/>
      <c r="E56" s="13"/>
      <c r="F56" s="168"/>
      <c r="G56" s="9"/>
      <c r="H56" s="9"/>
      <c r="J56" s="167"/>
      <c r="K56" s="9"/>
      <c r="L56" s="9"/>
      <c r="N56" s="102"/>
      <c r="P56" s="9"/>
    </row>
    <row r="57" ht="14.25" customHeight="1">
      <c r="B57" s="166"/>
      <c r="C57" s="59"/>
      <c r="D57" s="59"/>
      <c r="E57" s="13"/>
      <c r="F57" s="168"/>
      <c r="G57" s="9"/>
      <c r="H57" s="9"/>
      <c r="J57" s="167"/>
      <c r="K57" s="9"/>
      <c r="L57" s="9"/>
      <c r="N57" s="102"/>
      <c r="P57" s="9"/>
    </row>
    <row r="58" ht="14.25" customHeight="1">
      <c r="B58" s="166"/>
      <c r="C58" s="59"/>
      <c r="D58" s="59"/>
      <c r="E58" s="13"/>
      <c r="F58" s="168"/>
      <c r="G58" s="9"/>
      <c r="H58" s="9"/>
      <c r="J58" s="167"/>
      <c r="K58" s="9"/>
      <c r="L58" s="9"/>
      <c r="N58" s="102"/>
      <c r="P58" s="9"/>
    </row>
    <row r="59" ht="14.25" customHeight="1">
      <c r="B59" s="166"/>
      <c r="C59" s="59"/>
      <c r="D59" s="59"/>
      <c r="E59" s="13"/>
      <c r="F59" s="168"/>
      <c r="G59" s="9"/>
      <c r="H59" s="9"/>
      <c r="J59" s="167"/>
      <c r="K59" s="9"/>
      <c r="L59" s="9"/>
      <c r="N59" s="102"/>
      <c r="P59" s="9"/>
    </row>
    <row r="60" ht="14.25" customHeight="1">
      <c r="B60" s="166"/>
      <c r="C60" s="59"/>
      <c r="D60" s="59"/>
      <c r="E60" s="13"/>
      <c r="F60" s="168"/>
      <c r="G60" s="9"/>
      <c r="H60" s="9"/>
      <c r="J60" s="167"/>
      <c r="K60" s="9"/>
      <c r="L60" s="9"/>
      <c r="N60" s="102"/>
      <c r="P60" s="9"/>
    </row>
    <row r="61" ht="14.25" customHeight="1">
      <c r="B61" s="166"/>
      <c r="C61" s="59"/>
      <c r="D61" s="59"/>
      <c r="E61" s="13"/>
      <c r="F61" s="168"/>
      <c r="G61" s="9"/>
      <c r="H61" s="9"/>
      <c r="J61" s="167"/>
      <c r="K61" s="9"/>
      <c r="L61" s="9"/>
      <c r="N61" s="102"/>
      <c r="P61" s="9"/>
    </row>
    <row r="62" ht="14.25" customHeight="1">
      <c r="B62" s="166"/>
      <c r="C62" s="59"/>
      <c r="D62" s="59"/>
      <c r="E62" s="13"/>
      <c r="F62" s="168"/>
      <c r="G62" s="9"/>
      <c r="H62" s="9"/>
      <c r="J62" s="167"/>
      <c r="K62" s="9"/>
      <c r="L62" s="9"/>
      <c r="N62" s="102"/>
      <c r="P62" s="9"/>
    </row>
    <row r="63" ht="14.25" customHeight="1">
      <c r="B63" s="166"/>
      <c r="C63" s="59"/>
      <c r="D63" s="59"/>
      <c r="E63" s="13"/>
      <c r="F63" s="168"/>
      <c r="G63" s="9"/>
      <c r="H63" s="9"/>
      <c r="J63" s="167"/>
      <c r="K63" s="9"/>
      <c r="L63" s="9"/>
      <c r="N63" s="102"/>
      <c r="P63" s="9"/>
    </row>
    <row r="64" ht="14.25" customHeight="1">
      <c r="B64" s="166"/>
      <c r="C64" s="59"/>
      <c r="D64" s="59"/>
      <c r="E64" s="13"/>
      <c r="F64" s="168"/>
      <c r="G64" s="9"/>
      <c r="H64" s="9"/>
      <c r="J64" s="167"/>
      <c r="K64" s="9"/>
      <c r="L64" s="9"/>
      <c r="N64" s="102"/>
      <c r="P64" s="9"/>
    </row>
    <row r="65" ht="14.25" customHeight="1">
      <c r="B65" s="166"/>
      <c r="C65" s="59"/>
      <c r="D65" s="59"/>
      <c r="E65" s="13"/>
      <c r="F65" s="168"/>
      <c r="G65" s="9"/>
      <c r="H65" s="9"/>
      <c r="J65" s="167"/>
      <c r="K65" s="9"/>
      <c r="L65" s="9"/>
      <c r="N65" s="102"/>
      <c r="P65" s="9"/>
    </row>
    <row r="66" ht="14.25" customHeight="1">
      <c r="B66" s="166"/>
      <c r="C66" s="59"/>
      <c r="D66" s="59"/>
      <c r="E66" s="13"/>
      <c r="F66" s="168"/>
      <c r="G66" s="9"/>
      <c r="H66" s="9"/>
      <c r="J66" s="167"/>
      <c r="K66" s="9"/>
      <c r="L66" s="9"/>
      <c r="N66" s="102"/>
      <c r="P66" s="9"/>
    </row>
    <row r="67" ht="14.25" customHeight="1">
      <c r="B67" s="166"/>
      <c r="C67" s="59"/>
      <c r="D67" s="59"/>
      <c r="E67" s="13"/>
      <c r="F67" s="168"/>
      <c r="G67" s="9"/>
      <c r="H67" s="9"/>
      <c r="J67" s="167"/>
      <c r="K67" s="9"/>
      <c r="L67" s="9"/>
      <c r="N67" s="102"/>
      <c r="P67" s="9"/>
    </row>
    <row r="68" ht="14.25" customHeight="1">
      <c r="B68" s="166"/>
      <c r="C68" s="59"/>
      <c r="D68" s="59"/>
      <c r="E68" s="13"/>
      <c r="F68" s="168"/>
      <c r="G68" s="9"/>
      <c r="H68" s="9"/>
      <c r="J68" s="167"/>
      <c r="K68" s="9"/>
      <c r="L68" s="9"/>
      <c r="N68" s="102"/>
      <c r="P68" s="9"/>
    </row>
    <row r="69" ht="14.25" customHeight="1">
      <c r="B69" s="166"/>
      <c r="C69" s="59"/>
      <c r="D69" s="59"/>
      <c r="E69" s="13"/>
      <c r="F69" s="168"/>
      <c r="G69" s="9"/>
      <c r="H69" s="9"/>
      <c r="J69" s="167"/>
      <c r="K69" s="9"/>
      <c r="L69" s="9"/>
      <c r="N69" s="102"/>
      <c r="P69" s="9"/>
    </row>
    <row r="70" ht="14.25" customHeight="1">
      <c r="B70" s="13"/>
      <c r="C70" s="9"/>
      <c r="D70" s="9"/>
      <c r="E70" s="13"/>
      <c r="F70" s="168"/>
      <c r="G70" s="9"/>
      <c r="H70" s="9"/>
      <c r="J70" s="167"/>
      <c r="K70" s="9"/>
      <c r="L70" s="9"/>
      <c r="N70" s="102"/>
      <c r="P70" s="9"/>
    </row>
    <row r="71" ht="14.25" customHeight="1">
      <c r="B71" s="13"/>
      <c r="C71" s="9"/>
      <c r="D71" s="9"/>
      <c r="E71" s="13"/>
      <c r="F71" s="168"/>
      <c r="G71" s="9"/>
      <c r="H71" s="9"/>
      <c r="J71" s="167"/>
      <c r="K71" s="9"/>
      <c r="L71" s="9"/>
      <c r="N71" s="102"/>
      <c r="P71" s="9"/>
    </row>
    <row r="72" ht="14.25" customHeight="1">
      <c r="B72" s="17"/>
      <c r="C72" s="9"/>
      <c r="D72" s="9"/>
      <c r="E72" s="13"/>
      <c r="F72" s="168"/>
      <c r="G72" s="9"/>
      <c r="H72" s="9"/>
      <c r="J72" s="167"/>
      <c r="K72" s="9"/>
      <c r="L72" s="9"/>
      <c r="N72" s="102"/>
      <c r="P72" s="9"/>
    </row>
    <row r="73" ht="14.25" customHeight="1">
      <c r="B73" s="17"/>
      <c r="C73" s="9"/>
      <c r="D73" s="9"/>
      <c r="E73" s="13"/>
      <c r="F73" s="168"/>
      <c r="G73" s="9"/>
      <c r="H73" s="9"/>
      <c r="J73" s="167"/>
      <c r="K73" s="9"/>
      <c r="L73" s="9"/>
      <c r="N73" s="102"/>
      <c r="P73" s="9"/>
    </row>
    <row r="74" ht="14.25" customHeight="1">
      <c r="B74" s="17"/>
      <c r="C74" s="9"/>
      <c r="D74" s="9"/>
      <c r="E74" s="13"/>
      <c r="F74" s="168"/>
      <c r="G74" s="9"/>
      <c r="H74" s="9"/>
      <c r="J74" s="167"/>
      <c r="K74" s="9"/>
      <c r="L74" s="9"/>
      <c r="N74" s="102"/>
      <c r="P74" s="9"/>
    </row>
    <row r="75" ht="14.25" customHeight="1">
      <c r="B75" s="17"/>
      <c r="C75" s="9"/>
      <c r="D75" s="9"/>
      <c r="E75" s="13"/>
      <c r="F75" s="168"/>
      <c r="G75" s="9"/>
      <c r="H75" s="9"/>
      <c r="J75" s="167"/>
      <c r="K75" s="9"/>
      <c r="L75" s="9"/>
      <c r="N75" s="102"/>
      <c r="P75" s="9"/>
    </row>
    <row r="76" ht="14.25" customHeight="1">
      <c r="B76" s="17"/>
      <c r="C76" s="9"/>
      <c r="D76" s="9"/>
      <c r="E76" s="13"/>
      <c r="F76" s="168"/>
      <c r="G76" s="9"/>
      <c r="H76" s="9"/>
      <c r="J76" s="167"/>
      <c r="K76" s="9"/>
      <c r="L76" s="9"/>
      <c r="N76" s="102"/>
      <c r="P76" s="9"/>
    </row>
    <row r="77" ht="14.25" customHeight="1">
      <c r="B77" s="17"/>
      <c r="C77" s="9"/>
      <c r="D77" s="9"/>
      <c r="E77" s="13"/>
      <c r="F77" s="168"/>
      <c r="G77" s="9"/>
      <c r="H77" s="9"/>
      <c r="J77" s="167"/>
      <c r="K77" s="9"/>
      <c r="L77" s="9"/>
      <c r="N77" s="168"/>
    </row>
    <row r="78" ht="14.25" customHeight="1">
      <c r="B78" s="17"/>
      <c r="C78" s="9"/>
      <c r="D78" s="9"/>
      <c r="E78" s="13"/>
      <c r="F78" s="168"/>
      <c r="G78" s="9"/>
      <c r="H78" s="9"/>
      <c r="J78" s="167"/>
      <c r="K78" s="9"/>
      <c r="L78" s="9"/>
      <c r="N78" s="168"/>
    </row>
    <row r="79" ht="14.25" customHeight="1">
      <c r="B79" s="17"/>
      <c r="C79" s="9"/>
      <c r="D79" s="9"/>
      <c r="E79" s="13"/>
      <c r="F79" s="168"/>
      <c r="G79" s="9"/>
      <c r="H79" s="9"/>
      <c r="J79" s="167"/>
      <c r="K79" s="9"/>
      <c r="L79" s="9"/>
      <c r="N79" s="49"/>
    </row>
    <row r="80" ht="14.25" customHeight="1">
      <c r="B80" s="17"/>
      <c r="C80" s="9"/>
      <c r="D80" s="9"/>
      <c r="E80" s="13"/>
      <c r="F80" s="168"/>
      <c r="G80" s="9"/>
      <c r="H80" s="9"/>
      <c r="J80" s="167"/>
      <c r="K80" s="9"/>
      <c r="L80" s="9"/>
      <c r="N80" s="49"/>
    </row>
    <row r="81" ht="14.25" customHeight="1">
      <c r="B81" s="17"/>
      <c r="C81" s="9"/>
      <c r="D81" s="9"/>
      <c r="E81" s="13"/>
      <c r="F81" s="168"/>
      <c r="G81" s="9"/>
      <c r="H81" s="9"/>
      <c r="J81" s="167"/>
      <c r="K81" s="9"/>
      <c r="L81" s="9"/>
    </row>
    <row r="82" ht="14.25" customHeight="1">
      <c r="B82" s="17"/>
      <c r="C82" s="9"/>
      <c r="D82" s="9"/>
      <c r="E82" s="13"/>
      <c r="F82" s="168"/>
      <c r="G82" s="9"/>
      <c r="H82" s="9"/>
      <c r="J82" s="167"/>
      <c r="K82" s="9"/>
      <c r="L82" s="9"/>
    </row>
    <row r="83" ht="14.25" customHeight="1">
      <c r="B83" s="17"/>
      <c r="C83" s="9"/>
      <c r="D83" s="9"/>
      <c r="E83" s="13"/>
      <c r="F83" s="168"/>
      <c r="G83" s="9"/>
      <c r="H83" s="9"/>
      <c r="J83" s="167"/>
      <c r="K83" s="9"/>
      <c r="L83" s="9"/>
    </row>
    <row r="84" ht="14.25" customHeight="1">
      <c r="B84" s="17"/>
      <c r="C84" s="9"/>
      <c r="D84" s="9"/>
      <c r="E84" s="13"/>
      <c r="F84" s="168"/>
      <c r="G84" s="9"/>
      <c r="H84" s="9"/>
      <c r="J84" s="167"/>
      <c r="K84" s="9"/>
      <c r="L84" s="9"/>
    </row>
    <row r="85" ht="14.25" customHeight="1">
      <c r="B85" s="17"/>
      <c r="C85" s="9"/>
      <c r="D85" s="9"/>
      <c r="E85" s="13"/>
      <c r="F85" s="168"/>
      <c r="G85" s="9"/>
      <c r="H85" s="9"/>
      <c r="J85" s="167"/>
      <c r="K85" s="9"/>
      <c r="L85" s="9"/>
    </row>
    <row r="86" ht="14.25" customHeight="1">
      <c r="B86" s="17"/>
      <c r="C86" s="9"/>
      <c r="D86" s="9"/>
      <c r="E86" s="13"/>
      <c r="F86" s="168"/>
      <c r="G86" s="9"/>
      <c r="H86" s="9"/>
      <c r="J86" s="167"/>
      <c r="K86" s="9"/>
      <c r="L86" s="9"/>
    </row>
    <row r="87" ht="14.25" customHeight="1">
      <c r="B87" s="17"/>
      <c r="C87" s="9"/>
      <c r="D87" s="9"/>
      <c r="E87" s="13"/>
      <c r="F87" s="168"/>
      <c r="G87" s="9"/>
      <c r="H87" s="9"/>
      <c r="J87" s="167"/>
      <c r="K87" s="9"/>
      <c r="L87" s="9"/>
    </row>
    <row r="88" ht="14.25" customHeight="1">
      <c r="B88" s="17"/>
      <c r="C88" s="9"/>
      <c r="D88" s="9"/>
      <c r="F88" s="168"/>
      <c r="G88" s="9"/>
      <c r="H88" s="9"/>
      <c r="J88" s="167"/>
      <c r="K88" s="9"/>
      <c r="L88" s="9"/>
    </row>
    <row r="89" ht="14.25" customHeight="1">
      <c r="B89" s="8"/>
      <c r="C89" s="9"/>
      <c r="F89" s="168"/>
      <c r="G89" s="9"/>
      <c r="H89" s="9"/>
      <c r="J89" s="167"/>
      <c r="K89" s="9"/>
      <c r="L89" s="9"/>
    </row>
    <row r="90" ht="14.25" customHeight="1">
      <c r="B90" s="8"/>
      <c r="C90" s="9"/>
    </row>
    <row r="91" ht="14.25" customHeight="1">
      <c r="B91" s="8"/>
      <c r="C91" s="9"/>
    </row>
    <row r="92" ht="14.25" customHeight="1">
      <c r="B92" s="8"/>
      <c r="C92" s="9"/>
    </row>
    <row r="93" ht="14.25" customHeight="1">
      <c r="B93" s="8"/>
      <c r="C93" s="9"/>
    </row>
    <row r="94" ht="14.25" customHeight="1">
      <c r="B94" s="8"/>
      <c r="C94" s="9"/>
    </row>
    <row r="95" ht="14.25" customHeight="1">
      <c r="B95" s="8"/>
      <c r="C95" s="9"/>
    </row>
    <row r="96" ht="14.25" customHeight="1">
      <c r="B96" s="8"/>
      <c r="C96" s="9"/>
    </row>
    <row r="97" ht="14.25" customHeight="1">
      <c r="B97" s="8"/>
      <c r="C97" s="9"/>
    </row>
    <row r="98" ht="15.75" customHeight="1">
      <c r="B98" s="8"/>
      <c r="C98" s="9"/>
    </row>
    <row r="99" ht="15.75" customHeight="1">
      <c r="B99" s="8"/>
      <c r="C99" s="9"/>
    </row>
    <row r="100" ht="15.75" customHeight="1">
      <c r="B100" s="8"/>
      <c r="C100" s="9"/>
    </row>
    <row r="101" ht="15.75" customHeight="1">
      <c r="B101" s="8"/>
      <c r="C101" s="9"/>
    </row>
    <row r="102" ht="15.75" customHeight="1">
      <c r="B102" s="8"/>
      <c r="C102" s="9"/>
    </row>
    <row r="103" ht="15.75" customHeight="1">
      <c r="B103" s="8"/>
      <c r="C103" s="9"/>
    </row>
    <row r="104" ht="15.75" customHeight="1">
      <c r="B104" s="8"/>
      <c r="C104" s="9"/>
    </row>
    <row r="105" ht="15.75" customHeight="1">
      <c r="B105" s="8"/>
      <c r="C105" s="9"/>
    </row>
    <row r="106" ht="15.75" customHeight="1">
      <c r="B106" s="8"/>
      <c r="C106" s="9"/>
    </row>
    <row r="107" ht="15.75" customHeight="1">
      <c r="B107" s="8"/>
      <c r="C107" s="9"/>
    </row>
    <row r="108" ht="15.75" customHeight="1">
      <c r="B108" s="8"/>
      <c r="C108" s="9"/>
    </row>
    <row r="109" ht="15.75" customHeight="1">
      <c r="B109" s="8"/>
      <c r="C109" s="9"/>
    </row>
    <row r="110" ht="15.75" customHeight="1">
      <c r="B110" s="8"/>
      <c r="C110" s="9"/>
    </row>
    <row r="111" ht="15.75" customHeight="1">
      <c r="B111" s="8"/>
      <c r="C111" s="9"/>
    </row>
    <row r="112" ht="15.75" customHeight="1">
      <c r="B112" s="8"/>
      <c r="C112" s="9"/>
    </row>
    <row r="113" ht="15.75" customHeight="1">
      <c r="B113" s="8"/>
      <c r="C113" s="9"/>
    </row>
    <row r="114" ht="15.75" customHeight="1">
      <c r="B114" s="8"/>
      <c r="C114" s="9"/>
    </row>
    <row r="115" ht="15.75" customHeight="1">
      <c r="B115" s="8"/>
      <c r="C115" s="9"/>
    </row>
    <row r="116" ht="15.75" customHeight="1">
      <c r="B116" s="8"/>
      <c r="C116" s="9"/>
    </row>
    <row r="117" ht="15.75" customHeight="1">
      <c r="B117" s="8"/>
      <c r="C117" s="9"/>
    </row>
    <row r="118" ht="15.75" customHeight="1">
      <c r="B118" s="8"/>
      <c r="C118" s="9"/>
    </row>
    <row r="119" ht="15.75" customHeight="1">
      <c r="B119" s="8"/>
      <c r="C119" s="9"/>
    </row>
    <row r="120" ht="15.75" customHeight="1">
      <c r="B120" s="8"/>
      <c r="C120" s="9"/>
    </row>
    <row r="121" ht="15.75" customHeight="1">
      <c r="B121" s="8"/>
      <c r="C121" s="9"/>
    </row>
    <row r="122" ht="15.75" customHeight="1">
      <c r="B122" s="8"/>
      <c r="C122" s="9"/>
    </row>
    <row r="123" ht="15.75" customHeight="1">
      <c r="B123" s="8"/>
      <c r="C123" s="9"/>
    </row>
    <row r="124" ht="15.75" customHeight="1">
      <c r="B124" s="8"/>
      <c r="C124" s="9"/>
    </row>
    <row r="125" ht="15.75" customHeight="1">
      <c r="B125" s="8"/>
      <c r="C125" s="9"/>
    </row>
    <row r="126" ht="15.75" customHeight="1">
      <c r="B126" s="8"/>
      <c r="C126" s="9"/>
    </row>
    <row r="127" ht="15.75" customHeight="1">
      <c r="B127" s="8"/>
      <c r="C127" s="9"/>
    </row>
    <row r="128" ht="15.75" customHeight="1">
      <c r="B128" s="8"/>
      <c r="C128" s="9"/>
    </row>
    <row r="129" ht="15.75" customHeight="1">
      <c r="B129" s="8"/>
      <c r="C129" s="9"/>
    </row>
    <row r="130" ht="15.75" customHeight="1">
      <c r="B130" s="8"/>
      <c r="C130" s="9"/>
    </row>
    <row r="131" ht="15.75" customHeight="1">
      <c r="B131" s="8"/>
      <c r="C131" s="9"/>
    </row>
    <row r="132" ht="15.75" customHeight="1">
      <c r="B132" s="8"/>
      <c r="C132" s="9"/>
    </row>
    <row r="133" ht="15.75" customHeight="1">
      <c r="B133" s="8"/>
      <c r="C133" s="9"/>
    </row>
    <row r="134" ht="15.75" customHeight="1">
      <c r="B134" s="8"/>
      <c r="C134" s="9"/>
    </row>
    <row r="135" ht="15.75" customHeight="1">
      <c r="B135" s="8"/>
      <c r="C135" s="9"/>
    </row>
    <row r="136" ht="15.75" customHeight="1">
      <c r="B136" s="8"/>
      <c r="C136" s="9"/>
    </row>
    <row r="137" ht="15.75" customHeight="1">
      <c r="B137" s="8"/>
      <c r="C137" s="9"/>
    </row>
    <row r="138" ht="15.75" customHeight="1">
      <c r="B138" s="8"/>
      <c r="C138" s="9"/>
    </row>
    <row r="139" ht="15.75" customHeight="1">
      <c r="B139" s="8"/>
      <c r="C139" s="9"/>
    </row>
    <row r="140" ht="15.75" customHeight="1">
      <c r="B140" s="8"/>
      <c r="C140" s="9"/>
    </row>
    <row r="141" ht="15.75" customHeight="1">
      <c r="B141" s="8"/>
      <c r="C141" s="9"/>
    </row>
    <row r="142" ht="15.75" customHeight="1">
      <c r="B142" s="8"/>
      <c r="C142" s="9"/>
    </row>
    <row r="143" ht="15.75" customHeight="1">
      <c r="B143" s="8"/>
      <c r="C143" s="9"/>
    </row>
    <row r="144" ht="15.75" customHeight="1">
      <c r="B144" s="8"/>
      <c r="C144" s="9"/>
    </row>
    <row r="145" ht="15.75" customHeight="1">
      <c r="B145" s="8"/>
      <c r="C145" s="9"/>
    </row>
    <row r="146" ht="15.75" customHeight="1">
      <c r="B146" s="8"/>
      <c r="C146" s="9"/>
    </row>
    <row r="147" ht="15.75" customHeight="1">
      <c r="B147" s="8"/>
      <c r="C147" s="9"/>
    </row>
    <row r="148" ht="15.75" customHeight="1">
      <c r="B148" s="8"/>
      <c r="C148" s="9"/>
    </row>
    <row r="149" ht="15.75" customHeight="1">
      <c r="B149" s="8"/>
      <c r="C149" s="9"/>
    </row>
    <row r="150" ht="15.75" customHeight="1">
      <c r="B150" s="8"/>
      <c r="C150" s="9"/>
    </row>
    <row r="151" ht="15.75" customHeight="1">
      <c r="B151" s="8"/>
      <c r="C151" s="9"/>
    </row>
    <row r="152" ht="15.75" customHeight="1">
      <c r="B152" s="8"/>
      <c r="C152" s="9"/>
    </row>
    <row r="153" ht="15.75" customHeight="1">
      <c r="B153" s="8"/>
      <c r="C153" s="9"/>
    </row>
    <row r="154" ht="15.75" customHeight="1">
      <c r="B154" s="8"/>
      <c r="C154" s="9"/>
    </row>
    <row r="155" ht="15.75" customHeight="1">
      <c r="B155" s="8"/>
      <c r="C155" s="9"/>
    </row>
    <row r="156" ht="15.75" customHeight="1">
      <c r="B156" s="8"/>
      <c r="C156" s="9"/>
    </row>
    <row r="157" ht="15.75" customHeight="1">
      <c r="B157" s="8"/>
      <c r="C157" s="9"/>
    </row>
    <row r="158" ht="15.75" customHeight="1">
      <c r="B158" s="8"/>
      <c r="C158" s="9"/>
    </row>
    <row r="159" ht="15.75" customHeight="1">
      <c r="B159" s="8"/>
      <c r="C159" s="9"/>
    </row>
    <row r="160" ht="15.75" customHeight="1">
      <c r="B160" s="8"/>
      <c r="C160" s="9"/>
    </row>
    <row r="161" ht="15.75" customHeight="1">
      <c r="B161" s="8"/>
      <c r="C161" s="9"/>
    </row>
    <row r="162" ht="15.75" customHeight="1">
      <c r="B162" s="8"/>
      <c r="C162" s="9"/>
    </row>
    <row r="163" ht="15.75" customHeight="1">
      <c r="B163" s="8"/>
      <c r="C163" s="9"/>
    </row>
    <row r="164" ht="15.75" customHeight="1">
      <c r="B164" s="8"/>
      <c r="C164" s="9"/>
    </row>
    <row r="165" ht="15.75" customHeight="1">
      <c r="B165" s="52"/>
    </row>
    <row r="166" ht="15.75" customHeight="1">
      <c r="B166" s="52"/>
    </row>
    <row r="167" ht="15.75" customHeight="1">
      <c r="B167" s="52"/>
    </row>
    <row r="168" ht="15.75" customHeight="1">
      <c r="B168" s="52"/>
    </row>
    <row r="169" ht="15.75" customHeight="1">
      <c r="B169" s="52"/>
    </row>
    <row r="170" ht="15.75" customHeight="1">
      <c r="B170" s="52"/>
    </row>
    <row r="171" ht="15.75" customHeight="1">
      <c r="B171" s="52"/>
    </row>
    <row r="172" ht="15.75" customHeight="1">
      <c r="B172" s="52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121</v>
      </c>
      <c r="D1" s="142"/>
      <c r="E1" s="169"/>
      <c r="F1" s="142"/>
      <c r="G1" s="142" t="s">
        <v>122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17">
        <v>11189.0</v>
      </c>
      <c r="C3" s="9" t="str">
        <f>VLOOKUP(B3,'FML March 2026'!E:F,2,false)</f>
        <v>BEEF GROUND CHUCK C.A.B./ ANGUS NAMP 137-2</v>
      </c>
      <c r="D3" s="9" t="str">
        <f>VLOOKUP(B3,'Unit of Measure ship March 2026'!A:C,3,false)</f>
        <v>LBS</v>
      </c>
      <c r="F3" s="17">
        <v>10052.0</v>
      </c>
      <c r="G3" s="9" t="str">
        <f>VLOOKUP(F3,'FML March 2026'!E:F,2,false)</f>
        <v>COD FILLET BERING SEA 16/32 OZ FROZEN (PCH) (CHINA)</v>
      </c>
      <c r="H3" s="9" t="str">
        <f>VLOOKUP(F3,'Unit of Measure ship March 2026'!A:C,3,false)</f>
        <v>LBS</v>
      </c>
    </row>
    <row r="4" ht="14.25" customHeight="1">
      <c r="B4" s="17">
        <v>14369.0</v>
      </c>
      <c r="C4" s="9" t="str">
        <f>VLOOKUP(B4,'FML March 2026'!E:F,2,false)</f>
        <v>BEEF INSIDE TOP ROUND CHOICE UNTRIMMED NAMP-168 EU (USA)</v>
      </c>
      <c r="D4" s="9" t="str">
        <f>VLOOKUP(B4,'Unit of Measure ship March 2026'!A:C,3,false)</f>
        <v>LBS</v>
      </c>
      <c r="F4" s="17">
        <v>14670.0</v>
      </c>
      <c r="G4" s="9" t="str">
        <f>VLOOKUP(F4,'FML March 2026'!E:F,2,false)</f>
        <v>RED SNAPPER FILLET SKIN-ON 1-3 LB FROZEN (IP IS FTZ) (VIETNAM)</v>
      </c>
      <c r="H4" s="9" t="str">
        <f>VLOOKUP(F4,'Unit of Measure ship March 2026'!A:C,3,false)</f>
        <v>LBS</v>
      </c>
    </row>
    <row r="5" ht="14.25" customHeight="1">
      <c r="B5" s="8">
        <v>110970.0</v>
      </c>
      <c r="C5" s="9" t="str">
        <f>VLOOKUP(B5,'FML March 2026'!E:F,2,false)</f>
        <v>BEEF SHORT RIBS BONELESS VV, NAMP-130A</v>
      </c>
      <c r="D5" s="9" t="str">
        <f>VLOOKUP(B5,'Unit of Measure ship March 2026'!A:C,3,false)</f>
        <v>LBS</v>
      </c>
      <c r="F5" s="8">
        <v>53625.0</v>
      </c>
      <c r="G5" s="9" t="str">
        <f>VLOOKUP(F5,'FML March 2026'!E:F,2,false)</f>
        <v>SALMON FILLET, ATLANTIC, PREMIUM, FROZEN, 3 - 4 LB D-TRIM INDV. CRYOVAC (CHILE)</v>
      </c>
      <c r="H5" s="9" t="str">
        <f>VLOOKUP(F5,'Unit of Measure ship March 2026'!A:C,3,false)</f>
        <v>LBS</v>
      </c>
    </row>
    <row r="6" ht="14.25" customHeight="1">
      <c r="B6" s="48">
        <v>148887.0</v>
      </c>
      <c r="C6" s="9" t="str">
        <f>VLOOKUP(B6,'FML March 2026'!E:F,2,false)</f>
        <v>BEEF TENDERLOIN PEELED STRAP-ON  100 DAY GRAIN FED JBS (AUSTRALIA) NAMP-189A</v>
      </c>
      <c r="D6" s="9" t="str">
        <f>VLOOKUP(B6,'Unit of Measure ship March 2026'!A:C,3,false)</f>
        <v>LBS</v>
      </c>
      <c r="F6" s="8">
        <v>45475.0</v>
      </c>
      <c r="G6" s="9" t="str">
        <f>VLOOKUP(F6,'FML March 2026'!E:F,2,false)</f>
        <v>SARDINES WHOLE FROZEN NIGEL/PACKER (USA)</v>
      </c>
      <c r="H6" s="9" t="str">
        <f>VLOOKUP(F6,'Unit of Measure ship March 2026'!A:C,3,false)</f>
        <v>LBS</v>
      </c>
    </row>
    <row r="7" ht="14.25" customHeight="1">
      <c r="B7" s="15">
        <v>34728.0</v>
      </c>
      <c r="C7" s="9" t="str">
        <f>VLOOKUP(B7,'FML March 2026'!E:F,2,false)</f>
        <v>BEEF, STRIPLOIN, BONELESS, 13 DWN, UPPER 2/3, CHOICE, ANGUS, 40 DAY AGED, 0X1, NAMP 180, USA ONLY, &lt;22 LB EA, FZN, 3/1 EA</v>
      </c>
      <c r="D7" s="9" t="str">
        <f>VLOOKUP(B7,'Unit of Measure ship March 2026'!A:C,3,false)</f>
        <v>LBS</v>
      </c>
      <c r="F7" s="8">
        <v>42269.0</v>
      </c>
      <c r="G7" s="9" t="str">
        <f>VLOOKUP(F7,'FML March 2026'!E:F,2,false)</f>
        <v>SHRIMP 16/20 RAW P&amp;D TAIL-ON CS10/LB SURAM ROYAL WHITE (VIETNAM)</v>
      </c>
      <c r="H7" s="9" t="str">
        <f>VLOOKUP(F7,'Unit of Measure ship March 2026'!A:C,3,false)</f>
        <v>LBS</v>
      </c>
    </row>
    <row r="8" ht="14.25" customHeight="1">
      <c r="B8" s="17">
        <v>11690.0</v>
      </c>
      <c r="C8" s="9" t="str">
        <f>VLOOKUP(B8,'FML March 2026'!E:F,2,false)</f>
        <v>CHICKEN BREAST, BONELESS, SKINLESS, NON-MARINATED, NON-INJECTED, 6-7 OZ EA, FZN, 1/40 LB</v>
      </c>
      <c r="D8" s="9" t="str">
        <f>VLOOKUP(B8,'Unit of Measure ship March 2026'!A:C,3,false)</f>
        <v>LBS</v>
      </c>
      <c r="G8" s="9"/>
      <c r="H8" s="9"/>
    </row>
    <row r="9" ht="14.25" customHeight="1">
      <c r="B9" s="17">
        <v>14581.0</v>
      </c>
      <c r="C9" s="9" t="str">
        <f>VLOOKUP(B9,'FML March 2026'!E:F,2,false)</f>
        <v>CHICKEN LEG QUARTERS FROZEN  PACKER (USA)</v>
      </c>
      <c r="D9" s="9" t="str">
        <f>VLOOKUP(B9,'Unit of Measure ship March 2026'!A:C,3,false)</f>
        <v>LBS</v>
      </c>
      <c r="G9" s="9"/>
      <c r="H9" s="9"/>
    </row>
    <row r="10" ht="14.25" customHeight="1">
      <c r="B10" s="17">
        <v>11695.0</v>
      </c>
      <c r="C10" s="9" t="str">
        <f>VLOOKUP(B10,'FML March 2026'!E:F,2,false)</f>
        <v>CHICKEN LEG/THIGH BONELESS &amp; SKINLESS FROZEN</v>
      </c>
      <c r="D10" s="9" t="str">
        <f>VLOOKUP(B10,'Unit of Measure ship March 2026'!A:C,3,false)</f>
        <v>LBS</v>
      </c>
      <c r="G10" s="9"/>
      <c r="H10" s="9"/>
    </row>
    <row r="11" ht="14.25" customHeight="1">
      <c r="B11" s="17">
        <v>14523.0</v>
      </c>
      <c r="C11" s="9" t="str">
        <f>VLOOKUP(B11,'FML March 2026'!E:F,2,false)</f>
        <v>CHICKEN WINGS SMALL (WHOLE) RAW RANDOM SIZE BULK PACK (USA)</v>
      </c>
      <c r="D11" s="9" t="str">
        <f>VLOOKUP(B11,'Unit of Measure ship March 2026'!A:C,3,false)</f>
        <v>LBS</v>
      </c>
      <c r="G11" s="9"/>
      <c r="H11" s="9"/>
    </row>
    <row r="12" ht="14.25" customHeight="1">
      <c r="B12" s="8">
        <v>62645.0</v>
      </c>
      <c r="C12" s="9" t="str">
        <f>VLOOKUP(B12,'FML March 2026'!E:F,2,false)</f>
        <v>CHICKEN WINGS WHOLE  RAW JUMBO CS4/10 LB</v>
      </c>
      <c r="D12" s="9" t="str">
        <f>VLOOKUP(B12,'Unit of Measure ship March 2026'!A:C,3,false)</f>
        <v>LBS</v>
      </c>
      <c r="F12" s="149"/>
      <c r="G12" s="9"/>
      <c r="H12" s="9"/>
    </row>
    <row r="13" ht="14.25" customHeight="1">
      <c r="B13" s="17">
        <v>14576.0</v>
      </c>
      <c r="C13" s="9" t="str">
        <f>VLOOKUP(B13,'FML March 2026'!E:F,2,false)</f>
        <v>CHICKEN, FRYER, WOG, IND WRAPPED, NON-INJECTED, 2.50-3.25 LB EA, FZN, 12/1 EA</v>
      </c>
      <c r="D13" s="9" t="str">
        <f>VLOOKUP(B13,'Unit of Measure ship March 2026'!A:C,3,false)</f>
        <v>LBS</v>
      </c>
      <c r="F13" s="149"/>
      <c r="G13" s="9"/>
      <c r="H13" s="9"/>
    </row>
    <row r="14" ht="14.25" customHeight="1">
      <c r="B14" s="17">
        <v>14407.0</v>
      </c>
      <c r="C14" s="9" t="str">
        <f>VLOOKUP(B14,'FML March 2026'!E:F,2,false)</f>
        <v>LAMB LEGS BONELESS ROLLED &amp; TIED FROZEN VAC-PAC (AUSTRALIA)</v>
      </c>
      <c r="D14" s="9" t="str">
        <f>VLOOKUP(B14,'Unit of Measure ship March 2026'!A:C,3,false)</f>
        <v>LBS</v>
      </c>
      <c r="F14" s="149"/>
      <c r="G14" s="9"/>
      <c r="H14" s="9"/>
    </row>
    <row r="15" ht="14.25" customHeight="1">
      <c r="B15" s="17">
        <v>14424.0</v>
      </c>
      <c r="C15" s="9" t="str">
        <f>VLOOKUP(B15,'FML March 2026'!E:F,2,false)</f>
        <v>LAMB SHOULDER SQUARE CUT NECK-ON FROZEN  (AUSTRALIA)</v>
      </c>
      <c r="D15" s="9" t="str">
        <f>VLOOKUP(B15,'Unit of Measure ship March 2026'!A:C,3,false)</f>
        <v>LBS</v>
      </c>
      <c r="F15" s="149"/>
      <c r="G15" s="9"/>
      <c r="H15" s="9"/>
    </row>
    <row r="16" ht="14.25" customHeight="1">
      <c r="B16" s="8">
        <v>24773.0</v>
      </c>
      <c r="C16" s="9" t="str">
        <f>VLOOKUP(B16,'FML March 2026'!E:F,2,false)</f>
        <v>PORK BELLY RAW RIND-ON (USA)</v>
      </c>
      <c r="D16" s="9" t="str">
        <f>VLOOKUP(B16,'Unit of Measure ship March 2026'!A:C,3,false)</f>
        <v>LBS</v>
      </c>
      <c r="F16" s="149"/>
      <c r="G16" s="9"/>
      <c r="H16" s="9"/>
    </row>
    <row r="17" ht="14.25" customHeight="1">
      <c r="B17" s="8">
        <v>112199.0</v>
      </c>
      <c r="C17" s="9" t="str">
        <f>VLOOKUP(B17,'FML March 2026'!E:F,2,false)</f>
        <v>PORK CHAR CHASHU PORK BELLY CS22/LBS  POCINO 42461</v>
      </c>
      <c r="D17" s="9" t="str">
        <f>VLOOKUP(B17,'Unit of Measure ship March 2026'!A:C,3,false)</f>
        <v>LBS</v>
      </c>
      <c r="F17" s="149"/>
      <c r="G17" s="9"/>
      <c r="H17" s="9"/>
    </row>
    <row r="18" ht="14.25" customHeight="1">
      <c r="B18" s="17">
        <v>14443.0</v>
      </c>
      <c r="C18" s="9" t="str">
        <f>VLOOKUP(B18,'FML March 2026'!E:F,2,false)</f>
        <v>PORK LOIN BACK RIBS 1-1/2# DOWN DOMESTIC NAMP 422 (USA)</v>
      </c>
      <c r="D18" s="9" t="str">
        <f>VLOOKUP(B18,'Unit of Measure ship March 2026'!A:C,3,false)</f>
        <v>LBS</v>
      </c>
      <c r="F18" s="149"/>
      <c r="G18" s="9"/>
      <c r="H18" s="9"/>
    </row>
    <row r="19" ht="14.25" customHeight="1">
      <c r="B19" s="17">
        <v>14399.0</v>
      </c>
      <c r="C19" s="9" t="str">
        <f>VLOOKUP(B19,'FML March 2026'!E:F,2,false)</f>
        <v>PORK LOIN WHOLE CRYOVAC  22-24   DOWN BONE IN, NAMP411 (USA)</v>
      </c>
      <c r="D19" s="9" t="str">
        <f>VLOOKUP(B19,'Unit of Measure ship March 2026'!A:C,3,false)</f>
        <v>LBS</v>
      </c>
      <c r="F19" s="149"/>
      <c r="G19" s="9"/>
      <c r="H19" s="9"/>
    </row>
    <row r="20" ht="14.25" customHeight="1">
      <c r="B20" s="17">
        <v>14400.0</v>
      </c>
      <c r="C20" s="9" t="str">
        <f>VLOOKUP(B20,'FML March 2026'!E:F,2,false)</f>
        <v>PORK, HAM LEG, BONE IN, SHORT SHANK, SKIN ON, FRESH, NAMP 401A, &gt;23 LB EA, FZN</v>
      </c>
      <c r="D20" s="9" t="str">
        <f>VLOOKUP(B20,'Unit of Measure ship March 2026'!A:C,3,false)</f>
        <v>LBS</v>
      </c>
      <c r="F20" s="149"/>
      <c r="G20" s="9"/>
      <c r="H20" s="9"/>
    </row>
    <row r="21" ht="14.25" customHeight="1">
      <c r="B21" s="17">
        <v>14577.0</v>
      </c>
      <c r="C21" s="9" t="str">
        <f>VLOOKUP(B21,'FML March 2026'!E:F,2,false)</f>
        <v>TURKEYS WHOLE  20/22 OR 22/24 LB GRADE "A" (USA)</v>
      </c>
      <c r="D21" s="9" t="str">
        <f>VLOOKUP(B21,'Unit of Measure ship March 2026'!A:C,3,false)</f>
        <v>LBS</v>
      </c>
      <c r="F21" s="149"/>
      <c r="G21" s="9"/>
      <c r="H21" s="9"/>
    </row>
    <row r="22" ht="14.25" customHeight="1">
      <c r="C22" s="9"/>
      <c r="D22" s="9"/>
      <c r="F22" s="149"/>
      <c r="G22" s="9"/>
      <c r="H22" s="9"/>
    </row>
    <row r="23" ht="14.25" customHeight="1">
      <c r="C23" s="9"/>
      <c r="D23" s="9"/>
      <c r="F23" s="149"/>
      <c r="G23" s="9"/>
      <c r="H23" s="9"/>
    </row>
    <row r="24" ht="14.25" customHeight="1">
      <c r="C24" s="9"/>
      <c r="D24" s="9"/>
      <c r="F24" s="149"/>
      <c r="G24" s="9"/>
      <c r="H24" s="9"/>
    </row>
    <row r="25" ht="14.25" customHeight="1">
      <c r="C25" s="9"/>
      <c r="D25" s="9"/>
      <c r="F25" s="149"/>
      <c r="G25" s="9"/>
      <c r="H25" s="9"/>
    </row>
    <row r="26" ht="14.25" customHeight="1">
      <c r="C26" s="9"/>
      <c r="D26" s="9"/>
      <c r="F26" s="149"/>
      <c r="G26" s="9"/>
      <c r="H26" s="9"/>
    </row>
    <row r="27" ht="14.25" customHeight="1">
      <c r="C27" s="9"/>
      <c r="D27" s="9"/>
      <c r="F27" s="149"/>
      <c r="G27" s="9"/>
      <c r="H27" s="9"/>
    </row>
    <row r="28" ht="14.25" customHeight="1">
      <c r="C28" s="9"/>
      <c r="D28" s="9"/>
      <c r="F28" s="149"/>
      <c r="G28" s="9"/>
      <c r="H28" s="9"/>
    </row>
    <row r="29" ht="14.25" customHeight="1">
      <c r="C29" s="9"/>
      <c r="D29" s="9"/>
      <c r="F29" s="149"/>
      <c r="G29" s="9"/>
      <c r="H29" s="9"/>
    </row>
    <row r="30" ht="14.25" customHeight="1">
      <c r="C30" s="9"/>
      <c r="D30" s="9"/>
      <c r="F30" s="149"/>
      <c r="G30" s="9"/>
      <c r="H30" s="9"/>
    </row>
    <row r="31" ht="14.25" customHeight="1">
      <c r="C31" s="9"/>
      <c r="D31" s="9"/>
      <c r="F31" s="149"/>
      <c r="G31" s="9"/>
      <c r="H31" s="9"/>
    </row>
    <row r="32" ht="14.25" customHeight="1">
      <c r="C32" s="9"/>
      <c r="D32" s="9"/>
      <c r="F32" s="149"/>
      <c r="G32" s="9"/>
      <c r="H32" s="9"/>
    </row>
    <row r="33" ht="14.25" customHeight="1">
      <c r="C33" s="9"/>
      <c r="D33" s="9"/>
      <c r="F33" s="149"/>
      <c r="G33" s="9"/>
      <c r="H33" s="9"/>
    </row>
    <row r="34" ht="14.25" customHeight="1">
      <c r="C34" s="9"/>
      <c r="D34" s="9"/>
      <c r="F34" s="149"/>
      <c r="G34" s="9"/>
      <c r="H34" s="9"/>
    </row>
    <row r="35" ht="14.25" customHeight="1">
      <c r="C35" s="9"/>
      <c r="D35" s="9"/>
      <c r="F35" s="149"/>
      <c r="G35" s="9"/>
      <c r="H35" s="9"/>
    </row>
    <row r="36" ht="14.25" customHeight="1">
      <c r="C36" s="9"/>
      <c r="D36" s="9"/>
      <c r="F36" s="149"/>
      <c r="G36" s="9"/>
      <c r="H36" s="9"/>
    </row>
    <row r="37" ht="14.25" customHeight="1">
      <c r="C37" s="9"/>
      <c r="D37" s="9"/>
      <c r="F37" s="149"/>
      <c r="G37" s="9"/>
      <c r="H37" s="9"/>
    </row>
    <row r="38" ht="14.25" customHeight="1">
      <c r="C38" s="9"/>
      <c r="D38" s="9"/>
      <c r="F38" s="149"/>
      <c r="G38" s="9"/>
      <c r="H38" s="9"/>
    </row>
    <row r="39" ht="14.25" customHeight="1">
      <c r="C39" s="9"/>
      <c r="D39" s="9"/>
      <c r="F39" s="149"/>
      <c r="G39" s="9"/>
      <c r="H39" s="9"/>
    </row>
    <row r="40" ht="14.25" customHeight="1">
      <c r="C40" s="9"/>
      <c r="D40" s="9"/>
      <c r="F40" s="149"/>
      <c r="G40" s="9"/>
      <c r="H40" s="9"/>
    </row>
    <row r="41" ht="14.25" customHeight="1">
      <c r="C41" s="9"/>
      <c r="D41" s="9"/>
      <c r="F41" s="149"/>
      <c r="G41" s="9"/>
      <c r="H41" s="9"/>
    </row>
    <row r="42" ht="14.25" customHeight="1">
      <c r="C42" s="9"/>
      <c r="D42" s="9"/>
      <c r="F42" s="149"/>
      <c r="G42" s="9"/>
      <c r="H42" s="9"/>
    </row>
    <row r="43" ht="14.25" customHeight="1">
      <c r="C43" s="9"/>
      <c r="D43" s="9"/>
      <c r="F43" s="149"/>
      <c r="G43" s="9"/>
      <c r="H43" s="9"/>
    </row>
    <row r="44" ht="14.25" customHeight="1">
      <c r="C44" s="9"/>
      <c r="D44" s="9"/>
      <c r="F44" s="149"/>
      <c r="G44" s="9"/>
      <c r="H44" s="9"/>
    </row>
    <row r="45" ht="14.25" customHeight="1">
      <c r="B45" s="160"/>
      <c r="C45" s="9"/>
      <c r="D45" s="9"/>
      <c r="F45" s="149"/>
      <c r="G45" s="9"/>
      <c r="H45" s="9"/>
    </row>
    <row r="46" ht="14.25" customHeight="1">
      <c r="B46" s="160"/>
      <c r="C46" s="9"/>
      <c r="D46" s="9"/>
      <c r="F46" s="149"/>
      <c r="G46" s="9"/>
      <c r="H46" s="9"/>
    </row>
    <row r="47" ht="14.25" customHeight="1">
      <c r="B47" s="160"/>
      <c r="C47" s="9"/>
      <c r="D47" s="9"/>
      <c r="F47" s="149"/>
      <c r="G47" s="9"/>
      <c r="H47" s="9"/>
    </row>
    <row r="48" ht="14.25" customHeight="1">
      <c r="B48" s="160"/>
      <c r="C48" s="9"/>
      <c r="D48" s="9"/>
      <c r="F48" s="149"/>
      <c r="G48" s="9"/>
      <c r="H48" s="9"/>
    </row>
    <row r="49" ht="14.25" customHeight="1">
      <c r="B49" s="160"/>
      <c r="C49" s="9"/>
      <c r="D49" s="9"/>
      <c r="F49" s="149"/>
      <c r="G49" s="9"/>
      <c r="H49" s="9"/>
    </row>
    <row r="50" ht="14.25" customHeight="1">
      <c r="B50" s="160"/>
      <c r="C50" s="9"/>
      <c r="D50" s="9"/>
      <c r="F50" s="149"/>
      <c r="G50" s="9"/>
      <c r="H50" s="9"/>
    </row>
    <row r="51" ht="14.25" customHeight="1">
      <c r="B51" s="160"/>
      <c r="C51" s="9"/>
      <c r="D51" s="9"/>
      <c r="F51" s="149"/>
      <c r="G51" s="9"/>
      <c r="H51" s="9"/>
    </row>
    <row r="52" ht="14.25" customHeight="1">
      <c r="B52" s="160"/>
      <c r="C52" s="9"/>
      <c r="D52" s="9"/>
      <c r="F52" s="149"/>
      <c r="G52" s="9"/>
      <c r="H52" s="9"/>
    </row>
    <row r="53" ht="14.25" customHeight="1">
      <c r="B53" s="160"/>
      <c r="C53" s="9"/>
      <c r="D53" s="9"/>
      <c r="F53" s="149"/>
      <c r="G53" s="9"/>
      <c r="H53" s="9"/>
    </row>
    <row r="54" ht="14.25" customHeight="1">
      <c r="B54" s="160"/>
      <c r="C54" s="9"/>
      <c r="D54" s="9"/>
      <c r="F54" s="149"/>
      <c r="G54" s="9"/>
      <c r="H54" s="9"/>
    </row>
    <row r="55" ht="14.25" customHeight="1">
      <c r="B55" s="160"/>
      <c r="C55" s="9"/>
      <c r="D55" s="9"/>
      <c r="F55" s="149"/>
      <c r="G55" s="9"/>
      <c r="H55" s="9"/>
    </row>
    <row r="56" ht="14.25" customHeight="1">
      <c r="B56" s="160"/>
      <c r="C56" s="9"/>
      <c r="D56" s="9"/>
      <c r="F56" s="149"/>
      <c r="G56" s="9"/>
      <c r="H56" s="9"/>
    </row>
    <row r="57" ht="14.25" customHeight="1">
      <c r="B57" s="160"/>
      <c r="C57" s="9"/>
      <c r="D57" s="9"/>
      <c r="F57" s="149"/>
      <c r="G57" s="9"/>
      <c r="H57" s="9"/>
    </row>
    <row r="58" ht="14.25" customHeight="1">
      <c r="B58" s="160"/>
      <c r="C58" s="9"/>
      <c r="D58" s="9"/>
      <c r="F58" s="149"/>
      <c r="G58" s="9"/>
      <c r="H58" s="9"/>
    </row>
    <row r="59" ht="14.25" customHeight="1">
      <c r="B59" s="160"/>
      <c r="C59" s="9"/>
      <c r="D59" s="9"/>
      <c r="F59" s="149"/>
      <c r="G59" s="9"/>
      <c r="H59" s="9"/>
    </row>
    <row r="60" ht="14.25" customHeight="1">
      <c r="B60" s="160"/>
      <c r="C60" s="9"/>
      <c r="D60" s="9"/>
      <c r="F60" s="149"/>
      <c r="G60" s="9"/>
      <c r="H60" s="9"/>
    </row>
    <row r="61" ht="14.25" customHeight="1">
      <c r="B61" s="160"/>
      <c r="C61" s="9"/>
      <c r="D61" s="9"/>
      <c r="F61" s="149"/>
      <c r="G61" s="9"/>
      <c r="H61" s="9"/>
    </row>
    <row r="62" ht="14.25" customHeight="1">
      <c r="B62" s="160"/>
      <c r="C62" s="9"/>
      <c r="D62" s="9"/>
      <c r="F62" s="149"/>
      <c r="G62" s="9"/>
      <c r="H62" s="9"/>
    </row>
    <row r="63" ht="14.25" customHeight="1">
      <c r="B63" s="160"/>
      <c r="C63" s="9"/>
      <c r="D63" s="9"/>
      <c r="F63" s="149"/>
      <c r="G63" s="9"/>
      <c r="H63" s="9"/>
    </row>
    <row r="64" ht="14.25" customHeight="1">
      <c r="B64" s="160"/>
      <c r="C64" s="9"/>
      <c r="D64" s="9"/>
      <c r="F64" s="149"/>
      <c r="G64" s="9"/>
      <c r="H64" s="9"/>
    </row>
    <row r="65" ht="14.25" customHeight="1">
      <c r="B65" s="160"/>
      <c r="C65" s="9"/>
      <c r="D65" s="9"/>
      <c r="F65" s="149"/>
      <c r="G65" s="9"/>
      <c r="H65" s="9"/>
    </row>
    <row r="66" ht="14.25" customHeight="1">
      <c r="B66" s="160"/>
      <c r="C66" s="9"/>
      <c r="D66" s="9"/>
      <c r="F66" s="149"/>
      <c r="G66" s="9"/>
      <c r="H66" s="9"/>
    </row>
    <row r="67" ht="14.25" customHeight="1">
      <c r="B67" s="160"/>
      <c r="C67" s="9"/>
      <c r="D67" s="9"/>
      <c r="F67" s="149"/>
      <c r="G67" s="9"/>
      <c r="H67" s="9"/>
    </row>
    <row r="68" ht="14.25" customHeight="1">
      <c r="B68" s="160"/>
      <c r="C68" s="9"/>
      <c r="D68" s="9"/>
      <c r="F68" s="149"/>
      <c r="G68" s="9"/>
      <c r="H68" s="9"/>
    </row>
    <row r="69" ht="14.25" customHeight="1">
      <c r="B69" s="160"/>
      <c r="C69" s="9"/>
      <c r="D69" s="9"/>
      <c r="F69" s="149"/>
      <c r="G69" s="9"/>
      <c r="H69" s="9"/>
    </row>
    <row r="70" ht="14.25" customHeight="1">
      <c r="B70" s="160"/>
      <c r="C70" s="9"/>
      <c r="D70" s="9"/>
      <c r="F70" s="149"/>
      <c r="G70" s="9"/>
      <c r="H70" s="9"/>
    </row>
    <row r="71" ht="14.25" customHeight="1">
      <c r="B71" s="160"/>
      <c r="C71" s="9"/>
      <c r="D71" s="9"/>
      <c r="F71" s="149"/>
      <c r="G71" s="9"/>
      <c r="H71" s="9"/>
    </row>
    <row r="72" ht="14.25" customHeight="1">
      <c r="B72" s="160"/>
      <c r="C72" s="9"/>
      <c r="D72" s="9"/>
      <c r="F72" s="149"/>
      <c r="G72" s="9"/>
      <c r="H72" s="9"/>
    </row>
    <row r="73" ht="14.25" customHeight="1">
      <c r="B73" s="160"/>
      <c r="C73" s="9"/>
      <c r="D73" s="9"/>
      <c r="F73" s="149"/>
      <c r="G73" s="9"/>
      <c r="H73" s="9"/>
    </row>
    <row r="74" ht="14.25" customHeight="1">
      <c r="B74" s="160"/>
      <c r="C74" s="9"/>
      <c r="D74" s="9"/>
      <c r="F74" s="149"/>
      <c r="G74" s="9"/>
      <c r="H74" s="9"/>
    </row>
    <row r="75" ht="14.25" customHeight="1">
      <c r="B75" s="160"/>
      <c r="C75" s="9"/>
      <c r="D75" s="9"/>
      <c r="F75" s="149"/>
      <c r="G75" s="9"/>
      <c r="H75" s="9"/>
    </row>
    <row r="76" ht="14.25" customHeight="1">
      <c r="B76" s="160"/>
      <c r="C76" s="9"/>
      <c r="D76" s="9"/>
      <c r="F76" s="149"/>
      <c r="G76" s="9"/>
      <c r="H76" s="9"/>
    </row>
    <row r="77" ht="14.25" customHeight="1">
      <c r="B77" s="160"/>
      <c r="C77" s="9"/>
      <c r="D77" s="9"/>
      <c r="F77" s="149"/>
      <c r="G77" s="9"/>
      <c r="H77" s="9"/>
    </row>
    <row r="78" ht="14.25" customHeight="1">
      <c r="B78" s="160"/>
      <c r="C78" s="9"/>
      <c r="D78" s="9"/>
      <c r="F78" s="149"/>
      <c r="G78" s="9"/>
      <c r="H78" s="9"/>
    </row>
    <row r="79" ht="14.25" customHeight="1">
      <c r="B79" s="160"/>
      <c r="C79" s="9"/>
      <c r="D79" s="9"/>
      <c r="F79" s="149"/>
      <c r="G79" s="9"/>
      <c r="H79" s="9"/>
    </row>
    <row r="80" ht="14.25" customHeight="1">
      <c r="B80" s="160"/>
      <c r="C80" s="9"/>
      <c r="D80" s="9"/>
      <c r="F80" s="149"/>
      <c r="G80" s="9"/>
      <c r="H80" s="9"/>
    </row>
    <row r="81" ht="14.25" customHeight="1">
      <c r="B81" s="160"/>
      <c r="C81" s="9"/>
      <c r="D81" s="9"/>
      <c r="F81" s="149"/>
      <c r="G81" s="9"/>
      <c r="H81" s="9"/>
    </row>
    <row r="82" ht="14.25" customHeight="1">
      <c r="B82" s="160"/>
      <c r="C82" s="9"/>
      <c r="D82" s="9"/>
      <c r="F82" s="149"/>
      <c r="G82" s="9"/>
      <c r="H82" s="9"/>
    </row>
    <row r="83" ht="14.25" customHeight="1">
      <c r="B83" s="160"/>
      <c r="C83" s="9"/>
      <c r="D83" s="9"/>
      <c r="F83" s="149"/>
      <c r="G83" s="9"/>
      <c r="H83" s="9"/>
    </row>
    <row r="84" ht="14.25" customHeight="1">
      <c r="B84" s="160"/>
      <c r="C84" s="9"/>
      <c r="D84" s="9"/>
      <c r="F84" s="149"/>
      <c r="G84" s="9"/>
      <c r="H84" s="9"/>
    </row>
    <row r="85" ht="14.25" customHeight="1">
      <c r="B85" s="160"/>
      <c r="C85" s="9"/>
      <c r="D85" s="9"/>
      <c r="F85" s="149"/>
      <c r="G85" s="9"/>
      <c r="H85" s="9"/>
    </row>
    <row r="86" ht="14.25" customHeight="1">
      <c r="B86" s="160"/>
      <c r="C86" s="9"/>
      <c r="D86" s="9"/>
      <c r="F86" s="149"/>
      <c r="G86" s="9"/>
      <c r="H86" s="9"/>
    </row>
    <row r="87" ht="14.25" customHeight="1">
      <c r="B87" s="160"/>
      <c r="C87" s="9"/>
      <c r="D87" s="9"/>
      <c r="F87" s="149"/>
      <c r="G87" s="9"/>
      <c r="H87" s="9"/>
    </row>
    <row r="88" ht="14.25" customHeight="1">
      <c r="B88" s="160"/>
      <c r="C88" s="9"/>
      <c r="D88" s="9"/>
      <c r="F88" s="149"/>
      <c r="G88" s="9"/>
      <c r="H88" s="9"/>
    </row>
    <row r="89" ht="14.25" customHeight="1">
      <c r="B89" s="160"/>
      <c r="C89" s="9"/>
      <c r="D89" s="9"/>
      <c r="F89" s="149"/>
      <c r="G89" s="9"/>
      <c r="H89" s="9"/>
    </row>
    <row r="90" ht="14.25" customHeight="1">
      <c r="B90" s="160"/>
      <c r="C90" s="9"/>
      <c r="D90" s="9"/>
      <c r="F90" s="149"/>
      <c r="G90" s="9"/>
      <c r="H90" s="9"/>
    </row>
    <row r="91" ht="14.25" customHeight="1">
      <c r="F91" s="149"/>
      <c r="G91" s="9"/>
      <c r="H91" s="9"/>
    </row>
    <row r="92" ht="14.25" customHeight="1">
      <c r="F92" s="149"/>
      <c r="G92" s="9"/>
      <c r="H92" s="9"/>
    </row>
    <row r="93" ht="14.25" customHeight="1">
      <c r="F93" s="149"/>
      <c r="G93" s="9"/>
      <c r="H93" s="9"/>
    </row>
    <row r="94" ht="14.25" customHeight="1">
      <c r="F94" s="149"/>
      <c r="G94" s="9"/>
      <c r="H94" s="9"/>
    </row>
    <row r="95" ht="14.25" customHeight="1">
      <c r="F95" s="149"/>
      <c r="G95" s="9"/>
      <c r="H95" s="9"/>
    </row>
    <row r="96" ht="14.25" customHeight="1"/>
    <row r="97" ht="14.25" customHeight="1"/>
    <row r="98" ht="14.25" customHeight="1"/>
    <row r="99" ht="14.2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123</v>
      </c>
      <c r="D1" s="142"/>
      <c r="E1" s="144"/>
      <c r="F1" s="142"/>
      <c r="G1" s="142" t="s">
        <v>124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17">
        <v>53802.0</v>
      </c>
      <c r="C3" s="9" t="str">
        <f>VLOOKUP(B3,'FML March 2026'!E:F,2,false)</f>
        <v>BEEF GROUND FINE 80/20 NAMP-136</v>
      </c>
      <c r="D3" s="9" t="str">
        <f>VLOOKUP(B3,'Unit of Measure ship March 2026'!A:C,3,false)</f>
        <v>LBS</v>
      </c>
      <c r="F3" s="17">
        <v>49645.0</v>
      </c>
      <c r="G3" s="9" t="str">
        <f>VLOOKUP(F3,'FML March 2026'!E:F,2,false)</f>
        <v>POLLOCK FILLET 4/8 OZ SKINLESS 100% NET WEIGHT (CHINA)</v>
      </c>
      <c r="H3" s="9" t="str">
        <f>VLOOKUP(F3,'Unit of Measure ship March 2026'!A:C,3,false)</f>
        <v>LBS</v>
      </c>
    </row>
    <row r="4" ht="14.25" customHeight="1">
      <c r="B4" s="17">
        <v>102748.0</v>
      </c>
      <c r="C4" s="9" t="str">
        <f>VLOOKUP(B4,'FML March 2026'!E:F,2,false)</f>
        <v>BEEF PATTIES 5.33 OZ CHUCK/BRISKET/SHORT RIB CS/10 LB  (USA) NAMP-1137</v>
      </c>
      <c r="D4" s="9" t="str">
        <f>VLOOKUP(B4,'Unit of Measure ship March 2026'!A:C,3,false)</f>
        <v>LBS</v>
      </c>
    </row>
    <row r="5" ht="14.25" customHeight="1">
      <c r="B5" s="17">
        <v>11695.0</v>
      </c>
      <c r="C5" s="9" t="str">
        <f>VLOOKUP(B5,'FML March 2026'!E:F,2,false)</f>
        <v>CHICKEN LEG/THIGH BONELESS &amp; SKINLESS FROZEN</v>
      </c>
      <c r="D5" s="9" t="str">
        <f>VLOOKUP(B5,'Unit of Measure ship March 2026'!A:C,3,false)</f>
        <v>LBS</v>
      </c>
      <c r="F5" s="149"/>
      <c r="G5" s="9"/>
      <c r="H5" s="9"/>
    </row>
    <row r="6" ht="14.25" customHeight="1">
      <c r="B6" s="17">
        <v>14573.0</v>
      </c>
      <c r="C6" s="9" t="str">
        <f>VLOOKUP(B6,'FML March 2026'!E:F,2,false)</f>
        <v>DUCK WHOLE GRADE, "A" 4.00 -  5.0LB CS6/PC</v>
      </c>
      <c r="D6" s="9" t="str">
        <f>VLOOKUP(B6,'Unit of Measure ship March 2026'!A:C,3,false)</f>
        <v>LBS</v>
      </c>
      <c r="F6" s="149"/>
      <c r="G6" s="9"/>
      <c r="H6" s="9"/>
    </row>
    <row r="7" ht="14.25" customHeight="1">
      <c r="B7" s="17">
        <v>10533.0</v>
      </c>
      <c r="C7" s="9" t="str">
        <f>VLOOKUP(B7,'FML March 2026'!E:F,2,false)</f>
        <v>PORK SHOULDER BUTT BONELESS</v>
      </c>
      <c r="D7" s="9" t="str">
        <f>VLOOKUP(B7,'Unit of Measure ship March 2026'!A:C,3,false)</f>
        <v>LBS</v>
      </c>
      <c r="F7" s="149"/>
      <c r="G7" s="9"/>
      <c r="H7" s="9"/>
    </row>
    <row r="8" ht="14.25" customHeight="1">
      <c r="B8" s="53">
        <v>14577.0</v>
      </c>
      <c r="C8" s="9" t="str">
        <f>VLOOKUP(B8,'FML March 2026'!E:F,2,false)</f>
        <v>TURKEYS WHOLE  20/22 OR 22/24 LB GRADE "A" (USA)</v>
      </c>
      <c r="D8" s="9" t="str">
        <f>VLOOKUP(B8,'Unit of Measure ship March 2026'!A:C,3,false)</f>
        <v>LBS</v>
      </c>
      <c r="F8" s="149"/>
      <c r="G8" s="9"/>
      <c r="H8" s="9"/>
    </row>
    <row r="9" ht="14.25" customHeight="1">
      <c r="B9" s="8"/>
      <c r="C9" s="9"/>
      <c r="D9" s="9"/>
      <c r="F9" s="149"/>
      <c r="G9" s="9"/>
      <c r="H9" s="9"/>
    </row>
    <row r="10" ht="14.25" customHeight="1">
      <c r="F10" s="149"/>
      <c r="G10" s="9"/>
      <c r="H10" s="9"/>
    </row>
    <row r="11" ht="14.25" customHeight="1">
      <c r="C11" s="9"/>
      <c r="D11" s="9"/>
      <c r="F11" s="149"/>
      <c r="G11" s="9"/>
      <c r="H11" s="9"/>
    </row>
    <row r="12" ht="14.25" customHeight="1">
      <c r="C12" s="9"/>
      <c r="D12" s="35"/>
      <c r="F12" s="149"/>
      <c r="G12" s="9"/>
      <c r="H12" s="9"/>
    </row>
    <row r="13" ht="14.25" customHeight="1">
      <c r="C13" s="9"/>
      <c r="D13" s="9"/>
      <c r="F13" s="149"/>
      <c r="G13" s="9"/>
      <c r="H13" s="9"/>
    </row>
    <row r="14" ht="14.25" customHeight="1">
      <c r="C14" s="9"/>
      <c r="D14" s="9"/>
      <c r="F14" s="149"/>
      <c r="G14" s="9"/>
      <c r="H14" s="9"/>
    </row>
    <row r="15" ht="14.25" customHeight="1">
      <c r="C15" s="9"/>
      <c r="D15" s="9"/>
      <c r="F15" s="149"/>
      <c r="G15" s="9"/>
      <c r="H15" s="9"/>
    </row>
    <row r="16" ht="14.25" customHeight="1">
      <c r="C16" s="9"/>
      <c r="D16" s="9"/>
      <c r="F16" s="149"/>
      <c r="G16" s="9"/>
      <c r="H16" s="9"/>
    </row>
    <row r="17" ht="14.25" customHeight="1">
      <c r="B17" s="149"/>
      <c r="C17" s="9"/>
      <c r="D17" s="9"/>
      <c r="F17" s="149"/>
      <c r="G17" s="9"/>
      <c r="H17" s="9"/>
    </row>
    <row r="18" ht="14.25" customHeight="1">
      <c r="B18" s="149"/>
      <c r="C18" s="9"/>
      <c r="D18" s="9"/>
      <c r="F18" s="149"/>
      <c r="G18" s="9"/>
      <c r="H18" s="9"/>
    </row>
    <row r="19" ht="14.25" customHeight="1">
      <c r="B19" s="149"/>
      <c r="C19" s="9"/>
      <c r="D19" s="9"/>
      <c r="F19" s="149"/>
      <c r="G19" s="9"/>
      <c r="H19" s="9"/>
    </row>
    <row r="20" ht="14.25" customHeight="1">
      <c r="B20" s="149"/>
      <c r="C20" s="9"/>
      <c r="D20" s="9"/>
      <c r="F20" s="149"/>
      <c r="G20" s="9"/>
      <c r="H20" s="9"/>
    </row>
    <row r="21" ht="14.25" customHeight="1">
      <c r="B21" s="149"/>
      <c r="C21" s="9"/>
      <c r="D21" s="9"/>
      <c r="F21" s="149"/>
      <c r="G21" s="9"/>
      <c r="H21" s="9"/>
    </row>
    <row r="22" ht="14.25" customHeight="1">
      <c r="B22" s="149"/>
      <c r="C22" s="9"/>
      <c r="D22" s="9"/>
      <c r="F22" s="149"/>
      <c r="G22" s="9"/>
      <c r="H22" s="9"/>
    </row>
    <row r="23" ht="14.25" customHeight="1">
      <c r="B23" s="149"/>
      <c r="C23" s="9"/>
      <c r="D23" s="9"/>
      <c r="F23" s="149"/>
      <c r="G23" s="9"/>
      <c r="H23" s="9"/>
    </row>
    <row r="24" ht="14.25" customHeight="1">
      <c r="B24" s="149"/>
      <c r="C24" s="9"/>
      <c r="D24" s="9"/>
      <c r="F24" s="149"/>
      <c r="G24" s="9"/>
      <c r="H24" s="9"/>
    </row>
    <row r="25" ht="14.25" customHeight="1">
      <c r="B25" s="149"/>
      <c r="C25" s="9"/>
      <c r="D25" s="9"/>
      <c r="F25" s="149"/>
      <c r="G25" s="9"/>
      <c r="H25" s="9"/>
    </row>
    <row r="26" ht="14.25" customHeight="1">
      <c r="B26" s="149"/>
      <c r="C26" s="9"/>
      <c r="D26" s="9"/>
      <c r="F26" s="149"/>
      <c r="G26" s="9"/>
      <c r="H26" s="9"/>
    </row>
    <row r="27" ht="14.25" customHeight="1">
      <c r="B27" s="149"/>
      <c r="C27" s="9"/>
      <c r="D27" s="9"/>
      <c r="F27" s="149"/>
      <c r="G27" s="9"/>
      <c r="H27" s="9"/>
    </row>
    <row r="28" ht="14.25" customHeight="1">
      <c r="B28" s="149"/>
      <c r="C28" s="9"/>
      <c r="D28" s="9"/>
      <c r="F28" s="149"/>
      <c r="G28" s="9"/>
      <c r="H28" s="9"/>
    </row>
    <row r="29" ht="14.25" customHeight="1">
      <c r="B29" s="149"/>
      <c r="C29" s="9"/>
      <c r="D29" s="9"/>
      <c r="F29" s="149"/>
      <c r="G29" s="9"/>
      <c r="H29" s="9"/>
    </row>
    <row r="30" ht="14.25" customHeight="1">
      <c r="B30" s="149"/>
      <c r="C30" s="9"/>
      <c r="D30" s="9"/>
      <c r="F30" s="149"/>
      <c r="G30" s="9"/>
      <c r="H30" s="9"/>
    </row>
    <row r="31" ht="14.25" customHeight="1">
      <c r="B31" s="149"/>
      <c r="C31" s="9"/>
      <c r="D31" s="9"/>
      <c r="F31" s="149"/>
      <c r="G31" s="9"/>
      <c r="H31" s="9"/>
    </row>
    <row r="32" ht="14.25" customHeight="1">
      <c r="B32" s="149"/>
      <c r="C32" s="9"/>
      <c r="D32" s="9"/>
      <c r="F32" s="149"/>
      <c r="G32" s="9"/>
      <c r="H32" s="9"/>
    </row>
    <row r="33" ht="14.25" customHeight="1">
      <c r="B33" s="149"/>
      <c r="C33" s="9"/>
      <c r="D33" s="9"/>
      <c r="F33" s="149"/>
      <c r="G33" s="9"/>
      <c r="H33" s="9"/>
    </row>
    <row r="34" ht="14.25" customHeight="1">
      <c r="B34" s="149"/>
      <c r="C34" s="9"/>
      <c r="D34" s="9"/>
      <c r="F34" s="149"/>
      <c r="G34" s="9"/>
      <c r="H34" s="9"/>
    </row>
    <row r="35" ht="14.25" customHeight="1">
      <c r="B35" s="149"/>
      <c r="C35" s="9"/>
      <c r="D35" s="9"/>
      <c r="F35" s="149"/>
      <c r="G35" s="9"/>
      <c r="H35" s="9"/>
    </row>
    <row r="36" ht="14.25" customHeight="1">
      <c r="B36" s="149"/>
      <c r="C36" s="9"/>
      <c r="D36" s="9"/>
      <c r="F36" s="149"/>
      <c r="G36" s="9"/>
      <c r="H36" s="9"/>
    </row>
    <row r="37" ht="14.25" customHeight="1">
      <c r="B37" s="149"/>
      <c r="C37" s="9"/>
      <c r="D37" s="9"/>
      <c r="F37" s="149"/>
      <c r="G37" s="9"/>
      <c r="H37" s="9"/>
    </row>
    <row r="38" ht="14.25" customHeight="1">
      <c r="B38" s="149"/>
      <c r="C38" s="9"/>
      <c r="D38" s="9"/>
      <c r="F38" s="149"/>
      <c r="G38" s="9"/>
      <c r="H38" s="9"/>
    </row>
    <row r="39" ht="14.25" customHeight="1">
      <c r="B39" s="149"/>
      <c r="C39" s="9"/>
      <c r="D39" s="9"/>
      <c r="F39" s="149"/>
      <c r="G39" s="9"/>
      <c r="H39" s="9"/>
    </row>
    <row r="40" ht="14.25" customHeight="1">
      <c r="B40" s="149"/>
      <c r="C40" s="9"/>
      <c r="D40" s="9"/>
      <c r="F40" s="149"/>
      <c r="G40" s="9"/>
      <c r="H40" s="9"/>
    </row>
    <row r="41" ht="14.25" customHeight="1">
      <c r="B41" s="149"/>
      <c r="C41" s="9"/>
      <c r="D41" s="9"/>
      <c r="F41" s="149"/>
      <c r="G41" s="9"/>
      <c r="H41" s="9"/>
    </row>
    <row r="42" ht="14.25" customHeight="1">
      <c r="B42" s="149"/>
      <c r="C42" s="9"/>
      <c r="D42" s="9"/>
      <c r="F42" s="149"/>
      <c r="G42" s="9"/>
      <c r="H42" s="9"/>
    </row>
    <row r="43" ht="14.25" customHeight="1">
      <c r="B43" s="149"/>
      <c r="C43" s="9"/>
      <c r="D43" s="9"/>
      <c r="F43" s="149"/>
      <c r="G43" s="9"/>
      <c r="H43" s="9"/>
    </row>
    <row r="44" ht="14.25" customHeight="1">
      <c r="B44" s="149"/>
      <c r="C44" s="9"/>
      <c r="D44" s="9"/>
      <c r="F44" s="149"/>
      <c r="G44" s="9"/>
      <c r="H44" s="9"/>
    </row>
    <row r="45" ht="14.25" customHeight="1">
      <c r="B45" s="149"/>
      <c r="C45" s="9"/>
      <c r="D45" s="9"/>
      <c r="F45" s="149"/>
      <c r="G45" s="9"/>
      <c r="H45" s="9"/>
    </row>
    <row r="46" ht="14.25" customHeight="1">
      <c r="B46" s="149"/>
      <c r="C46" s="9"/>
      <c r="D46" s="9"/>
      <c r="F46" s="149"/>
      <c r="G46" s="9"/>
      <c r="H46" s="9"/>
    </row>
    <row r="47" ht="14.25" customHeight="1">
      <c r="B47" s="149"/>
      <c r="C47" s="9"/>
      <c r="D47" s="9"/>
      <c r="F47" s="149"/>
      <c r="G47" s="9"/>
      <c r="H47" s="9"/>
    </row>
    <row r="48" ht="14.25" customHeight="1">
      <c r="B48" s="149"/>
      <c r="C48" s="9"/>
      <c r="D48" s="9"/>
      <c r="F48" s="149"/>
      <c r="G48" s="9"/>
      <c r="H48" s="9"/>
    </row>
    <row r="49" ht="14.25" customHeight="1">
      <c r="B49" s="149"/>
      <c r="C49" s="9"/>
      <c r="D49" s="9"/>
      <c r="F49" s="149"/>
      <c r="G49" s="9"/>
      <c r="H49" s="9"/>
    </row>
    <row r="50" ht="14.25" customHeight="1">
      <c r="B50" s="149"/>
      <c r="C50" s="9"/>
      <c r="D50" s="9"/>
      <c r="F50" s="149"/>
      <c r="G50" s="9"/>
      <c r="H50" s="9"/>
    </row>
    <row r="51" ht="14.25" customHeight="1">
      <c r="B51" s="149"/>
      <c r="C51" s="9"/>
      <c r="D51" s="9"/>
      <c r="F51" s="149"/>
      <c r="G51" s="9"/>
      <c r="H51" s="9"/>
    </row>
    <row r="52" ht="14.25" customHeight="1">
      <c r="B52" s="149"/>
      <c r="C52" s="9"/>
      <c r="D52" s="9"/>
      <c r="F52" s="149"/>
      <c r="G52" s="9"/>
      <c r="H52" s="9"/>
    </row>
    <row r="53" ht="14.25" customHeight="1">
      <c r="B53" s="149"/>
      <c r="C53" s="9"/>
      <c r="D53" s="9"/>
      <c r="F53" s="149"/>
      <c r="G53" s="9"/>
      <c r="H53" s="9"/>
    </row>
    <row r="54" ht="14.25" customHeight="1">
      <c r="B54" s="149"/>
      <c r="C54" s="9"/>
      <c r="D54" s="9"/>
      <c r="F54" s="149"/>
      <c r="G54" s="9"/>
      <c r="H54" s="9"/>
    </row>
    <row r="55" ht="14.25" customHeight="1">
      <c r="B55" s="149"/>
      <c r="C55" s="9"/>
      <c r="D55" s="9"/>
      <c r="F55" s="149"/>
      <c r="G55" s="9"/>
      <c r="H55" s="9"/>
    </row>
    <row r="56" ht="14.25" customHeight="1">
      <c r="B56" s="149"/>
      <c r="C56" s="9"/>
      <c r="D56" s="9"/>
      <c r="F56" s="149"/>
      <c r="G56" s="9"/>
      <c r="H56" s="9"/>
    </row>
    <row r="57" ht="14.25" customHeight="1">
      <c r="B57" s="149"/>
      <c r="C57" s="9"/>
      <c r="D57" s="9"/>
      <c r="F57" s="149"/>
      <c r="G57" s="9"/>
      <c r="H57" s="9"/>
    </row>
    <row r="58" ht="14.25" customHeight="1">
      <c r="B58" s="149"/>
      <c r="C58" s="9"/>
      <c r="D58" s="9"/>
      <c r="F58" s="149"/>
      <c r="G58" s="9"/>
      <c r="H58" s="9"/>
    </row>
    <row r="59" ht="14.25" customHeight="1">
      <c r="B59" s="149"/>
      <c r="C59" s="9"/>
      <c r="D59" s="9"/>
      <c r="F59" s="149"/>
      <c r="G59" s="9"/>
      <c r="H59" s="9"/>
    </row>
    <row r="60" ht="14.25" customHeight="1">
      <c r="B60" s="149"/>
      <c r="C60" s="9"/>
      <c r="D60" s="9"/>
      <c r="F60" s="149"/>
      <c r="G60" s="9"/>
      <c r="H60" s="9"/>
    </row>
    <row r="61" ht="14.25" customHeight="1">
      <c r="B61" s="149"/>
      <c r="C61" s="9"/>
      <c r="D61" s="9"/>
      <c r="F61" s="149"/>
      <c r="G61" s="9"/>
      <c r="H61" s="9"/>
    </row>
    <row r="62" ht="14.25" customHeight="1">
      <c r="B62" s="149"/>
      <c r="C62" s="9"/>
      <c r="D62" s="9"/>
      <c r="F62" s="149"/>
      <c r="G62" s="9"/>
      <c r="H62" s="9"/>
    </row>
    <row r="63" ht="14.25" customHeight="1">
      <c r="B63" s="149"/>
      <c r="C63" s="9"/>
      <c r="D63" s="9"/>
      <c r="F63" s="149"/>
      <c r="G63" s="9"/>
      <c r="H63" s="9"/>
    </row>
    <row r="64" ht="14.25" customHeight="1">
      <c r="B64" s="149"/>
      <c r="C64" s="9"/>
      <c r="D64" s="9"/>
      <c r="F64" s="149"/>
      <c r="G64" s="9"/>
      <c r="H64" s="9"/>
    </row>
    <row r="65" ht="14.25" customHeight="1">
      <c r="B65" s="149"/>
      <c r="C65" s="9"/>
      <c r="D65" s="9"/>
      <c r="F65" s="149"/>
      <c r="G65" s="9"/>
      <c r="H65" s="9"/>
    </row>
    <row r="66" ht="14.25" customHeight="1">
      <c r="B66" s="149"/>
      <c r="C66" s="9"/>
      <c r="D66" s="9"/>
      <c r="F66" s="149"/>
      <c r="G66" s="9"/>
      <c r="H66" s="9"/>
    </row>
    <row r="67" ht="14.25" customHeight="1">
      <c r="B67" s="149"/>
      <c r="C67" s="9"/>
      <c r="D67" s="9"/>
      <c r="F67" s="149"/>
      <c r="G67" s="9"/>
      <c r="H67" s="9"/>
    </row>
    <row r="68" ht="14.25" customHeight="1">
      <c r="B68" s="149"/>
      <c r="C68" s="9"/>
      <c r="D68" s="9"/>
      <c r="F68" s="149"/>
      <c r="G68" s="9"/>
      <c r="H68" s="9"/>
    </row>
    <row r="69" ht="14.25" customHeight="1">
      <c r="B69" s="149"/>
      <c r="C69" s="9"/>
      <c r="D69" s="9"/>
      <c r="F69" s="149"/>
      <c r="G69" s="9"/>
      <c r="H69" s="9"/>
    </row>
    <row r="70" ht="14.25" customHeight="1">
      <c r="B70" s="149"/>
      <c r="C70" s="9"/>
      <c r="D70" s="9"/>
      <c r="F70" s="149"/>
      <c r="G70" s="9"/>
      <c r="H70" s="9"/>
    </row>
    <row r="71" ht="14.25" customHeight="1">
      <c r="B71" s="149"/>
      <c r="C71" s="9"/>
      <c r="D71" s="9"/>
      <c r="F71" s="149"/>
      <c r="G71" s="9"/>
      <c r="H71" s="9"/>
    </row>
    <row r="72" ht="14.25" customHeight="1">
      <c r="B72" s="149"/>
      <c r="C72" s="9"/>
      <c r="D72" s="9"/>
      <c r="F72" s="149"/>
      <c r="G72" s="9"/>
      <c r="H72" s="9"/>
    </row>
    <row r="73" ht="14.25" customHeight="1">
      <c r="B73" s="149"/>
      <c r="C73" s="9"/>
      <c r="D73" s="9"/>
      <c r="F73" s="149"/>
      <c r="G73" s="9"/>
      <c r="H73" s="9"/>
    </row>
    <row r="74" ht="14.25" customHeight="1">
      <c r="B74" s="149"/>
      <c r="C74" s="9"/>
      <c r="D74" s="9"/>
      <c r="F74" s="149"/>
      <c r="G74" s="9"/>
      <c r="H74" s="9"/>
    </row>
    <row r="75" ht="14.25" customHeight="1">
      <c r="B75" s="149"/>
      <c r="C75" s="9"/>
      <c r="D75" s="9"/>
      <c r="F75" s="149"/>
      <c r="G75" s="9"/>
      <c r="H75" s="9"/>
    </row>
    <row r="76" ht="14.25" customHeight="1">
      <c r="B76" s="149"/>
      <c r="C76" s="9"/>
      <c r="D76" s="9"/>
      <c r="F76" s="149"/>
      <c r="G76" s="9"/>
      <c r="H76" s="9"/>
    </row>
    <row r="77" ht="14.25" customHeight="1">
      <c r="B77" s="149"/>
      <c r="C77" s="9"/>
      <c r="D77" s="9"/>
      <c r="F77" s="149"/>
      <c r="G77" s="9"/>
      <c r="H77" s="9"/>
    </row>
    <row r="78" ht="14.25" customHeight="1">
      <c r="B78" s="149"/>
      <c r="C78" s="9"/>
      <c r="D78" s="9"/>
      <c r="F78" s="149"/>
      <c r="G78" s="9"/>
      <c r="H78" s="9"/>
    </row>
    <row r="79" ht="14.25" customHeight="1">
      <c r="B79" s="149"/>
      <c r="C79" s="9"/>
      <c r="D79" s="9"/>
      <c r="F79" s="149"/>
      <c r="G79" s="9"/>
      <c r="H79" s="9"/>
    </row>
    <row r="80" ht="14.25" customHeight="1">
      <c r="B80" s="149"/>
      <c r="C80" s="9"/>
      <c r="D80" s="9"/>
      <c r="F80" s="149"/>
      <c r="G80" s="9"/>
      <c r="H80" s="9"/>
    </row>
    <row r="81" ht="14.25" customHeight="1">
      <c r="B81" s="149"/>
      <c r="C81" s="9"/>
      <c r="D81" s="9"/>
      <c r="F81" s="149"/>
      <c r="G81" s="9"/>
      <c r="H81" s="9"/>
    </row>
    <row r="82" ht="14.25" customHeight="1">
      <c r="B82" s="149"/>
      <c r="C82" s="9"/>
      <c r="D82" s="9"/>
      <c r="F82" s="149"/>
      <c r="G82" s="9"/>
      <c r="H82" s="9"/>
    </row>
    <row r="83" ht="14.25" customHeight="1">
      <c r="B83" s="149"/>
      <c r="C83" s="9"/>
      <c r="D83" s="9"/>
      <c r="F83" s="149"/>
      <c r="G83" s="9"/>
      <c r="H83" s="9"/>
    </row>
    <row r="84" ht="14.25" customHeight="1">
      <c r="B84" s="149"/>
      <c r="C84" s="9"/>
      <c r="D84" s="9"/>
      <c r="F84" s="149"/>
      <c r="G84" s="9"/>
      <c r="H84" s="9"/>
    </row>
    <row r="85" ht="14.25" customHeight="1">
      <c r="B85" s="149"/>
      <c r="C85" s="9"/>
      <c r="D85" s="9"/>
      <c r="F85" s="149"/>
      <c r="G85" s="9"/>
      <c r="H85" s="9"/>
    </row>
    <row r="86" ht="14.25" customHeight="1">
      <c r="B86" s="149"/>
      <c r="C86" s="9"/>
      <c r="D86" s="9"/>
      <c r="F86" s="149"/>
      <c r="G86" s="9"/>
      <c r="H86" s="9"/>
    </row>
    <row r="87" ht="14.25" customHeight="1">
      <c r="B87" s="149"/>
      <c r="C87" s="9"/>
      <c r="D87" s="9"/>
      <c r="F87" s="149"/>
      <c r="G87" s="9"/>
      <c r="H87" s="9"/>
    </row>
    <row r="88" ht="14.25" customHeight="1">
      <c r="B88" s="149"/>
      <c r="C88" s="9"/>
      <c r="D88" s="9"/>
      <c r="F88" s="149"/>
      <c r="G88" s="9"/>
      <c r="H88" s="9"/>
    </row>
    <row r="89" ht="14.25" customHeight="1">
      <c r="B89" s="149"/>
      <c r="C89" s="9"/>
      <c r="D89" s="9"/>
      <c r="F89" s="149"/>
      <c r="G89" s="9"/>
      <c r="H89" s="9"/>
    </row>
    <row r="90" ht="14.25" customHeight="1">
      <c r="B90" s="149"/>
      <c r="C90" s="9"/>
      <c r="D90" s="9"/>
      <c r="F90" s="149"/>
      <c r="G90" s="9"/>
      <c r="H90" s="9"/>
    </row>
    <row r="91" ht="14.25" customHeight="1">
      <c r="B91" s="149"/>
      <c r="C91" s="9"/>
      <c r="D91" s="9"/>
      <c r="F91" s="149"/>
      <c r="G91" s="9"/>
      <c r="H91" s="9"/>
    </row>
    <row r="92" ht="14.25" customHeight="1">
      <c r="B92" s="149"/>
      <c r="C92" s="9"/>
      <c r="D92" s="9"/>
      <c r="F92" s="149"/>
      <c r="G92" s="9"/>
      <c r="H92" s="9"/>
    </row>
    <row r="93" ht="14.25" customHeight="1">
      <c r="B93" s="149"/>
      <c r="C93" s="9"/>
      <c r="D93" s="9"/>
      <c r="F93" s="149"/>
      <c r="G93" s="9"/>
      <c r="H93" s="9"/>
    </row>
    <row r="94" ht="14.25" customHeight="1">
      <c r="B94" s="149"/>
      <c r="C94" s="9"/>
      <c r="D94" s="9"/>
      <c r="F94" s="149"/>
      <c r="G94" s="9"/>
      <c r="H94" s="9"/>
    </row>
    <row r="95" ht="14.25" customHeight="1">
      <c r="B95" s="149"/>
      <c r="C95" s="9"/>
      <c r="D95" s="9"/>
      <c r="F95" s="149"/>
      <c r="G95" s="9"/>
      <c r="H95" s="9"/>
    </row>
    <row r="96" ht="14.25" customHeight="1">
      <c r="B96" s="149"/>
      <c r="C96" s="9"/>
      <c r="D96" s="9"/>
      <c r="F96" s="149"/>
      <c r="G96" s="9"/>
      <c r="H96" s="9"/>
    </row>
    <row r="97" ht="14.25" customHeight="1">
      <c r="B97" s="149"/>
      <c r="C97" s="9"/>
      <c r="D97" s="9"/>
      <c r="F97" s="149"/>
      <c r="G97" s="9"/>
      <c r="H97" s="9"/>
    </row>
    <row r="98" ht="14.25" customHeight="1">
      <c r="B98" s="149"/>
      <c r="C98" s="9"/>
      <c r="D98" s="9"/>
      <c r="F98" s="149"/>
      <c r="G98" s="9"/>
      <c r="H98" s="9"/>
    </row>
    <row r="99" ht="14.25" customHeight="1">
      <c r="B99" s="149"/>
      <c r="C99" s="9"/>
      <c r="D99" s="9"/>
      <c r="F99" s="149"/>
      <c r="G99" s="9"/>
      <c r="H99" s="9"/>
    </row>
    <row r="100" ht="14.25" customHeight="1">
      <c r="B100" s="149"/>
      <c r="C100" s="9"/>
      <c r="D100" s="9"/>
      <c r="F100" s="149"/>
      <c r="G100" s="9"/>
      <c r="H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125</v>
      </c>
      <c r="D1" s="142"/>
      <c r="E1" s="144"/>
      <c r="F1" s="142"/>
      <c r="G1" s="142" t="s">
        <v>126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18">
        <v>14369.0</v>
      </c>
      <c r="C3" s="9" t="str">
        <f>VLOOKUP(B3,'FML March 2026'!E:F,2,false)</f>
        <v>BEEF INSIDE TOP ROUND CHOICE UNTRIMMED NAMP-168 EU (USA)</v>
      </c>
      <c r="D3" s="9" t="str">
        <f>VLOOKUP(B4,'Unit of Measure ship March 2026'!A:C,3,false)</f>
        <v>LBS</v>
      </c>
      <c r="F3" s="8">
        <v>42269.0</v>
      </c>
      <c r="G3" s="9" t="str">
        <f>VLOOKUP(F3,'FML March 2026'!E:F,2,false)</f>
        <v>SHRIMP 16/20 RAW P&amp;D TAIL-ON CS10/LB SURAM ROYAL WHITE (VIETNAM)</v>
      </c>
      <c r="H3" s="9" t="str">
        <f>VLOOKUP(F3,'Unit of Measure ship March 2026'!A:C,3,false)</f>
        <v>LBS</v>
      </c>
    </row>
    <row r="4" ht="14.25" customHeight="1">
      <c r="B4" s="17">
        <v>11695.0</v>
      </c>
      <c r="C4" s="9" t="str">
        <f>VLOOKUP(B4,'FML March 2026'!E:F,2,false)</f>
        <v>CHICKEN LEG/THIGH BONELESS &amp; SKINLESS FROZEN</v>
      </c>
      <c r="D4" s="12" t="s">
        <v>42</v>
      </c>
      <c r="F4" s="18">
        <v>14686.0</v>
      </c>
      <c r="G4" s="9" t="str">
        <f>VLOOKUP(F4,'FML March 2026'!E:F,2,false)</f>
        <v>SHRIMP PANDALUS BOREALIS  COOKED 150/250 IQF COLD WATER P&amp;D 4/5LB CS ORION/PACKER (CANADA)</v>
      </c>
      <c r="H4" s="9" t="str">
        <f>VLOOKUP(F4,'Unit of Measure ship March 2026'!A:C,3,false)</f>
        <v>LBS</v>
      </c>
    </row>
    <row r="5" ht="14.25" customHeight="1">
      <c r="B5" s="17">
        <v>24773.0</v>
      </c>
      <c r="C5" s="9" t="str">
        <f>VLOOKUP(B5,'FML March 2026'!E:F,2,false)</f>
        <v>PORK BELLY RAW RIND-ON (USA)</v>
      </c>
      <c r="D5" s="9" t="str">
        <f>VLOOKUP(B5,'Unit of Measure ship March 2026'!A:C,3,false)</f>
        <v>LBS</v>
      </c>
      <c r="F5" s="8">
        <v>14714.0</v>
      </c>
      <c r="G5" s="9" t="str">
        <f>VLOOKUP(F5,'FML March 2026'!E:F,2,false)</f>
        <v>SMOKED SALMON SLAB LG. 2.0-2.5 LB VAC PK (USA)</v>
      </c>
      <c r="H5" s="9" t="str">
        <f>VLOOKUP(F5,'Unit of Measure ship March 2026'!A:C,3,false)</f>
        <v>LBS</v>
      </c>
    </row>
    <row r="6" ht="14.25" customHeight="1">
      <c r="B6" s="17">
        <v>14399.0</v>
      </c>
      <c r="C6" s="9" t="str">
        <f>VLOOKUP(B6,'FML March 2026'!E:F,2,false)</f>
        <v>PORK LOIN WHOLE CRYOVAC  22-24   DOWN BONE IN, NAMP411 (USA)</v>
      </c>
      <c r="D6" s="9" t="str">
        <f>VLOOKUP(B6,'Unit of Measure ship March 2026'!A:C,3,false)</f>
        <v>LBS</v>
      </c>
      <c r="F6" s="17">
        <v>14651.0</v>
      </c>
      <c r="G6" s="9" t="str">
        <f>VLOOKUP(F6,'FML March 2026'!E:F,2,false)</f>
        <v>TUNA LOIN SKINLESS FROZEN,  (IP IS FTZ) (YEMEN)</v>
      </c>
      <c r="H6" s="9" t="str">
        <f>VLOOKUP(F6,'Unit of Measure ship March 2026'!A:C,3,false)</f>
        <v>LBS</v>
      </c>
    </row>
    <row r="7" ht="14.25" customHeight="1">
      <c r="B7" s="17"/>
      <c r="C7" s="9"/>
      <c r="D7" s="9"/>
      <c r="G7" s="9"/>
      <c r="H7" s="9"/>
    </row>
    <row r="8" ht="14.25" customHeight="1">
      <c r="B8" s="17"/>
      <c r="C8" s="9"/>
      <c r="D8" s="9"/>
      <c r="F8" s="160"/>
      <c r="G8" s="9"/>
      <c r="H8" s="9"/>
    </row>
    <row r="9" ht="14.25" customHeight="1">
      <c r="B9" s="17"/>
      <c r="C9" s="9"/>
      <c r="D9" s="9"/>
      <c r="F9" s="160"/>
      <c r="G9" s="9"/>
      <c r="H9" s="9"/>
    </row>
    <row r="10" ht="14.25" customHeight="1">
      <c r="B10" s="17"/>
      <c r="C10" s="9"/>
      <c r="D10" s="9"/>
      <c r="F10" s="160"/>
      <c r="G10" s="9"/>
      <c r="H10" s="9"/>
    </row>
    <row r="11" ht="14.25" customHeight="1">
      <c r="B11" s="17"/>
      <c r="C11" s="9"/>
      <c r="D11" s="9"/>
      <c r="F11" s="160"/>
      <c r="G11" s="9"/>
      <c r="H11" s="9"/>
    </row>
    <row r="12" ht="14.25" customHeight="1">
      <c r="B12" s="18"/>
      <c r="C12" s="9"/>
      <c r="D12" s="9"/>
      <c r="F12" s="160"/>
      <c r="G12" s="9"/>
      <c r="H12" s="9"/>
    </row>
    <row r="13" ht="14.25" customHeight="1">
      <c r="B13" s="17"/>
      <c r="C13" s="9"/>
      <c r="D13" s="35"/>
      <c r="F13" s="160"/>
      <c r="G13" s="9"/>
      <c r="H13" s="9"/>
    </row>
    <row r="14" ht="14.25" customHeight="1">
      <c r="C14" s="9"/>
      <c r="D14" s="9"/>
      <c r="F14" s="160"/>
      <c r="G14" s="9"/>
      <c r="H14" s="9"/>
    </row>
    <row r="15" ht="14.25" customHeight="1">
      <c r="C15" s="9"/>
      <c r="D15" s="9"/>
      <c r="F15" s="160"/>
      <c r="G15" s="9"/>
      <c r="H15" s="9"/>
    </row>
    <row r="16" ht="14.25" customHeight="1">
      <c r="C16" s="9"/>
      <c r="D16" s="9"/>
      <c r="F16" s="160"/>
      <c r="G16" s="9"/>
      <c r="H16" s="9"/>
    </row>
    <row r="17" ht="14.25" customHeight="1">
      <c r="C17" s="9"/>
      <c r="D17" s="9"/>
      <c r="F17" s="160"/>
      <c r="G17" s="9"/>
      <c r="H17" s="9"/>
    </row>
    <row r="18" ht="14.25" customHeight="1">
      <c r="C18" s="9"/>
      <c r="D18" s="9"/>
      <c r="F18" s="160"/>
      <c r="G18" s="9"/>
      <c r="H18" s="9"/>
    </row>
    <row r="19" ht="14.25" customHeight="1">
      <c r="C19" s="9"/>
      <c r="D19" s="9"/>
      <c r="F19" s="160"/>
      <c r="G19" s="9"/>
      <c r="H19" s="9"/>
    </row>
    <row r="20" ht="14.25" customHeight="1">
      <c r="C20" s="9"/>
      <c r="D20" s="9"/>
      <c r="F20" s="160"/>
      <c r="G20" s="9"/>
      <c r="H20" s="9"/>
    </row>
    <row r="21" ht="14.25" customHeight="1">
      <c r="C21" s="9"/>
      <c r="D21" s="9"/>
      <c r="F21" s="160"/>
      <c r="G21" s="9"/>
      <c r="H21" s="9"/>
    </row>
    <row r="22" ht="14.25" customHeight="1">
      <c r="B22" s="168"/>
      <c r="C22" s="9"/>
      <c r="D22" s="9"/>
      <c r="F22" s="160"/>
      <c r="G22" s="9"/>
      <c r="H22" s="9"/>
    </row>
    <row r="23" ht="14.25" customHeight="1">
      <c r="B23" s="168"/>
      <c r="C23" s="9"/>
      <c r="D23" s="9"/>
      <c r="F23" s="160"/>
      <c r="G23" s="9"/>
      <c r="H23" s="9"/>
    </row>
    <row r="24" ht="14.25" customHeight="1">
      <c r="B24" s="168"/>
      <c r="C24" s="9"/>
      <c r="D24" s="9"/>
      <c r="F24" s="160"/>
      <c r="G24" s="9"/>
      <c r="H24" s="9"/>
    </row>
    <row r="25" ht="14.25" customHeight="1">
      <c r="B25" s="168"/>
      <c r="C25" s="9"/>
      <c r="D25" s="9"/>
      <c r="F25" s="160"/>
      <c r="G25" s="9"/>
      <c r="H25" s="9"/>
    </row>
    <row r="26" ht="14.25" customHeight="1">
      <c r="B26" s="168"/>
      <c r="C26" s="9"/>
      <c r="D26" s="9"/>
      <c r="F26" s="160"/>
      <c r="G26" s="9"/>
      <c r="H26" s="9"/>
    </row>
    <row r="27" ht="14.25" customHeight="1">
      <c r="B27" s="168"/>
      <c r="C27" s="9"/>
      <c r="D27" s="9"/>
      <c r="F27" s="160"/>
      <c r="G27" s="9"/>
      <c r="H27" s="9"/>
    </row>
    <row r="28" ht="14.25" customHeight="1">
      <c r="B28" s="168"/>
      <c r="C28" s="9"/>
      <c r="D28" s="9"/>
      <c r="F28" s="160"/>
      <c r="G28" s="9"/>
      <c r="H28" s="9"/>
    </row>
    <row r="29" ht="14.25" customHeight="1">
      <c r="B29" s="168"/>
      <c r="C29" s="9"/>
      <c r="D29" s="9"/>
      <c r="F29" s="160"/>
      <c r="G29" s="9"/>
      <c r="H29" s="9"/>
    </row>
    <row r="30" ht="14.25" customHeight="1">
      <c r="B30" s="168"/>
      <c r="C30" s="9"/>
      <c r="D30" s="9"/>
      <c r="F30" s="160"/>
      <c r="G30" s="9"/>
      <c r="H30" s="9"/>
    </row>
    <row r="31" ht="14.25" customHeight="1">
      <c r="B31" s="168"/>
      <c r="C31" s="9"/>
      <c r="D31" s="9"/>
      <c r="F31" s="160"/>
      <c r="G31" s="9"/>
      <c r="H31" s="9"/>
    </row>
    <row r="32" ht="14.25" customHeight="1">
      <c r="B32" s="168"/>
      <c r="C32" s="9"/>
      <c r="D32" s="9"/>
      <c r="F32" s="160"/>
      <c r="G32" s="9"/>
      <c r="H32" s="9"/>
    </row>
    <row r="33" ht="14.25" customHeight="1">
      <c r="B33" s="168"/>
      <c r="C33" s="9"/>
      <c r="D33" s="9"/>
      <c r="F33" s="160"/>
      <c r="G33" s="9"/>
      <c r="H33" s="9"/>
    </row>
    <row r="34" ht="14.25" customHeight="1">
      <c r="B34" s="168"/>
      <c r="C34" s="9"/>
      <c r="D34" s="9"/>
      <c r="F34" s="160"/>
      <c r="G34" s="9"/>
      <c r="H34" s="9"/>
    </row>
    <row r="35" ht="14.25" customHeight="1">
      <c r="B35" s="168"/>
      <c r="C35" s="9"/>
      <c r="D35" s="9"/>
      <c r="F35" s="160"/>
      <c r="G35" s="9"/>
      <c r="H35" s="9"/>
    </row>
    <row r="36" ht="14.25" customHeight="1">
      <c r="B36" s="168"/>
      <c r="C36" s="9"/>
      <c r="D36" s="9"/>
      <c r="F36" s="160"/>
      <c r="G36" s="9"/>
      <c r="H36" s="9"/>
    </row>
    <row r="37" ht="14.25" customHeight="1">
      <c r="B37" s="168"/>
      <c r="C37" s="9"/>
      <c r="D37" s="9"/>
      <c r="F37" s="160"/>
      <c r="G37" s="9"/>
      <c r="H37" s="9"/>
    </row>
    <row r="38" ht="14.25" customHeight="1">
      <c r="B38" s="168"/>
      <c r="C38" s="9"/>
      <c r="D38" s="9"/>
      <c r="F38" s="160"/>
      <c r="G38" s="9"/>
      <c r="H38" s="9"/>
    </row>
    <row r="39" ht="14.25" customHeight="1">
      <c r="B39" s="168"/>
      <c r="C39" s="9"/>
      <c r="D39" s="9"/>
      <c r="F39" s="160"/>
      <c r="G39" s="9"/>
      <c r="H39" s="9"/>
    </row>
    <row r="40" ht="14.25" customHeight="1">
      <c r="B40" s="168"/>
      <c r="C40" s="9"/>
      <c r="D40" s="9"/>
      <c r="F40" s="160"/>
      <c r="G40" s="9"/>
      <c r="H40" s="9"/>
    </row>
    <row r="41" ht="14.25" customHeight="1">
      <c r="B41" s="168"/>
      <c r="C41" s="9"/>
      <c r="D41" s="9"/>
      <c r="F41" s="160"/>
      <c r="G41" s="9"/>
      <c r="H41" s="9"/>
    </row>
    <row r="42" ht="14.25" customHeight="1">
      <c r="B42" s="168"/>
      <c r="C42" s="9"/>
      <c r="D42" s="9"/>
      <c r="F42" s="160"/>
      <c r="G42" s="9"/>
      <c r="H42" s="9"/>
    </row>
    <row r="43" ht="14.25" customHeight="1">
      <c r="B43" s="168"/>
      <c r="C43" s="9"/>
      <c r="D43" s="9"/>
      <c r="F43" s="160"/>
      <c r="G43" s="9"/>
      <c r="H43" s="9"/>
    </row>
    <row r="44" ht="14.25" customHeight="1">
      <c r="B44" s="168"/>
      <c r="C44" s="9"/>
      <c r="D44" s="9"/>
      <c r="F44" s="160"/>
      <c r="G44" s="9"/>
      <c r="H44" s="9"/>
    </row>
    <row r="45" ht="14.25" customHeight="1">
      <c r="B45" s="168"/>
      <c r="C45" s="9"/>
      <c r="D45" s="9"/>
      <c r="F45" s="160"/>
      <c r="G45" s="9"/>
      <c r="H45" s="9"/>
    </row>
    <row r="46" ht="14.25" customHeight="1">
      <c r="B46" s="168"/>
      <c r="C46" s="9"/>
      <c r="D46" s="9"/>
      <c r="F46" s="160"/>
      <c r="G46" s="9"/>
      <c r="H46" s="9"/>
    </row>
    <row r="47" ht="14.25" customHeight="1">
      <c r="B47" s="168"/>
      <c r="C47" s="9"/>
      <c r="D47" s="9"/>
      <c r="F47" s="160"/>
      <c r="G47" s="9"/>
      <c r="H47" s="9"/>
    </row>
    <row r="48" ht="14.25" customHeight="1">
      <c r="B48" s="168"/>
      <c r="C48" s="9"/>
      <c r="D48" s="9"/>
      <c r="F48" s="160"/>
      <c r="G48" s="9"/>
      <c r="H48" s="9"/>
    </row>
    <row r="49" ht="14.25" customHeight="1">
      <c r="B49" s="168"/>
      <c r="C49" s="9"/>
      <c r="D49" s="9"/>
      <c r="F49" s="160"/>
      <c r="G49" s="9"/>
      <c r="H49" s="9"/>
    </row>
    <row r="50" ht="14.25" customHeight="1">
      <c r="B50" s="168"/>
      <c r="C50" s="9"/>
      <c r="D50" s="9"/>
      <c r="F50" s="160"/>
      <c r="G50" s="9"/>
      <c r="H50" s="9"/>
    </row>
    <row r="51" ht="14.25" customHeight="1">
      <c r="B51" s="168"/>
      <c r="C51" s="9"/>
      <c r="D51" s="9"/>
      <c r="F51" s="160"/>
      <c r="G51" s="9"/>
      <c r="H51" s="9"/>
    </row>
    <row r="52" ht="14.25" customHeight="1">
      <c r="B52" s="168"/>
      <c r="C52" s="9"/>
      <c r="D52" s="9"/>
      <c r="F52" s="160"/>
      <c r="G52" s="9"/>
      <c r="H52" s="9"/>
    </row>
    <row r="53" ht="14.25" customHeight="1">
      <c r="B53" s="168"/>
      <c r="C53" s="9"/>
      <c r="D53" s="9"/>
      <c r="F53" s="160"/>
      <c r="G53" s="9"/>
      <c r="H53" s="9"/>
    </row>
    <row r="54" ht="14.25" customHeight="1">
      <c r="B54" s="168"/>
      <c r="C54" s="9"/>
      <c r="D54" s="9"/>
      <c r="F54" s="160"/>
      <c r="G54" s="9"/>
      <c r="H54" s="9"/>
    </row>
    <row r="55" ht="14.25" customHeight="1">
      <c r="B55" s="168"/>
      <c r="C55" s="9"/>
      <c r="D55" s="9"/>
      <c r="F55" s="160"/>
      <c r="G55" s="9"/>
      <c r="H55" s="9"/>
    </row>
    <row r="56" ht="14.25" customHeight="1">
      <c r="B56" s="168"/>
      <c r="C56" s="9"/>
      <c r="D56" s="9"/>
      <c r="F56" s="160"/>
      <c r="G56" s="9"/>
      <c r="H56" s="9"/>
    </row>
    <row r="57" ht="14.25" customHeight="1">
      <c r="B57" s="168"/>
      <c r="C57" s="9"/>
      <c r="D57" s="9"/>
      <c r="F57" s="160"/>
      <c r="G57" s="9"/>
      <c r="H57" s="9"/>
    </row>
    <row r="58" ht="14.25" customHeight="1">
      <c r="B58" s="168"/>
      <c r="C58" s="9"/>
      <c r="D58" s="9"/>
      <c r="F58" s="160"/>
      <c r="G58" s="9"/>
      <c r="H58" s="9"/>
    </row>
    <row r="59" ht="14.25" customHeight="1">
      <c r="B59" s="168"/>
      <c r="C59" s="9"/>
      <c r="D59" s="9"/>
      <c r="F59" s="160"/>
      <c r="G59" s="9"/>
      <c r="H59" s="9"/>
    </row>
    <row r="60" ht="14.25" customHeight="1">
      <c r="B60" s="168"/>
      <c r="C60" s="9"/>
      <c r="D60" s="9"/>
      <c r="F60" s="160"/>
      <c r="G60" s="9"/>
      <c r="H60" s="9"/>
    </row>
    <row r="61" ht="14.25" customHeight="1">
      <c r="B61" s="168"/>
      <c r="C61" s="9"/>
      <c r="D61" s="9"/>
      <c r="F61" s="160"/>
      <c r="G61" s="9"/>
      <c r="H61" s="9"/>
    </row>
    <row r="62" ht="14.25" customHeight="1">
      <c r="B62" s="168"/>
      <c r="C62" s="9"/>
      <c r="D62" s="9"/>
      <c r="F62" s="160"/>
      <c r="G62" s="9"/>
      <c r="H62" s="9"/>
    </row>
    <row r="63" ht="14.25" customHeight="1">
      <c r="B63" s="168"/>
      <c r="C63" s="9"/>
      <c r="D63" s="9"/>
      <c r="F63" s="160"/>
      <c r="G63" s="9"/>
      <c r="H63" s="9"/>
    </row>
    <row r="64" ht="14.25" customHeight="1">
      <c r="B64" s="168"/>
      <c r="C64" s="9"/>
      <c r="D64" s="9"/>
      <c r="F64" s="160"/>
      <c r="G64" s="9"/>
      <c r="H64" s="9"/>
    </row>
    <row r="65" ht="14.25" customHeight="1">
      <c r="B65" s="168"/>
      <c r="C65" s="9"/>
      <c r="D65" s="9"/>
      <c r="F65" s="160"/>
      <c r="G65" s="9"/>
      <c r="H65" s="9"/>
    </row>
    <row r="66" ht="14.25" customHeight="1">
      <c r="B66" s="168"/>
      <c r="C66" s="9"/>
      <c r="D66" s="9"/>
      <c r="F66" s="160"/>
      <c r="G66" s="9"/>
      <c r="H66" s="9"/>
    </row>
    <row r="67" ht="14.25" customHeight="1">
      <c r="B67" s="168"/>
      <c r="C67" s="9"/>
      <c r="D67" s="9"/>
      <c r="F67" s="160"/>
      <c r="G67" s="9"/>
      <c r="H67" s="9"/>
    </row>
    <row r="68" ht="14.25" customHeight="1">
      <c r="B68" s="168"/>
      <c r="C68" s="9"/>
      <c r="D68" s="9"/>
      <c r="F68" s="160"/>
      <c r="G68" s="9"/>
      <c r="H68" s="9"/>
    </row>
    <row r="69" ht="14.25" customHeight="1">
      <c r="B69" s="168"/>
      <c r="C69" s="9"/>
      <c r="D69" s="9"/>
      <c r="F69" s="160"/>
      <c r="G69" s="9"/>
      <c r="H69" s="9"/>
    </row>
    <row r="70" ht="14.25" customHeight="1">
      <c r="B70" s="168"/>
      <c r="C70" s="9"/>
      <c r="D70" s="9"/>
      <c r="F70" s="160"/>
      <c r="G70" s="9"/>
      <c r="H70" s="9"/>
    </row>
    <row r="71" ht="14.25" customHeight="1">
      <c r="B71" s="168"/>
      <c r="C71" s="9"/>
      <c r="D71" s="9"/>
      <c r="F71" s="160"/>
      <c r="G71" s="9"/>
      <c r="H71" s="9"/>
    </row>
    <row r="72" ht="14.25" customHeight="1">
      <c r="B72" s="168"/>
      <c r="C72" s="9"/>
      <c r="D72" s="9"/>
      <c r="F72" s="160"/>
      <c r="G72" s="9"/>
      <c r="H72" s="9"/>
    </row>
    <row r="73" ht="14.25" customHeight="1">
      <c r="B73" s="168"/>
      <c r="C73" s="9"/>
      <c r="D73" s="9"/>
      <c r="F73" s="160"/>
      <c r="G73" s="9"/>
      <c r="H73" s="9"/>
    </row>
    <row r="74" ht="14.25" customHeight="1">
      <c r="B74" s="168"/>
      <c r="C74" s="9"/>
      <c r="D74" s="9"/>
      <c r="F74" s="160"/>
      <c r="G74" s="9"/>
      <c r="H74" s="9"/>
    </row>
    <row r="75" ht="14.25" customHeight="1">
      <c r="B75" s="168"/>
      <c r="C75" s="9"/>
      <c r="D75" s="9"/>
      <c r="F75" s="160"/>
      <c r="G75" s="9"/>
      <c r="H75" s="9"/>
    </row>
    <row r="76" ht="14.25" customHeight="1">
      <c r="B76" s="168"/>
      <c r="C76" s="9"/>
      <c r="D76" s="9"/>
      <c r="F76" s="160"/>
      <c r="G76" s="9"/>
      <c r="H76" s="9"/>
    </row>
    <row r="77" ht="14.25" customHeight="1">
      <c r="B77" s="168"/>
      <c r="C77" s="9"/>
      <c r="D77" s="9"/>
      <c r="F77" s="160"/>
      <c r="G77" s="9"/>
      <c r="H77" s="9"/>
    </row>
    <row r="78" ht="14.25" customHeight="1">
      <c r="B78" s="168"/>
      <c r="C78" s="9"/>
      <c r="D78" s="9"/>
      <c r="F78" s="160"/>
      <c r="G78" s="9"/>
      <c r="H78" s="9"/>
    </row>
    <row r="79" ht="14.25" customHeight="1">
      <c r="B79" s="168"/>
      <c r="C79" s="9"/>
      <c r="D79" s="9"/>
      <c r="F79" s="160"/>
      <c r="G79" s="9"/>
      <c r="H79" s="9"/>
    </row>
    <row r="80" ht="14.25" customHeight="1">
      <c r="B80" s="168"/>
      <c r="C80" s="9"/>
      <c r="D80" s="9"/>
      <c r="F80" s="160"/>
      <c r="G80" s="9"/>
      <c r="H80" s="9"/>
    </row>
    <row r="81" ht="14.25" customHeight="1">
      <c r="B81" s="168"/>
      <c r="C81" s="9"/>
      <c r="D81" s="9"/>
      <c r="F81" s="160"/>
      <c r="G81" s="9"/>
      <c r="H81" s="9"/>
    </row>
    <row r="82" ht="14.25" customHeight="1">
      <c r="B82" s="168"/>
      <c r="C82" s="9"/>
      <c r="D82" s="9"/>
      <c r="F82" s="160"/>
      <c r="G82" s="9"/>
      <c r="H82" s="9"/>
    </row>
    <row r="83" ht="14.25" customHeight="1">
      <c r="B83" s="168"/>
      <c r="C83" s="9"/>
      <c r="D83" s="9"/>
      <c r="F83" s="160"/>
      <c r="G83" s="9"/>
      <c r="H83" s="9"/>
    </row>
    <row r="84" ht="14.25" customHeight="1">
      <c r="B84" s="168"/>
      <c r="C84" s="9"/>
      <c r="D84" s="9"/>
      <c r="F84" s="160"/>
      <c r="G84" s="9"/>
      <c r="H84" s="9"/>
    </row>
    <row r="85" ht="14.25" customHeight="1">
      <c r="B85" s="168"/>
      <c r="C85" s="9"/>
      <c r="D85" s="9"/>
      <c r="F85" s="160"/>
      <c r="G85" s="9"/>
      <c r="H85" s="9"/>
    </row>
    <row r="86" ht="14.25" customHeight="1">
      <c r="B86" s="168"/>
      <c r="C86" s="9"/>
      <c r="D86" s="9"/>
      <c r="F86" s="160"/>
      <c r="G86" s="9"/>
      <c r="H86" s="9"/>
    </row>
    <row r="87" ht="14.25" customHeight="1">
      <c r="B87" s="168"/>
      <c r="C87" s="9"/>
      <c r="D87" s="9"/>
      <c r="F87" s="160"/>
      <c r="G87" s="9"/>
      <c r="H87" s="9"/>
    </row>
    <row r="88" ht="14.25" customHeight="1">
      <c r="B88" s="168"/>
      <c r="C88" s="9"/>
      <c r="D88" s="9"/>
      <c r="F88" s="160"/>
      <c r="G88" s="9"/>
      <c r="H88" s="9"/>
    </row>
    <row r="89" ht="14.25" customHeight="1">
      <c r="B89" s="168"/>
      <c r="C89" s="9"/>
      <c r="D89" s="9"/>
      <c r="F89" s="160"/>
      <c r="G89" s="9"/>
      <c r="H89" s="9"/>
    </row>
    <row r="90" ht="14.25" customHeight="1">
      <c r="B90" s="168"/>
      <c r="C90" s="9"/>
      <c r="D90" s="9"/>
      <c r="F90" s="160"/>
      <c r="G90" s="9"/>
      <c r="H90" s="9"/>
    </row>
    <row r="91" ht="14.25" customHeight="1">
      <c r="B91" s="168"/>
      <c r="C91" s="9"/>
      <c r="D91" s="9"/>
      <c r="F91" s="160"/>
      <c r="G91" s="9"/>
      <c r="H91" s="9"/>
    </row>
    <row r="92" ht="14.25" customHeight="1">
      <c r="B92" s="168"/>
      <c r="C92" s="9"/>
      <c r="D92" s="9"/>
      <c r="F92" s="160"/>
      <c r="G92" s="9"/>
      <c r="H92" s="9"/>
    </row>
    <row r="93" ht="14.25" customHeight="1">
      <c r="B93" s="168"/>
      <c r="C93" s="9"/>
      <c r="D93" s="9"/>
      <c r="F93" s="160"/>
      <c r="G93" s="9"/>
      <c r="H93" s="9"/>
    </row>
    <row r="94" ht="14.25" customHeight="1">
      <c r="B94" s="168"/>
      <c r="C94" s="9"/>
      <c r="D94" s="9"/>
      <c r="F94" s="160"/>
      <c r="G94" s="9"/>
      <c r="H94" s="9"/>
    </row>
    <row r="95" ht="14.25" customHeight="1">
      <c r="B95" s="168"/>
      <c r="C95" s="9"/>
      <c r="D95" s="9"/>
      <c r="F95" s="160"/>
      <c r="G95" s="9"/>
      <c r="H95" s="9"/>
    </row>
    <row r="96" ht="14.25" customHeight="1">
      <c r="B96" s="168"/>
      <c r="C96" s="9"/>
      <c r="D96" s="9"/>
      <c r="F96" s="160"/>
      <c r="G96" s="9"/>
      <c r="H96" s="9"/>
    </row>
    <row r="97" ht="14.25" customHeight="1">
      <c r="B97" s="168"/>
      <c r="C97" s="9"/>
      <c r="D97" s="9"/>
      <c r="F97" s="160"/>
      <c r="G97" s="9"/>
      <c r="H97" s="9"/>
    </row>
    <row r="98" ht="14.25" customHeight="1">
      <c r="B98" s="168"/>
      <c r="C98" s="9"/>
      <c r="D98" s="9"/>
      <c r="F98" s="160"/>
      <c r="G98" s="9"/>
      <c r="H98" s="9"/>
    </row>
    <row r="99" ht="14.25" customHeight="1">
      <c r="B99" s="168"/>
      <c r="C99" s="9"/>
      <c r="D99" s="9"/>
      <c r="F99" s="160"/>
      <c r="G99" s="9"/>
      <c r="H99" s="9"/>
    </row>
    <row r="100" ht="14.25" customHeight="1">
      <c r="B100" s="168"/>
      <c r="C100" s="9"/>
      <c r="D100" s="9"/>
      <c r="F100" s="160"/>
      <c r="G100" s="9"/>
      <c r="H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127</v>
      </c>
      <c r="D1" s="142"/>
      <c r="E1" s="144"/>
      <c r="F1" s="142"/>
      <c r="G1" s="143" t="s">
        <v>128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70" t="s">
        <v>6</v>
      </c>
      <c r="C2" s="171" t="s">
        <v>7</v>
      </c>
      <c r="D2" s="170" t="s">
        <v>8</v>
      </c>
      <c r="F2" s="170" t="s">
        <v>6</v>
      </c>
      <c r="G2" s="171" t="s">
        <v>7</v>
      </c>
      <c r="H2" s="170" t="s">
        <v>8</v>
      </c>
    </row>
    <row r="3" ht="14.25" customHeight="1">
      <c r="B3" s="17">
        <v>37382.0</v>
      </c>
      <c r="C3" s="9" t="str">
        <f>VLOOKUP(B3,'FML March 2026'!E:F,2,false)</f>
        <v>BEEF BRISKET US  CHOICE, NAMP-120</v>
      </c>
      <c r="D3" s="9" t="str">
        <f>VLOOKUP(B3,'Unit of Measure ship March 2026'!A:C,3,false)</f>
        <v>LBS</v>
      </c>
      <c r="F3" s="17">
        <v>10052.0</v>
      </c>
      <c r="G3" s="9" t="str">
        <f>VLOOKUP(F3,'FML March 2026'!E:F,2,false)</f>
        <v>COD FILLET BERING SEA 16/32 OZ FROZEN (PCH) (CHINA)</v>
      </c>
      <c r="H3" s="9" t="str">
        <f>VLOOKUP(F3,'Unit of Measure ship March 2026'!A:C,3,false)</f>
        <v>LBS</v>
      </c>
    </row>
    <row r="4" ht="14.25" customHeight="1">
      <c r="B4" s="53">
        <v>34728.0</v>
      </c>
      <c r="C4" s="9" t="str">
        <f>VLOOKUP(B4,'FML March 2026'!E:F,2,false)</f>
        <v>BEEF, STRIPLOIN, BONELESS, 13 DWN, UPPER 2/3, CHOICE, ANGUS, 40 DAY AGED, 0X1, NAMP 180, USA ONLY, &lt;22 LB EA, FZN, 3/1 EA</v>
      </c>
      <c r="D4" s="9" t="str">
        <f>VLOOKUP(B4,'Unit of Measure ship March 2026'!A:C,3,false)</f>
        <v>LBS</v>
      </c>
      <c r="F4" s="172">
        <v>14670.0</v>
      </c>
      <c r="G4" s="9" t="str">
        <f>VLOOKUP(F4,'FML March 2026'!E:F,2,false)</f>
        <v>RED SNAPPER FILLET SKIN-ON 1-3 LB FROZEN (IP IS FTZ) (VIETNAM)</v>
      </c>
      <c r="H4" s="9" t="str">
        <f>VLOOKUP(F4,'Unit of Measure ship March 2026'!A:C,3,false)</f>
        <v>LBS</v>
      </c>
    </row>
    <row r="5" ht="14.25" customHeight="1">
      <c r="B5" s="17">
        <v>14576.0</v>
      </c>
      <c r="C5" s="9" t="str">
        <f>VLOOKUP(B5,'FML March 2026'!E:F,2,false)</f>
        <v>CHICKEN, FRYER, WOG, IND WRAPPED, NON-INJECTED, 2.50-3.25 LB EA, FZN, 12/1 EA</v>
      </c>
      <c r="D5" s="9" t="str">
        <f>VLOOKUP(B5,'Unit of Measure ship March 2026'!A:C,3,false)</f>
        <v>LBS</v>
      </c>
      <c r="F5" s="18">
        <v>42269.0</v>
      </c>
      <c r="G5" s="9" t="str">
        <f>VLOOKUP(F5,'FML March 2026'!E:F,2,false)</f>
        <v>SHRIMP 16/20 RAW P&amp;D TAIL-ON CS10/LB SURAM ROYAL WHITE (VIETNAM)</v>
      </c>
      <c r="H5" s="9" t="str">
        <f>VLOOKUP(F5,'Unit of Measure ship March 2026'!A:C,3,false)</f>
        <v>LBS</v>
      </c>
    </row>
    <row r="6" ht="14.25" customHeight="1">
      <c r="B6" s="53">
        <v>14573.0</v>
      </c>
      <c r="C6" s="9" t="str">
        <f>VLOOKUP(B6,'FML March 2026'!E:F,2,false)</f>
        <v>DUCK WHOLE GRADE, "A" 4.00 -  5.0LB CS6/PC</v>
      </c>
      <c r="D6" s="9" t="str">
        <f>VLOOKUP(B6,'Unit of Measure ship March 2026'!A:C,3,false)</f>
        <v>LBS</v>
      </c>
      <c r="F6" s="17">
        <v>14714.0</v>
      </c>
      <c r="G6" s="9" t="str">
        <f>VLOOKUP(F6,'FML March 2026'!E:F,2,false)</f>
        <v>SMOKED SALMON SLAB LG. 2.0-2.5 LB VAC PK (USA)</v>
      </c>
      <c r="H6" s="9" t="str">
        <f>VLOOKUP(F6,'Unit of Measure ship March 2026'!A:C,3,false)</f>
        <v>LBS</v>
      </c>
    </row>
    <row r="7" ht="14.25" customHeight="1">
      <c r="B7" s="53">
        <v>24773.0</v>
      </c>
      <c r="C7" s="9" t="str">
        <f>VLOOKUP(B7,'FML March 2026'!E:F,2,false)</f>
        <v>PORK BELLY RAW RIND-ON (USA)</v>
      </c>
      <c r="D7" s="9" t="str">
        <f>VLOOKUP(B7,'Unit of Measure ship March 2026'!A:C,3,false)</f>
        <v>LBS</v>
      </c>
      <c r="F7" s="149"/>
      <c r="G7" s="9"/>
      <c r="H7" s="9"/>
    </row>
    <row r="8" ht="14.25" customHeight="1">
      <c r="B8" s="17">
        <v>10533.0</v>
      </c>
      <c r="C8" s="9" t="str">
        <f>VLOOKUP(B8,'FML March 2026'!E:F,2,false)</f>
        <v>PORK SHOULDER BUTT BONELESS</v>
      </c>
      <c r="D8" s="9" t="str">
        <f>VLOOKUP(B8,'Unit of Measure ship March 2026'!A:C,3,false)</f>
        <v>LBS</v>
      </c>
      <c r="F8" s="149"/>
      <c r="G8" s="9"/>
      <c r="H8" s="9"/>
    </row>
    <row r="9" ht="14.25" customHeight="1">
      <c r="C9" s="9"/>
      <c r="D9" s="9"/>
      <c r="F9" s="149"/>
      <c r="G9" s="9"/>
      <c r="H9" s="9"/>
    </row>
    <row r="10" ht="14.25" customHeight="1">
      <c r="C10" s="9"/>
      <c r="D10" s="9"/>
      <c r="F10" s="149"/>
      <c r="G10" s="9"/>
      <c r="H10" s="9"/>
    </row>
    <row r="11" ht="14.25" customHeight="1">
      <c r="C11" s="9"/>
      <c r="D11" s="9"/>
      <c r="F11" s="149"/>
      <c r="G11" s="9"/>
      <c r="H11" s="9"/>
    </row>
    <row r="12" ht="14.25" customHeight="1">
      <c r="C12" s="9"/>
      <c r="D12" s="9"/>
      <c r="F12" s="149"/>
      <c r="G12" s="9"/>
      <c r="H12" s="9"/>
    </row>
    <row r="13" ht="14.25" customHeight="1">
      <c r="B13" s="160"/>
      <c r="C13" s="9"/>
      <c r="D13" s="9"/>
      <c r="F13" s="149"/>
      <c r="G13" s="9"/>
      <c r="H13" s="9"/>
    </row>
    <row r="14" ht="14.25" customHeight="1">
      <c r="B14" s="160"/>
      <c r="C14" s="9"/>
      <c r="D14" s="9"/>
      <c r="F14" s="149"/>
      <c r="G14" s="9"/>
      <c r="H14" s="9"/>
    </row>
    <row r="15" ht="14.25" customHeight="1">
      <c r="B15" s="160"/>
      <c r="C15" s="9"/>
      <c r="D15" s="9"/>
      <c r="F15" s="149"/>
      <c r="G15" s="9"/>
      <c r="H15" s="9"/>
    </row>
    <row r="16" ht="14.25" customHeight="1">
      <c r="B16" s="160"/>
      <c r="C16" s="9"/>
      <c r="D16" s="9"/>
      <c r="F16" s="149"/>
      <c r="G16" s="9"/>
      <c r="H16" s="9"/>
    </row>
    <row r="17" ht="14.25" customHeight="1">
      <c r="B17" s="160"/>
      <c r="C17" s="9"/>
      <c r="D17" s="9"/>
      <c r="F17" s="149"/>
      <c r="G17" s="9"/>
      <c r="H17" s="9"/>
    </row>
    <row r="18" ht="14.25" customHeight="1">
      <c r="B18" s="160"/>
      <c r="C18" s="9"/>
      <c r="D18" s="9"/>
      <c r="F18" s="149"/>
      <c r="G18" s="9"/>
      <c r="H18" s="9"/>
    </row>
    <row r="19" ht="14.25" customHeight="1">
      <c r="B19" s="160"/>
      <c r="C19" s="9"/>
      <c r="D19" s="9"/>
      <c r="F19" s="149"/>
      <c r="G19" s="9"/>
      <c r="H19" s="9"/>
    </row>
    <row r="20" ht="14.25" customHeight="1">
      <c r="B20" s="160"/>
      <c r="C20" s="9"/>
      <c r="D20" s="9"/>
      <c r="F20" s="149"/>
      <c r="G20" s="9"/>
      <c r="H20" s="9"/>
    </row>
    <row r="21" ht="14.25" customHeight="1">
      <c r="B21" s="160"/>
      <c r="C21" s="9"/>
      <c r="D21" s="9"/>
      <c r="F21" s="149"/>
      <c r="G21" s="9"/>
      <c r="H21" s="9"/>
    </row>
    <row r="22" ht="14.25" customHeight="1">
      <c r="B22" s="160"/>
      <c r="C22" s="9"/>
      <c r="D22" s="9"/>
      <c r="F22" s="149"/>
      <c r="G22" s="9"/>
      <c r="H22" s="9"/>
    </row>
    <row r="23" ht="14.25" customHeight="1">
      <c r="B23" s="160"/>
      <c r="C23" s="9"/>
      <c r="D23" s="9"/>
      <c r="F23" s="149"/>
      <c r="G23" s="9"/>
      <c r="H23" s="9"/>
    </row>
    <row r="24" ht="14.25" customHeight="1">
      <c r="B24" s="160"/>
      <c r="C24" s="9"/>
      <c r="D24" s="9"/>
      <c r="F24" s="149"/>
      <c r="G24" s="9"/>
      <c r="H24" s="9"/>
    </row>
    <row r="25" ht="14.25" customHeight="1">
      <c r="B25" s="160"/>
      <c r="C25" s="9"/>
      <c r="D25" s="9"/>
      <c r="F25" s="149"/>
      <c r="G25" s="9"/>
      <c r="H25" s="9"/>
    </row>
    <row r="26" ht="14.25" customHeight="1">
      <c r="B26" s="160"/>
      <c r="C26" s="9"/>
      <c r="D26" s="9"/>
      <c r="F26" s="149"/>
      <c r="G26" s="9"/>
      <c r="H26" s="9"/>
    </row>
    <row r="27" ht="14.25" customHeight="1">
      <c r="B27" s="160"/>
      <c r="C27" s="9"/>
      <c r="D27" s="9"/>
      <c r="F27" s="149"/>
      <c r="G27" s="9"/>
      <c r="H27" s="9"/>
    </row>
    <row r="28" ht="14.25" customHeight="1">
      <c r="B28" s="160"/>
      <c r="C28" s="9"/>
      <c r="D28" s="9"/>
      <c r="F28" s="149"/>
      <c r="G28" s="9"/>
      <c r="H28" s="9"/>
    </row>
    <row r="29" ht="14.25" customHeight="1">
      <c r="B29" s="160"/>
      <c r="C29" s="9"/>
      <c r="D29" s="9"/>
      <c r="F29" s="149"/>
      <c r="G29" s="9"/>
      <c r="H29" s="9"/>
    </row>
    <row r="30" ht="14.25" customHeight="1">
      <c r="B30" s="160"/>
      <c r="C30" s="9"/>
      <c r="D30" s="9"/>
      <c r="F30" s="149"/>
      <c r="G30" s="9"/>
      <c r="H30" s="9"/>
    </row>
    <row r="31" ht="14.25" customHeight="1">
      <c r="B31" s="160"/>
      <c r="C31" s="9"/>
      <c r="D31" s="9"/>
      <c r="F31" s="149"/>
      <c r="G31" s="9"/>
      <c r="H31" s="9"/>
    </row>
    <row r="32" ht="14.25" customHeight="1">
      <c r="B32" s="160"/>
      <c r="C32" s="9"/>
      <c r="D32" s="9"/>
      <c r="F32" s="149"/>
      <c r="G32" s="9"/>
      <c r="H32" s="9"/>
    </row>
    <row r="33" ht="14.25" customHeight="1">
      <c r="B33" s="160"/>
      <c r="C33" s="9"/>
      <c r="D33" s="9"/>
      <c r="F33" s="149"/>
      <c r="G33" s="9"/>
      <c r="H33" s="9"/>
    </row>
    <row r="34" ht="14.25" customHeight="1">
      <c r="B34" s="160"/>
      <c r="C34" s="9"/>
      <c r="D34" s="9"/>
      <c r="F34" s="149"/>
      <c r="G34" s="9"/>
      <c r="H34" s="9"/>
    </row>
    <row r="35" ht="14.25" customHeight="1">
      <c r="B35" s="160"/>
      <c r="C35" s="9"/>
      <c r="D35" s="9"/>
      <c r="F35" s="149"/>
      <c r="G35" s="9"/>
      <c r="H35" s="9"/>
    </row>
    <row r="36" ht="14.25" customHeight="1">
      <c r="B36" s="160"/>
      <c r="C36" s="9"/>
      <c r="D36" s="9"/>
      <c r="F36" s="149"/>
      <c r="G36" s="9"/>
      <c r="H36" s="9"/>
    </row>
    <row r="37" ht="14.25" customHeight="1">
      <c r="B37" s="160"/>
      <c r="C37" s="9"/>
      <c r="D37" s="9"/>
      <c r="F37" s="149"/>
      <c r="G37" s="9"/>
      <c r="H37" s="9"/>
    </row>
    <row r="38" ht="14.25" customHeight="1">
      <c r="B38" s="160"/>
      <c r="C38" s="9"/>
      <c r="D38" s="9"/>
      <c r="F38" s="149"/>
      <c r="G38" s="9"/>
      <c r="H38" s="9"/>
    </row>
    <row r="39" ht="14.25" customHeight="1">
      <c r="B39" s="160"/>
      <c r="C39" s="9"/>
      <c r="D39" s="9"/>
      <c r="F39" s="149"/>
      <c r="G39" s="9"/>
      <c r="H39" s="9"/>
    </row>
    <row r="40" ht="14.25" customHeight="1">
      <c r="B40" s="160"/>
      <c r="C40" s="9"/>
      <c r="D40" s="9"/>
      <c r="F40" s="149"/>
      <c r="G40" s="9"/>
      <c r="H40" s="9"/>
    </row>
    <row r="41" ht="14.25" customHeight="1">
      <c r="B41" s="160"/>
      <c r="C41" s="9"/>
      <c r="D41" s="9"/>
      <c r="F41" s="149"/>
      <c r="G41" s="9"/>
      <c r="H41" s="9"/>
    </row>
    <row r="42" ht="14.25" customHeight="1">
      <c r="B42" s="160"/>
      <c r="C42" s="9"/>
      <c r="D42" s="9"/>
      <c r="F42" s="149"/>
      <c r="G42" s="9"/>
      <c r="H42" s="9"/>
    </row>
    <row r="43" ht="14.25" customHeight="1">
      <c r="B43" s="160"/>
      <c r="C43" s="9"/>
      <c r="D43" s="9"/>
      <c r="F43" s="149"/>
      <c r="G43" s="9"/>
      <c r="H43" s="9"/>
    </row>
    <row r="44" ht="14.25" customHeight="1">
      <c r="B44" s="160"/>
      <c r="C44" s="9"/>
      <c r="D44" s="9"/>
      <c r="F44" s="149"/>
      <c r="G44" s="9"/>
      <c r="H44" s="9"/>
    </row>
    <row r="45" ht="14.25" customHeight="1">
      <c r="B45" s="160"/>
      <c r="C45" s="9"/>
      <c r="D45" s="9"/>
      <c r="F45" s="149"/>
      <c r="G45" s="9"/>
      <c r="H45" s="9"/>
    </row>
    <row r="46" ht="14.25" customHeight="1">
      <c r="B46" s="160"/>
      <c r="C46" s="9"/>
      <c r="D46" s="9"/>
      <c r="F46" s="149"/>
      <c r="G46" s="9"/>
      <c r="H46" s="9"/>
    </row>
    <row r="47" ht="14.25" customHeight="1">
      <c r="B47" s="160"/>
      <c r="C47" s="9"/>
      <c r="D47" s="9"/>
      <c r="F47" s="149"/>
      <c r="G47" s="9"/>
      <c r="H47" s="9"/>
    </row>
    <row r="48" ht="14.25" customHeight="1">
      <c r="B48" s="160"/>
      <c r="C48" s="9"/>
      <c r="D48" s="9"/>
      <c r="F48" s="149"/>
      <c r="G48" s="9"/>
      <c r="H48" s="9"/>
    </row>
    <row r="49" ht="14.25" customHeight="1">
      <c r="B49" s="160"/>
      <c r="C49" s="9"/>
      <c r="D49" s="9"/>
      <c r="F49" s="149"/>
      <c r="G49" s="9"/>
      <c r="H49" s="9"/>
    </row>
    <row r="50" ht="14.25" customHeight="1">
      <c r="B50" s="160"/>
      <c r="C50" s="9"/>
      <c r="D50" s="9"/>
      <c r="F50" s="149"/>
      <c r="G50" s="9"/>
      <c r="H50" s="9"/>
    </row>
    <row r="51" ht="14.25" customHeight="1">
      <c r="B51" s="160"/>
      <c r="C51" s="9"/>
      <c r="D51" s="9"/>
      <c r="F51" s="149"/>
      <c r="G51" s="9"/>
      <c r="H51" s="9"/>
    </row>
    <row r="52" ht="14.25" customHeight="1">
      <c r="B52" s="160"/>
      <c r="C52" s="9"/>
      <c r="D52" s="9"/>
      <c r="F52" s="149"/>
      <c r="G52" s="9"/>
      <c r="H52" s="9"/>
    </row>
    <row r="53" ht="14.25" customHeight="1">
      <c r="B53" s="160"/>
      <c r="C53" s="9"/>
      <c r="D53" s="9"/>
      <c r="F53" s="149"/>
      <c r="G53" s="9"/>
      <c r="H53" s="9"/>
    </row>
    <row r="54" ht="14.25" customHeight="1">
      <c r="B54" s="160"/>
      <c r="C54" s="9"/>
      <c r="D54" s="9"/>
      <c r="F54" s="149"/>
      <c r="G54" s="9"/>
      <c r="H54" s="9"/>
    </row>
    <row r="55" ht="14.25" customHeight="1">
      <c r="B55" s="160"/>
      <c r="C55" s="9"/>
      <c r="D55" s="9"/>
      <c r="F55" s="149"/>
      <c r="G55" s="9"/>
      <c r="H55" s="9"/>
    </row>
    <row r="56" ht="14.25" customHeight="1">
      <c r="B56" s="160"/>
      <c r="C56" s="9"/>
      <c r="D56" s="9"/>
      <c r="F56" s="149"/>
      <c r="G56" s="9"/>
      <c r="H56" s="9"/>
    </row>
    <row r="57" ht="14.25" customHeight="1">
      <c r="B57" s="160"/>
      <c r="C57" s="9"/>
      <c r="D57" s="9"/>
      <c r="F57" s="149"/>
      <c r="G57" s="9"/>
      <c r="H57" s="9"/>
    </row>
    <row r="58" ht="14.25" customHeight="1">
      <c r="B58" s="160"/>
      <c r="C58" s="9"/>
      <c r="D58" s="9"/>
      <c r="F58" s="149"/>
      <c r="G58" s="9"/>
      <c r="H58" s="9"/>
    </row>
    <row r="59" ht="14.25" customHeight="1">
      <c r="B59" s="160"/>
      <c r="C59" s="9"/>
      <c r="D59" s="9"/>
      <c r="F59" s="149"/>
      <c r="G59" s="9"/>
      <c r="H59" s="9"/>
    </row>
    <row r="60" ht="14.25" customHeight="1">
      <c r="B60" s="160"/>
      <c r="C60" s="9"/>
      <c r="D60" s="9"/>
      <c r="F60" s="149"/>
      <c r="G60" s="9"/>
      <c r="H60" s="9"/>
    </row>
    <row r="61" ht="14.25" customHeight="1">
      <c r="B61" s="160"/>
      <c r="C61" s="9"/>
      <c r="D61" s="9"/>
      <c r="F61" s="149"/>
      <c r="G61" s="9"/>
      <c r="H61" s="9"/>
    </row>
    <row r="62" ht="14.25" customHeight="1">
      <c r="B62" s="160"/>
      <c r="C62" s="9"/>
      <c r="D62" s="9"/>
      <c r="F62" s="149"/>
      <c r="G62" s="9"/>
      <c r="H62" s="9"/>
    </row>
    <row r="63" ht="14.25" customHeight="1">
      <c r="B63" s="160"/>
      <c r="C63" s="9"/>
      <c r="D63" s="9"/>
      <c r="F63" s="149"/>
      <c r="G63" s="9"/>
      <c r="H63" s="9"/>
    </row>
    <row r="64" ht="14.25" customHeight="1">
      <c r="B64" s="160"/>
      <c r="C64" s="9"/>
      <c r="D64" s="9"/>
      <c r="F64" s="149"/>
      <c r="G64" s="9"/>
      <c r="H64" s="9"/>
    </row>
    <row r="65" ht="14.25" customHeight="1">
      <c r="B65" s="160"/>
      <c r="C65" s="9"/>
      <c r="D65" s="9"/>
      <c r="F65" s="149"/>
      <c r="G65" s="9"/>
      <c r="H65" s="9"/>
    </row>
    <row r="66" ht="14.25" customHeight="1">
      <c r="B66" s="160"/>
      <c r="C66" s="9"/>
      <c r="D66" s="9"/>
      <c r="F66" s="149"/>
      <c r="G66" s="9"/>
      <c r="H66" s="9"/>
    </row>
    <row r="67" ht="14.25" customHeight="1">
      <c r="B67" s="160"/>
      <c r="C67" s="9"/>
      <c r="D67" s="9"/>
      <c r="F67" s="149"/>
      <c r="G67" s="9"/>
      <c r="H67" s="9"/>
    </row>
    <row r="68" ht="14.25" customHeight="1">
      <c r="B68" s="160"/>
      <c r="C68" s="9"/>
      <c r="D68" s="9"/>
      <c r="F68" s="149"/>
      <c r="G68" s="9"/>
      <c r="H68" s="9"/>
    </row>
    <row r="69" ht="14.25" customHeight="1">
      <c r="B69" s="160"/>
      <c r="C69" s="9"/>
      <c r="D69" s="9"/>
      <c r="F69" s="149"/>
      <c r="G69" s="9"/>
      <c r="H69" s="9"/>
    </row>
    <row r="70" ht="14.25" customHeight="1">
      <c r="B70" s="160"/>
      <c r="C70" s="9"/>
      <c r="D70" s="9"/>
      <c r="F70" s="149"/>
      <c r="G70" s="9"/>
      <c r="H70" s="9"/>
    </row>
    <row r="71" ht="14.25" customHeight="1">
      <c r="B71" s="160"/>
      <c r="C71" s="9"/>
      <c r="D71" s="9"/>
      <c r="F71" s="149"/>
      <c r="G71" s="9"/>
      <c r="H71" s="9"/>
    </row>
    <row r="72" ht="14.25" customHeight="1">
      <c r="B72" s="160"/>
      <c r="C72" s="9"/>
      <c r="D72" s="9"/>
      <c r="F72" s="149"/>
      <c r="G72" s="9"/>
      <c r="H72" s="9"/>
    </row>
    <row r="73" ht="14.25" customHeight="1">
      <c r="B73" s="160"/>
      <c r="C73" s="9"/>
      <c r="D73" s="9"/>
      <c r="F73" s="149"/>
      <c r="G73" s="9"/>
      <c r="H73" s="9"/>
    </row>
    <row r="74" ht="14.25" customHeight="1">
      <c r="B74" s="160"/>
      <c r="C74" s="9"/>
      <c r="D74" s="9"/>
      <c r="F74" s="149"/>
      <c r="G74" s="9"/>
      <c r="H74" s="9"/>
    </row>
    <row r="75" ht="14.25" customHeight="1">
      <c r="B75" s="160"/>
      <c r="C75" s="9"/>
      <c r="D75" s="9"/>
      <c r="F75" s="149"/>
      <c r="G75" s="9"/>
      <c r="H75" s="9"/>
    </row>
    <row r="76" ht="14.25" customHeight="1">
      <c r="B76" s="160"/>
      <c r="C76" s="9"/>
      <c r="D76" s="9"/>
      <c r="F76" s="149"/>
      <c r="G76" s="9"/>
      <c r="H76" s="9"/>
    </row>
    <row r="77" ht="14.25" customHeight="1">
      <c r="B77" s="160"/>
      <c r="C77" s="9"/>
      <c r="D77" s="9"/>
      <c r="F77" s="149"/>
      <c r="G77" s="9"/>
      <c r="H77" s="9"/>
    </row>
    <row r="78" ht="14.25" customHeight="1">
      <c r="B78" s="160"/>
      <c r="C78" s="9"/>
      <c r="D78" s="9"/>
      <c r="F78" s="149"/>
      <c r="G78" s="9"/>
      <c r="H78" s="9"/>
    </row>
    <row r="79" ht="14.25" customHeight="1">
      <c r="B79" s="160"/>
      <c r="C79" s="9"/>
      <c r="D79" s="9"/>
      <c r="F79" s="149"/>
      <c r="G79" s="9"/>
      <c r="H79" s="9"/>
    </row>
    <row r="80" ht="14.25" customHeight="1">
      <c r="B80" s="160"/>
      <c r="C80" s="9"/>
      <c r="D80" s="9"/>
      <c r="F80" s="149"/>
      <c r="G80" s="9"/>
      <c r="H80" s="9"/>
    </row>
    <row r="81" ht="14.25" customHeight="1">
      <c r="B81" s="160"/>
      <c r="C81" s="9"/>
      <c r="D81" s="9"/>
      <c r="F81" s="149"/>
      <c r="G81" s="9"/>
      <c r="H81" s="9"/>
    </row>
    <row r="82" ht="14.25" customHeight="1">
      <c r="B82" s="160"/>
      <c r="C82" s="9"/>
      <c r="D82" s="9"/>
      <c r="F82" s="149"/>
      <c r="G82" s="9"/>
      <c r="H82" s="9"/>
    </row>
    <row r="83" ht="14.25" customHeight="1">
      <c r="B83" s="160"/>
      <c r="C83" s="9"/>
      <c r="D83" s="9"/>
      <c r="F83" s="149"/>
      <c r="G83" s="9"/>
      <c r="H83" s="9"/>
    </row>
    <row r="84" ht="14.25" customHeight="1">
      <c r="B84" s="160"/>
      <c r="C84" s="9"/>
      <c r="D84" s="9"/>
      <c r="F84" s="149"/>
      <c r="G84" s="9"/>
      <c r="H84" s="9"/>
    </row>
    <row r="85" ht="14.25" customHeight="1">
      <c r="B85" s="160"/>
      <c r="C85" s="9"/>
      <c r="D85" s="9"/>
      <c r="F85" s="149"/>
      <c r="G85" s="9"/>
      <c r="H85" s="9"/>
    </row>
    <row r="86" ht="14.25" customHeight="1">
      <c r="B86" s="160"/>
      <c r="C86" s="9"/>
      <c r="D86" s="9"/>
      <c r="F86" s="149"/>
      <c r="G86" s="9"/>
      <c r="H86" s="9"/>
    </row>
    <row r="87" ht="14.25" customHeight="1">
      <c r="B87" s="160"/>
      <c r="C87" s="9"/>
      <c r="D87" s="9"/>
      <c r="F87" s="149"/>
      <c r="G87" s="9"/>
      <c r="H87" s="9"/>
    </row>
    <row r="88" ht="14.25" customHeight="1">
      <c r="B88" s="160"/>
      <c r="C88" s="9"/>
      <c r="D88" s="9"/>
      <c r="F88" s="149"/>
      <c r="G88" s="9"/>
      <c r="H88" s="9"/>
    </row>
    <row r="89" ht="14.25" customHeight="1">
      <c r="B89" s="160"/>
      <c r="C89" s="9"/>
      <c r="D89" s="9"/>
      <c r="F89" s="149"/>
      <c r="G89" s="9"/>
      <c r="H89" s="9"/>
    </row>
    <row r="90" ht="14.25" customHeight="1">
      <c r="B90" s="160"/>
      <c r="C90" s="9"/>
      <c r="D90" s="9"/>
      <c r="F90" s="149"/>
      <c r="G90" s="9"/>
      <c r="H90" s="9"/>
    </row>
    <row r="91" ht="14.25" customHeight="1">
      <c r="B91" s="160"/>
      <c r="C91" s="9"/>
      <c r="D91" s="9"/>
      <c r="F91" s="149"/>
      <c r="G91" s="9"/>
      <c r="H91" s="9"/>
    </row>
    <row r="92" ht="14.25" customHeight="1">
      <c r="B92" s="160"/>
      <c r="C92" s="9"/>
      <c r="D92" s="9"/>
      <c r="F92" s="149"/>
      <c r="G92" s="9"/>
      <c r="H92" s="9"/>
    </row>
    <row r="93" ht="14.25" customHeight="1">
      <c r="B93" s="160"/>
      <c r="C93" s="9"/>
      <c r="D93" s="9"/>
      <c r="F93" s="149"/>
      <c r="G93" s="9"/>
      <c r="H93" s="9"/>
    </row>
    <row r="94" ht="14.25" customHeight="1">
      <c r="B94" s="160"/>
      <c r="C94" s="9"/>
      <c r="D94" s="9"/>
      <c r="F94" s="149"/>
      <c r="G94" s="9"/>
      <c r="H94" s="9"/>
    </row>
    <row r="95" ht="14.25" customHeight="1">
      <c r="B95" s="160"/>
      <c r="C95" s="9"/>
      <c r="D95" s="9"/>
      <c r="F95" s="149"/>
      <c r="G95" s="9"/>
      <c r="H95" s="9"/>
    </row>
    <row r="96" ht="14.25" customHeight="1">
      <c r="B96" s="160"/>
      <c r="C96" s="9"/>
      <c r="D96" s="9"/>
      <c r="F96" s="149"/>
      <c r="G96" s="9"/>
      <c r="H96" s="9"/>
    </row>
    <row r="97" ht="14.25" customHeight="1">
      <c r="B97" s="160"/>
      <c r="C97" s="9"/>
      <c r="D97" s="9"/>
      <c r="F97" s="149"/>
      <c r="G97" s="9"/>
      <c r="H97" s="9"/>
    </row>
    <row r="98" ht="14.25" customHeight="1">
      <c r="B98" s="160"/>
      <c r="C98" s="9"/>
      <c r="D98" s="9"/>
      <c r="F98" s="149"/>
      <c r="G98" s="9"/>
      <c r="H98" s="9"/>
    </row>
    <row r="99" ht="14.25" customHeight="1">
      <c r="B99" s="160"/>
      <c r="C99" s="9"/>
      <c r="D99" s="9"/>
      <c r="F99" s="149"/>
      <c r="G99" s="9"/>
      <c r="H99" s="9"/>
    </row>
    <row r="100" ht="14.25" customHeight="1">
      <c r="B100" s="160"/>
      <c r="C100" s="9"/>
      <c r="D100" s="9"/>
      <c r="F100" s="149"/>
      <c r="G100" s="9"/>
      <c r="H100" s="9"/>
    </row>
    <row r="101" ht="14.25" customHeight="1">
      <c r="B101" s="160"/>
      <c r="C101" s="9"/>
      <c r="D101" s="9"/>
      <c r="F101" s="149"/>
      <c r="G101" s="9"/>
      <c r="H101" s="9"/>
    </row>
    <row r="102" ht="14.25" customHeight="1">
      <c r="B102" s="160"/>
      <c r="C102" s="9"/>
      <c r="D102" s="9"/>
      <c r="F102" s="149"/>
      <c r="G102" s="9"/>
      <c r="H102" s="9"/>
    </row>
    <row r="103" ht="14.25" customHeight="1">
      <c r="F103" s="149"/>
      <c r="G103" s="9"/>
      <c r="H103" s="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129</v>
      </c>
      <c r="D1" s="142"/>
      <c r="E1" s="144"/>
      <c r="F1" s="142"/>
      <c r="G1" s="142" t="s">
        <v>130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53">
        <v>110970.0</v>
      </c>
      <c r="C3" s="15" t="str">
        <f>VLOOKUP(B3,'FML March 2026'!E:F,2,false)</f>
        <v>BEEF SHORT RIBS BONELESS VV, NAMP-130A</v>
      </c>
      <c r="D3" s="7" t="str">
        <f>VLOOKUP(B3,'Unit of Measure ship March 2026'!A:C,3,false)</f>
        <v>LBS</v>
      </c>
      <c r="F3" s="8">
        <v>148490.0</v>
      </c>
      <c r="G3" s="9" t="str">
        <f>VLOOKUP(F3,'FML March 2026'!E:F,2,false)</f>
        <v>GRILLED EEL/ UNAGI/ KABAYAKI (BBQ EEL SUSHI)</v>
      </c>
      <c r="H3" s="9" t="str">
        <f>VLOOKUP(F3,'Unit of Measure ship March 2026'!A:C,3,false)</f>
        <v>LBS</v>
      </c>
    </row>
    <row r="4" ht="14.25" customHeight="1">
      <c r="D4" s="7"/>
      <c r="F4" s="8">
        <v>112635.0</v>
      </c>
      <c r="G4" s="9" t="str">
        <f>VLOOKUP(F4,'FML March 2026'!E:F,2,false)</f>
        <v>MASAGO FISH ROE S12/2 LB AZUMA FOODS</v>
      </c>
      <c r="H4" s="9" t="str">
        <f>VLOOKUP(F4,'Unit of Measure ship March 2026'!A:C,3,false)</f>
        <v>LBS</v>
      </c>
    </row>
    <row r="5" ht="14.25" customHeight="1">
      <c r="D5" s="7"/>
      <c r="F5" s="17">
        <v>53625.0</v>
      </c>
      <c r="G5" s="9" t="str">
        <f>VLOOKUP(F5,'FML March 2026'!E:F,2,false)</f>
        <v>SALMON FILLET, ATLANTIC, PREMIUM, FROZEN, 3 - 4 LB D-TRIM INDV. CRYOVAC (CHILE)</v>
      </c>
      <c r="H5" s="9" t="str">
        <f>VLOOKUP(F5,'Unit of Measure ship March 2026'!A:C,3,false)</f>
        <v>LBS</v>
      </c>
    </row>
    <row r="6" ht="14.25" customHeight="1">
      <c r="D6" s="7"/>
      <c r="F6" s="17">
        <v>14852.0</v>
      </c>
      <c r="G6" s="9" t="str">
        <f>VLOOKUP(F6,'FML March 2026'!E:F,2,false)</f>
        <v>SEA BASS EUROPEAN/ BRANZINO HEAD-ON GUTTED  FINISHED WEIGHT 800-1000GR POLY WRAP (HOLLAND)</v>
      </c>
      <c r="H6" s="9" t="str">
        <f>VLOOKUP(F6,'Unit of Measure ship March 2026'!A:C,3,false)</f>
        <v>LBS</v>
      </c>
    </row>
    <row r="7" ht="14.25" customHeight="1">
      <c r="D7" s="7"/>
      <c r="F7" s="8">
        <v>112205.0</v>
      </c>
      <c r="G7" s="9" t="str">
        <f>VLOOKUP(F7,'FML March 2026'!E:F,2,false)</f>
        <v>SHRIMP TEMPURA EBI PRE COOKED LARGE125 PC V.V.</v>
      </c>
      <c r="H7" s="9" t="str">
        <f>VLOOKUP(F7,'Unit of Measure ship March 2026'!A:C,3,false)</f>
        <v>CS120/PC</v>
      </c>
    </row>
    <row r="8" ht="14.25" customHeight="1">
      <c r="D8" s="7"/>
      <c r="F8" s="17">
        <v>20115.0</v>
      </c>
      <c r="G8" s="9" t="str">
        <f>VLOOKUP(F8,'FML March 2026'!E:F,2,false)</f>
        <v>SURIMI/WHITE FISH STICKS W/2% CRAB MEAT, COOKED -SUSHI GRADE KST (USA)</v>
      </c>
      <c r="H8" s="9" t="str">
        <f>VLOOKUP(F8,'Unit of Measure ship March 2026'!A:C,3,false)</f>
        <v>LBS</v>
      </c>
    </row>
    <row r="9" ht="14.25" customHeight="1">
      <c r="D9" s="7"/>
      <c r="F9" s="8">
        <v>111079.0</v>
      </c>
      <c r="G9" s="9" t="str">
        <f>VLOOKUP(F9,'FML March 2026'!E:F,2,false)</f>
        <v>TOBIKO WASABI FLYING FISH ROE CS12/500 GRAM KST</v>
      </c>
      <c r="H9" s="9" t="str">
        <f>VLOOKUP(F9,'Unit of Measure ship March 2026'!A:C,3,false)</f>
        <v>PK500/GR</v>
      </c>
    </row>
    <row r="10" ht="14.25" customHeight="1">
      <c r="D10" s="7"/>
      <c r="F10" s="8">
        <v>112204.0</v>
      </c>
      <c r="G10" s="9" t="str">
        <f>VLOOKUP(F10,'FML March 2026'!E:F,2,false)</f>
        <v>TUNA GROUND "RR" CS2/11LB  V.V.</v>
      </c>
      <c r="H10" s="9" t="str">
        <f>VLOOKUP(F10,'Unit of Measure ship March 2026'!A:C,3,false)</f>
        <v>LBS</v>
      </c>
    </row>
    <row r="11" ht="14.25" customHeight="1">
      <c r="D11" s="7"/>
      <c r="F11" s="17">
        <v>14651.0</v>
      </c>
      <c r="G11" s="9" t="str">
        <f>VLOOKUP(F11,'FML March 2026'!E:F,2,false)</f>
        <v>TUNA LOIN SKINLESS FROZEN,  (IP IS FTZ) (YEMEN)</v>
      </c>
      <c r="H11" s="9" t="str">
        <f>VLOOKUP(F11,'Unit of Measure ship March 2026'!A:C,3,false)</f>
        <v>LBS</v>
      </c>
    </row>
    <row r="12" ht="14.25" customHeight="1">
      <c r="D12" s="7"/>
      <c r="F12" s="8">
        <v>20913.0</v>
      </c>
      <c r="G12" s="9" t="str">
        <f>VLOOKUP(F12,'FML March 2026'!E:F,2,false)</f>
        <v>YELLOWTAIL (HAMACHI) LOIN SEIKI #1 SUSHI GRADE</v>
      </c>
      <c r="H12" s="9" t="str">
        <f>VLOOKUP(F12,'Unit of Measure ship March 2026'!A:C,3,false)</f>
        <v>LBS</v>
      </c>
    </row>
    <row r="13" ht="14.25" customHeight="1">
      <c r="G13" s="9"/>
      <c r="H13" s="9"/>
    </row>
    <row r="14" ht="14.25" customHeight="1">
      <c r="G14" s="9"/>
      <c r="H14" s="9"/>
    </row>
    <row r="15" ht="14.25" customHeight="1">
      <c r="G15" s="9"/>
      <c r="H15" s="9"/>
    </row>
    <row r="16" ht="14.25" customHeight="1">
      <c r="G16" s="9"/>
      <c r="H16" s="9"/>
    </row>
    <row r="17" ht="14.25" customHeight="1">
      <c r="G17" s="9"/>
      <c r="H17" s="9"/>
    </row>
    <row r="18" ht="14.25" customHeight="1">
      <c r="G18" s="9"/>
      <c r="H18" s="9"/>
    </row>
    <row r="19" ht="14.25" customHeight="1">
      <c r="G19" s="9"/>
      <c r="H19" s="9"/>
    </row>
    <row r="20" ht="14.25" customHeight="1">
      <c r="G20" s="9"/>
      <c r="H20" s="9"/>
    </row>
    <row r="21" ht="14.25" customHeight="1">
      <c r="G21" s="9"/>
      <c r="H21" s="9"/>
    </row>
    <row r="22" ht="14.25" customHeight="1">
      <c r="G22" s="9"/>
      <c r="H22" s="9"/>
    </row>
    <row r="23" ht="14.25" customHeight="1">
      <c r="G23" s="9"/>
      <c r="H23" s="9"/>
    </row>
    <row r="24" ht="14.25" customHeight="1">
      <c r="G24" s="9"/>
      <c r="H24" s="9"/>
    </row>
    <row r="25" ht="14.25" customHeight="1">
      <c r="G25" s="9"/>
      <c r="H25" s="9"/>
    </row>
    <row r="26" ht="14.25" customHeight="1">
      <c r="G26" s="9"/>
      <c r="H26" s="9"/>
    </row>
    <row r="27" ht="14.25" customHeight="1">
      <c r="G27" s="9"/>
      <c r="H27" s="9"/>
    </row>
    <row r="28" ht="14.25" customHeight="1">
      <c r="F28" s="149"/>
      <c r="G28" s="9"/>
      <c r="H28" s="9"/>
    </row>
    <row r="29" ht="14.25" customHeight="1">
      <c r="F29" s="149"/>
      <c r="G29" s="9"/>
      <c r="H29" s="9"/>
    </row>
    <row r="30" ht="14.25" customHeight="1">
      <c r="F30" s="149"/>
      <c r="G30" s="9"/>
      <c r="H30" s="9"/>
    </row>
    <row r="31" ht="14.25" customHeight="1">
      <c r="F31" s="149"/>
      <c r="G31" s="9"/>
      <c r="H31" s="9"/>
    </row>
    <row r="32" ht="14.25" customHeight="1">
      <c r="F32" s="149"/>
      <c r="G32" s="9"/>
      <c r="H32" s="9"/>
    </row>
    <row r="33" ht="14.25" customHeight="1">
      <c r="F33" s="149"/>
      <c r="G33" s="9"/>
      <c r="H33" s="9"/>
    </row>
    <row r="34" ht="14.25" customHeight="1">
      <c r="F34" s="149"/>
      <c r="G34" s="9"/>
      <c r="H34" s="9"/>
    </row>
    <row r="35" ht="14.25" customHeight="1">
      <c r="F35" s="149"/>
      <c r="G35" s="9"/>
      <c r="H35" s="9"/>
    </row>
    <row r="36" ht="14.25" customHeight="1">
      <c r="F36" s="149"/>
      <c r="G36" s="9"/>
      <c r="H36" s="9"/>
    </row>
    <row r="37" ht="14.25" customHeight="1">
      <c r="F37" s="149"/>
      <c r="G37" s="9"/>
      <c r="H37" s="9"/>
    </row>
    <row r="38" ht="14.25" customHeight="1">
      <c r="F38" s="149"/>
      <c r="G38" s="9"/>
      <c r="H38" s="9"/>
    </row>
    <row r="39" ht="14.25" customHeight="1">
      <c r="F39" s="149"/>
      <c r="G39" s="9"/>
      <c r="H39" s="9"/>
    </row>
    <row r="40" ht="14.25" customHeight="1">
      <c r="F40" s="149"/>
      <c r="G40" s="9"/>
      <c r="H40" s="9"/>
    </row>
    <row r="41" ht="14.25" customHeight="1">
      <c r="F41" s="149"/>
      <c r="G41" s="9"/>
      <c r="H41" s="9"/>
    </row>
    <row r="42" ht="14.25" customHeight="1">
      <c r="F42" s="149"/>
      <c r="G42" s="9"/>
      <c r="H42" s="9"/>
    </row>
    <row r="43" ht="14.25" customHeight="1">
      <c r="F43" s="149"/>
      <c r="G43" s="9"/>
      <c r="H43" s="9"/>
    </row>
    <row r="44" ht="14.25" customHeight="1">
      <c r="F44" s="149"/>
      <c r="G44" s="9"/>
      <c r="H44" s="9"/>
    </row>
    <row r="45" ht="14.25" customHeight="1">
      <c r="F45" s="149"/>
      <c r="G45" s="9"/>
      <c r="H45" s="9"/>
    </row>
    <row r="46" ht="14.25" customHeight="1">
      <c r="F46" s="149"/>
      <c r="G46" s="9"/>
      <c r="H46" s="9"/>
    </row>
    <row r="47" ht="14.25" customHeight="1">
      <c r="F47" s="149"/>
      <c r="G47" s="9"/>
      <c r="H47" s="9"/>
    </row>
    <row r="48" ht="14.25" customHeight="1">
      <c r="F48" s="149"/>
      <c r="G48" s="9"/>
      <c r="H48" s="9"/>
    </row>
    <row r="49" ht="14.25" customHeight="1">
      <c r="F49" s="149"/>
      <c r="G49" s="9"/>
      <c r="H49" s="9"/>
    </row>
    <row r="50" ht="14.25" customHeight="1">
      <c r="F50" s="149"/>
      <c r="G50" s="9"/>
      <c r="H50" s="9"/>
    </row>
    <row r="51" ht="14.25" customHeight="1">
      <c r="F51" s="149"/>
      <c r="G51" s="9"/>
      <c r="H51" s="9"/>
    </row>
    <row r="52" ht="14.25" customHeight="1">
      <c r="F52" s="149"/>
      <c r="G52" s="9"/>
      <c r="H52" s="9"/>
    </row>
    <row r="53" ht="14.25" customHeight="1">
      <c r="F53" s="149"/>
      <c r="G53" s="9"/>
      <c r="H53" s="9"/>
    </row>
    <row r="54" ht="14.25" customHeight="1">
      <c r="F54" s="149"/>
      <c r="G54" s="9"/>
      <c r="H54" s="9"/>
    </row>
    <row r="55" ht="14.25" customHeight="1">
      <c r="F55" s="149"/>
      <c r="G55" s="9"/>
      <c r="H55" s="9"/>
    </row>
    <row r="56" ht="14.25" customHeight="1">
      <c r="F56" s="149"/>
      <c r="G56" s="9"/>
      <c r="H56" s="9"/>
    </row>
    <row r="57" ht="14.25" customHeight="1">
      <c r="F57" s="149"/>
      <c r="G57" s="9"/>
      <c r="H57" s="9"/>
    </row>
    <row r="58" ht="14.25" customHeight="1">
      <c r="F58" s="149"/>
      <c r="G58" s="9"/>
      <c r="H58" s="9"/>
    </row>
    <row r="59" ht="14.25" customHeight="1">
      <c r="F59" s="149"/>
      <c r="G59" s="9"/>
      <c r="H59" s="9"/>
    </row>
    <row r="60" ht="14.25" customHeight="1">
      <c r="F60" s="149"/>
      <c r="G60" s="9"/>
      <c r="H60" s="9"/>
    </row>
    <row r="61" ht="14.25" customHeight="1">
      <c r="F61" s="149"/>
      <c r="G61" s="9"/>
      <c r="H61" s="9"/>
    </row>
    <row r="62" ht="14.25" customHeight="1">
      <c r="F62" s="149"/>
      <c r="G62" s="9"/>
      <c r="H62" s="9"/>
    </row>
    <row r="63" ht="14.25" customHeight="1">
      <c r="F63" s="149"/>
      <c r="G63" s="9"/>
      <c r="H63" s="9"/>
    </row>
    <row r="64" ht="14.25" customHeight="1">
      <c r="F64" s="149"/>
      <c r="G64" s="9"/>
      <c r="H64" s="9"/>
    </row>
    <row r="65" ht="14.25" customHeight="1">
      <c r="F65" s="149"/>
      <c r="G65" s="9"/>
      <c r="H65" s="9"/>
    </row>
    <row r="66" ht="14.25" customHeight="1">
      <c r="F66" s="149"/>
      <c r="G66" s="9"/>
      <c r="H66" s="9"/>
    </row>
    <row r="67" ht="14.25" customHeight="1">
      <c r="F67" s="149"/>
      <c r="G67" s="9"/>
      <c r="H67" s="9"/>
    </row>
    <row r="68" ht="14.25" customHeight="1">
      <c r="F68" s="149"/>
      <c r="G68" s="9"/>
      <c r="H68" s="9"/>
    </row>
    <row r="69" ht="14.25" customHeight="1">
      <c r="F69" s="149"/>
      <c r="G69" s="9"/>
      <c r="H69" s="9"/>
    </row>
    <row r="70" ht="14.25" customHeight="1">
      <c r="F70" s="149"/>
      <c r="G70" s="9"/>
      <c r="H70" s="9"/>
    </row>
    <row r="71" ht="14.25" customHeight="1">
      <c r="F71" s="149"/>
      <c r="G71" s="9"/>
      <c r="H71" s="9"/>
    </row>
    <row r="72" ht="14.25" customHeight="1">
      <c r="F72" s="149"/>
      <c r="G72" s="9"/>
      <c r="H72" s="9"/>
    </row>
    <row r="73" ht="14.25" customHeight="1">
      <c r="F73" s="149"/>
      <c r="G73" s="9"/>
      <c r="H73" s="9"/>
    </row>
    <row r="74" ht="14.25" customHeight="1">
      <c r="F74" s="149"/>
      <c r="G74" s="9"/>
      <c r="H74" s="9"/>
    </row>
    <row r="75" ht="14.25" customHeight="1">
      <c r="F75" s="149"/>
      <c r="G75" s="9"/>
      <c r="H75" s="9"/>
    </row>
    <row r="76" ht="14.25" customHeight="1">
      <c r="F76" s="149"/>
      <c r="G76" s="9"/>
      <c r="H76" s="9"/>
    </row>
    <row r="77" ht="14.25" customHeight="1">
      <c r="F77" s="149"/>
      <c r="G77" s="9"/>
      <c r="H77" s="9"/>
    </row>
    <row r="78" ht="14.25" customHeight="1">
      <c r="F78" s="149"/>
      <c r="G78" s="9"/>
      <c r="H78" s="9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131</v>
      </c>
      <c r="D1" s="142"/>
      <c r="E1" s="144"/>
      <c r="F1" s="142"/>
      <c r="G1" s="142" t="s">
        <v>132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90">
        <v>11695.0</v>
      </c>
      <c r="C3" s="9" t="str">
        <f>VLOOKUP(B3,'FML March 2026'!E:F,2,false)</f>
        <v>CHICKEN LEG/THIGH BONELESS &amp; SKINLESS FROZEN</v>
      </c>
      <c r="D3" s="9" t="str">
        <f>VLOOKUP(B3,'Unit of Measure ship March 2026'!A:C,3,false)</f>
        <v>LBS</v>
      </c>
      <c r="F3" s="173">
        <v>150122.0</v>
      </c>
      <c r="G3" s="9" t="str">
        <f>VLOOKUP(F3,'FML March 2026'!E:F,2,false)</f>
        <v>MONKFISH WHOLE HEAD OFF 2/3 LB  FROZEN</v>
      </c>
      <c r="H3" s="9" t="str">
        <f>VLOOKUP(F3,'Unit of Measure ship March 2026'!A:C,3,false)</f>
        <v>LBS</v>
      </c>
    </row>
    <row r="4" ht="14.25" customHeight="1">
      <c r="B4" s="29">
        <v>14576.0</v>
      </c>
      <c r="C4" s="9" t="str">
        <f>VLOOKUP(B4,'FML March 2026'!E:F,2,false)</f>
        <v>CHICKEN, FRYER, WOG, IND WRAPPED, NON-INJECTED, 2.50-3.25 LB EA, FZN, 12/1 EA</v>
      </c>
      <c r="D4" s="9" t="str">
        <f>VLOOKUP(B4,'Unit of Measure ship March 2026'!A:C,3,false)</f>
        <v>LBS</v>
      </c>
      <c r="F4" s="90">
        <v>17340.0</v>
      </c>
      <c r="G4" s="9" t="str">
        <f>VLOOKUP(F4,'FML March 2026'!E:F,2,false)</f>
        <v>MUSSEL BLACK FRESH IN SHELL</v>
      </c>
      <c r="H4" s="9" t="str">
        <f>VLOOKUP(F4,'Unit of Measure ship March 2026'!A:C,3,false)</f>
        <v>LBS</v>
      </c>
    </row>
    <row r="5" ht="14.25" customHeight="1">
      <c r="B5" s="7"/>
      <c r="C5" s="9"/>
      <c r="D5" s="9"/>
      <c r="F5" s="90">
        <v>53625.0</v>
      </c>
      <c r="G5" s="9" t="str">
        <f>VLOOKUP(F5,'FML March 2026'!E:F,2,false)</f>
        <v>SALMON FILLET, ATLANTIC, PREMIUM, FROZEN, 3 - 4 LB D-TRIM INDV. CRYOVAC (CHILE)</v>
      </c>
      <c r="H5" s="9" t="str">
        <f>VLOOKUP(F5,'Unit of Measure ship March 2026'!A:C,3,false)</f>
        <v>LBS</v>
      </c>
    </row>
    <row r="6" ht="14.25" customHeight="1">
      <c r="B6" s="7"/>
      <c r="C6" s="9"/>
      <c r="D6" s="9"/>
      <c r="F6" s="172">
        <v>14852.0</v>
      </c>
      <c r="G6" s="9" t="str">
        <f>VLOOKUP(F6,'FML March 2026'!E:F,2,false)</f>
        <v>SEA BASS EUROPEAN/ BRANZINO HEAD-ON GUTTED  FINISHED WEIGHT 800-1000GR POLY WRAP (HOLLAND)</v>
      </c>
      <c r="H6" s="9" t="str">
        <f>VLOOKUP(F6,'Unit of Measure ship March 2026'!A:C,3,false)</f>
        <v>LBS</v>
      </c>
    </row>
    <row r="7" ht="14.25" customHeight="1">
      <c r="C7" s="9"/>
      <c r="D7" s="9"/>
      <c r="F7" s="172">
        <v>42269.0</v>
      </c>
      <c r="G7" s="9" t="str">
        <f>VLOOKUP(F7,'FML March 2026'!E:F,2,false)</f>
        <v>SHRIMP 16/20 RAW P&amp;D TAIL-ON CS10/LB SURAM ROYAL WHITE (VIETNAM)</v>
      </c>
      <c r="H7" s="9" t="str">
        <f>VLOOKUP(F7,'Unit of Measure ship March 2026'!A:C,3,false)</f>
        <v>LBS</v>
      </c>
    </row>
    <row r="8" ht="14.25" customHeight="1">
      <c r="C8" s="9"/>
      <c r="D8" s="9"/>
      <c r="F8" s="172">
        <v>27275.0</v>
      </c>
      <c r="G8" s="9" t="str">
        <f>VLOOKUP(F8,'FML March 2026'!E:F,2,false)</f>
        <v>SQUID TUBES 8-10 FROZEN (CHINA)</v>
      </c>
      <c r="H8" s="9" t="str">
        <f>VLOOKUP(F8,'Unit of Measure ship March 2026'!A:C,3,false)</f>
        <v>LBS</v>
      </c>
    </row>
    <row r="9" ht="14.25" customHeight="1">
      <c r="B9" s="149"/>
      <c r="C9" s="9"/>
      <c r="D9" s="9"/>
      <c r="F9" s="90">
        <v>14651.0</v>
      </c>
      <c r="G9" s="9" t="str">
        <f>VLOOKUP(F9,'FML March 2026'!E:F,2,false)</f>
        <v>TUNA LOIN SKINLESS FROZEN,  (IP IS FTZ) (YEMEN)</v>
      </c>
      <c r="H9" s="9" t="str">
        <f>VLOOKUP(F9,'Unit of Measure ship March 2026'!A:C,3,false)</f>
        <v>LBS</v>
      </c>
    </row>
    <row r="10" ht="14.25" customHeight="1">
      <c r="B10" s="149"/>
      <c r="C10" s="9"/>
      <c r="D10" s="9"/>
      <c r="F10" s="149"/>
      <c r="G10" s="9"/>
      <c r="H10" s="9"/>
    </row>
    <row r="11" ht="14.25" customHeight="1">
      <c r="B11" s="149"/>
      <c r="C11" s="9"/>
      <c r="D11" s="9"/>
      <c r="F11" s="149"/>
      <c r="G11" s="9"/>
      <c r="H11" s="9"/>
    </row>
    <row r="12" ht="14.25" customHeight="1">
      <c r="B12" s="149"/>
      <c r="C12" s="9"/>
      <c r="D12" s="9"/>
      <c r="F12" s="149"/>
      <c r="G12" s="9"/>
      <c r="H12" s="9"/>
    </row>
    <row r="13" ht="14.25" customHeight="1">
      <c r="B13" s="149"/>
      <c r="C13" s="9"/>
      <c r="D13" s="9"/>
      <c r="F13" s="149"/>
      <c r="G13" s="9"/>
      <c r="H13" s="9"/>
    </row>
    <row r="14" ht="14.25" customHeight="1">
      <c r="B14" s="149"/>
      <c r="C14" s="9"/>
      <c r="D14" s="9"/>
      <c r="F14" s="149"/>
      <c r="G14" s="9"/>
      <c r="H14" s="9"/>
    </row>
    <row r="15" ht="14.25" customHeight="1">
      <c r="B15" s="149"/>
      <c r="C15" s="9"/>
      <c r="D15" s="9"/>
      <c r="F15" s="149"/>
      <c r="G15" s="9"/>
      <c r="H15" s="9"/>
    </row>
    <row r="16" ht="14.25" customHeight="1">
      <c r="B16" s="149"/>
      <c r="C16" s="9"/>
      <c r="D16" s="9"/>
      <c r="F16" s="149"/>
      <c r="G16" s="9"/>
      <c r="H16" s="9"/>
    </row>
    <row r="17" ht="14.25" customHeight="1">
      <c r="B17" s="149"/>
      <c r="C17" s="9"/>
      <c r="D17" s="9"/>
      <c r="F17" s="149"/>
      <c r="G17" s="9"/>
      <c r="H17" s="9"/>
    </row>
    <row r="18" ht="14.25" customHeight="1">
      <c r="B18" s="149"/>
      <c r="C18" s="9"/>
      <c r="D18" s="9"/>
      <c r="F18" s="149"/>
      <c r="G18" s="9"/>
      <c r="H18" s="9"/>
    </row>
    <row r="19" ht="14.25" customHeight="1">
      <c r="B19" s="149"/>
      <c r="C19" s="9"/>
      <c r="D19" s="9"/>
      <c r="F19" s="149"/>
      <c r="G19" s="9"/>
      <c r="H19" s="9"/>
    </row>
    <row r="20" ht="14.25" customHeight="1">
      <c r="B20" s="149"/>
      <c r="C20" s="9"/>
      <c r="D20" s="9"/>
      <c r="F20" s="149"/>
      <c r="G20" s="9"/>
      <c r="H20" s="9"/>
    </row>
    <row r="21" ht="14.25" customHeight="1">
      <c r="B21" s="149"/>
      <c r="C21" s="9"/>
      <c r="D21" s="9"/>
      <c r="F21" s="149"/>
      <c r="G21" s="9"/>
      <c r="H21" s="9"/>
    </row>
    <row r="22" ht="14.25" customHeight="1">
      <c r="B22" s="149"/>
      <c r="C22" s="9"/>
      <c r="D22" s="9"/>
      <c r="F22" s="149"/>
      <c r="G22" s="9"/>
      <c r="H22" s="9"/>
    </row>
    <row r="23" ht="14.25" customHeight="1">
      <c r="B23" s="149"/>
      <c r="C23" s="9"/>
      <c r="D23" s="9"/>
      <c r="F23" s="149"/>
      <c r="G23" s="9"/>
      <c r="H23" s="9"/>
    </row>
    <row r="24" ht="14.25" customHeight="1">
      <c r="B24" s="149"/>
      <c r="C24" s="9"/>
      <c r="D24" s="9"/>
      <c r="F24" s="149"/>
      <c r="G24" s="9"/>
      <c r="H24" s="9"/>
    </row>
    <row r="25" ht="14.25" customHeight="1">
      <c r="B25" s="149"/>
      <c r="C25" s="9"/>
      <c r="D25" s="9"/>
      <c r="F25" s="149"/>
      <c r="G25" s="9"/>
      <c r="H25" s="9"/>
    </row>
    <row r="26" ht="14.25" customHeight="1">
      <c r="B26" s="149"/>
      <c r="C26" s="9"/>
      <c r="D26" s="9"/>
      <c r="F26" s="149"/>
      <c r="G26" s="9"/>
      <c r="H26" s="9"/>
    </row>
    <row r="27" ht="14.25" customHeight="1">
      <c r="B27" s="149"/>
      <c r="C27" s="9"/>
      <c r="D27" s="9"/>
      <c r="F27" s="149"/>
      <c r="G27" s="9"/>
      <c r="H27" s="9"/>
    </row>
    <row r="28" ht="14.25" customHeight="1">
      <c r="B28" s="149"/>
      <c r="C28" s="9"/>
      <c r="D28" s="9"/>
      <c r="F28" s="149"/>
      <c r="G28" s="9"/>
      <c r="H28" s="9"/>
    </row>
    <row r="29" ht="14.25" customHeight="1">
      <c r="B29" s="149"/>
      <c r="C29" s="9"/>
      <c r="D29" s="9"/>
      <c r="F29" s="149"/>
      <c r="G29" s="9"/>
      <c r="H29" s="9"/>
    </row>
    <row r="30" ht="14.25" customHeight="1">
      <c r="B30" s="149"/>
      <c r="C30" s="9"/>
      <c r="D30" s="9"/>
      <c r="F30" s="149"/>
      <c r="G30" s="9"/>
      <c r="H30" s="9"/>
    </row>
    <row r="31" ht="14.25" customHeight="1">
      <c r="B31" s="149"/>
      <c r="C31" s="9"/>
      <c r="D31" s="9"/>
      <c r="F31" s="149"/>
      <c r="G31" s="9"/>
      <c r="H31" s="9"/>
    </row>
    <row r="32" ht="14.25" customHeight="1">
      <c r="B32" s="149"/>
      <c r="C32" s="9"/>
      <c r="D32" s="9"/>
      <c r="F32" s="149"/>
      <c r="G32" s="9"/>
      <c r="H32" s="9"/>
    </row>
    <row r="33" ht="14.25" customHeight="1">
      <c r="B33" s="149"/>
      <c r="C33" s="9"/>
      <c r="D33" s="9"/>
      <c r="F33" s="149"/>
      <c r="G33" s="9"/>
      <c r="H33" s="9"/>
    </row>
    <row r="34" ht="14.25" customHeight="1">
      <c r="B34" s="149"/>
      <c r="C34" s="9"/>
      <c r="D34" s="9"/>
      <c r="F34" s="149"/>
      <c r="G34" s="9"/>
      <c r="H34" s="9"/>
    </row>
    <row r="35" ht="14.25" customHeight="1">
      <c r="B35" s="149"/>
      <c r="C35" s="9"/>
      <c r="D35" s="9"/>
      <c r="F35" s="149"/>
      <c r="G35" s="9"/>
      <c r="H35" s="9"/>
    </row>
    <row r="36" ht="14.25" customHeight="1">
      <c r="B36" s="149"/>
      <c r="C36" s="9"/>
      <c r="D36" s="9"/>
      <c r="F36" s="149"/>
      <c r="G36" s="9"/>
      <c r="H36" s="9"/>
    </row>
    <row r="37" ht="14.25" customHeight="1">
      <c r="B37" s="149"/>
      <c r="C37" s="9"/>
      <c r="D37" s="9"/>
      <c r="F37" s="149"/>
      <c r="G37" s="9"/>
      <c r="H37" s="9"/>
    </row>
    <row r="38" ht="14.25" customHeight="1">
      <c r="B38" s="149"/>
      <c r="C38" s="9"/>
      <c r="D38" s="9"/>
      <c r="F38" s="149"/>
      <c r="G38" s="9"/>
      <c r="H38" s="9"/>
    </row>
    <row r="39" ht="14.25" customHeight="1">
      <c r="B39" s="149"/>
      <c r="C39" s="9"/>
      <c r="D39" s="9"/>
      <c r="F39" s="149"/>
      <c r="G39" s="9"/>
      <c r="H39" s="9"/>
    </row>
    <row r="40" ht="14.25" customHeight="1">
      <c r="B40" s="149"/>
      <c r="C40" s="9"/>
      <c r="D40" s="9"/>
      <c r="F40" s="149"/>
      <c r="G40" s="9"/>
      <c r="H40" s="9"/>
    </row>
    <row r="41" ht="14.25" customHeight="1">
      <c r="B41" s="149"/>
      <c r="C41" s="9"/>
      <c r="D41" s="9"/>
      <c r="F41" s="149"/>
      <c r="G41" s="9"/>
      <c r="H41" s="9"/>
    </row>
    <row r="42" ht="14.25" customHeight="1">
      <c r="B42" s="149"/>
      <c r="C42" s="9"/>
      <c r="D42" s="9"/>
      <c r="F42" s="149"/>
      <c r="G42" s="9"/>
      <c r="H42" s="9"/>
    </row>
    <row r="43" ht="14.25" customHeight="1">
      <c r="B43" s="149"/>
      <c r="C43" s="9"/>
      <c r="D43" s="9"/>
      <c r="F43" s="149"/>
      <c r="G43" s="9"/>
      <c r="H43" s="9"/>
    </row>
    <row r="44" ht="14.25" customHeight="1">
      <c r="B44" s="149"/>
      <c r="C44" s="9"/>
      <c r="D44" s="9"/>
      <c r="F44" s="149"/>
      <c r="G44" s="9"/>
      <c r="H44" s="9"/>
    </row>
    <row r="45" ht="14.25" customHeight="1">
      <c r="B45" s="149"/>
      <c r="C45" s="9"/>
      <c r="D45" s="9"/>
      <c r="F45" s="149"/>
      <c r="G45" s="9"/>
      <c r="H45" s="9"/>
    </row>
    <row r="46" ht="14.25" customHeight="1">
      <c r="B46" s="149"/>
      <c r="C46" s="9"/>
      <c r="D46" s="9"/>
      <c r="F46" s="149"/>
      <c r="G46" s="9"/>
      <c r="H46" s="9"/>
    </row>
    <row r="47" ht="14.25" customHeight="1">
      <c r="B47" s="149"/>
      <c r="C47" s="9"/>
      <c r="D47" s="9"/>
      <c r="F47" s="149"/>
      <c r="G47" s="9"/>
      <c r="H47" s="9"/>
    </row>
    <row r="48" ht="14.25" customHeight="1">
      <c r="B48" s="149"/>
      <c r="C48" s="9"/>
      <c r="D48" s="9"/>
      <c r="F48" s="149"/>
      <c r="G48" s="9"/>
      <c r="H48" s="9"/>
    </row>
    <row r="49" ht="14.25" customHeight="1">
      <c r="B49" s="149"/>
      <c r="C49" s="9"/>
      <c r="D49" s="9"/>
      <c r="F49" s="149"/>
      <c r="G49" s="9"/>
      <c r="H49" s="9"/>
    </row>
    <row r="50" ht="14.25" customHeight="1">
      <c r="B50" s="149"/>
      <c r="C50" s="9"/>
      <c r="D50" s="9"/>
      <c r="F50" s="149"/>
      <c r="G50" s="9"/>
      <c r="H50" s="9"/>
    </row>
    <row r="51" ht="14.25" customHeight="1">
      <c r="B51" s="149"/>
      <c r="C51" s="9"/>
      <c r="D51" s="9"/>
      <c r="F51" s="149"/>
      <c r="G51" s="9"/>
      <c r="H51" s="9"/>
    </row>
    <row r="52" ht="14.25" customHeight="1">
      <c r="B52" s="149"/>
      <c r="C52" s="9"/>
      <c r="D52" s="9"/>
      <c r="F52" s="149"/>
      <c r="G52" s="9"/>
      <c r="H52" s="9"/>
    </row>
    <row r="53" ht="14.25" customHeight="1">
      <c r="B53" s="149"/>
      <c r="C53" s="9"/>
      <c r="D53" s="9"/>
      <c r="F53" s="149"/>
      <c r="G53" s="9"/>
      <c r="H53" s="9"/>
    </row>
    <row r="54" ht="14.25" customHeight="1">
      <c r="B54" s="149"/>
      <c r="C54" s="9"/>
      <c r="D54" s="9"/>
      <c r="F54" s="149"/>
      <c r="G54" s="9"/>
      <c r="H54" s="9"/>
    </row>
    <row r="55" ht="14.25" customHeight="1">
      <c r="B55" s="149"/>
      <c r="C55" s="9"/>
      <c r="D55" s="9"/>
      <c r="F55" s="149"/>
      <c r="G55" s="9"/>
      <c r="H55" s="9"/>
    </row>
    <row r="56" ht="14.25" customHeight="1">
      <c r="B56" s="149"/>
      <c r="C56" s="9"/>
      <c r="D56" s="9"/>
      <c r="F56" s="149"/>
      <c r="G56" s="9"/>
      <c r="H56" s="9"/>
    </row>
    <row r="57" ht="14.25" customHeight="1">
      <c r="B57" s="149"/>
      <c r="C57" s="9"/>
      <c r="D57" s="9"/>
      <c r="F57" s="149"/>
      <c r="G57" s="9"/>
      <c r="H57" s="9"/>
    </row>
    <row r="58" ht="14.25" customHeight="1">
      <c r="B58" s="149"/>
      <c r="C58" s="9"/>
      <c r="D58" s="9"/>
      <c r="F58" s="149"/>
      <c r="G58" s="9"/>
      <c r="H58" s="9"/>
    </row>
    <row r="59" ht="14.25" customHeight="1">
      <c r="B59" s="149"/>
      <c r="C59" s="9"/>
      <c r="D59" s="9"/>
      <c r="F59" s="149"/>
      <c r="G59" s="9"/>
      <c r="H59" s="9"/>
    </row>
    <row r="60" ht="14.25" customHeight="1">
      <c r="B60" s="149"/>
      <c r="C60" s="9"/>
      <c r="D60" s="9"/>
      <c r="F60" s="149"/>
      <c r="G60" s="9"/>
      <c r="H60" s="9"/>
    </row>
    <row r="61" ht="14.25" customHeight="1">
      <c r="B61" s="149"/>
      <c r="C61" s="9"/>
      <c r="D61" s="9"/>
      <c r="F61" s="149"/>
      <c r="G61" s="9"/>
      <c r="H61" s="9"/>
    </row>
    <row r="62" ht="14.25" customHeight="1">
      <c r="B62" s="149"/>
      <c r="C62" s="9"/>
      <c r="D62" s="9"/>
      <c r="F62" s="149"/>
      <c r="G62" s="9"/>
      <c r="H62" s="9"/>
    </row>
    <row r="63" ht="14.25" customHeight="1">
      <c r="B63" s="149"/>
      <c r="C63" s="9"/>
      <c r="D63" s="9"/>
      <c r="F63" s="149"/>
      <c r="G63" s="9"/>
      <c r="H63" s="9"/>
    </row>
    <row r="64" ht="14.25" customHeight="1">
      <c r="B64" s="149"/>
      <c r="C64" s="9"/>
      <c r="D64" s="9"/>
      <c r="F64" s="149"/>
      <c r="G64" s="9"/>
      <c r="H64" s="9"/>
    </row>
    <row r="65" ht="14.25" customHeight="1">
      <c r="B65" s="149"/>
      <c r="C65" s="9"/>
      <c r="D65" s="9"/>
      <c r="F65" s="149"/>
      <c r="G65" s="9"/>
      <c r="H65" s="9"/>
    </row>
    <row r="66" ht="14.25" customHeight="1">
      <c r="B66" s="149"/>
      <c r="C66" s="9"/>
      <c r="D66" s="9"/>
      <c r="F66" s="149"/>
      <c r="G66" s="9"/>
      <c r="H66" s="9"/>
    </row>
    <row r="67" ht="14.25" customHeight="1">
      <c r="B67" s="149"/>
      <c r="C67" s="9"/>
      <c r="D67" s="9"/>
      <c r="F67" s="149"/>
      <c r="G67" s="9"/>
      <c r="H67" s="9"/>
    </row>
    <row r="68" ht="14.25" customHeight="1">
      <c r="B68" s="149"/>
      <c r="C68" s="9"/>
      <c r="D68" s="9"/>
      <c r="F68" s="149"/>
      <c r="G68" s="9"/>
      <c r="H68" s="9"/>
    </row>
    <row r="69" ht="14.25" customHeight="1">
      <c r="B69" s="149"/>
      <c r="C69" s="9"/>
      <c r="D69" s="9"/>
      <c r="F69" s="149"/>
      <c r="G69" s="9"/>
      <c r="H69" s="9"/>
    </row>
    <row r="70" ht="14.25" customHeight="1">
      <c r="B70" s="149"/>
      <c r="C70" s="9"/>
      <c r="D70" s="9"/>
      <c r="F70" s="149"/>
      <c r="G70" s="9"/>
      <c r="H70" s="9"/>
    </row>
    <row r="71" ht="14.25" customHeight="1">
      <c r="B71" s="149"/>
      <c r="C71" s="9"/>
      <c r="D71" s="9"/>
      <c r="F71" s="149"/>
      <c r="G71" s="9"/>
      <c r="H71" s="9"/>
    </row>
    <row r="72" ht="14.25" customHeight="1">
      <c r="B72" s="149"/>
      <c r="C72" s="9"/>
      <c r="D72" s="9"/>
      <c r="F72" s="149"/>
      <c r="G72" s="9"/>
      <c r="H72" s="9"/>
    </row>
    <row r="73" ht="14.25" customHeight="1">
      <c r="B73" s="149"/>
      <c r="C73" s="9"/>
      <c r="D73" s="9"/>
      <c r="F73" s="149"/>
      <c r="G73" s="9"/>
      <c r="H73" s="9"/>
    </row>
    <row r="74" ht="14.25" customHeight="1">
      <c r="B74" s="149"/>
      <c r="C74" s="9"/>
      <c r="D74" s="9"/>
      <c r="F74" s="149"/>
      <c r="G74" s="9"/>
      <c r="H74" s="9"/>
    </row>
    <row r="75" ht="14.25" customHeight="1">
      <c r="B75" s="149"/>
      <c r="C75" s="9"/>
      <c r="D75" s="9"/>
      <c r="F75" s="149"/>
      <c r="G75" s="9"/>
      <c r="H75" s="9"/>
    </row>
    <row r="76" ht="14.25" customHeight="1">
      <c r="B76" s="149"/>
      <c r="C76" s="9"/>
      <c r="D76" s="9"/>
      <c r="F76" s="149"/>
      <c r="G76" s="9"/>
      <c r="H76" s="9"/>
    </row>
    <row r="77" ht="14.25" customHeight="1">
      <c r="B77" s="149"/>
      <c r="C77" s="9"/>
      <c r="D77" s="9"/>
      <c r="F77" s="149"/>
      <c r="G77" s="9"/>
      <c r="H77" s="9"/>
    </row>
    <row r="78" ht="14.25" customHeight="1">
      <c r="B78" s="149"/>
      <c r="C78" s="9"/>
      <c r="D78" s="9"/>
      <c r="F78" s="149"/>
      <c r="G78" s="9"/>
      <c r="H78" s="9"/>
    </row>
    <row r="79" ht="14.25" customHeight="1">
      <c r="B79" s="149"/>
      <c r="C79" s="9"/>
      <c r="D79" s="9"/>
      <c r="F79" s="149"/>
      <c r="G79" s="9"/>
      <c r="H79" s="9"/>
    </row>
    <row r="80" ht="14.25" customHeight="1">
      <c r="B80" s="149"/>
      <c r="C80" s="9"/>
      <c r="D80" s="9"/>
      <c r="F80" s="149"/>
      <c r="G80" s="9"/>
      <c r="H80" s="9"/>
    </row>
    <row r="81" ht="14.25" customHeight="1">
      <c r="B81" s="149"/>
      <c r="C81" s="9"/>
      <c r="D81" s="9"/>
      <c r="F81" s="149"/>
      <c r="G81" s="9"/>
      <c r="H81" s="9"/>
    </row>
    <row r="82" ht="14.25" customHeight="1">
      <c r="B82" s="149"/>
      <c r="C82" s="9"/>
      <c r="D82" s="9"/>
      <c r="F82" s="149"/>
      <c r="G82" s="9"/>
      <c r="H82" s="9"/>
    </row>
    <row r="83" ht="14.25" customHeight="1">
      <c r="B83" s="149"/>
      <c r="C83" s="9"/>
      <c r="D83" s="9"/>
      <c r="F83" s="149"/>
      <c r="G83" s="9"/>
      <c r="H83" s="9"/>
    </row>
    <row r="84" ht="14.25" customHeight="1">
      <c r="B84" s="149"/>
      <c r="C84" s="9"/>
      <c r="D84" s="9"/>
      <c r="F84" s="149"/>
      <c r="G84" s="9"/>
      <c r="H84" s="9"/>
    </row>
    <row r="85" ht="14.25" customHeight="1">
      <c r="B85" s="149"/>
      <c r="C85" s="9"/>
      <c r="D85" s="9"/>
      <c r="F85" s="149"/>
      <c r="G85" s="9"/>
      <c r="H85" s="9"/>
    </row>
    <row r="86" ht="14.25" customHeight="1">
      <c r="B86" s="149"/>
      <c r="C86" s="9"/>
      <c r="D86" s="9"/>
      <c r="F86" s="149"/>
      <c r="G86" s="9"/>
      <c r="H86" s="9"/>
    </row>
    <row r="87" ht="14.25" customHeight="1">
      <c r="B87" s="149"/>
      <c r="C87" s="9"/>
      <c r="D87" s="9"/>
      <c r="F87" s="149"/>
      <c r="G87" s="9"/>
      <c r="H87" s="9"/>
    </row>
    <row r="88" ht="14.25" customHeight="1">
      <c r="B88" s="149"/>
      <c r="C88" s="9"/>
      <c r="D88" s="9"/>
      <c r="F88" s="149"/>
      <c r="G88" s="9"/>
      <c r="H88" s="9"/>
    </row>
    <row r="89" ht="14.25" customHeight="1">
      <c r="B89" s="149"/>
      <c r="C89" s="9"/>
      <c r="D89" s="9"/>
      <c r="F89" s="149"/>
      <c r="G89" s="9"/>
      <c r="H89" s="9"/>
    </row>
    <row r="90" ht="14.25" customHeight="1">
      <c r="B90" s="149"/>
      <c r="C90" s="9"/>
      <c r="D90" s="9"/>
      <c r="F90" s="149"/>
      <c r="G90" s="9"/>
      <c r="H90" s="9"/>
    </row>
    <row r="91" ht="14.25" customHeight="1">
      <c r="B91" s="149"/>
      <c r="C91" s="9"/>
      <c r="D91" s="9"/>
      <c r="F91" s="149"/>
      <c r="G91" s="9"/>
      <c r="H91" s="9"/>
    </row>
    <row r="92" ht="14.25" customHeight="1">
      <c r="B92" s="149"/>
      <c r="C92" s="9"/>
      <c r="D92" s="9"/>
      <c r="F92" s="149"/>
      <c r="G92" s="9"/>
      <c r="H92" s="9"/>
    </row>
    <row r="93" ht="14.25" customHeight="1">
      <c r="B93" s="149"/>
      <c r="C93" s="9"/>
      <c r="D93" s="9"/>
      <c r="F93" s="149"/>
      <c r="G93" s="9"/>
      <c r="H93" s="9"/>
    </row>
    <row r="94" ht="14.25" customHeight="1">
      <c r="B94" s="149"/>
      <c r="C94" s="9"/>
      <c r="D94" s="9"/>
      <c r="F94" s="149"/>
      <c r="G94" s="9"/>
      <c r="H94" s="9"/>
    </row>
    <row r="95" ht="14.25" customHeight="1">
      <c r="B95" s="149"/>
      <c r="C95" s="9"/>
      <c r="D95" s="9"/>
      <c r="F95" s="149"/>
      <c r="G95" s="9"/>
      <c r="H95" s="9"/>
    </row>
    <row r="96" ht="14.25" customHeight="1">
      <c r="B96" s="149"/>
      <c r="C96" s="9"/>
      <c r="D96" s="9"/>
      <c r="F96" s="149"/>
      <c r="G96" s="9"/>
      <c r="H96" s="9"/>
    </row>
    <row r="97" ht="14.25" customHeight="1">
      <c r="B97" s="149"/>
      <c r="C97" s="9"/>
      <c r="D97" s="9"/>
      <c r="F97" s="149"/>
      <c r="G97" s="9"/>
      <c r="H97" s="9"/>
    </row>
    <row r="98" ht="14.25" customHeight="1">
      <c r="B98" s="149"/>
      <c r="C98" s="9"/>
      <c r="D98" s="9"/>
      <c r="F98" s="149"/>
      <c r="G98" s="9"/>
      <c r="H98" s="9"/>
    </row>
    <row r="99" ht="14.25" customHeight="1">
      <c r="B99" s="149"/>
      <c r="C99" s="9"/>
      <c r="D99" s="9"/>
      <c r="F99" s="149"/>
      <c r="G99" s="9"/>
      <c r="H99" s="9"/>
    </row>
    <row r="100" ht="14.25" customHeight="1">
      <c r="B100" s="149"/>
      <c r="C100" s="9"/>
      <c r="D100" s="9"/>
      <c r="F100" s="149"/>
      <c r="G100" s="9"/>
      <c r="H100" s="9"/>
    </row>
    <row r="101" ht="14.25" customHeight="1">
      <c r="B101" s="149"/>
      <c r="C101" s="9"/>
      <c r="D101" s="9"/>
      <c r="F101" s="149"/>
      <c r="G101" s="9"/>
      <c r="H101" s="9"/>
    </row>
    <row r="102" ht="14.25" customHeight="1">
      <c r="B102" s="149"/>
      <c r="C102" s="9"/>
      <c r="D102" s="9"/>
      <c r="F102" s="149"/>
      <c r="G102" s="9"/>
      <c r="H102" s="9"/>
    </row>
    <row r="103" ht="14.25" customHeight="1">
      <c r="B103" s="149"/>
      <c r="C103" s="9"/>
      <c r="D103" s="9"/>
      <c r="F103" s="149"/>
      <c r="G103" s="9"/>
      <c r="H103" s="9"/>
    </row>
    <row r="104" ht="14.25" customHeight="1">
      <c r="B104" s="149"/>
      <c r="C104" s="9"/>
      <c r="D104" s="9"/>
      <c r="F104" s="149"/>
      <c r="G104" s="9"/>
      <c r="H104" s="9"/>
    </row>
    <row r="105" ht="14.25" customHeight="1">
      <c r="B105" s="149"/>
      <c r="C105" s="9"/>
      <c r="D105" s="9"/>
      <c r="F105" s="149"/>
      <c r="G105" s="9"/>
      <c r="H105" s="9"/>
    </row>
    <row r="106" ht="14.25" customHeight="1">
      <c r="B106" s="149"/>
      <c r="C106" s="9"/>
      <c r="D106" s="9"/>
      <c r="F106" s="149"/>
      <c r="G106" s="9"/>
      <c r="H106" s="9"/>
    </row>
    <row r="107" ht="14.25" customHeight="1">
      <c r="B107" s="149"/>
      <c r="C107" s="9"/>
      <c r="D107" s="9"/>
      <c r="F107" s="149"/>
      <c r="G107" s="9"/>
      <c r="H107" s="9"/>
    </row>
    <row r="108" ht="14.25" customHeight="1">
      <c r="B108" s="149"/>
      <c r="C108" s="9"/>
      <c r="D108" s="9"/>
      <c r="F108" s="149"/>
      <c r="G108" s="9"/>
      <c r="H108" s="9"/>
    </row>
    <row r="109" ht="14.25" customHeight="1">
      <c r="B109" s="149"/>
      <c r="C109" s="9"/>
      <c r="D109" s="9"/>
      <c r="F109" s="149"/>
      <c r="G109" s="9"/>
      <c r="H109" s="9"/>
    </row>
    <row r="110" ht="14.25" customHeight="1">
      <c r="B110" s="149"/>
      <c r="C110" s="9"/>
      <c r="D110" s="9"/>
      <c r="F110" s="149"/>
      <c r="G110" s="9"/>
      <c r="H110" s="9"/>
    </row>
    <row r="111" ht="14.25" customHeight="1">
      <c r="B111" s="149"/>
      <c r="C111" s="9"/>
      <c r="D111" s="9"/>
      <c r="F111" s="149"/>
      <c r="G111" s="9"/>
      <c r="H111" s="9"/>
    </row>
    <row r="112" ht="14.25" customHeight="1">
      <c r="B112" s="149"/>
      <c r="C112" s="9"/>
      <c r="D112" s="9"/>
      <c r="F112" s="149"/>
      <c r="G112" s="9"/>
      <c r="H112" s="9"/>
    </row>
    <row r="113" ht="14.25" customHeight="1">
      <c r="B113" s="149"/>
      <c r="C113" s="9"/>
      <c r="D113" s="9"/>
      <c r="F113" s="149"/>
      <c r="G113" s="9"/>
      <c r="H113" s="9"/>
    </row>
    <row r="114" ht="14.25" customHeight="1">
      <c r="B114" s="149"/>
      <c r="C114" s="9"/>
      <c r="D114" s="9"/>
      <c r="F114" s="149"/>
      <c r="G114" s="9"/>
      <c r="H114" s="9"/>
    </row>
    <row r="115" ht="14.25" customHeight="1">
      <c r="B115" s="149"/>
      <c r="C115" s="9"/>
      <c r="D115" s="9"/>
      <c r="F115" s="149"/>
      <c r="G115" s="9"/>
      <c r="H115" s="9"/>
    </row>
    <row r="116" ht="14.25" customHeight="1">
      <c r="B116" s="149"/>
      <c r="C116" s="9"/>
      <c r="D116" s="9"/>
      <c r="F116" s="149"/>
      <c r="G116" s="9"/>
      <c r="H116" s="9"/>
    </row>
    <row r="117" ht="14.25" customHeight="1">
      <c r="B117" s="149"/>
      <c r="C117" s="9"/>
      <c r="D117" s="9"/>
      <c r="F117" s="149"/>
      <c r="G117" s="9"/>
      <c r="H117" s="9"/>
    </row>
    <row r="118" ht="14.25" customHeight="1">
      <c r="B118" s="149"/>
      <c r="C118" s="9"/>
      <c r="D118" s="9"/>
      <c r="F118" s="149"/>
      <c r="G118" s="9"/>
      <c r="H118" s="9"/>
    </row>
    <row r="119" ht="14.25" customHeight="1">
      <c r="B119" s="149"/>
      <c r="C119" s="9"/>
      <c r="D119" s="9"/>
      <c r="F119" s="149"/>
      <c r="G119" s="9"/>
      <c r="H119" s="9"/>
    </row>
    <row r="120" ht="14.25" customHeight="1">
      <c r="B120" s="149"/>
      <c r="C120" s="9"/>
      <c r="D120" s="9"/>
      <c r="F120" s="149"/>
      <c r="G120" s="9"/>
      <c r="H120" s="9"/>
    </row>
    <row r="121" ht="14.25" customHeight="1">
      <c r="B121" s="149"/>
      <c r="C121" s="9"/>
      <c r="D121" s="9"/>
      <c r="F121" s="149"/>
      <c r="G121" s="9"/>
      <c r="H121" s="9"/>
    </row>
    <row r="122" ht="14.25" customHeight="1">
      <c r="B122" s="149"/>
      <c r="C122" s="9"/>
      <c r="D122" s="9"/>
      <c r="F122" s="149"/>
      <c r="G122" s="9"/>
      <c r="H122" s="9"/>
    </row>
    <row r="123" ht="14.25" customHeight="1">
      <c r="B123" s="149"/>
      <c r="C123" s="9"/>
      <c r="D123" s="9"/>
      <c r="F123" s="149"/>
      <c r="G123" s="9"/>
      <c r="H123" s="9"/>
    </row>
    <row r="124" ht="14.25" customHeight="1">
      <c r="B124" s="149"/>
      <c r="C124" s="9"/>
      <c r="D124" s="9"/>
      <c r="F124" s="149"/>
      <c r="G124" s="9"/>
      <c r="H124" s="9"/>
    </row>
    <row r="125" ht="14.25" customHeight="1">
      <c r="B125" s="149"/>
      <c r="C125" s="9"/>
      <c r="D125" s="9"/>
      <c r="F125" s="149"/>
      <c r="G125" s="9"/>
      <c r="H125" s="9"/>
    </row>
    <row r="126" ht="14.25" customHeight="1">
      <c r="B126" s="149"/>
      <c r="C126" s="9"/>
      <c r="D126" s="9"/>
      <c r="F126" s="149"/>
      <c r="G126" s="9"/>
      <c r="H126" s="9"/>
    </row>
    <row r="127" ht="14.25" customHeight="1">
      <c r="B127" s="149"/>
      <c r="C127" s="9"/>
      <c r="D127" s="9"/>
      <c r="F127" s="149"/>
      <c r="G127" s="9"/>
      <c r="H127" s="9"/>
    </row>
    <row r="128" ht="14.25" customHeight="1">
      <c r="B128" s="149"/>
      <c r="C128" s="9"/>
      <c r="D128" s="9"/>
      <c r="F128" s="149"/>
      <c r="G128" s="9"/>
      <c r="H128" s="9"/>
    </row>
    <row r="129" ht="14.25" customHeight="1">
      <c r="B129" s="149"/>
      <c r="C129" s="9"/>
      <c r="D129" s="9"/>
      <c r="F129" s="149"/>
      <c r="G129" s="9"/>
      <c r="H129" s="9"/>
    </row>
    <row r="130" ht="14.25" customHeight="1">
      <c r="B130" s="149"/>
      <c r="C130" s="9"/>
      <c r="D130" s="9"/>
      <c r="F130" s="149"/>
      <c r="G130" s="9"/>
      <c r="H130" s="9"/>
    </row>
    <row r="131" ht="14.25" customHeight="1">
      <c r="B131" s="149"/>
      <c r="C131" s="9"/>
      <c r="D131" s="9"/>
      <c r="F131" s="149"/>
      <c r="G131" s="9"/>
      <c r="H131" s="9"/>
    </row>
    <row r="132" ht="14.25" customHeight="1">
      <c r="B132" s="149"/>
      <c r="C132" s="9"/>
      <c r="D132" s="9"/>
      <c r="F132" s="149"/>
      <c r="G132" s="9"/>
      <c r="H132" s="9"/>
    </row>
    <row r="133" ht="14.25" customHeight="1">
      <c r="B133" s="149"/>
      <c r="C133" s="9"/>
      <c r="D133" s="9"/>
      <c r="F133" s="149"/>
      <c r="G133" s="9"/>
      <c r="H133" s="9"/>
    </row>
    <row r="134" ht="14.25" customHeight="1">
      <c r="B134" s="149"/>
      <c r="C134" s="9"/>
      <c r="D134" s="9"/>
      <c r="F134" s="149"/>
      <c r="G134" s="9"/>
      <c r="H134" s="9"/>
    </row>
    <row r="135" ht="14.25" customHeight="1">
      <c r="B135" s="149"/>
      <c r="C135" s="9"/>
      <c r="D135" s="9"/>
      <c r="F135" s="149"/>
      <c r="G135" s="9"/>
      <c r="H135" s="9"/>
    </row>
    <row r="136" ht="14.25" customHeight="1">
      <c r="B136" s="149"/>
      <c r="C136" s="9"/>
      <c r="D136" s="9"/>
      <c r="F136" s="149"/>
      <c r="G136" s="9"/>
      <c r="H136" s="9"/>
    </row>
    <row r="137" ht="14.25" customHeight="1">
      <c r="B137" s="149"/>
      <c r="C137" s="9"/>
      <c r="D137" s="9"/>
      <c r="F137" s="149"/>
      <c r="G137" s="9"/>
      <c r="H137" s="9"/>
    </row>
    <row r="138" ht="14.25" customHeight="1">
      <c r="B138" s="149"/>
      <c r="C138" s="9"/>
      <c r="D138" s="9"/>
      <c r="F138" s="149"/>
      <c r="G138" s="9"/>
      <c r="H138" s="9"/>
    </row>
    <row r="139" ht="14.25" customHeight="1">
      <c r="B139" s="149"/>
      <c r="C139" s="9"/>
      <c r="D139" s="9"/>
      <c r="F139" s="149"/>
      <c r="G139" s="9"/>
      <c r="H139" s="9"/>
    </row>
    <row r="140" ht="14.25" customHeight="1">
      <c r="B140" s="149"/>
      <c r="C140" s="9"/>
      <c r="D140" s="9"/>
      <c r="F140" s="149"/>
      <c r="G140" s="9"/>
      <c r="H140" s="9"/>
    </row>
    <row r="141" ht="14.25" customHeight="1">
      <c r="B141" s="149"/>
      <c r="C141" s="9"/>
      <c r="D141" s="9"/>
      <c r="F141" s="149"/>
      <c r="G141" s="9"/>
      <c r="H141" s="9"/>
    </row>
    <row r="142" ht="14.25" customHeight="1">
      <c r="B142" s="149"/>
      <c r="C142" s="9"/>
      <c r="D142" s="9"/>
      <c r="F142" s="149"/>
      <c r="G142" s="9"/>
      <c r="H142" s="9"/>
    </row>
    <row r="143" ht="14.25" customHeight="1">
      <c r="B143" s="149"/>
      <c r="C143" s="9"/>
      <c r="D143" s="9"/>
      <c r="F143" s="149"/>
      <c r="G143" s="9"/>
      <c r="H143" s="9"/>
    </row>
    <row r="144" ht="14.25" customHeight="1">
      <c r="B144" s="149"/>
      <c r="C144" s="9"/>
      <c r="D144" s="9"/>
      <c r="F144" s="149"/>
      <c r="G144" s="9"/>
      <c r="H144" s="9"/>
    </row>
    <row r="145" ht="14.25" customHeight="1">
      <c r="B145" s="149"/>
      <c r="C145" s="9"/>
      <c r="D145" s="9"/>
      <c r="F145" s="149"/>
      <c r="G145" s="9"/>
      <c r="H145" s="9"/>
    </row>
    <row r="146" ht="14.25" customHeight="1">
      <c r="B146" s="149"/>
      <c r="C146" s="9"/>
      <c r="D146" s="9"/>
      <c r="F146" s="149"/>
      <c r="G146" s="9"/>
      <c r="H146" s="9"/>
    </row>
    <row r="147" ht="14.25" customHeight="1">
      <c r="B147" s="149"/>
      <c r="C147" s="9"/>
      <c r="D147" s="9"/>
      <c r="F147" s="149"/>
      <c r="G147" s="9"/>
      <c r="H147" s="9"/>
    </row>
    <row r="148" ht="14.25" customHeight="1">
      <c r="B148" s="149"/>
      <c r="C148" s="9"/>
      <c r="D148" s="9"/>
      <c r="F148" s="149"/>
      <c r="G148" s="9"/>
      <c r="H148" s="9"/>
    </row>
    <row r="149" ht="14.25" customHeight="1">
      <c r="B149" s="149"/>
      <c r="C149" s="9"/>
      <c r="D149" s="9"/>
      <c r="F149" s="149"/>
      <c r="G149" s="9"/>
      <c r="H149" s="9"/>
    </row>
    <row r="150" ht="14.25" customHeight="1">
      <c r="B150" s="149"/>
      <c r="C150" s="9"/>
      <c r="D150" s="9"/>
      <c r="F150" s="149"/>
      <c r="G150" s="9"/>
      <c r="H150" s="9"/>
    </row>
    <row r="151" ht="14.25" customHeight="1">
      <c r="B151" s="149"/>
      <c r="C151" s="9"/>
      <c r="D151" s="9"/>
      <c r="F151" s="149"/>
      <c r="G151" s="9"/>
      <c r="H151" s="9"/>
    </row>
    <row r="152" ht="14.25" customHeight="1">
      <c r="B152" s="149"/>
      <c r="C152" s="9"/>
      <c r="D152" s="9"/>
      <c r="F152" s="149"/>
      <c r="G152" s="9"/>
      <c r="H152" s="9"/>
    </row>
    <row r="153" ht="14.25" customHeight="1">
      <c r="B153" s="149"/>
      <c r="C153" s="9"/>
      <c r="D153" s="9"/>
      <c r="F153" s="149"/>
      <c r="G153" s="9"/>
      <c r="H153" s="9"/>
    </row>
    <row r="154" ht="14.25" customHeight="1">
      <c r="B154" s="149"/>
      <c r="C154" s="9"/>
      <c r="D154" s="9"/>
      <c r="F154" s="149"/>
      <c r="G154" s="9"/>
      <c r="H154" s="9"/>
    </row>
    <row r="155" ht="14.25" customHeight="1">
      <c r="B155" s="149"/>
      <c r="C155" s="9"/>
      <c r="D155" s="9"/>
      <c r="F155" s="149"/>
      <c r="G155" s="9"/>
      <c r="H155" s="9"/>
    </row>
    <row r="156" ht="14.25" customHeight="1">
      <c r="B156" s="149"/>
      <c r="C156" s="9"/>
      <c r="D156" s="9"/>
      <c r="F156" s="149"/>
      <c r="G156" s="9"/>
      <c r="H156" s="9"/>
    </row>
    <row r="157" ht="14.25" customHeight="1">
      <c r="B157" s="149"/>
      <c r="C157" s="9"/>
      <c r="D157" s="9"/>
      <c r="F157" s="149"/>
      <c r="G157" s="9"/>
      <c r="H157" s="9"/>
    </row>
    <row r="158" ht="14.25" customHeight="1"/>
    <row r="159" ht="14.25" customHeight="1"/>
    <row r="160" ht="14.25" customHeight="1"/>
    <row r="161" ht="14.2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9" width="8.71"/>
  </cols>
  <sheetData>
    <row r="1">
      <c r="A1" s="101"/>
      <c r="B1" s="142"/>
      <c r="C1" s="142" t="s">
        <v>133</v>
      </c>
      <c r="D1" s="142"/>
      <c r="E1" s="144"/>
      <c r="F1" s="142"/>
      <c r="G1" s="142" t="s">
        <v>134</v>
      </c>
      <c r="H1" s="142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 ht="14.25" customHeight="1">
      <c r="B3" s="172">
        <v>11695.0</v>
      </c>
      <c r="C3" s="9" t="str">
        <f>VLOOKUP(B3,'FML March 2026'!E:F,2,false)</f>
        <v>CHICKEN LEG/THIGH BONELESS &amp; SKINLESS FROZEN</v>
      </c>
      <c r="D3" s="9" t="str">
        <f>VLOOKUP(B3,'Unit of Measure ship March 2026'!A:C,3,false)</f>
        <v>LBS</v>
      </c>
      <c r="F3" s="53">
        <v>42269.0</v>
      </c>
      <c r="G3" s="9" t="str">
        <f>VLOOKUP(F3,'FML March 2026'!E:F,2,false)</f>
        <v>SHRIMP 16/20 RAW P&amp;D TAIL-ON CS10/LB SURAM ROYAL WHITE (VIETNAM)</v>
      </c>
      <c r="H3" s="9" t="str">
        <f>VLOOKUP(F3,'Unit of Measure ship March 2026'!A:C,3,false)</f>
        <v>LBS</v>
      </c>
    </row>
    <row r="4" ht="14.25" customHeight="1">
      <c r="B4" s="172">
        <v>14573.0</v>
      </c>
      <c r="C4" s="9" t="str">
        <f>VLOOKUP(B4,'FML March 2026'!E:F,2,false)</f>
        <v>DUCK WHOLE GRADE, "A" 4.00 -  5.0LB CS6/PC</v>
      </c>
      <c r="D4" s="9" t="str">
        <f>VLOOKUP(B4,'Unit of Measure ship March 2026'!A:C,3,false)</f>
        <v>LBS</v>
      </c>
      <c r="F4" s="149"/>
      <c r="G4" s="9"/>
      <c r="H4" s="9"/>
    </row>
    <row r="5" ht="14.25" customHeight="1">
      <c r="B5" s="172">
        <v>112199.0</v>
      </c>
      <c r="C5" s="9" t="str">
        <f>VLOOKUP(B5,'FML March 2026'!E:F,2,false)</f>
        <v>PORK CHAR CHASHU PORK BELLY CS22/LBS  POCINO 42461</v>
      </c>
      <c r="D5" s="9" t="str">
        <f>VLOOKUP(B5,'Unit of Measure ship March 2026'!A:C,3,false)</f>
        <v>LBS</v>
      </c>
      <c r="F5" s="149"/>
      <c r="G5" s="9"/>
      <c r="H5" s="9"/>
    </row>
    <row r="6" ht="14.25" customHeight="1">
      <c r="D6" s="9"/>
      <c r="F6" s="149"/>
      <c r="G6" s="9"/>
      <c r="H6" s="9"/>
    </row>
    <row r="7" ht="14.25" customHeight="1">
      <c r="B7" s="149"/>
      <c r="C7" s="9"/>
      <c r="D7" s="9"/>
      <c r="F7" s="149"/>
      <c r="G7" s="9"/>
      <c r="H7" s="9"/>
    </row>
    <row r="8" ht="14.25" customHeight="1">
      <c r="B8" s="149"/>
      <c r="C8" s="9"/>
      <c r="D8" s="9"/>
      <c r="F8" s="149"/>
      <c r="G8" s="9"/>
      <c r="H8" s="9"/>
    </row>
    <row r="9" ht="14.25" customHeight="1">
      <c r="B9" s="149"/>
      <c r="C9" s="9"/>
      <c r="D9" s="9"/>
      <c r="F9" s="149"/>
      <c r="G9" s="9"/>
      <c r="H9" s="9"/>
    </row>
    <row r="10" ht="14.25" customHeight="1">
      <c r="B10" s="149"/>
      <c r="C10" s="9"/>
      <c r="D10" s="9"/>
      <c r="F10" s="149"/>
      <c r="G10" s="9"/>
      <c r="H10" s="9"/>
    </row>
    <row r="11" ht="14.25" customHeight="1">
      <c r="B11" s="149"/>
      <c r="C11" s="9"/>
      <c r="D11" s="9"/>
      <c r="F11" s="149"/>
      <c r="G11" s="9"/>
      <c r="H11" s="9"/>
    </row>
    <row r="12" ht="14.25" customHeight="1">
      <c r="B12" s="149"/>
      <c r="C12" s="9"/>
      <c r="D12" s="9"/>
      <c r="F12" s="149"/>
      <c r="G12" s="9"/>
      <c r="H12" s="9"/>
    </row>
    <row r="13" ht="14.25" customHeight="1">
      <c r="B13" s="149"/>
      <c r="C13" s="9"/>
      <c r="D13" s="9"/>
      <c r="F13" s="149"/>
      <c r="G13" s="9"/>
      <c r="H13" s="9"/>
    </row>
    <row r="14" ht="14.25" customHeight="1">
      <c r="B14" s="149"/>
      <c r="C14" s="9"/>
      <c r="D14" s="9"/>
      <c r="F14" s="149"/>
      <c r="G14" s="9"/>
      <c r="H14" s="9"/>
    </row>
    <row r="15" ht="14.25" customHeight="1">
      <c r="B15" s="149"/>
      <c r="C15" s="9"/>
      <c r="D15" s="9"/>
      <c r="F15" s="149"/>
      <c r="G15" s="9"/>
      <c r="H15" s="9"/>
    </row>
    <row r="16" ht="14.25" customHeight="1">
      <c r="B16" s="149"/>
      <c r="C16" s="9"/>
      <c r="D16" s="9"/>
      <c r="F16" s="149"/>
      <c r="G16" s="9"/>
      <c r="H16" s="9"/>
    </row>
    <row r="17" ht="14.25" customHeight="1">
      <c r="B17" s="149"/>
      <c r="C17" s="9"/>
      <c r="D17" s="9"/>
      <c r="F17" s="149"/>
      <c r="G17" s="9"/>
      <c r="H17" s="9"/>
    </row>
    <row r="18" ht="14.25" customHeight="1">
      <c r="B18" s="149"/>
      <c r="C18" s="9"/>
      <c r="D18" s="9"/>
      <c r="F18" s="149"/>
      <c r="G18" s="9"/>
      <c r="H18" s="9"/>
    </row>
    <row r="19" ht="14.25" customHeight="1">
      <c r="B19" s="149"/>
      <c r="C19" s="9"/>
      <c r="D19" s="9"/>
      <c r="F19" s="149"/>
      <c r="G19" s="9"/>
      <c r="H19" s="9"/>
    </row>
    <row r="20" ht="14.25" customHeight="1">
      <c r="B20" s="149"/>
      <c r="C20" s="9"/>
      <c r="D20" s="9"/>
      <c r="F20" s="149"/>
      <c r="G20" s="9"/>
      <c r="H20" s="9"/>
    </row>
    <row r="21" ht="14.25" customHeight="1">
      <c r="B21" s="149"/>
      <c r="C21" s="9"/>
      <c r="D21" s="9"/>
      <c r="F21" s="149"/>
      <c r="G21" s="9"/>
      <c r="H21" s="9"/>
    </row>
    <row r="22" ht="14.25" customHeight="1">
      <c r="B22" s="149"/>
      <c r="C22" s="9"/>
      <c r="D22" s="9"/>
      <c r="F22" s="149"/>
      <c r="G22" s="9"/>
      <c r="H22" s="9"/>
    </row>
    <row r="23" ht="14.25" customHeight="1">
      <c r="B23" s="149"/>
      <c r="C23" s="9"/>
      <c r="D23" s="9"/>
      <c r="F23" s="149"/>
      <c r="G23" s="9"/>
      <c r="H23" s="9"/>
    </row>
    <row r="24" ht="14.25" customHeight="1">
      <c r="B24" s="149"/>
      <c r="C24" s="9"/>
      <c r="D24" s="9"/>
      <c r="F24" s="149"/>
      <c r="G24" s="9"/>
      <c r="H24" s="9"/>
    </row>
    <row r="25" ht="14.25" customHeight="1">
      <c r="B25" s="149"/>
      <c r="C25" s="9"/>
      <c r="D25" s="9"/>
      <c r="F25" s="149"/>
      <c r="G25" s="9"/>
      <c r="H25" s="9"/>
    </row>
    <row r="26" ht="14.25" customHeight="1">
      <c r="B26" s="149"/>
      <c r="C26" s="9"/>
      <c r="D26" s="9"/>
      <c r="F26" s="149"/>
      <c r="G26" s="9"/>
      <c r="H26" s="9"/>
    </row>
    <row r="27" ht="14.25" customHeight="1">
      <c r="B27" s="149"/>
      <c r="C27" s="9"/>
      <c r="D27" s="9"/>
      <c r="F27" s="149"/>
      <c r="G27" s="9"/>
      <c r="H27" s="9"/>
    </row>
    <row r="28" ht="14.25" customHeight="1">
      <c r="B28" s="149"/>
      <c r="C28" s="9"/>
      <c r="D28" s="9"/>
      <c r="F28" s="149"/>
      <c r="G28" s="9"/>
      <c r="H28" s="9"/>
    </row>
    <row r="29" ht="14.25" customHeight="1">
      <c r="B29" s="149"/>
      <c r="C29" s="9"/>
      <c r="D29" s="9"/>
      <c r="F29" s="149"/>
      <c r="G29" s="9"/>
      <c r="H29" s="9"/>
    </row>
    <row r="30" ht="14.25" customHeight="1">
      <c r="B30" s="149"/>
      <c r="C30" s="9"/>
      <c r="D30" s="9"/>
      <c r="F30" s="149"/>
      <c r="G30" s="9"/>
      <c r="H30" s="9"/>
    </row>
    <row r="31" ht="14.25" customHeight="1">
      <c r="B31" s="149"/>
      <c r="C31" s="9"/>
      <c r="D31" s="9"/>
      <c r="F31" s="149"/>
      <c r="G31" s="9"/>
      <c r="H31" s="9"/>
    </row>
    <row r="32" ht="14.25" customHeight="1">
      <c r="B32" s="149"/>
      <c r="C32" s="9"/>
      <c r="D32" s="9"/>
      <c r="F32" s="149"/>
      <c r="G32" s="9"/>
      <c r="H32" s="9"/>
    </row>
    <row r="33" ht="14.25" customHeight="1">
      <c r="B33" s="149"/>
      <c r="C33" s="9"/>
      <c r="D33" s="9"/>
      <c r="F33" s="149"/>
      <c r="G33" s="9"/>
      <c r="H33" s="9"/>
    </row>
    <row r="34" ht="14.25" customHeight="1">
      <c r="B34" s="149"/>
      <c r="C34" s="9"/>
      <c r="D34" s="9"/>
      <c r="F34" s="149"/>
      <c r="G34" s="9"/>
      <c r="H34" s="9"/>
    </row>
    <row r="35" ht="14.25" customHeight="1">
      <c r="B35" s="149"/>
      <c r="C35" s="9"/>
      <c r="D35" s="9"/>
      <c r="F35" s="149"/>
      <c r="G35" s="9"/>
      <c r="H35" s="9"/>
    </row>
    <row r="36" ht="14.25" customHeight="1">
      <c r="B36" s="149"/>
      <c r="C36" s="9"/>
      <c r="D36" s="9"/>
      <c r="F36" s="149"/>
      <c r="G36" s="9"/>
      <c r="H36" s="9"/>
    </row>
    <row r="37" ht="14.25" customHeight="1">
      <c r="B37" s="149"/>
      <c r="C37" s="9"/>
      <c r="D37" s="9"/>
      <c r="F37" s="149"/>
      <c r="G37" s="9"/>
      <c r="H37" s="9"/>
    </row>
    <row r="38" ht="14.25" customHeight="1">
      <c r="B38" s="149"/>
      <c r="C38" s="9"/>
      <c r="D38" s="9"/>
      <c r="F38" s="149"/>
      <c r="G38" s="9"/>
      <c r="H38" s="9"/>
    </row>
    <row r="39" ht="14.25" customHeight="1">
      <c r="B39" s="149"/>
      <c r="C39" s="9"/>
      <c r="D39" s="9"/>
      <c r="F39" s="149"/>
      <c r="G39" s="9"/>
      <c r="H39" s="9"/>
    </row>
    <row r="40" ht="14.25" customHeight="1">
      <c r="B40" s="149"/>
      <c r="C40" s="9"/>
      <c r="D40" s="9"/>
      <c r="F40" s="149"/>
      <c r="G40" s="9"/>
      <c r="H40" s="9"/>
    </row>
    <row r="41" ht="14.25" customHeight="1">
      <c r="B41" s="149"/>
      <c r="C41" s="9"/>
      <c r="D41" s="9"/>
      <c r="F41" s="149"/>
      <c r="G41" s="9"/>
      <c r="H41" s="9"/>
    </row>
    <row r="42" ht="14.25" customHeight="1">
      <c r="B42" s="149"/>
      <c r="C42" s="9"/>
      <c r="D42" s="9"/>
      <c r="F42" s="149"/>
      <c r="G42" s="9"/>
      <c r="H42" s="9"/>
    </row>
    <row r="43" ht="14.25" customHeight="1">
      <c r="B43" s="149"/>
      <c r="C43" s="9"/>
      <c r="D43" s="9"/>
      <c r="F43" s="149"/>
      <c r="G43" s="9"/>
      <c r="H43" s="9"/>
    </row>
    <row r="44" ht="14.25" customHeight="1">
      <c r="B44" s="149"/>
      <c r="C44" s="9"/>
      <c r="D44" s="9"/>
      <c r="F44" s="149"/>
      <c r="G44" s="9"/>
      <c r="H44" s="9"/>
    </row>
    <row r="45" ht="14.25" customHeight="1">
      <c r="B45" s="149"/>
      <c r="C45" s="9"/>
      <c r="D45" s="9"/>
      <c r="F45" s="149"/>
      <c r="G45" s="9"/>
      <c r="H45" s="9"/>
    </row>
    <row r="46" ht="14.25" customHeight="1">
      <c r="B46" s="149"/>
      <c r="C46" s="9"/>
      <c r="D46" s="9"/>
      <c r="F46" s="149"/>
      <c r="G46" s="9"/>
      <c r="H46" s="9"/>
    </row>
    <row r="47" ht="14.25" customHeight="1">
      <c r="B47" s="149"/>
      <c r="C47" s="9"/>
      <c r="D47" s="9"/>
      <c r="F47" s="149"/>
      <c r="G47" s="9"/>
      <c r="H47" s="9"/>
    </row>
    <row r="48" ht="14.25" customHeight="1">
      <c r="B48" s="149"/>
      <c r="C48" s="9"/>
      <c r="D48" s="9"/>
      <c r="F48" s="149"/>
      <c r="G48" s="9"/>
      <c r="H48" s="9"/>
    </row>
    <row r="49" ht="14.25" customHeight="1">
      <c r="B49" s="149"/>
      <c r="C49" s="9"/>
      <c r="D49" s="9"/>
      <c r="F49" s="149"/>
      <c r="G49" s="9"/>
      <c r="H49" s="9"/>
    </row>
    <row r="50" ht="14.25" customHeight="1">
      <c r="B50" s="149"/>
      <c r="C50" s="9"/>
      <c r="D50" s="9"/>
      <c r="F50" s="149"/>
      <c r="G50" s="9"/>
      <c r="H50" s="9"/>
    </row>
    <row r="51" ht="14.25" customHeight="1">
      <c r="B51" s="149"/>
      <c r="C51" s="9"/>
      <c r="D51" s="9"/>
      <c r="F51" s="149"/>
      <c r="G51" s="9"/>
      <c r="H51" s="9"/>
    </row>
    <row r="52" ht="14.25" customHeight="1">
      <c r="B52" s="149"/>
      <c r="C52" s="9"/>
      <c r="D52" s="9"/>
      <c r="F52" s="149"/>
      <c r="G52" s="9"/>
      <c r="H52" s="9"/>
    </row>
    <row r="53" ht="14.25" customHeight="1">
      <c r="B53" s="149"/>
      <c r="C53" s="9"/>
      <c r="D53" s="9"/>
      <c r="F53" s="149"/>
      <c r="G53" s="9"/>
      <c r="H53" s="9"/>
    </row>
    <row r="54" ht="14.25" customHeight="1">
      <c r="B54" s="149"/>
      <c r="C54" s="9"/>
      <c r="D54" s="9"/>
      <c r="F54" s="149"/>
      <c r="G54" s="9"/>
      <c r="H54" s="9"/>
    </row>
    <row r="55" ht="14.25" customHeight="1">
      <c r="B55" s="149"/>
      <c r="C55" s="9"/>
      <c r="D55" s="9"/>
      <c r="F55" s="149"/>
      <c r="G55" s="9"/>
      <c r="H55" s="9"/>
    </row>
    <row r="56" ht="14.25" customHeight="1">
      <c r="B56" s="149"/>
      <c r="C56" s="9"/>
      <c r="D56" s="9"/>
      <c r="F56" s="149"/>
      <c r="G56" s="9"/>
      <c r="H56" s="9"/>
    </row>
    <row r="57" ht="14.25" customHeight="1">
      <c r="B57" s="149"/>
      <c r="C57" s="9"/>
      <c r="D57" s="9"/>
      <c r="F57" s="149"/>
      <c r="G57" s="9"/>
      <c r="H57" s="9"/>
    </row>
    <row r="58" ht="14.25" customHeight="1">
      <c r="B58" s="149"/>
      <c r="C58" s="9"/>
      <c r="D58" s="9"/>
      <c r="F58" s="149"/>
      <c r="G58" s="9"/>
      <c r="H58" s="9"/>
    </row>
    <row r="59" ht="14.25" customHeight="1">
      <c r="B59" s="149"/>
      <c r="C59" s="9"/>
      <c r="D59" s="9"/>
      <c r="F59" s="149"/>
      <c r="G59" s="9"/>
      <c r="H59" s="9"/>
    </row>
    <row r="60" ht="14.25" customHeight="1">
      <c r="B60" s="149"/>
      <c r="C60" s="9"/>
      <c r="D60" s="9"/>
      <c r="F60" s="149"/>
      <c r="G60" s="9"/>
      <c r="H60" s="9"/>
    </row>
    <row r="61" ht="14.25" customHeight="1">
      <c r="B61" s="149"/>
      <c r="C61" s="9"/>
      <c r="D61" s="9"/>
      <c r="F61" s="149"/>
      <c r="G61" s="9"/>
      <c r="H61" s="9"/>
    </row>
    <row r="62" ht="14.25" customHeight="1">
      <c r="B62" s="149"/>
      <c r="C62" s="9"/>
      <c r="D62" s="9"/>
      <c r="F62" s="149"/>
      <c r="G62" s="9"/>
      <c r="H62" s="9"/>
    </row>
    <row r="63" ht="14.25" customHeight="1">
      <c r="B63" s="149"/>
      <c r="C63" s="9"/>
      <c r="D63" s="9"/>
      <c r="F63" s="149"/>
      <c r="G63" s="9"/>
      <c r="H63" s="9"/>
    </row>
    <row r="64" ht="14.25" customHeight="1">
      <c r="B64" s="149"/>
      <c r="C64" s="9"/>
      <c r="D64" s="9"/>
      <c r="F64" s="149"/>
      <c r="G64" s="9"/>
      <c r="H64" s="9"/>
    </row>
    <row r="65" ht="14.25" customHeight="1">
      <c r="B65" s="149"/>
      <c r="C65" s="9"/>
      <c r="D65" s="9"/>
      <c r="F65" s="149"/>
      <c r="G65" s="9"/>
      <c r="H65" s="9"/>
    </row>
    <row r="66" ht="14.25" customHeight="1">
      <c r="B66" s="149"/>
      <c r="C66" s="9"/>
      <c r="D66" s="9"/>
      <c r="F66" s="149"/>
      <c r="G66" s="9"/>
      <c r="H66" s="9"/>
    </row>
    <row r="67" ht="14.25" customHeight="1">
      <c r="B67" s="149"/>
      <c r="C67" s="9"/>
      <c r="D67" s="9"/>
      <c r="F67" s="149"/>
      <c r="G67" s="9"/>
      <c r="H67" s="9"/>
    </row>
    <row r="68" ht="14.25" customHeight="1">
      <c r="B68" s="149"/>
      <c r="C68" s="9"/>
      <c r="D68" s="9"/>
      <c r="F68" s="149"/>
      <c r="G68" s="9"/>
      <c r="H68" s="9"/>
    </row>
    <row r="69" ht="14.25" customHeight="1">
      <c r="B69" s="149"/>
      <c r="C69" s="9"/>
      <c r="D69" s="9"/>
      <c r="F69" s="149"/>
      <c r="G69" s="9"/>
      <c r="H69" s="9"/>
    </row>
    <row r="70" ht="14.25" customHeight="1">
      <c r="B70" s="149"/>
      <c r="C70" s="9"/>
      <c r="D70" s="9"/>
      <c r="F70" s="149"/>
      <c r="G70" s="9"/>
      <c r="H70" s="9"/>
    </row>
    <row r="71" ht="14.25" customHeight="1">
      <c r="B71" s="149"/>
      <c r="C71" s="9"/>
      <c r="D71" s="9"/>
      <c r="F71" s="149"/>
      <c r="G71" s="9"/>
      <c r="H71" s="9"/>
    </row>
    <row r="72" ht="14.25" customHeight="1">
      <c r="B72" s="149"/>
      <c r="C72" s="9"/>
      <c r="D72" s="9"/>
      <c r="F72" s="149"/>
      <c r="G72" s="9"/>
      <c r="H72" s="9"/>
    </row>
    <row r="73" ht="14.25" customHeight="1">
      <c r="B73" s="149"/>
      <c r="C73" s="9"/>
      <c r="D73" s="9"/>
      <c r="F73" s="149"/>
      <c r="G73" s="9"/>
      <c r="H73" s="9"/>
    </row>
    <row r="74" ht="14.25" customHeight="1">
      <c r="B74" s="149"/>
      <c r="C74" s="9"/>
      <c r="D74" s="9"/>
      <c r="F74" s="149"/>
      <c r="G74" s="9"/>
      <c r="H74" s="9"/>
    </row>
    <row r="75" ht="14.25" customHeight="1">
      <c r="B75" s="149"/>
      <c r="C75" s="9"/>
      <c r="D75" s="9"/>
      <c r="F75" s="149"/>
      <c r="G75" s="9"/>
      <c r="H75" s="9"/>
    </row>
    <row r="76" ht="14.25" customHeight="1">
      <c r="B76" s="149"/>
      <c r="C76" s="9"/>
      <c r="D76" s="9"/>
      <c r="F76" s="149"/>
      <c r="G76" s="9"/>
      <c r="H76" s="9"/>
    </row>
    <row r="77" ht="14.25" customHeight="1">
      <c r="B77" s="149"/>
      <c r="C77" s="9"/>
      <c r="D77" s="9"/>
      <c r="F77" s="149"/>
      <c r="G77" s="9"/>
      <c r="H77" s="9"/>
    </row>
    <row r="78" ht="14.25" customHeight="1">
      <c r="B78" s="149"/>
      <c r="C78" s="9"/>
      <c r="D78" s="9"/>
      <c r="F78" s="149"/>
      <c r="G78" s="9"/>
      <c r="H78" s="9"/>
    </row>
    <row r="79" ht="14.25" customHeight="1">
      <c r="B79" s="149"/>
      <c r="C79" s="9"/>
      <c r="D79" s="9"/>
      <c r="F79" s="149"/>
      <c r="G79" s="9"/>
      <c r="H79" s="9"/>
    </row>
    <row r="80" ht="14.25" customHeight="1">
      <c r="B80" s="149"/>
      <c r="C80" s="9"/>
      <c r="D80" s="9"/>
      <c r="F80" s="149"/>
      <c r="G80" s="9"/>
      <c r="H80" s="9"/>
    </row>
    <row r="81" ht="14.25" customHeight="1">
      <c r="B81" s="149"/>
      <c r="C81" s="9"/>
      <c r="D81" s="9"/>
      <c r="F81" s="149"/>
      <c r="G81" s="9"/>
      <c r="H81" s="9"/>
    </row>
    <row r="82" ht="14.25" customHeight="1">
      <c r="B82" s="149"/>
      <c r="C82" s="9"/>
      <c r="D82" s="9"/>
      <c r="F82" s="149"/>
      <c r="G82" s="9"/>
      <c r="H82" s="9"/>
    </row>
    <row r="83" ht="14.25" customHeight="1">
      <c r="B83" s="149"/>
      <c r="C83" s="9"/>
      <c r="D83" s="9"/>
      <c r="F83" s="149"/>
      <c r="G83" s="9"/>
      <c r="H83" s="9"/>
    </row>
    <row r="84" ht="14.25" customHeight="1">
      <c r="B84" s="149"/>
      <c r="C84" s="9"/>
      <c r="D84" s="9"/>
      <c r="F84" s="149"/>
      <c r="G84" s="9"/>
      <c r="H84" s="9"/>
    </row>
    <row r="85" ht="14.25" customHeight="1">
      <c r="B85" s="149"/>
      <c r="C85" s="9"/>
      <c r="D85" s="9"/>
      <c r="F85" s="149"/>
      <c r="G85" s="9"/>
      <c r="H85" s="9"/>
    </row>
    <row r="86" ht="14.25" customHeight="1">
      <c r="B86" s="149"/>
      <c r="C86" s="9"/>
      <c r="D86" s="9"/>
      <c r="F86" s="149"/>
      <c r="G86" s="9"/>
      <c r="H86" s="9"/>
    </row>
    <row r="87" ht="14.25" customHeight="1">
      <c r="B87" s="149"/>
      <c r="C87" s="9"/>
      <c r="D87" s="9"/>
      <c r="F87" s="149"/>
      <c r="G87" s="9"/>
      <c r="H87" s="9"/>
    </row>
    <row r="88" ht="14.25" customHeight="1">
      <c r="B88" s="149"/>
      <c r="C88" s="9"/>
      <c r="D88" s="9"/>
      <c r="F88" s="149"/>
      <c r="G88" s="9"/>
      <c r="H88" s="9"/>
    </row>
    <row r="89" ht="14.25" customHeight="1">
      <c r="B89" s="149"/>
      <c r="C89" s="9"/>
      <c r="D89" s="9"/>
      <c r="F89" s="149"/>
      <c r="G89" s="9"/>
      <c r="H89" s="9"/>
    </row>
    <row r="90" ht="14.25" customHeight="1">
      <c r="B90" s="149"/>
      <c r="C90" s="9"/>
      <c r="D90" s="9"/>
      <c r="F90" s="149"/>
      <c r="G90" s="9"/>
      <c r="H90" s="9"/>
    </row>
    <row r="91" ht="14.25" customHeight="1">
      <c r="B91" s="149"/>
      <c r="C91" s="9"/>
      <c r="D91" s="9"/>
      <c r="F91" s="149"/>
      <c r="G91" s="9"/>
      <c r="H91" s="9"/>
    </row>
    <row r="92" ht="14.25" customHeight="1">
      <c r="B92" s="149"/>
      <c r="C92" s="9"/>
      <c r="D92" s="9"/>
      <c r="F92" s="149"/>
      <c r="G92" s="9"/>
      <c r="H92" s="9"/>
    </row>
    <row r="93" ht="14.25" customHeight="1">
      <c r="B93" s="149"/>
      <c r="C93" s="9"/>
      <c r="D93" s="9"/>
      <c r="F93" s="149"/>
      <c r="G93" s="9"/>
      <c r="H93" s="9"/>
    </row>
    <row r="94" ht="14.25" customHeight="1">
      <c r="B94" s="149"/>
      <c r="C94" s="9"/>
      <c r="D94" s="9"/>
      <c r="F94" s="149"/>
      <c r="G94" s="9"/>
      <c r="H94" s="9"/>
    </row>
    <row r="95" ht="14.25" customHeight="1">
      <c r="B95" s="149"/>
      <c r="C95" s="9"/>
      <c r="D95" s="9"/>
      <c r="F95" s="149"/>
      <c r="G95" s="9"/>
      <c r="H95" s="9"/>
    </row>
    <row r="96" ht="14.25" customHeight="1">
      <c r="B96" s="149"/>
      <c r="C96" s="9"/>
      <c r="D96" s="9"/>
      <c r="F96" s="149"/>
      <c r="G96" s="9"/>
      <c r="H96" s="9"/>
    </row>
    <row r="97" ht="14.25" customHeight="1">
      <c r="B97" s="149"/>
      <c r="C97" s="9"/>
      <c r="D97" s="9"/>
      <c r="F97" s="149"/>
      <c r="G97" s="9"/>
      <c r="H97" s="9"/>
    </row>
    <row r="98" ht="14.25" customHeight="1">
      <c r="B98" s="149"/>
      <c r="C98" s="9"/>
      <c r="D98" s="9"/>
      <c r="F98" s="149"/>
      <c r="G98" s="9"/>
      <c r="H98" s="9"/>
    </row>
    <row r="99" ht="14.25" customHeight="1">
      <c r="B99" s="149"/>
      <c r="C99" s="9"/>
      <c r="D99" s="9"/>
      <c r="F99" s="149"/>
      <c r="G99" s="9"/>
      <c r="H99" s="9"/>
    </row>
    <row r="100" ht="14.25" customHeight="1">
      <c r="B100" s="149"/>
      <c r="C100" s="9"/>
      <c r="D100" s="9"/>
      <c r="F100" s="149"/>
      <c r="G100" s="9"/>
      <c r="H100" s="9"/>
    </row>
    <row r="101" ht="14.2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6" width="8.71"/>
    <col customWidth="1" min="7" max="7" width="59.57"/>
    <col customWidth="1" min="8" max="8" width="11.57"/>
    <col customWidth="1" min="9" max="9" width="2.43"/>
    <col customWidth="1" min="10" max="10" width="8.71"/>
    <col customWidth="1" min="11" max="11" width="59.57"/>
    <col customWidth="1" min="12" max="12" width="11.57"/>
    <col customWidth="1" min="13" max="13" width="2.43"/>
    <col customWidth="1" min="14" max="14" width="8.71"/>
    <col customWidth="1" min="15" max="15" width="59.57"/>
    <col customWidth="1" min="16" max="16" width="11.57"/>
    <col customWidth="1" min="17" max="26" width="8.71"/>
  </cols>
  <sheetData>
    <row r="1" ht="15.0" customHeight="1">
      <c r="A1" s="149"/>
      <c r="B1" s="157"/>
      <c r="C1" s="158" t="s">
        <v>135</v>
      </c>
      <c r="D1" s="157"/>
      <c r="E1" s="60"/>
      <c r="F1" s="157"/>
      <c r="G1" s="157" t="s">
        <v>136</v>
      </c>
      <c r="H1" s="157"/>
      <c r="I1" s="60"/>
      <c r="J1" s="157"/>
      <c r="K1" s="158" t="s">
        <v>137</v>
      </c>
      <c r="L1" s="157"/>
      <c r="M1" s="60"/>
      <c r="N1" s="157"/>
      <c r="O1" s="158" t="s">
        <v>138</v>
      </c>
      <c r="P1" s="157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  <c r="J2" s="145" t="s">
        <v>6</v>
      </c>
      <c r="K2" s="146" t="s">
        <v>7</v>
      </c>
      <c r="L2" s="145" t="s">
        <v>8</v>
      </c>
      <c r="N2" s="145" t="s">
        <v>6</v>
      </c>
      <c r="O2" s="146" t="s">
        <v>7</v>
      </c>
      <c r="P2" s="145" t="s">
        <v>8</v>
      </c>
    </row>
    <row r="3" ht="14.25" customHeight="1">
      <c r="B3" s="17">
        <v>111692.0</v>
      </c>
      <c r="C3" s="9" t="str">
        <f>VLOOKUP(B3,'FML March 2026'!E:F,2,false)</f>
        <v>AJI AMARILLO PASTE CS12/7.5OZ BELMONT</v>
      </c>
      <c r="D3" s="9" t="str">
        <f>VLOOKUP(B3,'Unit of Measure ship March 2026'!A:C,3,false)</f>
        <v>LBS</v>
      </c>
      <c r="F3" s="17">
        <v>20895.0</v>
      </c>
      <c r="G3" s="9" t="str">
        <f>VLOOKUP(F3,'FML March 2026'!E:F,2,false)</f>
        <v>ASIAN LONG RED CHILI, FRESH MEDIUM HOT</v>
      </c>
      <c r="H3" s="9" t="str">
        <f>VLOOKUP(F3,'Unit of Measure ship March 2026'!A:C,3,false)</f>
        <v>LBS</v>
      </c>
      <c r="J3" s="17">
        <v>11695.0</v>
      </c>
      <c r="K3" s="9" t="str">
        <f>VLOOKUP(J3,'FML March 2026'!E:F,2,false)</f>
        <v>CHICKEN LEG/THIGH BONELESS &amp; SKINLESS FROZEN</v>
      </c>
      <c r="L3" s="9" t="str">
        <f>VLOOKUP(J3,'Unit of Measure ship March 2026'!A:C,3,false)</f>
        <v>LBS</v>
      </c>
      <c r="N3" s="48">
        <v>14670.0</v>
      </c>
      <c r="O3" s="9" t="str">
        <f>VLOOKUP(N3,'FML March 2026'!E:F,2,false)</f>
        <v>RED SNAPPER FILLET SKIN-ON 1-3 LB FROZEN (IP IS FTZ) (VIETNAM)</v>
      </c>
      <c r="P3" s="9" t="str">
        <f>VLOOKUP(N3,'Unit of Measure ship March 2026'!A:C,3,false)</f>
        <v>LBS</v>
      </c>
    </row>
    <row r="4" ht="14.25" customHeight="1">
      <c r="B4" s="17">
        <v>111083.0</v>
      </c>
      <c r="C4" s="9" t="str">
        <f>VLOOKUP(B4,'FML March 2026'!E:F,2,false)</f>
        <v>ALEPPO PEPPER  PKG 1/LB  LA BOITE</v>
      </c>
      <c r="D4" s="9" t="str">
        <f>VLOOKUP(B4,'Unit of Measure ship March 2026'!A:C,3,false)</f>
        <v>LBS</v>
      </c>
      <c r="F4" s="17">
        <v>15378.0</v>
      </c>
      <c r="G4" s="9" t="str">
        <f>VLOOKUP(F4,'FML March 2026'!E:F,2,false)</f>
        <v>AVOCADOS HASS FRESH CA-48PC FL-12/14PC 20#</v>
      </c>
      <c r="H4" s="9" t="str">
        <f>VLOOKUP(F4,'Unit of Measure ship March 2026'!A:C,3,false)</f>
        <v>LBS</v>
      </c>
      <c r="J4" s="17">
        <v>10533.0</v>
      </c>
      <c r="K4" s="9" t="str">
        <f>VLOOKUP(J4,'FML March 2026'!E:F,2,false)</f>
        <v>PORK SHOULDER BUTT BONELESS</v>
      </c>
      <c r="L4" s="9" t="str">
        <f>VLOOKUP(J4,'Unit of Measure ship March 2026'!A:C,3,false)</f>
        <v>LBS</v>
      </c>
      <c r="N4" s="49"/>
      <c r="O4" s="9"/>
      <c r="P4" s="9"/>
    </row>
    <row r="5" ht="14.25" customHeight="1">
      <c r="B5" s="17">
        <v>16262.0</v>
      </c>
      <c r="C5" s="9" t="str">
        <f>VLOOKUP(B5,'FML March 2026'!E:F,2,false)</f>
        <v>ALLSPICE BADIA</v>
      </c>
      <c r="D5" s="9" t="str">
        <f>VLOOKUP(B5,'Unit of Measure ship March 2026'!A:C,3,false)</f>
        <v>LBS</v>
      </c>
      <c r="F5" s="17">
        <v>15605.0</v>
      </c>
      <c r="G5" s="9" t="str">
        <f>VLOOKUP(F5,'FML March 2026'!E:F,2,false)</f>
        <v>BEANS FRESH EXTRA FINE GREEN (FRENCH) 1/5 (HARICOT VERT)</v>
      </c>
      <c r="H5" s="9" t="str">
        <f>VLOOKUP(F5,'Unit of Measure ship March 2026'!A:C,3,false)</f>
        <v>LBS</v>
      </c>
      <c r="J5" s="9"/>
      <c r="K5" s="9"/>
      <c r="L5" s="9"/>
      <c r="N5" s="49"/>
      <c r="O5" s="9"/>
      <c r="P5" s="9"/>
    </row>
    <row r="6" ht="14.25" customHeight="1">
      <c r="B6" s="17">
        <v>109664.0</v>
      </c>
      <c r="C6" s="9" t="str">
        <f>VLOOKUP(B6,'FML March 2026'!E:F,2,false)</f>
        <v>APPLE CIDER VINEGAR SPARROW LANE V</v>
      </c>
      <c r="D6" s="9" t="str">
        <f>VLOOKUP(B6,'Unit of Measure ship March 2026'!A:C,3,false)</f>
        <v>GAL</v>
      </c>
      <c r="F6" s="17">
        <v>15335.0</v>
      </c>
      <c r="G6" s="9" t="str">
        <f>VLOOKUP(F6,'FML March 2026'!E:F,2,false)</f>
        <v>BLUEBERRIES FRESH 12 1/2 PT 4.5#</v>
      </c>
      <c r="H6" s="9" t="str">
        <f>VLOOKUP(F6,'Unit of Measure ship March 2026'!A:C,3,false)</f>
        <v>LBS</v>
      </c>
      <c r="J6" s="9"/>
      <c r="K6" s="9"/>
      <c r="L6" s="9"/>
      <c r="N6" s="49"/>
      <c r="O6" s="9"/>
      <c r="P6" s="9"/>
    </row>
    <row r="7" ht="14.25" customHeight="1">
      <c r="B7" s="17">
        <v>15652.0</v>
      </c>
      <c r="C7" s="9" t="str">
        <f>VLOOKUP(B7,'FML March 2026'!E:F,2,false)</f>
        <v>BAKING SODA</v>
      </c>
      <c r="D7" s="9" t="str">
        <f>VLOOKUP(B7,'Unit of Measure ship March 2026'!A:C,3,false)</f>
        <v>LBS</v>
      </c>
      <c r="F7" s="17">
        <v>15458.0</v>
      </c>
      <c r="G7" s="9" t="str">
        <f>VLOOKUP(F7,'FML March 2026'!E:F,2,false)</f>
        <v>CARROTS CLIP TOP 50#</v>
      </c>
      <c r="H7" s="9" t="str">
        <f>VLOOKUP(F7,'Unit of Measure ship March 2026'!A:C,3,false)</f>
        <v>LBS</v>
      </c>
      <c r="J7" s="9"/>
      <c r="K7" s="9"/>
      <c r="L7" s="9"/>
      <c r="N7" s="49"/>
      <c r="O7" s="9"/>
      <c r="P7" s="9"/>
    </row>
    <row r="8" ht="14.25" customHeight="1">
      <c r="B8" s="17">
        <v>16250.0</v>
      </c>
      <c r="C8" s="9" t="str">
        <f>VLOOKUP(B8,'FML March 2026'!E:F,2,false)</f>
        <v>BAY LEAVES WHOLE D`ALLESANDRO/ SPICECO</v>
      </c>
      <c r="D8" s="9" t="str">
        <f>VLOOKUP(B8,'Unit of Measure ship March 2026'!A:C,3,false)</f>
        <v>LBS</v>
      </c>
      <c r="F8" s="17">
        <v>15460.0</v>
      </c>
      <c r="G8" s="9" t="str">
        <f>VLOOKUP(F8,'FML March 2026'!E:F,2,false)</f>
        <v>CELERY #1 CAL. 36CT 60#</v>
      </c>
      <c r="H8" s="9" t="str">
        <f>VLOOKUP(F8,'Unit of Measure ship March 2026'!A:C,3,false)</f>
        <v>LBS</v>
      </c>
      <c r="J8" s="9"/>
      <c r="K8" s="9"/>
      <c r="L8" s="9"/>
      <c r="N8" s="49"/>
      <c r="O8" s="9"/>
      <c r="P8" s="9"/>
    </row>
    <row r="9" ht="14.25" customHeight="1">
      <c r="B9" s="17">
        <v>16178.0</v>
      </c>
      <c r="C9" s="9" t="str">
        <f>VLOOKUP(B9,'FML March 2026'!E:F,2,false)</f>
        <v>BEANS BLACK COMMERCIAL DE LEGUMBRES/ TORINO</v>
      </c>
      <c r="D9" s="9" t="str">
        <f>VLOOKUP(B9,'Unit of Measure ship March 2026'!A:C,3,false)</f>
        <v>LBS</v>
      </c>
      <c r="F9" s="17">
        <v>109753.0</v>
      </c>
      <c r="G9" s="9" t="str">
        <f>VLOOKUP(F9,'FML March 2026'!E:F,2,false)</f>
        <v>CHILI FRESNO FRESH</v>
      </c>
      <c r="H9" s="9" t="str">
        <f>VLOOKUP(F9,'Unit of Measure ship March 2026'!A:C,3,false)</f>
        <v>LBS</v>
      </c>
      <c r="J9" s="9"/>
      <c r="K9" s="9"/>
      <c r="L9" s="9"/>
      <c r="N9" s="49"/>
      <c r="O9" s="9"/>
      <c r="P9" s="9"/>
    </row>
    <row r="10" ht="14.25" customHeight="1">
      <c r="B10" s="8">
        <v>26627.0</v>
      </c>
      <c r="C10" s="9" t="str">
        <f>VLOOKUP(B10,'FML March 2026'!E:F,2,false)</f>
        <v>BEANS CHICK PEAS DRY BULK</v>
      </c>
      <c r="D10" s="9" t="str">
        <f>VLOOKUP(B10,'Unit of Measure ship March 2026'!A:C,3,false)</f>
        <v>LBS</v>
      </c>
      <c r="F10" s="17">
        <v>15431.0</v>
      </c>
      <c r="G10" s="9" t="str">
        <f>VLOOKUP(F10,'FML March 2026'!E:F,2,false)</f>
        <v>CILANTRO (12 BUNCH) 1 LB/CS DOMESTIC</v>
      </c>
      <c r="H10" s="9" t="str">
        <f>VLOOKUP(F10,'Unit of Measure ship March 2026'!A:C,3,false)</f>
        <v>LBS</v>
      </c>
      <c r="J10" s="9"/>
      <c r="K10" s="9"/>
      <c r="L10" s="9"/>
      <c r="N10" s="49"/>
      <c r="O10" s="9"/>
      <c r="P10" s="9"/>
    </row>
    <row r="11" ht="14.25" customHeight="1">
      <c r="B11" s="8">
        <v>111962.0</v>
      </c>
      <c r="C11" s="9" t="str">
        <f>VLOOKUP(B11,'FML March 2026'!E:F,2,false)</f>
        <v>BOQUERONE IN VINEGAR</v>
      </c>
      <c r="D11" s="9" t="str">
        <f>VLOOKUP(B11,'Unit of Measure ship March 2026'!A:C,3,false)</f>
        <v>LBS</v>
      </c>
      <c r="F11" s="17">
        <v>111175.0</v>
      </c>
      <c r="G11" s="9" t="str">
        <f>VLOOKUP(F11,'FML March 2026'!E:F,2,false)</f>
        <v>CILANTRO MICRO FRESH HARPKE FAMILY FARM PK/5 OZ PACKED IN 60 OZ SIZE CLAM SHELL</v>
      </c>
      <c r="H11" s="9" t="str">
        <f>VLOOKUP(F11,'Unit of Measure ship March 2026'!A:C,3,false)</f>
        <v>EA</v>
      </c>
      <c r="J11" s="9"/>
      <c r="K11" s="9"/>
      <c r="L11" s="9"/>
      <c r="N11" s="49"/>
      <c r="O11" s="9"/>
      <c r="P11" s="9"/>
    </row>
    <row r="12" ht="14.25" customHeight="1">
      <c r="B12" s="17">
        <v>20916.0</v>
      </c>
      <c r="C12" s="9" t="str">
        <f>VLOOKUP(B12,'FML March 2026'!E:F,2,false)</f>
        <v>BREAD, PARATHA, KAWAN - AMAN, 9556074988115, FZN, 8/25 EA</v>
      </c>
      <c r="D12" s="9" t="str">
        <f>VLOOKUP(B12,'Unit of Measure ship March 2026'!A:C,3,false)</f>
        <v>CS/200PC</v>
      </c>
      <c r="F12" s="17">
        <v>10013.0</v>
      </c>
      <c r="G12" s="9" t="str">
        <f>VLOOKUP(F12,'FML March 2026'!E:F,2,false)</f>
        <v>CORN ON THE COB FRESH</v>
      </c>
      <c r="H12" s="9" t="str">
        <f>VLOOKUP(F12,'Unit of Measure ship March 2026'!A:C,3,false)</f>
        <v>LBS</v>
      </c>
      <c r="J12" s="9"/>
      <c r="K12" s="9"/>
      <c r="L12" s="9"/>
      <c r="N12" s="49"/>
      <c r="O12" s="9"/>
      <c r="P12" s="9"/>
    </row>
    <row r="13" ht="14.25" customHeight="1">
      <c r="B13" s="17">
        <v>16015.0</v>
      </c>
      <c r="C13" s="9" t="str">
        <f>VLOOKUP(B13,'FML March 2026'!E:F,2,false)</f>
        <v>CAPERS, NON-PAREIL, IN VINEGAR, DRY, 6X850GR</v>
      </c>
      <c r="D13" s="9" t="str">
        <f>VLOOKUP(B13,'Unit of Measure ship March 2026'!A:C,3,false)</f>
        <v>CAN/32OZ</v>
      </c>
      <c r="F13" s="17">
        <v>109754.0</v>
      </c>
      <c r="G13" s="9" t="str">
        <f>VLOOKUP(F13,'FML March 2026'!E:F,2,false)</f>
        <v>CUCUMBER ENGLISH SEEDLESS, LARGE</v>
      </c>
      <c r="H13" s="9" t="str">
        <f>VLOOKUP(F13,'Unit of Measure ship March 2026'!A:C,3,false)</f>
        <v>LBS</v>
      </c>
      <c r="J13" s="9"/>
      <c r="K13" s="9"/>
      <c r="L13" s="9"/>
      <c r="N13" s="49"/>
      <c r="O13" s="9"/>
      <c r="P13" s="9"/>
    </row>
    <row r="14" ht="14.25" customHeight="1">
      <c r="B14" s="17">
        <v>111011.0</v>
      </c>
      <c r="C14" s="9" t="str">
        <f>VLOOKUP(B14,'FML March 2026'!E:F,2,false)</f>
        <v>CARDAMOM POD GREEN TERRA SPICE</v>
      </c>
      <c r="D14" s="9" t="str">
        <f>VLOOKUP(B14,'Unit of Measure ship March 2026'!A:C,3,false)</f>
        <v>JR32/OZ</v>
      </c>
      <c r="F14" s="17">
        <v>15464.0</v>
      </c>
      <c r="G14" s="9" t="str">
        <f>VLOOKUP(F14,'FML March 2026'!E:F,2,false)</f>
        <v>EGGPLANT MEDIUM, 225 - 300 MM</v>
      </c>
      <c r="H14" s="9" t="str">
        <f>VLOOKUP(F14,'Unit of Measure ship March 2026'!A:C,3,false)</f>
        <v>LBS</v>
      </c>
      <c r="J14" s="9"/>
      <c r="K14" s="9"/>
      <c r="L14" s="9"/>
      <c r="N14" s="49"/>
      <c r="O14" s="9"/>
      <c r="P14" s="9"/>
    </row>
    <row r="15" ht="14.25" customHeight="1">
      <c r="B15" s="8">
        <v>35186.0</v>
      </c>
      <c r="C15" s="9" t="str">
        <f>VLOOKUP(B15,'FML March 2026'!E:F,2,false)</f>
        <v>CELERY SALT 32 OZ D`ALLESANDRO/ SPICE CO</v>
      </c>
      <c r="D15" s="9" t="str">
        <f>VLOOKUP(B15,'Unit of Measure ship March 2026'!A:C,3,false)</f>
        <v>JAR/32OZ</v>
      </c>
      <c r="F15" s="17">
        <v>15466.0</v>
      </c>
      <c r="G15" s="9" t="str">
        <f>VLOOKUP(F15,'FML March 2026'!E:F,2,false)</f>
        <v>GARLIC CRATE JUMBO 30# 8 CT</v>
      </c>
      <c r="H15" s="9" t="str">
        <f>VLOOKUP(F15,'Unit of Measure ship March 2026'!A:C,3,false)</f>
        <v>LBS</v>
      </c>
      <c r="J15" s="9"/>
      <c r="K15" s="9"/>
      <c r="L15" s="9"/>
      <c r="N15" s="49"/>
      <c r="O15" s="9"/>
      <c r="P15" s="9"/>
    </row>
    <row r="16" ht="14.25" customHeight="1">
      <c r="B16" s="17">
        <v>16308.0</v>
      </c>
      <c r="C16" s="9" t="str">
        <f>VLOOKUP(B16,'FML March 2026'!E:F,2,false)</f>
        <v>CHILI PEPPER RED CRUSHED D`ALLESANDRO/ SPICECO</v>
      </c>
      <c r="D16" s="9" t="str">
        <f>VLOOKUP(B16,'Unit of Measure ship March 2026'!A:C,3,false)</f>
        <v>LBS</v>
      </c>
      <c r="F16" s="17">
        <v>30639.0</v>
      </c>
      <c r="G16" s="9" t="str">
        <f>VLOOKUP(F16,'FML March 2026'!E:F,2,false)</f>
        <v>GARLIC PEELED</v>
      </c>
      <c r="H16" s="9" t="str">
        <f>VLOOKUP(F16,'Unit of Measure ship March 2026'!A:C,3,false)</f>
        <v>LBS</v>
      </c>
      <c r="J16" s="149"/>
      <c r="K16" s="9"/>
      <c r="L16" s="9"/>
      <c r="N16" s="49"/>
      <c r="O16" s="9"/>
      <c r="P16" s="9"/>
    </row>
    <row r="17" ht="14.25" customHeight="1">
      <c r="B17" s="17">
        <v>16252.0</v>
      </c>
      <c r="C17" s="9" t="str">
        <f>VLOOKUP(B17,'FML March 2026'!E:F,2,false)</f>
        <v>CHILI POWDER 16 OZ D`ALLESANDRO/ SPICECO</v>
      </c>
      <c r="D17" s="9" t="str">
        <f>VLOOKUP(B17,'Unit of Measure ship March 2026'!A:C,3,false)</f>
        <v>LBS</v>
      </c>
      <c r="F17" s="17">
        <v>38392.0</v>
      </c>
      <c r="G17" s="9" t="str">
        <f>VLOOKUP(F17,'FML March 2026'!E:F,2,false)</f>
        <v>GINGER FRESH</v>
      </c>
      <c r="H17" s="9" t="str">
        <f>VLOOKUP(F17,'Unit of Measure ship March 2026'!A:C,3,false)</f>
        <v>LBS</v>
      </c>
      <c r="J17" s="149"/>
      <c r="K17" s="9"/>
      <c r="L17" s="9"/>
      <c r="N17" s="49"/>
      <c r="O17" s="9"/>
      <c r="P17" s="9"/>
    </row>
    <row r="18" ht="14.25" customHeight="1">
      <c r="B18" s="17">
        <v>16265.0</v>
      </c>
      <c r="C18" s="9" t="str">
        <f>VLOOKUP(B18,'FML March 2026'!E:F,2,false)</f>
        <v>CHINESE FIVE SPICE 16 OZ D`ALLESANDRO/ SPICECO</v>
      </c>
      <c r="D18" s="9" t="str">
        <f>VLOOKUP(B18,'Unit of Measure ship March 2026'!A:C,3,false)</f>
        <v>LBS</v>
      </c>
      <c r="F18" s="17">
        <v>61703.0</v>
      </c>
      <c r="G18" s="9" t="str">
        <f>VLOOKUP(F18,'FML March 2026'!E:F,2,false)</f>
        <v>HABANERO PEPPERS FRESH</v>
      </c>
      <c r="H18" s="9" t="str">
        <f>VLOOKUP(F18,'Unit of Measure ship March 2026'!A:C,3,false)</f>
        <v>LBS</v>
      </c>
      <c r="J18" s="149"/>
      <c r="K18" s="9"/>
      <c r="L18" s="9"/>
      <c r="N18" s="49"/>
      <c r="O18" s="9"/>
      <c r="P18" s="9"/>
    </row>
    <row r="19" ht="14.25" customHeight="1">
      <c r="B19" s="17">
        <v>16253.0</v>
      </c>
      <c r="C19" s="9" t="str">
        <f>VLOOKUP(B19,'FML March 2026'!E:F,2,false)</f>
        <v>CINNAMON GROUND</v>
      </c>
      <c r="D19" s="9" t="str">
        <f>VLOOKUP(B19,'Unit of Measure ship March 2026'!A:C,3,false)</f>
        <v>LBS</v>
      </c>
      <c r="F19" s="17">
        <v>15463.0</v>
      </c>
      <c r="G19" s="9" t="str">
        <f>VLOOKUP(F19,'FML March 2026'!E:F,2,false)</f>
        <v>JICAMA FRESH</v>
      </c>
      <c r="H19" s="9" t="str">
        <f>VLOOKUP(F19,'Unit of Measure ship March 2026'!A:C,3,false)</f>
        <v>LBS</v>
      </c>
      <c r="J19" s="149"/>
      <c r="K19" s="9"/>
      <c r="L19" s="9"/>
      <c r="N19" s="49"/>
      <c r="O19" s="9"/>
      <c r="P19" s="9"/>
    </row>
    <row r="20" ht="14.25" customHeight="1">
      <c r="B20" s="17">
        <v>16267.0</v>
      </c>
      <c r="C20" s="9" t="str">
        <f>VLOOKUP(B20,'FML March 2026'!E:F,2,false)</f>
        <v>CINNAMON STICKS BADIA (USA)</v>
      </c>
      <c r="D20" s="9" t="str">
        <f>VLOOKUP(B20,'Unit of Measure ship March 2026'!A:C,3,false)</f>
        <v>LBS</v>
      </c>
      <c r="F20" s="8">
        <v>15478.0</v>
      </c>
      <c r="G20" s="9" t="str">
        <f>VLOOKUP(F20,'FML March 2026'!E:F,2,false)</f>
        <v>LEMONGRASS 12 STICKS/BUNCH 1#/BUNCH</v>
      </c>
      <c r="H20" s="9" t="str">
        <f>VLOOKUP(F20,'Unit of Measure ship March 2026'!A:C,3,false)</f>
        <v>LBS</v>
      </c>
      <c r="J20" s="149"/>
      <c r="K20" s="9"/>
      <c r="L20" s="9"/>
      <c r="N20" s="49"/>
      <c r="O20" s="9"/>
      <c r="P20" s="9"/>
    </row>
    <row r="21" ht="14.25" customHeight="1">
      <c r="B21" s="17">
        <v>16254.0</v>
      </c>
      <c r="C21" s="9" t="str">
        <f>VLOOKUP(B21,'FML March 2026'!E:F,2,false)</f>
        <v>CLOVES WHOLE D`ALLESANDRO/ SPICECO</v>
      </c>
      <c r="D21" s="9" t="str">
        <f>VLOOKUP(B21,'Unit of Measure ship March 2026'!A:C,3,false)</f>
        <v>LBS</v>
      </c>
      <c r="F21" s="17">
        <v>15397.0</v>
      </c>
      <c r="G21" s="9" t="str">
        <f>VLOOKUP(F21,'FML March 2026'!E:F,2,false)</f>
        <v>LEMONS FRESH FIRM FANCY CALIF. SUNKIST #1 200CT 40#</v>
      </c>
      <c r="H21" s="9" t="str">
        <f>VLOOKUP(F21,'Unit of Measure ship March 2026'!A:C,3,false)</f>
        <v>LBS</v>
      </c>
      <c r="J21" s="149"/>
      <c r="K21" s="9"/>
      <c r="L21" s="9"/>
      <c r="N21" s="49"/>
      <c r="O21" s="9"/>
      <c r="P21" s="9"/>
    </row>
    <row r="22" ht="14.25" customHeight="1">
      <c r="B22" s="8">
        <v>110020.0</v>
      </c>
      <c r="C22" s="9" t="str">
        <f>VLOOKUP(B22,'FML March 2026'!E:F,2,false)</f>
        <v>COCONUT FLAKES UNSWEETENED BOBS RED MILL CS4/24OZ</v>
      </c>
      <c r="D22" s="9" t="str">
        <f>VLOOKUP(B22,'Unit of Measure ship March 2026'!A:C,3,false)</f>
        <v>LBS</v>
      </c>
      <c r="F22" s="17">
        <v>15489.0</v>
      </c>
      <c r="G22" s="9" t="str">
        <f>VLOOKUP(F22,'FML March 2026'!E:F,2,false)</f>
        <v>LETTUCE ROMAINE, CAL., CRISP 24HD 38#</v>
      </c>
      <c r="H22" s="9" t="str">
        <f>VLOOKUP(F22,'Unit of Measure ship March 2026'!A:C,3,false)</f>
        <v>LBS</v>
      </c>
      <c r="J22" s="149"/>
      <c r="K22" s="9"/>
      <c r="L22" s="9"/>
      <c r="N22" s="49"/>
      <c r="O22" s="9"/>
      <c r="P22" s="9"/>
    </row>
    <row r="23" ht="14.25" customHeight="1">
      <c r="B23" s="17">
        <v>112179.0</v>
      </c>
      <c r="C23" s="9" t="str">
        <f>VLOOKUP(B23,'FML March 2026'!E:F,2,false)</f>
        <v>COCONUT MEAT FROZEN CS11/1LB EXOTIC SUPER FOODS</v>
      </c>
      <c r="D23" s="35" t="s">
        <v>42</v>
      </c>
      <c r="F23" s="17">
        <v>15399.0</v>
      </c>
      <c r="G23" s="9" t="str">
        <f>VLOOKUP(F23,'FML March 2026'!E:F,2,false)</f>
        <v>LIMES, FRESH, FIRM #1 200CT 40#</v>
      </c>
      <c r="H23" s="9" t="str">
        <f>VLOOKUP(F23,'Unit of Measure ship March 2026'!A:C,3,false)</f>
        <v>LBS</v>
      </c>
      <c r="J23" s="149"/>
      <c r="K23" s="9"/>
      <c r="L23" s="9"/>
      <c r="N23" s="49"/>
      <c r="O23" s="9"/>
      <c r="P23" s="9"/>
    </row>
    <row r="24" ht="14.25" customHeight="1">
      <c r="B24" s="48">
        <v>62920.0</v>
      </c>
      <c r="C24" s="9" t="str">
        <f>VLOOKUP(B24,'FML March 2026'!E:F,2,false)</f>
        <v>COCONUT MILK CS24/14OZ  17% TO 18%</v>
      </c>
      <c r="D24" s="9" t="str">
        <f>VLOOKUP(B24,'Unit of Measure ship March 2026'!A:C,3,false)</f>
        <v>PC/13.5Z</v>
      </c>
      <c r="F24" s="17">
        <v>15400.0</v>
      </c>
      <c r="G24" s="9" t="str">
        <f>VLOOKUP(F24,'FML March 2026'!E:F,2,false)</f>
        <v>MANGOS, RIPE 9/12 CT, 10#/CS</v>
      </c>
      <c r="H24" s="9" t="str">
        <f>VLOOKUP(F24,'Unit of Measure ship March 2026'!A:C,3,false)</f>
        <v>LBS</v>
      </c>
      <c r="J24" s="149"/>
      <c r="K24" s="9"/>
      <c r="L24" s="9"/>
      <c r="N24" s="49"/>
      <c r="O24" s="9"/>
      <c r="P24" s="9"/>
    </row>
    <row r="25" ht="14.25" customHeight="1">
      <c r="B25" s="17">
        <v>109675.0</v>
      </c>
      <c r="C25" s="9" t="str">
        <f>VLOOKUP(B25,'FML March 2026'!E:F,2,false)</f>
        <v>COCONUT OIL LA TOURANGELLE</v>
      </c>
      <c r="D25" s="9" t="str">
        <f>VLOOKUP(B25,'Unit of Measure ship March 2026'!A:C,3,false)</f>
        <v>GAL</v>
      </c>
      <c r="F25" s="17">
        <v>15402.0</v>
      </c>
      <c r="G25" s="9" t="str">
        <f>VLOOKUP(F25,'FML March 2026'!E:F,2,false)</f>
        <v>MELON CANTALOUPE 12 CT, 40#/CS</v>
      </c>
      <c r="H25" s="9" t="str">
        <f>VLOOKUP(F25,'Unit of Measure ship March 2026'!A:C,3,false)</f>
        <v>LBS</v>
      </c>
      <c r="J25" s="149"/>
      <c r="K25" s="9"/>
      <c r="L25" s="9"/>
      <c r="N25" s="49"/>
      <c r="O25" s="9"/>
      <c r="P25" s="9"/>
    </row>
    <row r="26" ht="14.25" customHeight="1">
      <c r="B26" s="17">
        <v>16288.0</v>
      </c>
      <c r="C26" s="9" t="str">
        <f>VLOOKUP(B26,'FML March 2026'!E:F,2,false)</f>
        <v>CORIANDER WHOLE BADIA (USA )</v>
      </c>
      <c r="D26" s="9" t="str">
        <f>VLOOKUP(B26,'Unit of Measure ship March 2026'!A:C,3,false)</f>
        <v>LBS</v>
      </c>
      <c r="F26" s="17">
        <v>15404.0</v>
      </c>
      <c r="G26" s="9" t="str">
        <f>VLOOKUP(F26,'FML March 2026'!E:F,2,false)</f>
        <v>MELON HONEYDEW #1 6/8CT. 25#</v>
      </c>
      <c r="H26" s="9" t="str">
        <f>VLOOKUP(F26,'Unit of Measure ship March 2026'!A:C,3,false)</f>
        <v>LBS</v>
      </c>
      <c r="J26" s="149"/>
      <c r="K26" s="9"/>
      <c r="L26" s="9"/>
      <c r="N26" s="49"/>
      <c r="O26" s="9"/>
      <c r="P26" s="9"/>
    </row>
    <row r="27" ht="14.25" customHeight="1">
      <c r="B27" s="78">
        <v>10013.0</v>
      </c>
      <c r="C27" s="9" t="str">
        <f>VLOOKUP(B27,'FML March 2026'!E:F,2,false)</f>
        <v>CORN ON THE COB FRESH</v>
      </c>
      <c r="D27" s="9" t="str">
        <f>VLOOKUP(B27,'Unit of Measure ship March 2026'!A:C,3,false)</f>
        <v>LBS</v>
      </c>
      <c r="F27" s="17">
        <v>110056.0</v>
      </c>
      <c r="G27" s="9" t="str">
        <f>VLOOKUP(F27,'FML March 2026'!E:F,2,false)</f>
        <v>MICRO LEMON BALM</v>
      </c>
      <c r="H27" s="9" t="str">
        <f>VLOOKUP(F27,'Unit of Measure ship March 2026'!A:C,3,false)</f>
        <v>LBS</v>
      </c>
      <c r="J27" s="149"/>
      <c r="K27" s="9"/>
      <c r="L27" s="9"/>
      <c r="N27" s="49"/>
      <c r="O27" s="9"/>
      <c r="P27" s="9"/>
    </row>
    <row r="28" ht="14.25" customHeight="1">
      <c r="B28" s="17">
        <v>16256.0</v>
      </c>
      <c r="C28" s="9" t="str">
        <f>VLOOKUP(B28,'FML March 2026'!E:F,2,false)</f>
        <v>CUMIN GROUND D`ALLESANDRO/ SPICECO (USA )</v>
      </c>
      <c r="D28" s="9" t="str">
        <f>VLOOKUP(B28,'Unit of Measure ship March 2026'!A:C,3,false)</f>
        <v>LBS</v>
      </c>
      <c r="F28" s="17">
        <v>15436.0</v>
      </c>
      <c r="G28" s="9" t="str">
        <f>VLOOKUP(F28,'FML March 2026'!E:F,2,false)</f>
        <v>MINT (12 BUNCH), 1 LB/CS</v>
      </c>
      <c r="H28" s="9" t="str">
        <f>VLOOKUP(F28,'Unit of Measure ship March 2026'!A:C,3,false)</f>
        <v>LBS</v>
      </c>
      <c r="J28" s="149"/>
      <c r="K28" s="9"/>
      <c r="L28" s="9"/>
      <c r="N28" s="49"/>
      <c r="O28" s="9"/>
      <c r="P28" s="9"/>
    </row>
    <row r="29" ht="14.25" customHeight="1">
      <c r="B29" s="17">
        <v>16264.0</v>
      </c>
      <c r="C29" s="9" t="str">
        <f>VLOOKUP(B29,'FML March 2026'!E:F,2,false)</f>
        <v>CUMIN SEED WHOLE BADIA (USA )</v>
      </c>
      <c r="D29" s="9" t="str">
        <f>VLOOKUP(B29,'Unit of Measure ship March 2026'!A:C,3,false)</f>
        <v>LBS</v>
      </c>
      <c r="F29" s="17">
        <v>15496.0</v>
      </c>
      <c r="G29" s="9" t="str">
        <f>VLOOKUP(F29,'FML March 2026'!E:F,2,false)</f>
        <v>ONIONS RED, MEDIUM 25#</v>
      </c>
      <c r="H29" s="9" t="str">
        <f>VLOOKUP(F29,'Unit of Measure ship March 2026'!A:C,3,false)</f>
        <v>LBS</v>
      </c>
      <c r="J29" s="149"/>
      <c r="K29" s="9"/>
      <c r="L29" s="9"/>
      <c r="N29" s="49"/>
      <c r="O29" s="9"/>
      <c r="P29" s="9"/>
    </row>
    <row r="30" ht="14.25" customHeight="1">
      <c r="B30" s="17">
        <v>16257.0</v>
      </c>
      <c r="C30" s="9" t="str">
        <f>VLOOKUP(B30,'FML March 2026'!E:F,2,false)</f>
        <v>CURRY POWDER BADIA (USA )</v>
      </c>
      <c r="D30" s="9" t="str">
        <f>VLOOKUP(B30,'Unit of Measure ship March 2026'!A:C,3,false)</f>
        <v>LBS</v>
      </c>
      <c r="F30" s="17">
        <v>15497.0</v>
      </c>
      <c r="G30" s="9" t="str">
        <f>VLOOKUP(F30,'FML March 2026'!E:F,2,false)</f>
        <v>ONIONS, YELLOW, MEDIUM, SPANISH #1, 50#</v>
      </c>
      <c r="H30" s="9" t="str">
        <f>VLOOKUP(F30,'Unit of Measure ship March 2026'!A:C,3,false)</f>
        <v>LBS</v>
      </c>
      <c r="J30" s="149"/>
      <c r="K30" s="9"/>
      <c r="L30" s="9"/>
      <c r="N30" s="49"/>
      <c r="O30" s="9"/>
      <c r="P30" s="9"/>
    </row>
    <row r="31" ht="14.25" customHeight="1">
      <c r="B31" s="17">
        <v>15027.0</v>
      </c>
      <c r="C31" s="9" t="str">
        <f>VLOOKUP(B31,'FML March 2026'!E:F,2,false)</f>
        <v>EGG YOLKS FROZEN NO SUGAR OR SALT ADDED 6/5 LB SUNNY FRESH/ DEBEL (USA)</v>
      </c>
      <c r="D31" s="9" t="str">
        <f>VLOOKUP(B31,'Unit of Measure ship March 2026'!A:C,3,false)</f>
        <v>LBS</v>
      </c>
      <c r="F31" s="17">
        <v>15408.0</v>
      </c>
      <c r="G31" s="9" t="str">
        <f>VLOOKUP(F31,'FML March 2026'!E:F,2,false)</f>
        <v>ORANGES CAL. SUNKIST FANCY, VALENCIA NAVEL,88CT 40#</v>
      </c>
      <c r="H31" s="9" t="str">
        <f>VLOOKUP(F31,'Unit of Measure ship March 2026'!A:C,3,false)</f>
        <v>LBS</v>
      </c>
      <c r="J31" s="149"/>
      <c r="K31" s="9"/>
      <c r="L31" s="9"/>
      <c r="N31" s="49"/>
      <c r="O31" s="9"/>
      <c r="P31" s="9"/>
    </row>
    <row r="32" ht="14.25" customHeight="1">
      <c r="B32" s="17">
        <v>16259.0</v>
      </c>
      <c r="C32" s="9" t="str">
        <f>VLOOKUP(B32,'FML March 2026'!E:F,2,false)</f>
        <v>FENNEL SEED WHOLE BADIA (USA )</v>
      </c>
      <c r="D32" s="9" t="str">
        <f>VLOOKUP(B32,'Unit of Measure ship March 2026'!A:C,3,false)</f>
        <v>LBS</v>
      </c>
      <c r="F32" s="17">
        <v>105768.0</v>
      </c>
      <c r="G32" s="9" t="str">
        <f>VLOOKUP(F32,'FML March 2026'!E:F,2,false)</f>
        <v>PAPAYA (9-12CT), GREEN</v>
      </c>
      <c r="H32" s="35" t="s">
        <v>42</v>
      </c>
      <c r="J32" s="149"/>
      <c r="K32" s="9"/>
      <c r="L32" s="9"/>
      <c r="N32" s="49"/>
      <c r="O32" s="9"/>
      <c r="P32" s="9"/>
    </row>
    <row r="33" ht="14.25" customHeight="1">
      <c r="B33" s="17">
        <v>111698.0</v>
      </c>
      <c r="C33" s="9" t="str">
        <f>VLOOKUP(B33,'FML March 2026'!E:F,2,false)</f>
        <v>FRIED SHALLOTS LA RUSTICHELLA</v>
      </c>
      <c r="D33" s="9" t="str">
        <f>VLOOKUP(B33,'Unit of Measure ship March 2026'!A:C,3,false)</f>
        <v>LBS</v>
      </c>
      <c r="F33" s="17">
        <v>15305.0</v>
      </c>
      <c r="G33" s="9" t="str">
        <f>VLOOKUP(F33,'FML March 2026'!E:F,2,false)</f>
        <v>PAPAYA (9-12CT), RIPE</v>
      </c>
      <c r="H33" s="35" t="s">
        <v>42</v>
      </c>
      <c r="J33" s="149"/>
      <c r="K33" s="9"/>
      <c r="L33" s="9"/>
      <c r="N33" s="49"/>
      <c r="O33" s="9"/>
      <c r="P33" s="9"/>
    </row>
    <row r="34" ht="14.25" customHeight="1">
      <c r="B34" s="17">
        <v>16260.0</v>
      </c>
      <c r="C34" s="9" t="str">
        <f>VLOOKUP(B34,'FML March 2026'!E:F,2,false)</f>
        <v>GARLIC, POWDER, DRY, 12/16 OZ</v>
      </c>
      <c r="D34" s="9" t="str">
        <f>VLOOKUP(B34,'Unit of Measure ship March 2026'!A:C,3,false)</f>
        <v>LBS</v>
      </c>
      <c r="F34" s="17">
        <v>15500.0</v>
      </c>
      <c r="G34" s="9" t="str">
        <f>VLOOKUP(F34,'FML March 2026'!E:F,2,false)</f>
        <v>PARSLEY ITALIAN,  20#/CS</v>
      </c>
      <c r="H34" s="9" t="str">
        <f>VLOOKUP(F34,'Unit of Measure ship March 2026'!A:C,3,false)</f>
        <v>LBS</v>
      </c>
      <c r="J34" s="149"/>
      <c r="K34" s="9"/>
      <c r="L34" s="9"/>
      <c r="N34" s="49"/>
      <c r="O34" s="9"/>
      <c r="P34" s="9"/>
    </row>
    <row r="35" ht="14.25" customHeight="1">
      <c r="B35" s="17">
        <v>23904.0</v>
      </c>
      <c r="C35" s="9" t="str">
        <f>VLOOKUP(B35,'FML March 2026'!E:F,2,false)</f>
        <v>HEAVENLY ORGANICS, 100% RAW ACACIA HONEY ORGANIC</v>
      </c>
      <c r="D35" s="9" t="str">
        <f>VLOOKUP(B35,'Unit of Measure ship March 2026'!A:C,3,false)</f>
        <v>PC/13OZ</v>
      </c>
      <c r="F35" s="17">
        <v>15308.0</v>
      </c>
      <c r="G35" s="9" t="str">
        <f>VLOOKUP(F35,'FML March 2026'!E:F,2,false)</f>
        <v>PASSION FRUIT 28-32 CT. 10#</v>
      </c>
      <c r="H35" s="9" t="str">
        <f>VLOOKUP(F35,'Unit of Measure ship March 2026'!A:C,3,false)</f>
        <v>LBS</v>
      </c>
      <c r="J35" s="149"/>
      <c r="K35" s="9"/>
      <c r="L35" s="9"/>
      <c r="N35" s="49"/>
      <c r="O35" s="9"/>
      <c r="P35" s="9"/>
    </row>
    <row r="36" ht="14.25" customHeight="1">
      <c r="B36" s="17">
        <v>15658.0</v>
      </c>
      <c r="C36" s="9" t="str">
        <f>VLOOKUP(B36,'FML March 2026'!E:F,2,false)</f>
        <v>HONEY 6/5 LB GROEB/MELONIA/SWEET HARVEST</v>
      </c>
      <c r="D36" s="9" t="str">
        <f>VLOOKUP(B36,'Unit of Measure ship March 2026'!A:C,3,false)</f>
        <v>KG</v>
      </c>
      <c r="F36" s="8">
        <v>112615.0</v>
      </c>
      <c r="G36" s="9" t="str">
        <f>VLOOKUP(F36,'FML March 2026'!E:F,2,false)</f>
        <v>PEPPER JALAPENO RED FRESH</v>
      </c>
      <c r="H36" s="9" t="str">
        <f>VLOOKUP(F36,'Unit of Measure ship March 2026'!A:C,3,false)</f>
        <v>LBS</v>
      </c>
      <c r="J36" s="149"/>
      <c r="K36" s="9"/>
      <c r="L36" s="9"/>
      <c r="N36" s="49"/>
      <c r="O36" s="9"/>
      <c r="P36" s="9"/>
    </row>
    <row r="37" ht="14.25" customHeight="1">
      <c r="B37" s="8">
        <v>109680.0</v>
      </c>
      <c r="C37" s="9" t="str">
        <f>VLOOKUP(B37,'FML March 2026'!E:F,2,false)</f>
        <v>HOT SAUCE CHOLULAS</v>
      </c>
      <c r="D37" s="9" t="str">
        <f>VLOOKUP(B37,'Unit of Measure ship March 2026'!A:C,3,false)</f>
        <v>BTL/6OZ</v>
      </c>
      <c r="F37" s="17">
        <v>15501.0</v>
      </c>
      <c r="G37" s="9" t="str">
        <f>VLOOKUP(F37,'FML March 2026'!E:F,2,false)</f>
        <v>PEPPERS GREEN, MEDIUM, CHOICE, 88-100 MM</v>
      </c>
      <c r="H37" s="9" t="str">
        <f>VLOOKUP(F37,'Unit of Measure ship March 2026'!A:C,3,false)</f>
        <v>LBS</v>
      </c>
      <c r="J37" s="149"/>
      <c r="K37" s="9"/>
      <c r="L37" s="9"/>
      <c r="N37" s="49"/>
      <c r="O37" s="9"/>
      <c r="P37" s="9"/>
    </row>
    <row r="38" ht="14.25" customHeight="1">
      <c r="B38" s="17">
        <v>15896.0</v>
      </c>
      <c r="C38" s="9" t="str">
        <f>VLOOKUP(B38,'FML March 2026'!E:F,2,false)</f>
        <v>MACADAMIA NUTS RAW UNSALTED</v>
      </c>
      <c r="D38" s="9" t="str">
        <f>VLOOKUP(B38,'Unit of Measure ship March 2026'!A:C,3,false)</f>
        <v>LBS</v>
      </c>
      <c r="F38" s="17">
        <v>15504.0</v>
      </c>
      <c r="G38" s="9" t="str">
        <f>VLOOKUP(F38,'FML March 2026'!E:F,2,false)</f>
        <v>PEPPERS HOT, JALAPENOS 10#</v>
      </c>
      <c r="H38" s="9" t="str">
        <f>VLOOKUP(F38,'Unit of Measure ship March 2026'!A:C,3,false)</f>
        <v>LBS</v>
      </c>
      <c r="J38" s="149"/>
      <c r="K38" s="9"/>
      <c r="L38" s="9"/>
      <c r="N38" s="49"/>
      <c r="O38" s="9"/>
      <c r="P38" s="9"/>
    </row>
    <row r="39" ht="14.25" customHeight="1">
      <c r="B39" s="17">
        <v>109667.0</v>
      </c>
      <c r="C39" s="9" t="str">
        <f>VLOOKUP(B39,'FML March 2026'!E:F,2,false)</f>
        <v>MAYONNAISE, UNILEVER - HELLMANN'S, 4800126530, DRY, 4/1 GAL</v>
      </c>
      <c r="D39" s="9" t="str">
        <f>VLOOKUP(B39,'Unit of Measure ship March 2026'!A:C,3,false)</f>
        <v>GAL</v>
      </c>
      <c r="F39" s="17">
        <v>15502.0</v>
      </c>
      <c r="G39" s="9" t="str">
        <f>VLOOKUP(F39,'FML March 2026'!E:F,2,false)</f>
        <v>PEPPERS RED, MEDIUM, 88-100 MM</v>
      </c>
      <c r="H39" s="9" t="str">
        <f>VLOOKUP(F39,'Unit of Measure ship March 2026'!A:C,3,false)</f>
        <v>LBS</v>
      </c>
      <c r="J39" s="149"/>
      <c r="K39" s="9"/>
      <c r="L39" s="9"/>
      <c r="N39" s="49"/>
      <c r="O39" s="9"/>
      <c r="P39" s="9"/>
    </row>
    <row r="40" ht="14.25" customHeight="1">
      <c r="B40" s="17">
        <v>16948.0</v>
      </c>
      <c r="C40" s="9" t="str">
        <f>VLOOKUP(B40,'FML March 2026'!E:F,2,false)</f>
        <v>MISO PASTE WHITE, TUB</v>
      </c>
      <c r="D40" s="9" t="str">
        <f>VLOOKUP(B40,'Unit of Measure ship March 2026'!A:C,3,false)</f>
        <v>PC/2.2LB</v>
      </c>
      <c r="F40" s="17">
        <v>15577.0</v>
      </c>
      <c r="G40" s="9" t="str">
        <f>VLOOKUP(F40,'FML March 2026'!E:F,2,false)</f>
        <v>PEPPERS YELLOW, MEDIUM, 88-100 MM</v>
      </c>
      <c r="H40" s="9" t="str">
        <f>VLOOKUP(F40,'Unit of Measure ship March 2026'!A:C,3,false)</f>
        <v>LBS</v>
      </c>
      <c r="J40" s="149"/>
      <c r="K40" s="9"/>
      <c r="L40" s="9"/>
      <c r="N40" s="49"/>
      <c r="O40" s="9"/>
      <c r="P40" s="9"/>
    </row>
    <row r="41" ht="14.25" customHeight="1">
      <c r="B41" s="17">
        <v>106293.0</v>
      </c>
      <c r="C41" s="9" t="str">
        <f>VLOOKUP(B41,'FML March 2026'!E:F,2,false)</f>
        <v>MOJO MARINADE LIQUID BADIA 1 GALLON</v>
      </c>
      <c r="D41" s="9" t="str">
        <f>VLOOKUP(B41,'Unit of Measure ship March 2026'!A:C,3,false)</f>
        <v>GAL</v>
      </c>
      <c r="F41" s="17">
        <v>33604.0</v>
      </c>
      <c r="G41" s="9" t="str">
        <f>VLOOKUP(F41,'FML March 2026'!E:F,2,false)</f>
        <v>PEPPERS, POBLANO CHILI #</v>
      </c>
      <c r="H41" s="9" t="str">
        <f>VLOOKUP(F41,'Unit of Measure ship March 2026'!A:C,3,false)</f>
        <v>LBS</v>
      </c>
      <c r="J41" s="149"/>
      <c r="K41" s="9"/>
      <c r="L41" s="9"/>
      <c r="N41" s="49"/>
      <c r="O41" s="9"/>
      <c r="P41" s="9"/>
    </row>
    <row r="42" ht="14.25" customHeight="1">
      <c r="B42" s="17">
        <v>16426.0</v>
      </c>
      <c r="C42" s="9" t="str">
        <f>VLOOKUP(B42,'FML March 2026'!E:F,2,false)</f>
        <v>MUSTARD  TUB GREY POUPON - DIJON MUSTARD PLAIN (FRANCE)</v>
      </c>
      <c r="D42" s="9" t="str">
        <f>VLOOKUP(B42,'Unit of Measure ship March 2026'!A:C,3,false)</f>
        <v>JAR/48OZ</v>
      </c>
      <c r="F42" s="17">
        <v>108577.0</v>
      </c>
      <c r="G42" s="9" t="str">
        <f>VLOOKUP(F42,'FML March 2026'!E:F,2,false)</f>
        <v>PINEAPPLES, CROWNLESS, GOLD, FRESH</v>
      </c>
      <c r="H42" s="9" t="str">
        <f>VLOOKUP(F42,'Unit of Measure ship March 2026'!A:C,3,false)</f>
        <v>LBS</v>
      </c>
      <c r="J42" s="149"/>
      <c r="K42" s="9"/>
      <c r="L42" s="9"/>
      <c r="N42" s="49"/>
      <c r="O42" s="9"/>
      <c r="P42" s="9"/>
    </row>
    <row r="43" ht="14.25" customHeight="1">
      <c r="B43" s="8">
        <v>16320.0</v>
      </c>
      <c r="C43" s="9" t="str">
        <f>VLOOKUP(B43,'FML March 2026'!E:F,2,false)</f>
        <v>MUSTARD SEED 24 OZ D`ALLESANDRO/ SPICECO</v>
      </c>
      <c r="D43" s="9" t="str">
        <f>VLOOKUP(B43,'Unit of Measure ship March 2026'!A:C,3,false)</f>
        <v>LBS</v>
      </c>
      <c r="F43" s="17">
        <v>110065.0</v>
      </c>
      <c r="G43" s="9" t="str">
        <f>VLOOKUP(F43,'FML March 2026'!E:F,2,false)</f>
        <v>RADISH WATERMELON</v>
      </c>
      <c r="H43" s="9" t="str">
        <f>VLOOKUP(F43,'Unit of Measure ship March 2026'!A:C,3,false)</f>
        <v>LBS</v>
      </c>
      <c r="J43" s="149"/>
      <c r="K43" s="9"/>
      <c r="L43" s="9"/>
      <c r="N43" s="49"/>
      <c r="O43" s="9"/>
      <c r="P43" s="9"/>
    </row>
    <row r="44" ht="14.25" customHeight="1">
      <c r="B44" s="17">
        <v>16266.0</v>
      </c>
      <c r="C44" s="9" t="str">
        <f>VLOOKUP(B44,'FML March 2026'!E:F,2,false)</f>
        <v>NUTMEG GROUND D`ALLESANDRO/ SPICECO (USA)</v>
      </c>
      <c r="D44" s="9" t="str">
        <f>VLOOKUP(B44,'Unit of Measure ship March 2026'!A:C,3,false)</f>
        <v>UNIT/1LB</v>
      </c>
      <c r="F44" s="17">
        <v>15518.0</v>
      </c>
      <c r="G44" s="9" t="str">
        <f>VLOOKUP(F44,'FML March 2026'!E:F,2,false)</f>
        <v>RADISHES, FRESH, BULK 40#</v>
      </c>
      <c r="H44" s="9" t="str">
        <f>VLOOKUP(F44,'Unit of Measure ship March 2026'!A:C,3,false)</f>
        <v>LBS</v>
      </c>
      <c r="J44" s="149"/>
      <c r="K44" s="9"/>
      <c r="L44" s="9"/>
      <c r="N44" s="49"/>
      <c r="O44" s="9"/>
      <c r="P44" s="9"/>
    </row>
    <row r="45" ht="14.25" customHeight="1">
      <c r="B45" s="17">
        <v>52602.0</v>
      </c>
      <c r="C45" s="9" t="str">
        <f>VLOOKUP(B45,'FML March 2026'!E:F,2,false)</f>
        <v>OIL, 100% OLIVE, EXTRA VIRGIN, DRY, 4/5 LT</v>
      </c>
      <c r="D45" s="9" t="str">
        <f>VLOOKUP(B45,'Unit of Measure ship March 2026'!A:C,3,false)</f>
        <v>LT</v>
      </c>
      <c r="F45" s="17">
        <v>15427.0</v>
      </c>
      <c r="G45" s="9" t="str">
        <f>VLOOKUP(F45,'FML March 2026'!E:F,2,false)</f>
        <v>ROSEMARY (12 BUNCH) 1 LB/CS</v>
      </c>
      <c r="H45" s="9" t="str">
        <f>VLOOKUP(F45,'Unit of Measure ship March 2026'!A:C,3,false)</f>
        <v>LBS</v>
      </c>
      <c r="J45" s="149"/>
      <c r="K45" s="9"/>
      <c r="L45" s="9"/>
      <c r="N45" s="49"/>
      <c r="O45" s="9"/>
      <c r="P45" s="9"/>
    </row>
    <row r="46" ht="14.25" customHeight="1">
      <c r="B46" s="17">
        <v>16377.0</v>
      </c>
      <c r="C46" s="9" t="str">
        <f>VLOOKUP(B46,'FML March 2026'!E:F,2,false)</f>
        <v>OIL, 100% VEGETABLE SOYBEAN, DRY, 4/5 LT</v>
      </c>
      <c r="D46" s="9" t="str">
        <f>VLOOKUP(B46,'Unit of Measure ship March 2026'!A:C,3,false)</f>
        <v>C4/5LT</v>
      </c>
      <c r="F46" s="17">
        <v>24185.0</v>
      </c>
      <c r="G46" s="9" t="str">
        <f>VLOOKUP(F46,'FML March 2026'!E:F,2,false)</f>
        <v>SCALLIONS FRESH - ICELESS</v>
      </c>
      <c r="H46" s="9" t="str">
        <f>VLOOKUP(F46,'Unit of Measure ship March 2026'!A:C,3,false)</f>
        <v>LBS</v>
      </c>
      <c r="J46" s="149"/>
      <c r="K46" s="9"/>
      <c r="L46" s="9"/>
      <c r="N46" s="49"/>
      <c r="O46" s="9"/>
      <c r="P46" s="9"/>
    </row>
    <row r="47" ht="14.25" customHeight="1">
      <c r="B47" s="17">
        <v>52603.0</v>
      </c>
      <c r="C47" s="9" t="str">
        <f>VLOOKUP(B47,'FML March 2026'!E:F,2,false)</f>
        <v>OLIVE/CANOLA BLEND OIL</v>
      </c>
      <c r="D47" s="9" t="str">
        <f>VLOOKUP(B47,'Unit of Measure ship March 2026'!A:C,3,false)</f>
        <v>LT</v>
      </c>
      <c r="F47" s="17">
        <v>15522.0</v>
      </c>
      <c r="G47" s="9" t="str">
        <f>VLOOKUP(F47,'FML March 2026'!E:F,2,false)</f>
        <v>SHALLOTS CLOVES #1 FRESH 5#</v>
      </c>
      <c r="H47" s="9" t="str">
        <f>VLOOKUP(F47,'Unit of Measure ship March 2026'!A:C,3,false)</f>
        <v>LBS</v>
      </c>
      <c r="J47" s="149"/>
      <c r="K47" s="9"/>
      <c r="L47" s="9"/>
      <c r="N47" s="49"/>
      <c r="O47" s="9"/>
      <c r="P47" s="9"/>
    </row>
    <row r="48" ht="14.25" customHeight="1">
      <c r="B48" s="8">
        <v>111123.0</v>
      </c>
      <c r="C48" s="9" t="str">
        <f>VLOOKUP(B48,'FML March 2026'!E:F,2,false)</f>
        <v>OLIVES  PITTED CASTELVETRANO</v>
      </c>
      <c r="D48" s="9" t="str">
        <f>VLOOKUP(B48,'Unit of Measure ship March 2026'!A:C,3,false)</f>
        <v>LBS</v>
      </c>
      <c r="F48" s="17">
        <v>15528.0</v>
      </c>
      <c r="G48" s="9" t="str">
        <f>VLOOKUP(F48,'FML March 2026'!E:F,2,false)</f>
        <v>SQUASH BUTTERNUT 40#</v>
      </c>
      <c r="H48" s="9" t="str">
        <f>VLOOKUP(F48,'Unit of Measure ship March 2026'!A:C,3,false)</f>
        <v>LBS</v>
      </c>
      <c r="J48" s="149"/>
      <c r="K48" s="9"/>
      <c r="L48" s="9"/>
      <c r="N48" s="49"/>
      <c r="O48" s="9"/>
      <c r="P48" s="9"/>
    </row>
    <row r="49" ht="14.25" customHeight="1">
      <c r="B49" s="17">
        <v>106302.0</v>
      </c>
      <c r="C49" s="9" t="str">
        <f>VLOOKUP(B49,'FML March 2026'!E:F,2,false)</f>
        <v>OREGANO MEXICAN DRY CS1/LBS TERRA SPICE</v>
      </c>
      <c r="D49" s="9" t="str">
        <f>VLOOKUP(B49,'Unit of Measure ship March 2026'!A:C,3,false)</f>
        <v>OZ</v>
      </c>
      <c r="F49" s="17">
        <v>15323.0</v>
      </c>
      <c r="G49" s="9" t="str">
        <f>VLOOKUP(F49,'FML March 2026'!E:F,2,false)</f>
        <v>STAR FRUIT 16-30 CT. 7#</v>
      </c>
      <c r="H49" s="9" t="str">
        <f>VLOOKUP(F49,'Unit of Measure ship March 2026'!A:C,3,false)</f>
        <v>LBS</v>
      </c>
      <c r="K49" s="9"/>
      <c r="L49" s="9"/>
      <c r="O49" s="9"/>
      <c r="P49" s="9"/>
    </row>
    <row r="50" ht="14.25" customHeight="1">
      <c r="B50" s="17">
        <v>11263.0</v>
      </c>
      <c r="C50" s="9" t="str">
        <f>VLOOKUP(B50,'FML March 2026'!E:F,2,false)</f>
        <v>PALM SUGAR PURE THAILAND DUN G JONG/ TASTY JOY (THAILAND)</v>
      </c>
      <c r="D50" s="9" t="str">
        <f>VLOOKUP(B50,'Unit of Measure ship March 2026'!A:C,3,false)</f>
        <v>LBS</v>
      </c>
      <c r="F50" s="17">
        <v>109755.0</v>
      </c>
      <c r="G50" s="9" t="str">
        <f>VLOOKUP(F50,'FML March 2026'!E:F,2,false)</f>
        <v>SWEET POTATOES PURPLE YAM OR UBE</v>
      </c>
      <c r="H50" s="9" t="str">
        <f>VLOOKUP(F50,'Unit of Measure ship March 2026'!A:C,3,false)</f>
        <v>LBS</v>
      </c>
      <c r="K50" s="9"/>
      <c r="L50" s="9"/>
      <c r="O50" s="9"/>
      <c r="P50" s="9"/>
    </row>
    <row r="51" ht="14.25" customHeight="1">
      <c r="B51" s="8">
        <v>109697.0</v>
      </c>
      <c r="C51" s="9" t="str">
        <f>VLOOKUP(B51,'FML March 2026'!E:F,2,false)</f>
        <v>PAPRIKA SMOKED PKG 26.46  OZ LA CHINATA</v>
      </c>
      <c r="D51" s="9" t="str">
        <f>VLOOKUP(B51,'Unit of Measure ship March 2026'!A:C,3,false)</f>
        <v>KG</v>
      </c>
      <c r="F51" s="17">
        <v>15446.0</v>
      </c>
      <c r="G51" s="9" t="str">
        <f>VLOOKUP(F51,'FML March 2026'!E:F,2,false)</f>
        <v>THYME FRESH</v>
      </c>
      <c r="H51" s="9" t="str">
        <f>VLOOKUP(F51,'Unit of Measure ship March 2026'!A:C,3,false)</f>
        <v>LBS</v>
      </c>
      <c r="K51" s="9"/>
      <c r="L51" s="9"/>
      <c r="O51" s="9"/>
      <c r="P51" s="9"/>
    </row>
    <row r="52" ht="14.25" customHeight="1">
      <c r="B52" s="8">
        <v>112723.0</v>
      </c>
      <c r="C52" s="9" t="str">
        <f>VLOOKUP(B52,'FML March 2026'!E:F,2,false)</f>
        <v>PARSLEY FLAKES DRIED CS6/3 OZ BADIA</v>
      </c>
      <c r="D52" s="9" t="str">
        <f>VLOOKUP(B52,'Unit of Measure ship March 2026'!A:C,3,false)</f>
        <v>PK2/OZ</v>
      </c>
      <c r="F52" s="8">
        <v>15537.0</v>
      </c>
      <c r="G52" s="9" t="str">
        <f>VLOOKUP(F52,'FML March 2026'!E:F,2,false)</f>
        <v>TOMATOES 6X6 #1 18# RED RIPE, FIRM (LAYERED), 55-65 MM</v>
      </c>
      <c r="H52" s="9" t="str">
        <f>VLOOKUP(F52,'Unit of Measure ship March 2026'!A:C,3,false)</f>
        <v>LBS</v>
      </c>
      <c r="K52" s="9"/>
      <c r="L52" s="9"/>
      <c r="O52" s="9"/>
      <c r="P52" s="9"/>
    </row>
    <row r="53" ht="14.25" customHeight="1">
      <c r="B53" s="17">
        <v>16598.0</v>
      </c>
      <c r="C53" s="9" t="str">
        <f>VLOOKUP(B53,'FML March 2026'!E:F,2,false)</f>
        <v>PEAS PIGEON CANNED CS24/15 OZ VV</v>
      </c>
      <c r="D53" s="9" t="str">
        <f>VLOOKUP(B53,'Unit of Measure ship March 2026'!A:C,3,false)</f>
        <v>LBS</v>
      </c>
      <c r="F53" s="17">
        <v>15534.0</v>
      </c>
      <c r="G53" s="9" t="str">
        <f>VLOOKUP(F53,'FML March 2026'!E:F,2,false)</f>
        <v>TOMATOES CHERRY #1 (GRAPE) 10 PINK, RED, FIRM SMALL</v>
      </c>
      <c r="H53" s="9" t="str">
        <f>VLOOKUP(F53,'Unit of Measure ship March 2026'!A:C,3,false)</f>
        <v>LBS</v>
      </c>
      <c r="K53" s="9"/>
      <c r="L53" s="9"/>
      <c r="O53" s="9"/>
      <c r="P53" s="9"/>
    </row>
    <row r="54" ht="14.25" customHeight="1">
      <c r="B54" s="17">
        <v>33681.0</v>
      </c>
      <c r="C54" s="9" t="str">
        <f>VLOOKUP(B54,'FML March 2026'!E:F,2,false)</f>
        <v>PEPPER BLACK GROUND BADIA (USA )</v>
      </c>
      <c r="D54" s="9" t="str">
        <f>VLOOKUP(B54,'Unit of Measure ship March 2026'!A:C,3,false)</f>
        <v>LBS</v>
      </c>
      <c r="F54" s="17">
        <v>102794.0</v>
      </c>
      <c r="G54" s="9" t="str">
        <f>VLOOKUP(F54,'FML March 2026'!E:F,2,false)</f>
        <v>TURMERIC FRESH</v>
      </c>
      <c r="H54" s="9" t="str">
        <f>VLOOKUP(F54,'Unit of Measure ship March 2026'!A:C,3,false)</f>
        <v>LBS</v>
      </c>
      <c r="K54" s="9"/>
      <c r="L54" s="9"/>
      <c r="O54" s="9"/>
      <c r="P54" s="9"/>
    </row>
    <row r="55" ht="14.25" customHeight="1">
      <c r="B55" s="17">
        <v>16302.0</v>
      </c>
      <c r="C55" s="9" t="str">
        <f>VLOOKUP(B55,'FML March 2026'!E:F,2,false)</f>
        <v>PEPPER CAYENNE GROUND BADIA (USA )</v>
      </c>
      <c r="D55" s="9" t="str">
        <f>VLOOKUP(B55,'Unit of Measure ship March 2026'!A:C,3,false)</f>
        <v>LBS</v>
      </c>
      <c r="F55" s="17">
        <v>15425.0</v>
      </c>
      <c r="G55" s="9" t="str">
        <f>VLOOKUP(F55,'FML March 2026'!E:F,2,false)</f>
        <v>WATERMELONS SEEDLESS 4CT/6C 32#</v>
      </c>
      <c r="H55" s="9" t="str">
        <f>VLOOKUP(F55,'Unit of Measure ship March 2026'!A:C,3,false)</f>
        <v>LBS</v>
      </c>
      <c r="K55" s="9"/>
      <c r="L55" s="9"/>
      <c r="O55" s="9"/>
      <c r="P55" s="9"/>
    </row>
    <row r="56" ht="14.25" customHeight="1">
      <c r="B56" s="17">
        <v>16285.0</v>
      </c>
      <c r="C56" s="9" t="str">
        <f>VLOOKUP(B56,'FML March 2026'!E:F,2,false)</f>
        <v>PEPPERCORN, BLACK, WHOLE, DRY, 6/420 G</v>
      </c>
      <c r="D56" s="9" t="str">
        <f>VLOOKUP(B56,'Unit of Measure ship March 2026'!A:C,3,false)</f>
        <v>LBS</v>
      </c>
      <c r="F56" s="8"/>
      <c r="G56" s="9"/>
      <c r="H56" s="9"/>
      <c r="K56" s="9"/>
      <c r="L56" s="9"/>
      <c r="O56" s="9"/>
      <c r="P56" s="9"/>
    </row>
    <row r="57" ht="14.25" customHeight="1">
      <c r="B57" s="8">
        <v>109709.0</v>
      </c>
      <c r="C57" s="9" t="str">
        <f>VLOOKUP(B57,'FML March 2026'!E:F,2,false)</f>
        <v>PIERRE POIVRE PEPPER (LA BOITE A EPICE BRAND)</v>
      </c>
      <c r="D57" s="9" t="str">
        <f>VLOOKUP(B57,'Unit of Measure ship March 2026'!A:C,3,false)</f>
        <v>UNT/16OZ</v>
      </c>
      <c r="G57" s="9"/>
      <c r="H57" s="9"/>
      <c r="K57" s="9"/>
      <c r="L57" s="9"/>
      <c r="O57" s="9"/>
      <c r="P57" s="9"/>
    </row>
    <row r="58" ht="14.25" customHeight="1">
      <c r="B58" s="8">
        <v>53666.0</v>
      </c>
      <c r="C58" s="9" t="str">
        <f>VLOOKUP(B58,'FML March 2026'!E:F,2,false)</f>
        <v>PIQUILLO PIMIENTOS WHOLE ROASTED &amp; PEELED 6/#10</v>
      </c>
      <c r="D58" s="9" t="str">
        <f>VLOOKUP(B58,'Unit of Measure ship March 2026'!A:C,3,false)</f>
        <v>CAN/3KG</v>
      </c>
      <c r="G58" s="9"/>
      <c r="H58" s="9"/>
      <c r="K58" s="9"/>
      <c r="L58" s="9"/>
      <c r="O58" s="9"/>
      <c r="P58" s="9"/>
    </row>
    <row r="59" ht="14.25" customHeight="1">
      <c r="B59" s="17">
        <v>106306.0</v>
      </c>
      <c r="C59" s="9" t="str">
        <f>VLOOKUP(B59,'FML March 2026'!E:F,2,false)</f>
        <v>PLANTAIN SLICES IQF READY TO COOK (PUERTO RICO)</v>
      </c>
      <c r="D59" s="9" t="str">
        <f>VLOOKUP(B59,'Unit of Measure ship March 2026'!A:C,3,false)</f>
        <v>LBS</v>
      </c>
      <c r="G59" s="9"/>
      <c r="H59" s="9"/>
      <c r="K59" s="9"/>
      <c r="L59" s="9"/>
      <c r="O59" s="9"/>
      <c r="P59" s="9"/>
    </row>
    <row r="60" ht="14.25" customHeight="1">
      <c r="B60" s="17">
        <v>15897.0</v>
      </c>
      <c r="C60" s="9" t="str">
        <f>VLOOKUP(B60,'FML March 2026'!E:F,2,false)</f>
        <v>PUMPKIN SEEDS WHOLE SHELLED RAW 10 LB HIALEAH/ D`ALLESANDRO</v>
      </c>
      <c r="D60" s="9" t="str">
        <f>VLOOKUP(B60,'Unit of Measure ship March 2026'!A:C,3,false)</f>
        <v>LBS</v>
      </c>
      <c r="G60" s="9"/>
      <c r="H60" s="9"/>
      <c r="K60" s="9"/>
      <c r="L60" s="9"/>
      <c r="O60" s="9"/>
      <c r="P60" s="9"/>
    </row>
    <row r="61" ht="14.25" customHeight="1">
      <c r="B61" s="8">
        <v>38014.0</v>
      </c>
      <c r="C61" s="9" t="str">
        <f>VLOOKUP(B61,'FML March 2026'!E:F,2,false)</f>
        <v>RICE, BASMATI, FULL GRAIN, AGED, DRY, 1/40 LB</v>
      </c>
      <c r="D61" s="9" t="str">
        <f>VLOOKUP(B61,'Unit of Measure ship March 2026'!A:C,3,false)</f>
        <v>LBS</v>
      </c>
      <c r="G61" s="9"/>
      <c r="H61" s="9"/>
      <c r="K61" s="9"/>
      <c r="L61" s="9"/>
      <c r="N61" s="149"/>
      <c r="O61" s="9"/>
      <c r="P61" s="9"/>
    </row>
    <row r="62" ht="14.25" customHeight="1">
      <c r="B62" s="8">
        <v>142891.0</v>
      </c>
      <c r="C62" s="9" t="str">
        <f>VLOOKUP(B62,'FML March 2026'!E:F,2,false)</f>
        <v>SALT CURING PRAGUE #1 2.5 LB HOOSIER HILL</v>
      </c>
      <c r="D62" s="9" t="str">
        <f>VLOOKUP(B62,'Unit of Measure ship March 2026'!A:C,3,false)</f>
        <v>LBS</v>
      </c>
      <c r="G62" s="9"/>
      <c r="H62" s="9"/>
      <c r="K62" s="9"/>
      <c r="L62" s="9"/>
      <c r="N62" s="149"/>
      <c r="O62" s="9"/>
      <c r="P62" s="9"/>
    </row>
    <row r="63" ht="14.25" customHeight="1">
      <c r="B63" s="17">
        <v>16307.0</v>
      </c>
      <c r="C63" s="9" t="str">
        <f>VLOOKUP(B63,'FML March 2026'!E:F,2,false)</f>
        <v>SALT KOSHER GRANULATED</v>
      </c>
      <c r="D63" s="9" t="str">
        <f>VLOOKUP(B63,'Unit of Measure ship March 2026'!A:C,3,false)</f>
        <v>LBS</v>
      </c>
      <c r="G63" s="9"/>
      <c r="H63" s="9"/>
      <c r="K63" s="9"/>
      <c r="L63" s="9"/>
      <c r="N63" s="149"/>
      <c r="O63" s="9"/>
      <c r="P63" s="9"/>
    </row>
    <row r="64" ht="14.25" customHeight="1">
      <c r="B64" s="17">
        <v>20880.0</v>
      </c>
      <c r="C64" s="9" t="str">
        <f>VLOOKUP(B64,'FML March 2026'!E:F,2,false)</f>
        <v>SALT SEA MALDON</v>
      </c>
      <c r="D64" s="9" t="str">
        <f>VLOOKUP(B64,'Unit of Measure ship March 2026'!A:C,3,false)</f>
        <v>LBS</v>
      </c>
      <c r="G64" s="9"/>
      <c r="H64" s="9"/>
      <c r="K64" s="9"/>
      <c r="L64" s="9"/>
      <c r="N64" s="149"/>
      <c r="O64" s="9"/>
      <c r="P64" s="9"/>
    </row>
    <row r="65" ht="14.25" customHeight="1">
      <c r="B65" s="17">
        <v>111110.0</v>
      </c>
      <c r="C65" s="9" t="str">
        <f>VLOOKUP(B65,'FML March 2026'!E:F,2,false)</f>
        <v>SUGAR  ORGANIC CANE  CS 6/4LB CHUNG JUNG ONE BRAND</v>
      </c>
      <c r="D65" s="9" t="str">
        <f>VLOOKUP(B65,'Unit of Measure ship March 2026'!A:C,3,false)</f>
        <v>LBS</v>
      </c>
      <c r="G65" s="9"/>
      <c r="H65" s="9"/>
      <c r="K65" s="9"/>
      <c r="L65" s="9"/>
      <c r="N65" s="149"/>
      <c r="O65" s="9"/>
      <c r="P65" s="9"/>
    </row>
    <row r="66" ht="14.25" customHeight="1">
      <c r="B66" s="17">
        <v>15646.0</v>
      </c>
      <c r="C66" s="9" t="str">
        <f>VLOOKUP(B66,'FML March 2026'!E:F,2,false)</f>
        <v>SUGAR BROWN DARK  24/1LB  DOMINO (404310) (USA)</v>
      </c>
      <c r="D66" s="9" t="str">
        <f>VLOOKUP(B66,'Unit of Measure ship March 2026'!A:C,3,false)</f>
        <v>LBS</v>
      </c>
      <c r="G66" s="9"/>
      <c r="H66" s="9"/>
      <c r="K66" s="9"/>
      <c r="L66" s="9"/>
      <c r="N66" s="149"/>
      <c r="O66" s="9"/>
      <c r="P66" s="9"/>
    </row>
    <row r="67" ht="14.25" customHeight="1">
      <c r="B67" s="17">
        <v>100872.0</v>
      </c>
      <c r="C67" s="9" t="str">
        <f>VLOOKUP(B67,'FML March 2026'!E:F,2,false)</f>
        <v>SUGAR BROWN LIGHT 24LB  DOMINO (404309)</v>
      </c>
      <c r="D67" s="9" t="str">
        <f>VLOOKUP(B67,'Unit of Measure ship March 2026'!A:C,3,false)</f>
        <v>LBS</v>
      </c>
      <c r="G67" s="9"/>
      <c r="H67" s="9"/>
      <c r="K67" s="9"/>
      <c r="L67" s="9"/>
      <c r="N67" s="149"/>
      <c r="O67" s="9"/>
      <c r="P67" s="9"/>
    </row>
    <row r="68" ht="14.25" customHeight="1">
      <c r="B68" s="17">
        <v>15642.0</v>
      </c>
      <c r="C68" s="9" t="str">
        <f>VLOOKUP(B68,'FML March 2026'!E:F,2,false)</f>
        <v>SUGAR, GRANULATED, ICUMSA 150, SUGARCANE, DRY, 1/50 LB</v>
      </c>
      <c r="D68" s="9" t="str">
        <f>VLOOKUP(B68,'Unit of Measure ship March 2026'!A:C,3,false)</f>
        <v>LBS</v>
      </c>
      <c r="G68" s="9"/>
      <c r="H68" s="9"/>
      <c r="K68" s="9"/>
      <c r="L68" s="9"/>
      <c r="N68" s="149"/>
      <c r="O68" s="9"/>
      <c r="P68" s="9"/>
    </row>
    <row r="69" ht="14.25" customHeight="1">
      <c r="B69" s="17">
        <v>16939.0</v>
      </c>
      <c r="C69" s="9" t="str">
        <f>VLOOKUP(B69,'FML March 2026'!E:F,2,false)</f>
        <v>TAMARI, GLUTEN FREE SOY SAUCE IH 11/20</v>
      </c>
      <c r="D69" s="9" t="str">
        <f>VLOOKUP(B69,'Unit of Measure ship March 2026'!A:C,3,false)</f>
        <v>PC/10OZ</v>
      </c>
      <c r="G69" s="9"/>
      <c r="H69" s="9"/>
      <c r="K69" s="9"/>
      <c r="L69" s="9"/>
      <c r="N69" s="149"/>
      <c r="O69" s="9"/>
      <c r="P69" s="9"/>
    </row>
    <row r="70" ht="14.25" customHeight="1">
      <c r="B70" s="31">
        <v>143140.0</v>
      </c>
      <c r="C70" s="9" t="str">
        <f>VLOOKUP(B70,'FML March 2026'!E:F,2,false)</f>
        <v>TOMATO, WHOLE, PEELED, IN JUICE, DRY, 6/#10</v>
      </c>
      <c r="D70" s="9" t="str">
        <f>VLOOKUP(B70,'Unit of Measure ship March 2026'!A:C,3,false)</f>
        <v>C6/6.5LB</v>
      </c>
      <c r="G70" s="9"/>
      <c r="H70" s="9"/>
      <c r="K70" s="9"/>
      <c r="L70" s="9"/>
      <c r="N70" s="149"/>
      <c r="O70" s="9"/>
      <c r="P70" s="9"/>
    </row>
    <row r="71" ht="14.25" customHeight="1">
      <c r="B71" s="8">
        <v>109666.0</v>
      </c>
      <c r="C71" s="9" t="str">
        <f>VLOOKUP(B71,'FML March 2026'!E:F,2,false)</f>
        <v>VINEGAR CHAMPAGNE WINE SPARROW LANE/ PACKER</v>
      </c>
      <c r="D71" s="9" t="str">
        <f>VLOOKUP(B71,'Unit of Measure ship March 2026'!A:C,3,false)</f>
        <v>GAL</v>
      </c>
      <c r="G71" s="9"/>
      <c r="H71" s="9"/>
      <c r="K71" s="9"/>
      <c r="L71" s="9"/>
      <c r="N71" s="149"/>
      <c r="O71" s="9"/>
      <c r="P71" s="9"/>
    </row>
    <row r="72" ht="14.25" customHeight="1">
      <c r="B72" s="8">
        <v>49450.0</v>
      </c>
      <c r="C72" s="9" t="str">
        <f>VLOOKUP(B72,'FML March 2026'!E:F,2,false)</f>
        <v>WHIPPING CREAM (35% TO 36%) UHT</v>
      </c>
      <c r="D72" s="9" t="str">
        <f>VLOOKUP(B72,'Unit of Measure ship March 2026'!A:C,3,false)</f>
        <v>QRT</v>
      </c>
      <c r="G72" s="9"/>
      <c r="H72" s="9"/>
      <c r="K72" s="9"/>
      <c r="L72" s="9"/>
      <c r="N72" s="149"/>
      <c r="O72" s="9"/>
      <c r="P72" s="9"/>
    </row>
    <row r="73" ht="14.25" customHeight="1">
      <c r="B73" s="17">
        <v>142926.0</v>
      </c>
      <c r="C73" s="9" t="str">
        <f>VLOOKUP(B73,'FML March 2026'!E:F,2,false)</f>
        <v>YUCCA FRIES THIN CUT FROZEN TIO JORGE</v>
      </c>
      <c r="D73" s="35" t="s">
        <v>42</v>
      </c>
      <c r="G73" s="9"/>
      <c r="H73" s="9"/>
      <c r="K73" s="9"/>
      <c r="L73" s="9"/>
      <c r="N73" s="149"/>
      <c r="O73" s="9"/>
      <c r="P73" s="9"/>
    </row>
    <row r="74" ht="14.25" customHeight="1">
      <c r="B74" s="17">
        <v>19409.0</v>
      </c>
      <c r="C74" s="9" t="str">
        <f>VLOOKUP(B74,'FML March 2026'!E:F,2,false)</f>
        <v>YUZU JUICE PURE UNSEASONED SHIBORI YAKAMI ORCHARD</v>
      </c>
      <c r="D74" s="9" t="str">
        <f>VLOOKUP(B74,'Unit of Measure ship March 2026'!A:C,3,false)</f>
        <v>BT/750ML</v>
      </c>
      <c r="G74" s="9"/>
      <c r="H74" s="9"/>
      <c r="K74" s="9"/>
      <c r="L74" s="9"/>
      <c r="N74" s="149"/>
      <c r="O74" s="9"/>
      <c r="P74" s="9"/>
    </row>
    <row r="75" ht="14.25" customHeight="1">
      <c r="C75" s="9"/>
      <c r="D75" s="9"/>
      <c r="G75" s="9"/>
      <c r="H75" s="9"/>
      <c r="K75" s="9"/>
      <c r="L75" s="9"/>
      <c r="N75" s="149"/>
      <c r="O75" s="9"/>
      <c r="P75" s="9"/>
    </row>
    <row r="76" ht="14.25" customHeight="1">
      <c r="C76" s="9"/>
      <c r="D76" s="9"/>
      <c r="G76" s="9"/>
      <c r="H76" s="9"/>
      <c r="K76" s="9"/>
      <c r="L76" s="9"/>
      <c r="N76" s="149"/>
      <c r="O76" s="9"/>
      <c r="P76" s="9"/>
    </row>
    <row r="77" ht="14.25" customHeight="1">
      <c r="C77" s="9"/>
      <c r="D77" s="9"/>
      <c r="G77" s="9"/>
      <c r="H77" s="9"/>
      <c r="K77" s="9"/>
      <c r="L77" s="9"/>
      <c r="N77" s="149"/>
      <c r="O77" s="9"/>
      <c r="P77" s="9"/>
    </row>
    <row r="78" ht="14.25" customHeight="1">
      <c r="C78" s="9"/>
      <c r="D78" s="9"/>
      <c r="G78" s="9"/>
      <c r="H78" s="9"/>
      <c r="K78" s="9"/>
      <c r="L78" s="9"/>
      <c r="N78" s="149"/>
      <c r="O78" s="9"/>
      <c r="P78" s="9"/>
    </row>
    <row r="79" ht="14.25" customHeight="1">
      <c r="C79" s="9"/>
      <c r="D79" s="9"/>
      <c r="G79" s="9"/>
      <c r="H79" s="9"/>
      <c r="K79" s="9"/>
      <c r="L79" s="9"/>
      <c r="N79" s="149"/>
      <c r="O79" s="9"/>
      <c r="P79" s="9"/>
    </row>
    <row r="80" ht="14.25" customHeight="1">
      <c r="C80" s="9"/>
      <c r="D80" s="9"/>
      <c r="G80" s="9"/>
      <c r="H80" s="9"/>
      <c r="K80" s="9"/>
      <c r="L80" s="9"/>
      <c r="N80" s="149"/>
      <c r="O80" s="9"/>
      <c r="P80" s="9"/>
    </row>
    <row r="81" ht="14.25" customHeight="1">
      <c r="C81" s="9"/>
      <c r="D81" s="9"/>
      <c r="G81" s="9"/>
      <c r="H81" s="9"/>
      <c r="K81" s="9"/>
      <c r="L81" s="9"/>
      <c r="N81" s="149"/>
      <c r="O81" s="9"/>
      <c r="P81" s="9"/>
    </row>
    <row r="82" ht="14.25" customHeight="1">
      <c r="C82" s="9"/>
      <c r="D82" s="9"/>
      <c r="G82" s="9"/>
      <c r="H82" s="9"/>
      <c r="K82" s="9"/>
      <c r="L82" s="9"/>
      <c r="N82" s="149"/>
      <c r="O82" s="9"/>
      <c r="P82" s="9"/>
    </row>
    <row r="83" ht="14.25" customHeight="1">
      <c r="C83" s="9"/>
      <c r="D83" s="9"/>
      <c r="G83" s="9"/>
      <c r="H83" s="9"/>
      <c r="K83" s="9"/>
      <c r="L83" s="9"/>
      <c r="N83" s="149"/>
      <c r="O83" s="9"/>
      <c r="P83" s="9"/>
    </row>
    <row r="84" ht="14.25" customHeight="1">
      <c r="C84" s="9"/>
      <c r="D84" s="9"/>
      <c r="G84" s="9"/>
      <c r="H84" s="9"/>
      <c r="K84" s="9"/>
      <c r="L84" s="9"/>
      <c r="N84" s="149"/>
      <c r="O84" s="9"/>
      <c r="P84" s="9"/>
    </row>
    <row r="85" ht="14.25" customHeight="1">
      <c r="C85" s="9"/>
      <c r="D85" s="9"/>
      <c r="G85" s="9"/>
      <c r="H85" s="9"/>
      <c r="K85" s="9"/>
      <c r="L85" s="9"/>
      <c r="N85" s="149"/>
      <c r="O85" s="9"/>
      <c r="P85" s="9"/>
    </row>
    <row r="86" ht="14.25" customHeight="1">
      <c r="C86" s="9"/>
      <c r="D86" s="9"/>
      <c r="G86" s="9"/>
      <c r="H86" s="9"/>
      <c r="K86" s="9"/>
      <c r="L86" s="9"/>
      <c r="N86" s="149"/>
      <c r="O86" s="9"/>
      <c r="P86" s="9"/>
    </row>
    <row r="87" ht="14.25" customHeight="1">
      <c r="C87" s="9"/>
      <c r="D87" s="9"/>
      <c r="G87" s="9"/>
      <c r="H87" s="9"/>
      <c r="K87" s="9"/>
      <c r="L87" s="9"/>
      <c r="N87" s="149"/>
      <c r="O87" s="9"/>
      <c r="P87" s="9"/>
    </row>
    <row r="88" ht="14.25" customHeight="1">
      <c r="C88" s="9"/>
      <c r="D88" s="9"/>
      <c r="G88" s="9"/>
      <c r="H88" s="9"/>
      <c r="K88" s="9"/>
      <c r="L88" s="9"/>
      <c r="N88" s="149"/>
      <c r="O88" s="9"/>
      <c r="P88" s="9"/>
    </row>
    <row r="89" ht="14.25" customHeight="1">
      <c r="C89" s="9"/>
      <c r="D89" s="9"/>
      <c r="G89" s="9"/>
      <c r="H89" s="9"/>
      <c r="K89" s="9"/>
      <c r="L89" s="9"/>
      <c r="N89" s="149"/>
      <c r="O89" s="9"/>
      <c r="P89" s="9"/>
    </row>
    <row r="90" ht="14.25" customHeight="1">
      <c r="C90" s="9"/>
      <c r="D90" s="9"/>
      <c r="G90" s="9"/>
      <c r="H90" s="9"/>
      <c r="K90" s="9"/>
      <c r="L90" s="9"/>
      <c r="N90" s="149"/>
      <c r="O90" s="9"/>
      <c r="P90" s="9"/>
    </row>
    <row r="91" ht="14.25" customHeight="1">
      <c r="C91" s="9"/>
      <c r="D91" s="9"/>
      <c r="G91" s="9"/>
      <c r="H91" s="9"/>
      <c r="K91" s="9"/>
      <c r="L91" s="9"/>
      <c r="N91" s="149"/>
      <c r="O91" s="9"/>
      <c r="P91" s="9"/>
    </row>
    <row r="92" ht="14.25" customHeight="1">
      <c r="C92" s="9"/>
      <c r="D92" s="9"/>
      <c r="G92" s="9"/>
      <c r="H92" s="9"/>
      <c r="K92" s="9"/>
      <c r="L92" s="9"/>
      <c r="N92" s="149"/>
      <c r="O92" s="9"/>
      <c r="P92" s="9"/>
    </row>
    <row r="93" ht="14.25" customHeight="1">
      <c r="C93" s="9"/>
      <c r="D93" s="9"/>
      <c r="G93" s="9"/>
      <c r="H93" s="9"/>
      <c r="K93" s="9"/>
      <c r="L93" s="9"/>
      <c r="N93" s="149"/>
      <c r="O93" s="9"/>
      <c r="P93" s="9"/>
    </row>
    <row r="94" ht="14.25" customHeight="1">
      <c r="C94" s="9"/>
      <c r="D94" s="9"/>
      <c r="G94" s="9"/>
      <c r="H94" s="9"/>
      <c r="K94" s="9"/>
      <c r="L94" s="9"/>
      <c r="N94" s="149"/>
      <c r="O94" s="9"/>
      <c r="P94" s="9"/>
    </row>
    <row r="95" ht="14.25" customHeight="1">
      <c r="C95" s="9"/>
      <c r="D95" s="9"/>
      <c r="G95" s="9"/>
      <c r="H95" s="9"/>
      <c r="K95" s="9"/>
      <c r="L95" s="9"/>
      <c r="N95" s="149"/>
      <c r="O95" s="9"/>
      <c r="P95" s="9"/>
    </row>
    <row r="96" ht="14.25" customHeight="1">
      <c r="C96" s="9"/>
      <c r="D96" s="9"/>
      <c r="G96" s="9"/>
      <c r="H96" s="9"/>
      <c r="K96" s="9"/>
      <c r="L96" s="9"/>
      <c r="N96" s="149"/>
      <c r="O96" s="9"/>
      <c r="P96" s="9"/>
    </row>
    <row r="97" ht="14.25" customHeight="1">
      <c r="C97" s="9"/>
      <c r="D97" s="9"/>
      <c r="G97" s="9"/>
      <c r="H97" s="9"/>
      <c r="K97" s="9"/>
      <c r="L97" s="9"/>
      <c r="N97" s="149"/>
      <c r="O97" s="9"/>
      <c r="P97" s="9"/>
    </row>
    <row r="98" ht="14.25" customHeight="1">
      <c r="C98" s="9"/>
      <c r="D98" s="9"/>
      <c r="G98" s="9"/>
      <c r="H98" s="9"/>
      <c r="K98" s="9"/>
      <c r="L98" s="9"/>
      <c r="N98" s="149"/>
      <c r="O98" s="9"/>
      <c r="P98" s="9"/>
    </row>
    <row r="99" ht="14.25" customHeight="1">
      <c r="C99" s="9"/>
      <c r="D99" s="9"/>
      <c r="G99" s="9"/>
      <c r="H99" s="9"/>
      <c r="K99" s="9"/>
      <c r="L99" s="9"/>
      <c r="N99" s="149"/>
      <c r="O99" s="9"/>
      <c r="P99" s="9"/>
    </row>
    <row r="100" ht="14.25" customHeight="1">
      <c r="G100" s="9"/>
      <c r="H100" s="9"/>
      <c r="K100" s="9"/>
      <c r="L100" s="9"/>
      <c r="N100" s="149"/>
      <c r="O100" s="9"/>
      <c r="P100" s="9"/>
    </row>
    <row r="101" ht="14.25" customHeight="1">
      <c r="G101" s="9"/>
      <c r="H101" s="9"/>
      <c r="N101" s="149"/>
      <c r="O101" s="9"/>
      <c r="P101" s="9"/>
    </row>
    <row r="102" ht="15.75" customHeight="1">
      <c r="N102" s="149"/>
      <c r="O102" s="9"/>
      <c r="P102" s="9"/>
    </row>
    <row r="103" ht="15.75" customHeight="1">
      <c r="N103" s="149"/>
      <c r="O103" s="9"/>
      <c r="P103" s="9"/>
    </row>
    <row r="104" ht="15.75" customHeight="1">
      <c r="N104" s="149"/>
      <c r="O104" s="9"/>
      <c r="P104" s="9"/>
    </row>
    <row r="105" ht="15.75" customHeight="1">
      <c r="N105" s="149"/>
      <c r="O105" s="9"/>
      <c r="P105" s="9"/>
    </row>
    <row r="106" ht="15.75" customHeight="1">
      <c r="N106" s="149"/>
      <c r="O106" s="9"/>
      <c r="P106" s="9"/>
    </row>
    <row r="107" ht="15.75" customHeight="1">
      <c r="N107" s="149"/>
      <c r="O107" s="9"/>
      <c r="P107" s="9"/>
    </row>
    <row r="108" ht="15.75" customHeight="1">
      <c r="N108" s="149"/>
      <c r="O108" s="9"/>
      <c r="P108" s="9"/>
    </row>
    <row r="109" ht="15.75" customHeight="1">
      <c r="N109" s="149"/>
      <c r="O109" s="9"/>
      <c r="P109" s="9"/>
    </row>
    <row r="110" ht="15.75" customHeight="1">
      <c r="N110" s="149"/>
      <c r="O110" s="9"/>
      <c r="P110" s="9"/>
    </row>
    <row r="111" ht="15.75" customHeight="1">
      <c r="N111" s="149"/>
      <c r="O111" s="9"/>
      <c r="P111" s="9"/>
    </row>
    <row r="112" ht="15.75" customHeight="1">
      <c r="N112" s="149"/>
      <c r="O112" s="9"/>
      <c r="P112" s="9"/>
    </row>
    <row r="113" ht="15.75" customHeight="1">
      <c r="N113" s="149"/>
      <c r="O113" s="9"/>
      <c r="P113" s="9"/>
    </row>
    <row r="114" ht="15.75" customHeight="1">
      <c r="N114" s="149"/>
      <c r="O114" s="9"/>
      <c r="P114" s="9"/>
    </row>
    <row r="115" ht="15.75" customHeight="1">
      <c r="N115" s="149"/>
      <c r="O115" s="9"/>
      <c r="P115" s="9"/>
    </row>
    <row r="116" ht="15.75" customHeight="1">
      <c r="N116" s="149"/>
      <c r="O116" s="9"/>
      <c r="P116" s="9"/>
    </row>
    <row r="117" ht="15.75" customHeight="1">
      <c r="N117" s="149"/>
      <c r="O117" s="9"/>
      <c r="P117" s="9"/>
    </row>
    <row r="118" ht="15.75" customHeight="1">
      <c r="N118" s="149"/>
      <c r="O118" s="9"/>
      <c r="P118" s="9"/>
    </row>
    <row r="119" ht="15.75" customHeight="1">
      <c r="N119" s="149"/>
      <c r="O119" s="9"/>
      <c r="P119" s="9"/>
    </row>
    <row r="120" ht="15.75" customHeight="1">
      <c r="N120" s="149"/>
      <c r="O120" s="9"/>
      <c r="P120" s="9"/>
    </row>
    <row r="121" ht="15.75" customHeight="1">
      <c r="N121" s="149"/>
      <c r="O121" s="9"/>
      <c r="P121" s="9"/>
    </row>
    <row r="122" ht="15.75" customHeight="1">
      <c r="N122" s="149"/>
      <c r="O122" s="9"/>
      <c r="P122" s="9"/>
    </row>
    <row r="123" ht="15.75" customHeight="1">
      <c r="N123" s="149"/>
      <c r="O123" s="9"/>
      <c r="P123" s="9"/>
    </row>
    <row r="124" ht="15.75" customHeight="1">
      <c r="N124" s="149"/>
      <c r="O124" s="9"/>
      <c r="P124" s="9"/>
    </row>
    <row r="125" ht="15.75" customHeight="1">
      <c r="N125" s="149"/>
      <c r="O125" s="9"/>
      <c r="P125" s="9"/>
    </row>
    <row r="126" ht="15.75" customHeight="1">
      <c r="N126" s="149"/>
      <c r="O126" s="9"/>
      <c r="P126" s="9"/>
    </row>
    <row r="127" ht="15.75" customHeight="1">
      <c r="N127" s="149"/>
      <c r="O127" s="9"/>
      <c r="P127" s="9"/>
    </row>
    <row r="128" ht="15.75" customHeight="1">
      <c r="N128" s="149"/>
      <c r="O128" s="9"/>
      <c r="P128" s="9"/>
    </row>
    <row r="129" ht="15.75" customHeight="1">
      <c r="N129" s="149"/>
      <c r="O129" s="9"/>
      <c r="P129" s="9"/>
    </row>
    <row r="130" ht="15.75" customHeight="1">
      <c r="N130" s="149"/>
      <c r="O130" s="9"/>
      <c r="P130" s="9"/>
    </row>
    <row r="131" ht="15.75" customHeight="1">
      <c r="N131" s="149"/>
      <c r="O131" s="9"/>
      <c r="P131" s="9"/>
    </row>
    <row r="132" ht="15.75" customHeight="1">
      <c r="N132" s="149"/>
      <c r="O132" s="9"/>
      <c r="P132" s="9"/>
    </row>
    <row r="133" ht="15.75" customHeight="1">
      <c r="N133" s="149"/>
      <c r="O133" s="9"/>
      <c r="P133" s="9"/>
    </row>
    <row r="134" ht="15.75" customHeight="1">
      <c r="N134" s="149"/>
      <c r="O134" s="9"/>
      <c r="P134" s="9"/>
    </row>
    <row r="135" ht="15.75" customHeight="1">
      <c r="N135" s="149"/>
      <c r="O135" s="9"/>
      <c r="P135" s="9"/>
    </row>
    <row r="136" ht="15.75" customHeight="1">
      <c r="N136" s="149"/>
      <c r="O136" s="9"/>
      <c r="P136" s="9"/>
    </row>
    <row r="137" ht="15.75" customHeight="1">
      <c r="N137" s="149"/>
      <c r="O137" s="9"/>
      <c r="P137" s="9"/>
    </row>
    <row r="138" ht="15.75" customHeight="1">
      <c r="N138" s="149"/>
      <c r="O138" s="9"/>
      <c r="P138" s="9"/>
    </row>
    <row r="139" ht="15.75" customHeight="1">
      <c r="N139" s="149"/>
      <c r="O139" s="9"/>
      <c r="P139" s="9"/>
    </row>
    <row r="140" ht="15.75" customHeight="1">
      <c r="N140" s="149"/>
      <c r="O140" s="9"/>
      <c r="P140" s="9"/>
    </row>
    <row r="141" ht="15.75" customHeight="1">
      <c r="N141" s="149"/>
      <c r="O141" s="9"/>
      <c r="P141" s="9"/>
    </row>
    <row r="142" ht="15.75" customHeight="1">
      <c r="N142" s="149"/>
      <c r="O142" s="9"/>
      <c r="P142" s="9"/>
    </row>
    <row r="143" ht="15.75" customHeight="1">
      <c r="N143" s="149"/>
      <c r="O143" s="9"/>
      <c r="P143" s="9"/>
    </row>
    <row r="144" ht="15.75" customHeight="1">
      <c r="N144" s="149"/>
      <c r="O144" s="9"/>
      <c r="P144" s="9"/>
    </row>
    <row r="145" ht="15.75" customHeight="1">
      <c r="N145" s="149"/>
      <c r="O145" s="9"/>
      <c r="P145" s="9"/>
    </row>
    <row r="146" ht="15.75" customHeight="1">
      <c r="N146" s="149"/>
      <c r="O146" s="9"/>
    </row>
    <row r="147" ht="15.75" customHeight="1">
      <c r="N147" s="149"/>
      <c r="O147" s="9"/>
    </row>
    <row r="148" ht="15.75" customHeight="1">
      <c r="N148" s="149"/>
      <c r="O148" s="9"/>
    </row>
    <row r="149" ht="15.75" customHeight="1">
      <c r="N149" s="149"/>
      <c r="O149" s="9"/>
    </row>
    <row r="150" ht="15.75" customHeight="1">
      <c r="N150" s="149"/>
      <c r="O150" s="9"/>
    </row>
    <row r="151" ht="15.75" customHeight="1">
      <c r="N151" s="149"/>
      <c r="O151" s="9"/>
    </row>
    <row r="152" ht="15.75" customHeight="1">
      <c r="N152" s="149"/>
      <c r="O152" s="9"/>
    </row>
    <row r="153" ht="15.75" customHeight="1">
      <c r="N153" s="149"/>
      <c r="O153" s="9"/>
    </row>
    <row r="154" ht="15.75" customHeight="1">
      <c r="N154" s="149"/>
      <c r="O154" s="9"/>
    </row>
    <row r="155" ht="15.75" customHeight="1">
      <c r="N155" s="149"/>
      <c r="O155" s="9"/>
    </row>
    <row r="156" ht="15.75" customHeight="1">
      <c r="N156" s="149"/>
      <c r="O156" s="9"/>
    </row>
    <row r="157" ht="15.75" customHeight="1">
      <c r="N157" s="149"/>
      <c r="O157" s="9"/>
    </row>
    <row r="158" ht="15.75" customHeight="1">
      <c r="N158" s="149"/>
      <c r="O158" s="9"/>
    </row>
    <row r="159" ht="15.75" customHeight="1">
      <c r="N159" s="149"/>
      <c r="O159" s="9"/>
    </row>
    <row r="160" ht="15.75" customHeight="1">
      <c r="N160" s="149"/>
      <c r="O160" s="9"/>
    </row>
    <row r="161" ht="15.75" customHeight="1">
      <c r="N161" s="149"/>
      <c r="O161" s="9"/>
    </row>
    <row r="162" ht="15.75" customHeight="1">
      <c r="N162" s="149"/>
      <c r="O162" s="9"/>
    </row>
    <row r="163" ht="15.75" customHeight="1">
      <c r="N163" s="149"/>
      <c r="O163" s="9"/>
    </row>
    <row r="164" ht="15.75" customHeight="1">
      <c r="N164" s="149"/>
      <c r="O164" s="9"/>
    </row>
    <row r="165" ht="15.75" customHeight="1">
      <c r="N165" s="149"/>
      <c r="O165" s="9"/>
    </row>
    <row r="166" ht="15.75" customHeight="1">
      <c r="N166" s="149"/>
      <c r="O166" s="9"/>
    </row>
    <row r="167" ht="15.75" customHeight="1">
      <c r="N167" s="149"/>
      <c r="O167" s="9"/>
    </row>
    <row r="168" ht="15.75" customHeight="1">
      <c r="N168" s="149"/>
      <c r="O168" s="9"/>
    </row>
    <row r="169" ht="15.75" customHeight="1">
      <c r="N169" s="149"/>
      <c r="O169" s="9"/>
    </row>
    <row r="170" ht="15.75" customHeight="1">
      <c r="N170" s="149"/>
      <c r="O170" s="9"/>
    </row>
    <row r="171" ht="15.75" customHeight="1">
      <c r="N171" s="149"/>
      <c r="O171" s="9"/>
    </row>
    <row r="172" ht="15.75" customHeight="1">
      <c r="N172" s="149"/>
      <c r="O172" s="9"/>
    </row>
    <row r="173" ht="15.75" customHeight="1">
      <c r="N173" s="149"/>
      <c r="O173" s="9"/>
    </row>
    <row r="174" ht="15.75" customHeight="1">
      <c r="N174" s="149"/>
      <c r="O174" s="9"/>
    </row>
    <row r="175" ht="15.75" customHeight="1">
      <c r="N175" s="149"/>
      <c r="O175" s="9"/>
    </row>
    <row r="176" ht="15.75" customHeight="1">
      <c r="N176" s="149"/>
      <c r="O176" s="9"/>
    </row>
    <row r="177" ht="15.75" customHeight="1">
      <c r="N177" s="149"/>
      <c r="O177" s="9"/>
    </row>
    <row r="178" ht="15.75" customHeight="1">
      <c r="N178" s="149"/>
      <c r="O178" s="9"/>
    </row>
    <row r="179" ht="15.75" customHeight="1">
      <c r="N179" s="149"/>
      <c r="O179" s="9"/>
    </row>
    <row r="180" ht="15.75" customHeight="1">
      <c r="N180" s="149"/>
      <c r="O180" s="9"/>
    </row>
    <row r="181" ht="15.75" customHeight="1">
      <c r="N181" s="149"/>
      <c r="O181" s="9"/>
    </row>
    <row r="182" ht="15.75" customHeight="1">
      <c r="N182" s="149"/>
      <c r="O182" s="9"/>
    </row>
    <row r="183" ht="15.75" customHeight="1">
      <c r="N183" s="149"/>
      <c r="O183" s="9"/>
    </row>
    <row r="184" ht="15.75" customHeight="1">
      <c r="N184" s="149"/>
      <c r="O184" s="9"/>
    </row>
    <row r="185" ht="15.75" customHeight="1">
      <c r="N185" s="149"/>
      <c r="O185" s="9"/>
    </row>
    <row r="186" ht="15.75" customHeight="1">
      <c r="N186" s="149"/>
      <c r="O186" s="9"/>
    </row>
    <row r="187" ht="15.75" customHeight="1">
      <c r="N187" s="149"/>
      <c r="O187" s="9"/>
    </row>
    <row r="188" ht="15.75" customHeight="1">
      <c r="N188" s="149"/>
      <c r="O188" s="9"/>
    </row>
    <row r="189" ht="15.75" customHeight="1">
      <c r="N189" s="149"/>
      <c r="O189" s="9"/>
    </row>
    <row r="190" ht="15.75" customHeight="1">
      <c r="N190" s="149"/>
      <c r="O190" s="9"/>
    </row>
    <row r="191" ht="15.75" customHeight="1">
      <c r="N191" s="149"/>
      <c r="O191" s="9"/>
    </row>
    <row r="192" ht="15.75" customHeight="1">
      <c r="N192" s="149"/>
      <c r="O192" s="9"/>
    </row>
    <row r="193" ht="15.75" customHeight="1">
      <c r="N193" s="149"/>
      <c r="O193" s="9"/>
    </row>
    <row r="194" ht="15.75" customHeight="1">
      <c r="N194" s="149"/>
      <c r="O194" s="9"/>
    </row>
    <row r="195" ht="15.75" customHeight="1">
      <c r="N195" s="149"/>
      <c r="O195" s="9"/>
    </row>
    <row r="196" ht="15.75" customHeight="1">
      <c r="N196" s="149"/>
      <c r="O196" s="9"/>
    </row>
    <row r="197" ht="15.75" customHeight="1">
      <c r="N197" s="149"/>
      <c r="O197" s="9"/>
    </row>
    <row r="198" ht="15.75" customHeight="1">
      <c r="N198" s="149"/>
      <c r="O198" s="9"/>
    </row>
    <row r="199" ht="15.75" customHeight="1">
      <c r="N199" s="149"/>
      <c r="O199" s="9"/>
    </row>
    <row r="200" ht="15.75" customHeight="1">
      <c r="N200" s="149"/>
      <c r="O200" s="9"/>
    </row>
    <row r="201" ht="15.75" customHeight="1">
      <c r="N201" s="149"/>
      <c r="O201" s="9"/>
    </row>
    <row r="202" ht="15.75" customHeight="1">
      <c r="N202" s="149"/>
      <c r="O202" s="9"/>
    </row>
    <row r="203" ht="15.75" customHeight="1">
      <c r="N203" s="149"/>
      <c r="O203" s="9"/>
    </row>
    <row r="204" ht="15.75" customHeight="1">
      <c r="N204" s="149"/>
      <c r="O204" s="9"/>
    </row>
    <row r="205" ht="15.75" customHeight="1">
      <c r="N205" s="149"/>
      <c r="O205" s="9"/>
    </row>
    <row r="206" ht="15.75" customHeight="1">
      <c r="N206" s="149"/>
      <c r="O206" s="9"/>
    </row>
    <row r="207" ht="15.75" customHeight="1">
      <c r="N207" s="149"/>
      <c r="O207" s="9"/>
    </row>
    <row r="208" ht="15.75" customHeight="1">
      <c r="N208" s="149"/>
      <c r="O208" s="9"/>
    </row>
    <row r="209" ht="15.75" customHeight="1">
      <c r="J209" s="149"/>
      <c r="N209" s="149"/>
      <c r="O209" s="9"/>
    </row>
    <row r="210" ht="15.75" customHeight="1">
      <c r="J210" s="149"/>
      <c r="N210" s="149"/>
    </row>
    <row r="211" ht="15.75" customHeight="1">
      <c r="J211" s="149"/>
      <c r="N211" s="149"/>
    </row>
    <row r="212" ht="15.75" customHeight="1">
      <c r="J212" s="149"/>
      <c r="N212" s="149"/>
    </row>
    <row r="213" ht="15.75" customHeight="1">
      <c r="J213" s="149"/>
      <c r="N213" s="149"/>
    </row>
    <row r="214" ht="15.75" customHeight="1">
      <c r="J214" s="149"/>
      <c r="N214" s="149"/>
    </row>
    <row r="215" ht="15.75" customHeight="1">
      <c r="J215" s="149"/>
      <c r="N215" s="149"/>
    </row>
    <row r="216" ht="15.75" customHeight="1">
      <c r="J216" s="149"/>
      <c r="N216" s="149"/>
    </row>
    <row r="217" ht="15.75" customHeight="1">
      <c r="J217" s="149"/>
      <c r="N217" s="149"/>
    </row>
    <row r="218" ht="15.75" customHeight="1">
      <c r="J218" s="149"/>
      <c r="N218" s="149"/>
    </row>
    <row r="219" ht="15.75" customHeight="1">
      <c r="J219" s="149"/>
      <c r="N219" s="149"/>
    </row>
    <row r="220" ht="15.75" customHeight="1">
      <c r="J220" s="149"/>
      <c r="N220" s="149"/>
    </row>
    <row r="221" ht="15.75" customHeight="1">
      <c r="J221" s="149"/>
      <c r="N221" s="149"/>
    </row>
    <row r="222" ht="15.75" customHeight="1">
      <c r="J222" s="149"/>
      <c r="N222" s="149"/>
    </row>
    <row r="223" ht="15.75" customHeight="1">
      <c r="J223" s="149"/>
      <c r="N223" s="149"/>
    </row>
    <row r="224" ht="15.75" customHeight="1">
      <c r="J224" s="149"/>
      <c r="N224" s="149"/>
    </row>
    <row r="225" ht="15.75" customHeight="1">
      <c r="J225" s="149"/>
      <c r="N225" s="149"/>
    </row>
    <row r="226" ht="15.75" customHeight="1">
      <c r="J226" s="149"/>
      <c r="N226" s="149"/>
    </row>
    <row r="227" ht="15.75" customHeight="1">
      <c r="J227" s="149"/>
      <c r="N227" s="149"/>
    </row>
    <row r="228" ht="15.75" customHeight="1">
      <c r="J228" s="149"/>
      <c r="N228" s="149"/>
    </row>
    <row r="229" ht="15.75" customHeight="1">
      <c r="J229" s="149"/>
      <c r="N229" s="149"/>
    </row>
    <row r="230" ht="15.75" customHeight="1">
      <c r="J230" s="149"/>
      <c r="N230" s="149"/>
    </row>
    <row r="231" ht="15.75" customHeight="1">
      <c r="J231" s="149"/>
      <c r="N231" s="149"/>
    </row>
    <row r="232" ht="15.75" customHeight="1">
      <c r="J232" s="149"/>
      <c r="N232" s="149"/>
    </row>
    <row r="233" ht="15.75" customHeight="1">
      <c r="J233" s="149"/>
      <c r="N233" s="149"/>
    </row>
    <row r="234" ht="15.75" customHeight="1">
      <c r="J234" s="149"/>
      <c r="N234" s="149"/>
    </row>
    <row r="235" ht="15.75" customHeight="1">
      <c r="J235" s="149"/>
      <c r="N235" s="149"/>
    </row>
    <row r="236" ht="15.75" customHeight="1">
      <c r="J236" s="149"/>
      <c r="N236" s="149"/>
    </row>
    <row r="237" ht="15.75" customHeight="1">
      <c r="J237" s="149"/>
      <c r="N237" s="149"/>
    </row>
    <row r="238" ht="15.75" customHeight="1">
      <c r="J238" s="149"/>
      <c r="N238" s="149"/>
    </row>
    <row r="239" ht="15.75" customHeight="1">
      <c r="J239" s="149"/>
      <c r="N239" s="149"/>
    </row>
    <row r="240" ht="15.75" customHeight="1">
      <c r="J240" s="149"/>
      <c r="N240" s="149"/>
    </row>
    <row r="241" ht="15.75" customHeight="1">
      <c r="J241" s="149"/>
      <c r="N241" s="149"/>
    </row>
    <row r="242" ht="15.75" customHeight="1">
      <c r="J242" s="149"/>
      <c r="N242" s="149"/>
    </row>
    <row r="243" ht="15.75" customHeight="1">
      <c r="J243" s="149"/>
      <c r="N243" s="149"/>
    </row>
    <row r="244" ht="15.75" customHeight="1">
      <c r="J244" s="149"/>
      <c r="N244" s="149"/>
    </row>
    <row r="245" ht="15.75" customHeight="1">
      <c r="J245" s="149"/>
      <c r="N245" s="149"/>
    </row>
    <row r="246" ht="15.75" customHeight="1">
      <c r="J246" s="149"/>
      <c r="N246" s="149"/>
    </row>
    <row r="247" ht="15.75" customHeight="1">
      <c r="J247" s="149"/>
      <c r="N247" s="149"/>
    </row>
    <row r="248" ht="15.75" customHeight="1">
      <c r="J248" s="149"/>
      <c r="N248" s="149"/>
    </row>
    <row r="249" ht="15.75" customHeight="1">
      <c r="J249" s="149"/>
      <c r="N249" s="149"/>
    </row>
    <row r="250" ht="15.75" customHeight="1">
      <c r="J250" s="149"/>
      <c r="N250" s="149"/>
    </row>
    <row r="251" ht="15.75" customHeight="1">
      <c r="J251" s="149"/>
      <c r="N251" s="149"/>
    </row>
    <row r="252" ht="15.75" customHeight="1">
      <c r="J252" s="149"/>
      <c r="N252" s="149"/>
    </row>
    <row r="253" ht="15.75" customHeight="1">
      <c r="J253" s="149"/>
      <c r="N253" s="149"/>
    </row>
    <row r="254" ht="15.75" customHeight="1">
      <c r="J254" s="149"/>
      <c r="N254" s="149"/>
    </row>
    <row r="255" ht="15.75" customHeight="1">
      <c r="J255" s="149"/>
      <c r="N255" s="149"/>
    </row>
    <row r="256" ht="15.75" customHeight="1">
      <c r="J256" s="149"/>
      <c r="N256" s="149"/>
    </row>
    <row r="257" ht="15.75" customHeight="1">
      <c r="J257" s="149"/>
      <c r="N257" s="149"/>
    </row>
    <row r="258" ht="15.75" customHeight="1">
      <c r="J258" s="149"/>
      <c r="N258" s="149"/>
    </row>
    <row r="259" ht="15.75" customHeight="1">
      <c r="J259" s="149"/>
      <c r="N259" s="149"/>
    </row>
    <row r="260" ht="15.75" customHeight="1">
      <c r="J260" s="149"/>
      <c r="N260" s="149"/>
    </row>
    <row r="261" ht="15.75" customHeight="1">
      <c r="J261" s="149"/>
      <c r="N261" s="149"/>
    </row>
    <row r="262" ht="15.75" customHeight="1">
      <c r="J262" s="149"/>
      <c r="N262" s="149"/>
    </row>
    <row r="263" ht="15.75" customHeight="1">
      <c r="J263" s="149"/>
      <c r="N263" s="149"/>
    </row>
    <row r="264" ht="15.75" customHeight="1">
      <c r="J264" s="149"/>
      <c r="N264" s="149"/>
    </row>
    <row r="265" ht="15.75" customHeight="1">
      <c r="J265" s="149"/>
      <c r="N265" s="149"/>
    </row>
    <row r="266" ht="15.75" customHeight="1">
      <c r="J266" s="149"/>
      <c r="N266" s="149"/>
    </row>
    <row r="267" ht="15.75" customHeight="1">
      <c r="J267" s="149"/>
      <c r="N267" s="149"/>
    </row>
    <row r="268" ht="15.75" customHeight="1">
      <c r="J268" s="149"/>
      <c r="N268" s="149"/>
    </row>
    <row r="269" ht="15.75" customHeight="1">
      <c r="J269" s="149"/>
      <c r="N269" s="149"/>
    </row>
    <row r="270" ht="15.75" customHeight="1">
      <c r="J270" s="149"/>
      <c r="N270" s="149"/>
    </row>
    <row r="271" ht="15.75" customHeight="1">
      <c r="J271" s="149"/>
      <c r="N271" s="149"/>
    </row>
    <row r="272" ht="15.75" customHeight="1">
      <c r="J272" s="149"/>
      <c r="N272" s="149"/>
    </row>
    <row r="273" ht="15.75" customHeight="1">
      <c r="J273" s="149"/>
      <c r="N273" s="149"/>
    </row>
    <row r="274" ht="15.75" customHeight="1">
      <c r="J274" s="149"/>
      <c r="N274" s="149"/>
    </row>
    <row r="275" ht="15.75" customHeight="1">
      <c r="J275" s="149"/>
      <c r="N275" s="149"/>
    </row>
    <row r="276" ht="15.75" customHeight="1">
      <c r="J276" s="149"/>
      <c r="N276" s="149"/>
    </row>
    <row r="277" ht="15.75" customHeight="1">
      <c r="J277" s="149"/>
      <c r="N277" s="149"/>
    </row>
    <row r="278" ht="15.75" customHeight="1">
      <c r="J278" s="149"/>
      <c r="N278" s="149"/>
    </row>
    <row r="279" ht="15.75" customHeight="1">
      <c r="J279" s="149"/>
      <c r="N279" s="149"/>
    </row>
    <row r="280" ht="15.75" customHeight="1">
      <c r="J280" s="149"/>
      <c r="N280" s="149"/>
    </row>
    <row r="281" ht="15.75" customHeight="1">
      <c r="J281" s="149"/>
      <c r="N281" s="149"/>
    </row>
    <row r="282" ht="15.75" customHeight="1">
      <c r="J282" s="149"/>
      <c r="N282" s="149"/>
    </row>
    <row r="283" ht="15.75" customHeight="1">
      <c r="J283" s="149"/>
      <c r="N283" s="149"/>
    </row>
    <row r="284" ht="15.75" customHeight="1">
      <c r="J284" s="149"/>
      <c r="N284" s="149"/>
    </row>
    <row r="285" ht="15.75" customHeight="1">
      <c r="J285" s="149"/>
      <c r="N285" s="149"/>
    </row>
    <row r="286" ht="15.75" customHeight="1">
      <c r="J286" s="149"/>
      <c r="N286" s="149"/>
    </row>
    <row r="287" ht="15.75" customHeight="1">
      <c r="J287" s="149"/>
      <c r="N287" s="149"/>
    </row>
    <row r="288" ht="15.75" customHeight="1">
      <c r="J288" s="149"/>
      <c r="N288" s="149"/>
    </row>
    <row r="289" ht="15.75" customHeight="1">
      <c r="J289" s="149"/>
      <c r="N289" s="149"/>
    </row>
    <row r="290" ht="15.75" customHeight="1">
      <c r="J290" s="149"/>
      <c r="N290" s="149"/>
    </row>
    <row r="291" ht="15.75" customHeight="1">
      <c r="J291" s="149"/>
      <c r="N291" s="149"/>
    </row>
    <row r="292" ht="15.75" customHeight="1">
      <c r="J292" s="149"/>
      <c r="N292" s="149"/>
    </row>
    <row r="293" ht="15.75" customHeight="1">
      <c r="J293" s="149"/>
      <c r="N293" s="149"/>
    </row>
    <row r="294" ht="15.75" customHeight="1">
      <c r="J294" s="149"/>
      <c r="N294" s="149"/>
    </row>
    <row r="295" ht="15.75" customHeight="1">
      <c r="J295" s="149"/>
      <c r="N295" s="149"/>
    </row>
    <row r="296" ht="15.75" customHeight="1">
      <c r="J296" s="149"/>
      <c r="N296" s="149"/>
    </row>
    <row r="297" ht="15.75" customHeight="1">
      <c r="J297" s="149"/>
      <c r="N297" s="149"/>
    </row>
    <row r="298" ht="15.75" customHeight="1">
      <c r="J298" s="149"/>
      <c r="N298" s="149"/>
    </row>
    <row r="299" ht="15.75" customHeight="1">
      <c r="J299" s="149"/>
      <c r="N299" s="149"/>
    </row>
    <row r="300" ht="15.75" customHeight="1">
      <c r="J300" s="149"/>
      <c r="N300" s="149"/>
    </row>
    <row r="301" ht="15.75" customHeight="1">
      <c r="J301" s="149"/>
      <c r="N301" s="149"/>
    </row>
    <row r="302" ht="15.75" customHeight="1">
      <c r="J302" s="149"/>
      <c r="N302" s="149"/>
    </row>
    <row r="303" ht="15.75" customHeight="1">
      <c r="J303" s="149"/>
      <c r="N303" s="149"/>
    </row>
    <row r="304" ht="15.75" customHeight="1">
      <c r="J304" s="149"/>
      <c r="N304" s="149"/>
    </row>
    <row r="305" ht="15.75" customHeight="1">
      <c r="J305" s="149"/>
      <c r="N305" s="149"/>
    </row>
    <row r="306" ht="15.75" customHeight="1">
      <c r="J306" s="149"/>
      <c r="N306" s="149"/>
    </row>
    <row r="307" ht="15.75" customHeight="1">
      <c r="J307" s="149"/>
      <c r="N307" s="149"/>
    </row>
    <row r="308" ht="15.75" customHeight="1">
      <c r="J308" s="149"/>
      <c r="N308" s="149"/>
    </row>
    <row r="309" ht="15.75" customHeight="1">
      <c r="J309" s="149"/>
      <c r="N309" s="149"/>
    </row>
    <row r="310" ht="15.75" customHeight="1">
      <c r="J310" s="149"/>
      <c r="N310" s="149"/>
    </row>
    <row r="311" ht="15.75" customHeight="1">
      <c r="J311" s="149"/>
      <c r="N311" s="149"/>
    </row>
    <row r="312" ht="15.75" customHeight="1">
      <c r="J312" s="149"/>
      <c r="N312" s="149"/>
    </row>
    <row r="313" ht="15.75" customHeight="1">
      <c r="J313" s="149"/>
      <c r="N313" s="149"/>
    </row>
    <row r="314" ht="15.75" customHeight="1">
      <c r="J314" s="149"/>
      <c r="N314" s="149"/>
    </row>
    <row r="315" ht="15.75" customHeight="1">
      <c r="J315" s="149"/>
      <c r="N315" s="149"/>
    </row>
    <row r="316" ht="15.75" customHeight="1">
      <c r="J316" s="149"/>
      <c r="N316" s="149"/>
    </row>
    <row r="317" ht="15.75" customHeight="1">
      <c r="J317" s="149"/>
      <c r="N317" s="149"/>
    </row>
    <row r="318" ht="15.75" customHeight="1">
      <c r="J318" s="149"/>
      <c r="N318" s="149"/>
    </row>
    <row r="319" ht="15.75" customHeight="1">
      <c r="J319" s="149"/>
      <c r="N319" s="149"/>
    </row>
    <row r="320" ht="15.75" customHeight="1">
      <c r="J320" s="149"/>
      <c r="N320" s="149"/>
    </row>
    <row r="321" ht="15.75" customHeight="1">
      <c r="J321" s="149"/>
      <c r="N321" s="149"/>
    </row>
    <row r="322" ht="15.75" customHeight="1">
      <c r="J322" s="149"/>
      <c r="N322" s="149"/>
    </row>
    <row r="323" ht="15.75" customHeight="1">
      <c r="J323" s="149"/>
      <c r="N323" s="149"/>
    </row>
    <row r="324" ht="15.75" customHeight="1">
      <c r="J324" s="149"/>
      <c r="N324" s="149"/>
    </row>
    <row r="325" ht="15.75" customHeight="1">
      <c r="J325" s="149"/>
      <c r="N325" s="149"/>
    </row>
    <row r="326" ht="15.75" customHeight="1">
      <c r="J326" s="149"/>
      <c r="N326" s="149"/>
    </row>
    <row r="327" ht="15.75" customHeight="1">
      <c r="J327" s="149"/>
      <c r="N327" s="149"/>
    </row>
    <row r="328" ht="15.75" customHeight="1">
      <c r="J328" s="149"/>
      <c r="N328" s="149"/>
    </row>
    <row r="329" ht="15.75" customHeight="1">
      <c r="J329" s="149"/>
      <c r="N329" s="149"/>
    </row>
    <row r="330" ht="15.75" customHeight="1">
      <c r="J330" s="149"/>
      <c r="N330" s="149"/>
    </row>
    <row r="331" ht="15.75" customHeight="1">
      <c r="J331" s="149"/>
      <c r="N331" s="149"/>
    </row>
    <row r="332" ht="15.75" customHeight="1">
      <c r="J332" s="149"/>
      <c r="N332" s="149"/>
    </row>
    <row r="333" ht="15.75" customHeight="1">
      <c r="J333" s="149"/>
      <c r="N333" s="149"/>
    </row>
    <row r="334" ht="15.75" customHeight="1">
      <c r="J334" s="149"/>
      <c r="N334" s="149"/>
    </row>
    <row r="335" ht="15.75" customHeight="1">
      <c r="J335" s="149"/>
      <c r="N335" s="149"/>
    </row>
    <row r="336" ht="15.75" customHeight="1">
      <c r="J336" s="149"/>
      <c r="N336" s="149"/>
    </row>
    <row r="337" ht="15.75" customHeight="1">
      <c r="J337" s="149"/>
      <c r="N337" s="149"/>
    </row>
    <row r="338" ht="15.75" customHeight="1">
      <c r="J338" s="149"/>
      <c r="N338" s="149"/>
    </row>
    <row r="339" ht="15.75" customHeight="1">
      <c r="J339" s="149"/>
      <c r="N339" s="149"/>
    </row>
    <row r="340" ht="15.75" customHeight="1">
      <c r="J340" s="149"/>
      <c r="N340" s="149"/>
    </row>
    <row r="341" ht="15.75" customHeight="1">
      <c r="J341" s="149"/>
      <c r="N341" s="149"/>
    </row>
    <row r="342" ht="15.75" customHeight="1">
      <c r="J342" s="149"/>
      <c r="N342" s="149"/>
    </row>
    <row r="343" ht="15.75" customHeight="1">
      <c r="J343" s="149"/>
      <c r="N343" s="149"/>
    </row>
    <row r="344" ht="15.75" customHeight="1">
      <c r="J344" s="149"/>
      <c r="N344" s="149"/>
    </row>
    <row r="345" ht="15.75" customHeight="1">
      <c r="J345" s="149"/>
      <c r="N345" s="149"/>
    </row>
    <row r="346" ht="15.75" customHeight="1">
      <c r="J346" s="149"/>
      <c r="N346" s="149"/>
    </row>
    <row r="347" ht="15.75" customHeight="1">
      <c r="J347" s="149"/>
      <c r="N347" s="149"/>
    </row>
    <row r="348" ht="15.75" customHeight="1">
      <c r="J348" s="149"/>
      <c r="N348" s="149"/>
    </row>
    <row r="349" ht="15.75" customHeight="1">
      <c r="J349" s="149"/>
      <c r="N349" s="149"/>
    </row>
    <row r="350" ht="15.75" customHeight="1">
      <c r="J350" s="149"/>
      <c r="N350" s="149"/>
    </row>
    <row r="351" ht="15.75" customHeight="1">
      <c r="J351" s="149"/>
      <c r="N351" s="149"/>
    </row>
    <row r="352" ht="15.75" customHeight="1">
      <c r="J352" s="149"/>
      <c r="N352" s="149"/>
    </row>
    <row r="353" ht="15.75" customHeight="1">
      <c r="J353" s="149"/>
      <c r="N353" s="149"/>
    </row>
    <row r="354" ht="15.75" customHeight="1">
      <c r="J354" s="149"/>
      <c r="N354" s="149"/>
    </row>
    <row r="355" ht="15.75" customHeight="1">
      <c r="J355" s="149"/>
      <c r="N355" s="149"/>
    </row>
    <row r="356" ht="15.75" customHeight="1">
      <c r="J356" s="149"/>
      <c r="N356" s="149"/>
    </row>
    <row r="357" ht="15.75" customHeight="1">
      <c r="J357" s="149"/>
      <c r="N357" s="149"/>
    </row>
    <row r="358" ht="15.75" customHeight="1">
      <c r="J358" s="149"/>
      <c r="N358" s="149"/>
    </row>
    <row r="359" ht="15.75" customHeight="1">
      <c r="J359" s="149"/>
      <c r="N359" s="149"/>
    </row>
    <row r="360" ht="15.75" customHeight="1">
      <c r="J360" s="149"/>
      <c r="N360" s="149"/>
    </row>
    <row r="361" ht="15.75" customHeight="1">
      <c r="J361" s="149"/>
      <c r="N361" s="149"/>
    </row>
    <row r="362" ht="15.75" customHeight="1">
      <c r="J362" s="149"/>
      <c r="N362" s="149"/>
    </row>
    <row r="363" ht="15.75" customHeight="1">
      <c r="J363" s="149"/>
      <c r="N363" s="149"/>
    </row>
    <row r="364" ht="15.75" customHeight="1">
      <c r="J364" s="149"/>
      <c r="N364" s="149"/>
    </row>
    <row r="365" ht="15.75" customHeight="1">
      <c r="J365" s="149"/>
      <c r="N365" s="149"/>
    </row>
    <row r="366" ht="15.75" customHeight="1">
      <c r="J366" s="149"/>
      <c r="N366" s="149"/>
    </row>
    <row r="367" ht="15.75" customHeight="1">
      <c r="J367" s="149"/>
      <c r="N367" s="149"/>
    </row>
    <row r="368" ht="15.75" customHeight="1">
      <c r="J368" s="149"/>
      <c r="N368" s="149"/>
    </row>
    <row r="369" ht="15.75" customHeight="1">
      <c r="J369" s="149"/>
      <c r="N369" s="149"/>
    </row>
    <row r="370" ht="15.75" customHeight="1">
      <c r="J370" s="149"/>
      <c r="N370" s="149"/>
    </row>
    <row r="371" ht="15.75" customHeight="1">
      <c r="J371" s="149"/>
      <c r="N371" s="149"/>
    </row>
    <row r="372" ht="15.75" customHeight="1">
      <c r="J372" s="149"/>
      <c r="N372" s="149"/>
    </row>
    <row r="373" ht="15.75" customHeight="1">
      <c r="J373" s="149"/>
      <c r="N373" s="149"/>
    </row>
    <row r="374" ht="15.75" customHeight="1">
      <c r="J374" s="149"/>
      <c r="N374" s="149"/>
    </row>
    <row r="375" ht="15.75" customHeight="1">
      <c r="J375" s="149"/>
      <c r="N375" s="149"/>
    </row>
    <row r="376" ht="15.75" customHeight="1">
      <c r="J376" s="149"/>
      <c r="N376" s="149"/>
    </row>
    <row r="377" ht="15.75" customHeight="1">
      <c r="J377" s="149"/>
      <c r="N377" s="149"/>
    </row>
    <row r="378" ht="15.75" customHeight="1">
      <c r="J378" s="149"/>
      <c r="N378" s="149"/>
    </row>
    <row r="379" ht="15.75" customHeight="1">
      <c r="J379" s="149"/>
      <c r="N379" s="149"/>
    </row>
    <row r="380" ht="15.75" customHeight="1">
      <c r="J380" s="149"/>
      <c r="N380" s="149"/>
    </row>
    <row r="381" ht="15.75" customHeight="1">
      <c r="J381" s="149"/>
      <c r="N381" s="149"/>
    </row>
    <row r="382" ht="15.75" customHeight="1">
      <c r="J382" s="149"/>
      <c r="N382" s="149"/>
    </row>
    <row r="383" ht="15.75" customHeight="1">
      <c r="J383" s="149"/>
      <c r="N383" s="149"/>
    </row>
    <row r="384" ht="15.75" customHeight="1">
      <c r="J384" s="149"/>
      <c r="N384" s="149"/>
    </row>
    <row r="385" ht="15.75" customHeight="1">
      <c r="J385" s="149"/>
      <c r="N385" s="149"/>
    </row>
    <row r="386" ht="15.75" customHeight="1">
      <c r="J386" s="149"/>
      <c r="N386" s="149"/>
    </row>
    <row r="387" ht="15.75" customHeight="1">
      <c r="J387" s="149"/>
      <c r="N387" s="149"/>
    </row>
    <row r="388" ht="15.75" customHeight="1">
      <c r="J388" s="149"/>
      <c r="N388" s="149"/>
    </row>
    <row r="389" ht="15.75" customHeight="1">
      <c r="J389" s="149"/>
      <c r="N389" s="149"/>
    </row>
    <row r="390" ht="15.75" customHeight="1">
      <c r="J390" s="149"/>
      <c r="N390" s="149"/>
    </row>
    <row r="391" ht="15.75" customHeight="1">
      <c r="J391" s="149"/>
      <c r="N391" s="149"/>
    </row>
    <row r="392" ht="15.75" customHeight="1">
      <c r="J392" s="149"/>
      <c r="N392" s="149"/>
    </row>
    <row r="393" ht="15.75" customHeight="1">
      <c r="J393" s="149"/>
      <c r="N393" s="149"/>
    </row>
    <row r="394" ht="15.75" customHeight="1">
      <c r="J394" s="149"/>
      <c r="N394" s="149"/>
    </row>
    <row r="395" ht="15.75" customHeight="1">
      <c r="J395" s="149"/>
      <c r="N395" s="149"/>
    </row>
    <row r="396" ht="15.75" customHeight="1">
      <c r="J396" s="149"/>
      <c r="N396" s="149"/>
    </row>
    <row r="397" ht="15.75" customHeight="1">
      <c r="J397" s="149"/>
      <c r="N397" s="149"/>
    </row>
    <row r="398" ht="15.75" customHeight="1">
      <c r="J398" s="149"/>
      <c r="N398" s="149"/>
    </row>
    <row r="399" ht="15.75" customHeight="1">
      <c r="J399" s="149"/>
      <c r="N399" s="149"/>
    </row>
    <row r="400" ht="15.75" customHeight="1">
      <c r="J400" s="149"/>
      <c r="N400" s="149"/>
    </row>
    <row r="401" ht="15.75" customHeight="1">
      <c r="J401" s="149"/>
      <c r="N401" s="149"/>
    </row>
    <row r="402" ht="15.75" customHeight="1">
      <c r="J402" s="149"/>
      <c r="N402" s="149"/>
    </row>
    <row r="403" ht="15.75" customHeight="1">
      <c r="J403" s="149"/>
      <c r="N403" s="149"/>
    </row>
    <row r="404" ht="15.75" customHeight="1">
      <c r="J404" s="149"/>
      <c r="N404" s="149"/>
    </row>
    <row r="405" ht="15.75" customHeight="1">
      <c r="J405" s="149"/>
      <c r="N405" s="149"/>
    </row>
    <row r="406" ht="15.75" customHeight="1">
      <c r="J406" s="149"/>
      <c r="N406" s="149"/>
    </row>
    <row r="407" ht="15.75" customHeight="1">
      <c r="J407" s="149"/>
      <c r="N407" s="149"/>
    </row>
    <row r="408" ht="15.75" customHeight="1">
      <c r="J408" s="149"/>
      <c r="N408" s="149"/>
    </row>
    <row r="409" ht="15.75" customHeight="1">
      <c r="J409" s="149"/>
      <c r="N409" s="149"/>
    </row>
    <row r="410" ht="15.75" customHeight="1">
      <c r="J410" s="149"/>
      <c r="N410" s="149"/>
    </row>
    <row r="411" ht="15.75" customHeight="1">
      <c r="J411" s="149"/>
      <c r="N411" s="149"/>
    </row>
    <row r="412" ht="15.75" customHeight="1">
      <c r="J412" s="149"/>
      <c r="N412" s="149"/>
    </row>
    <row r="413" ht="15.75" customHeight="1">
      <c r="J413" s="149"/>
      <c r="N413" s="149"/>
    </row>
    <row r="414" ht="15.75" customHeight="1">
      <c r="J414" s="149"/>
      <c r="N414" s="149"/>
    </row>
    <row r="415" ht="15.75" customHeight="1">
      <c r="J415" s="149"/>
      <c r="N415" s="149"/>
    </row>
    <row r="416" ht="15.75" customHeight="1">
      <c r="J416" s="149"/>
      <c r="N416" s="149"/>
    </row>
    <row r="417" ht="15.75" customHeight="1">
      <c r="J417" s="149"/>
      <c r="N417" s="149"/>
    </row>
    <row r="418" ht="15.75" customHeight="1">
      <c r="J418" s="149"/>
      <c r="N418" s="149"/>
    </row>
    <row r="419" ht="15.75" customHeight="1">
      <c r="J419" s="149"/>
      <c r="N419" s="149"/>
    </row>
    <row r="420" ht="15.75" customHeight="1">
      <c r="J420" s="149"/>
      <c r="N420" s="149"/>
    </row>
    <row r="421" ht="15.75" customHeight="1">
      <c r="J421" s="149"/>
      <c r="N421" s="149"/>
    </row>
    <row r="422" ht="15.75" customHeight="1">
      <c r="J422" s="149"/>
      <c r="N422" s="149"/>
    </row>
    <row r="423" ht="15.75" customHeight="1">
      <c r="J423" s="149"/>
      <c r="N423" s="149"/>
    </row>
    <row r="424" ht="15.75" customHeight="1">
      <c r="J424" s="149"/>
      <c r="N424" s="149"/>
    </row>
    <row r="425" ht="15.75" customHeight="1">
      <c r="J425" s="149"/>
      <c r="N425" s="149"/>
    </row>
    <row r="426" ht="15.75" customHeight="1">
      <c r="J426" s="149"/>
      <c r="N426" s="149"/>
    </row>
    <row r="427" ht="15.75" customHeight="1">
      <c r="J427" s="149"/>
      <c r="N427" s="149"/>
    </row>
    <row r="428" ht="15.75" customHeight="1">
      <c r="J428" s="149"/>
      <c r="N428" s="149"/>
    </row>
    <row r="429" ht="15.75" customHeight="1">
      <c r="J429" s="149"/>
      <c r="N429" s="149"/>
    </row>
    <row r="430" ht="15.75" customHeight="1">
      <c r="J430" s="149"/>
      <c r="N430" s="149"/>
    </row>
    <row r="431" ht="15.75" customHeight="1">
      <c r="J431" s="149"/>
      <c r="N431" s="149"/>
    </row>
    <row r="432" ht="15.75" customHeight="1">
      <c r="J432" s="149"/>
      <c r="N432" s="149"/>
    </row>
    <row r="433" ht="15.75" customHeight="1">
      <c r="J433" s="149"/>
      <c r="N433" s="149"/>
    </row>
    <row r="434" ht="15.75" customHeight="1">
      <c r="J434" s="149"/>
      <c r="N434" s="149"/>
    </row>
    <row r="435" ht="15.75" customHeight="1">
      <c r="J435" s="149"/>
      <c r="N435" s="149"/>
    </row>
    <row r="436" ht="15.75" customHeight="1">
      <c r="J436" s="149"/>
      <c r="N436" s="149"/>
    </row>
    <row r="437" ht="15.75" customHeight="1">
      <c r="J437" s="149"/>
      <c r="N437" s="149"/>
    </row>
    <row r="438" ht="15.75" customHeight="1">
      <c r="J438" s="149"/>
      <c r="N438" s="149"/>
    </row>
    <row r="439" ht="15.75" customHeight="1">
      <c r="J439" s="149"/>
      <c r="N439" s="149"/>
    </row>
    <row r="440" ht="15.75" customHeight="1">
      <c r="J440" s="149"/>
      <c r="N440" s="149"/>
    </row>
    <row r="441" ht="15.75" customHeight="1">
      <c r="J441" s="149"/>
      <c r="N441" s="149"/>
    </row>
    <row r="442" ht="15.75" customHeight="1">
      <c r="J442" s="149"/>
      <c r="N442" s="149"/>
    </row>
    <row r="443" ht="15.75" customHeight="1">
      <c r="J443" s="149"/>
      <c r="N443" s="149"/>
    </row>
    <row r="444" ht="15.75" customHeight="1">
      <c r="J444" s="149"/>
      <c r="N444" s="149"/>
    </row>
    <row r="445" ht="15.75" customHeight="1">
      <c r="J445" s="149"/>
      <c r="N445" s="149"/>
    </row>
    <row r="446" ht="15.75" customHeight="1">
      <c r="J446" s="149"/>
      <c r="N446" s="149"/>
    </row>
    <row r="447" ht="15.75" customHeight="1">
      <c r="J447" s="149"/>
      <c r="N447" s="149"/>
    </row>
    <row r="448" ht="15.75" customHeight="1">
      <c r="J448" s="149"/>
      <c r="N448" s="149"/>
    </row>
    <row r="449" ht="15.75" customHeight="1">
      <c r="J449" s="149"/>
      <c r="N449" s="149"/>
    </row>
    <row r="450" ht="15.75" customHeight="1">
      <c r="J450" s="149"/>
      <c r="N450" s="149"/>
    </row>
    <row r="451" ht="15.75" customHeight="1">
      <c r="J451" s="149"/>
      <c r="N451" s="149"/>
    </row>
    <row r="452" ht="15.75" customHeight="1">
      <c r="J452" s="149"/>
      <c r="N452" s="149"/>
    </row>
    <row r="453" ht="15.75" customHeight="1">
      <c r="J453" s="149"/>
      <c r="N453" s="149"/>
    </row>
    <row r="454" ht="15.75" customHeight="1">
      <c r="J454" s="149"/>
      <c r="N454" s="149"/>
    </row>
    <row r="455" ht="15.75" customHeight="1">
      <c r="J455" s="149"/>
      <c r="N455" s="149"/>
    </row>
    <row r="456" ht="15.75" customHeight="1">
      <c r="J456" s="149"/>
      <c r="N456" s="149"/>
    </row>
    <row r="457" ht="15.75" customHeight="1">
      <c r="J457" s="149"/>
      <c r="N457" s="149"/>
    </row>
    <row r="458" ht="15.75" customHeight="1">
      <c r="J458" s="149"/>
      <c r="N458" s="149"/>
    </row>
    <row r="459" ht="15.75" customHeight="1">
      <c r="J459" s="149"/>
      <c r="N459" s="149"/>
    </row>
    <row r="460" ht="15.75" customHeight="1">
      <c r="J460" s="149"/>
      <c r="N460" s="149"/>
    </row>
    <row r="461" ht="15.75" customHeight="1">
      <c r="J461" s="149"/>
      <c r="N461" s="149"/>
    </row>
    <row r="462" ht="15.75" customHeight="1">
      <c r="J462" s="149"/>
      <c r="N462" s="149"/>
    </row>
    <row r="463" ht="15.75" customHeight="1">
      <c r="J463" s="149"/>
      <c r="N463" s="149"/>
    </row>
    <row r="464" ht="15.75" customHeight="1">
      <c r="J464" s="149"/>
      <c r="N464" s="149"/>
    </row>
    <row r="465" ht="15.75" customHeight="1">
      <c r="J465" s="149"/>
      <c r="N465" s="149"/>
    </row>
    <row r="466" ht="15.75" customHeight="1">
      <c r="J466" s="149"/>
      <c r="N466" s="149"/>
    </row>
    <row r="467" ht="15.75" customHeight="1">
      <c r="J467" s="149"/>
      <c r="N467" s="149"/>
    </row>
    <row r="468" ht="15.75" customHeight="1">
      <c r="J468" s="149"/>
      <c r="N468" s="149"/>
    </row>
    <row r="469" ht="15.75" customHeight="1">
      <c r="J469" s="149"/>
      <c r="N469" s="149"/>
    </row>
    <row r="470" ht="15.75" customHeight="1">
      <c r="J470" s="149"/>
      <c r="N470" s="149"/>
    </row>
    <row r="471" ht="15.75" customHeight="1">
      <c r="J471" s="149"/>
      <c r="N471" s="149"/>
    </row>
    <row r="472" ht="15.75" customHeight="1">
      <c r="J472" s="149"/>
      <c r="N472" s="149"/>
    </row>
    <row r="473" ht="15.75" customHeight="1">
      <c r="J473" s="149"/>
      <c r="N473" s="149"/>
    </row>
    <row r="474" ht="15.75" customHeight="1">
      <c r="J474" s="149"/>
      <c r="N474" s="149"/>
    </row>
    <row r="475" ht="15.75" customHeight="1">
      <c r="J475" s="149"/>
      <c r="N475" s="149"/>
    </row>
    <row r="476" ht="15.75" customHeight="1">
      <c r="J476" s="149"/>
      <c r="N476" s="149"/>
    </row>
    <row r="477" ht="15.75" customHeight="1">
      <c r="J477" s="149"/>
      <c r="N477" s="149"/>
    </row>
    <row r="478" ht="15.75" customHeight="1">
      <c r="J478" s="149"/>
      <c r="N478" s="149"/>
    </row>
    <row r="479" ht="15.75" customHeight="1">
      <c r="J479" s="149"/>
      <c r="N479" s="149"/>
    </row>
    <row r="480" ht="15.75" customHeight="1">
      <c r="J480" s="149"/>
      <c r="N480" s="149"/>
    </row>
    <row r="481" ht="15.75" customHeight="1">
      <c r="J481" s="149"/>
      <c r="N481" s="149"/>
    </row>
    <row r="482" ht="15.75" customHeight="1">
      <c r="J482" s="149"/>
      <c r="N482" s="149"/>
    </row>
    <row r="483" ht="15.75" customHeight="1">
      <c r="J483" s="149"/>
      <c r="N483" s="149"/>
    </row>
    <row r="484" ht="15.75" customHeight="1">
      <c r="J484" s="149"/>
      <c r="N484" s="149"/>
    </row>
    <row r="485" ht="15.75" customHeight="1">
      <c r="J485" s="149"/>
      <c r="N485" s="149"/>
    </row>
    <row r="486" ht="15.75" customHeight="1">
      <c r="J486" s="149"/>
      <c r="N486" s="149"/>
    </row>
    <row r="487" ht="15.75" customHeight="1">
      <c r="J487" s="149"/>
      <c r="N487" s="149"/>
    </row>
    <row r="488" ht="15.75" customHeight="1">
      <c r="J488" s="149"/>
      <c r="N488" s="149"/>
    </row>
    <row r="489" ht="15.75" customHeight="1">
      <c r="J489" s="149"/>
      <c r="N489" s="149"/>
    </row>
    <row r="490" ht="15.75" customHeight="1">
      <c r="J490" s="149"/>
      <c r="N490" s="149"/>
    </row>
    <row r="491" ht="15.75" customHeight="1">
      <c r="J491" s="149"/>
      <c r="N491" s="149"/>
    </row>
    <row r="492" ht="15.75" customHeight="1">
      <c r="J492" s="149"/>
      <c r="N492" s="149"/>
    </row>
    <row r="493" ht="15.75" customHeight="1">
      <c r="J493" s="149"/>
      <c r="N493" s="149"/>
    </row>
    <row r="494" ht="15.75" customHeight="1">
      <c r="J494" s="149"/>
      <c r="N494" s="149"/>
    </row>
    <row r="495" ht="15.75" customHeight="1">
      <c r="J495" s="149"/>
      <c r="N495" s="149"/>
    </row>
    <row r="496" ht="15.75" customHeight="1">
      <c r="J496" s="149"/>
      <c r="N496" s="149"/>
    </row>
    <row r="497" ht="15.75" customHeight="1">
      <c r="J497" s="149"/>
      <c r="N497" s="149"/>
    </row>
    <row r="498" ht="15.75" customHeight="1">
      <c r="J498" s="149"/>
      <c r="N498" s="149"/>
    </row>
    <row r="499" ht="15.75" customHeight="1">
      <c r="J499" s="149"/>
      <c r="N499" s="149"/>
    </row>
    <row r="500" ht="15.75" customHeight="1">
      <c r="J500" s="149"/>
      <c r="N500" s="149"/>
    </row>
    <row r="501" ht="15.75" customHeight="1">
      <c r="J501" s="149"/>
      <c r="N501" s="149"/>
    </row>
    <row r="502" ht="15.75" customHeight="1">
      <c r="J502" s="149"/>
      <c r="N502" s="149"/>
    </row>
    <row r="503" ht="15.75" customHeight="1">
      <c r="J503" s="149"/>
      <c r="N503" s="149"/>
    </row>
    <row r="504" ht="15.75" customHeight="1">
      <c r="J504" s="149"/>
      <c r="N504" s="149"/>
    </row>
    <row r="505" ht="15.75" customHeight="1">
      <c r="J505" s="149"/>
      <c r="N505" s="149"/>
    </row>
    <row r="506" ht="15.75" customHeight="1">
      <c r="J506" s="149"/>
      <c r="N506" s="149"/>
    </row>
    <row r="507" ht="15.75" customHeight="1">
      <c r="J507" s="149"/>
      <c r="N507" s="149"/>
    </row>
    <row r="508" ht="15.75" customHeight="1">
      <c r="J508" s="149"/>
      <c r="N508" s="149"/>
    </row>
    <row r="509" ht="15.75" customHeight="1">
      <c r="J509" s="149"/>
      <c r="N509" s="149"/>
    </row>
    <row r="510" ht="15.75" customHeight="1">
      <c r="J510" s="149"/>
      <c r="N510" s="149"/>
    </row>
    <row r="511" ht="15.75" customHeight="1">
      <c r="J511" s="149"/>
      <c r="N511" s="149"/>
    </row>
    <row r="512" ht="15.75" customHeight="1">
      <c r="J512" s="149"/>
      <c r="N512" s="149"/>
    </row>
    <row r="513" ht="15.75" customHeight="1">
      <c r="J513" s="149"/>
      <c r="N513" s="149"/>
    </row>
    <row r="514" ht="15.75" customHeight="1">
      <c r="J514" s="149"/>
      <c r="N514" s="149"/>
    </row>
    <row r="515" ht="15.75" customHeight="1">
      <c r="J515" s="149"/>
      <c r="N515" s="149"/>
    </row>
    <row r="516" ht="15.75" customHeight="1">
      <c r="J516" s="149"/>
      <c r="N516" s="149"/>
    </row>
    <row r="517" ht="15.75" customHeight="1">
      <c r="J517" s="149"/>
      <c r="N517" s="149"/>
    </row>
    <row r="518" ht="15.75" customHeight="1">
      <c r="J518" s="149"/>
      <c r="N518" s="149"/>
    </row>
    <row r="519" ht="15.75" customHeight="1">
      <c r="J519" s="149"/>
      <c r="N519" s="149"/>
    </row>
    <row r="520" ht="15.75" customHeight="1">
      <c r="J520" s="149"/>
      <c r="N520" s="149"/>
    </row>
    <row r="521" ht="15.75" customHeight="1">
      <c r="J521" s="149"/>
      <c r="N521" s="149"/>
    </row>
    <row r="522" ht="15.75" customHeight="1">
      <c r="J522" s="149"/>
      <c r="N522" s="149"/>
    </row>
    <row r="523" ht="15.75" customHeight="1">
      <c r="J523" s="149"/>
      <c r="N523" s="149"/>
    </row>
    <row r="524" ht="15.75" customHeight="1">
      <c r="J524" s="149"/>
      <c r="N524" s="149"/>
    </row>
    <row r="525" ht="15.75" customHeight="1">
      <c r="J525" s="149"/>
      <c r="N525" s="149"/>
    </row>
    <row r="526" ht="15.75" customHeight="1">
      <c r="J526" s="149"/>
      <c r="N526" s="149"/>
    </row>
    <row r="527" ht="15.75" customHeight="1">
      <c r="J527" s="149"/>
      <c r="N527" s="149"/>
    </row>
    <row r="528" ht="15.75" customHeight="1">
      <c r="J528" s="149"/>
      <c r="N528" s="149"/>
    </row>
    <row r="529" ht="15.75" customHeight="1">
      <c r="J529" s="149"/>
      <c r="N529" s="149"/>
    </row>
    <row r="530" ht="15.75" customHeight="1">
      <c r="J530" s="149"/>
      <c r="N530" s="149"/>
    </row>
    <row r="531" ht="15.75" customHeight="1">
      <c r="J531" s="149"/>
      <c r="N531" s="149"/>
    </row>
    <row r="532" ht="15.75" customHeight="1">
      <c r="J532" s="149"/>
      <c r="N532" s="149"/>
    </row>
    <row r="533" ht="15.75" customHeight="1">
      <c r="J533" s="149"/>
      <c r="N533" s="149"/>
    </row>
    <row r="534" ht="15.75" customHeight="1">
      <c r="J534" s="149"/>
      <c r="N534" s="149"/>
    </row>
    <row r="535" ht="15.75" customHeight="1">
      <c r="J535" s="149"/>
      <c r="N535" s="149"/>
    </row>
    <row r="536" ht="15.75" customHeight="1">
      <c r="J536" s="149"/>
      <c r="N536" s="149"/>
    </row>
    <row r="537" ht="15.75" customHeight="1">
      <c r="J537" s="149"/>
      <c r="N537" s="149"/>
    </row>
    <row r="538" ht="15.75" customHeight="1">
      <c r="J538" s="149"/>
      <c r="N538" s="149"/>
    </row>
    <row r="539" ht="15.75" customHeight="1">
      <c r="J539" s="149"/>
      <c r="N539" s="149"/>
    </row>
    <row r="540" ht="15.75" customHeight="1">
      <c r="J540" s="149"/>
      <c r="N540" s="149"/>
    </row>
    <row r="541" ht="15.75" customHeight="1">
      <c r="J541" s="149"/>
      <c r="N541" s="149"/>
    </row>
    <row r="542" ht="15.75" customHeight="1">
      <c r="J542" s="149"/>
      <c r="N542" s="149"/>
    </row>
    <row r="543" ht="15.75" customHeight="1">
      <c r="J543" s="149"/>
      <c r="N543" s="149"/>
    </row>
    <row r="544" ht="15.75" customHeight="1">
      <c r="J544" s="149"/>
      <c r="N544" s="149"/>
    </row>
    <row r="545" ht="15.75" customHeight="1">
      <c r="J545" s="149"/>
      <c r="N545" s="149"/>
    </row>
    <row r="546" ht="15.75" customHeight="1">
      <c r="J546" s="149"/>
      <c r="N546" s="149"/>
    </row>
    <row r="547" ht="15.75" customHeight="1">
      <c r="J547" s="149"/>
      <c r="N547" s="149"/>
    </row>
    <row r="548" ht="15.75" customHeight="1">
      <c r="J548" s="149"/>
      <c r="N548" s="149"/>
    </row>
    <row r="549" ht="15.75" customHeight="1">
      <c r="J549" s="149"/>
      <c r="N549" s="149"/>
    </row>
    <row r="550" ht="15.75" customHeight="1">
      <c r="J550" s="149"/>
      <c r="N550" s="149"/>
    </row>
    <row r="551" ht="15.75" customHeight="1">
      <c r="J551" s="149"/>
      <c r="N551" s="149"/>
    </row>
    <row r="552" ht="15.75" customHeight="1">
      <c r="J552" s="149"/>
      <c r="N552" s="149"/>
    </row>
    <row r="553" ht="15.75" customHeight="1">
      <c r="J553" s="149"/>
      <c r="N553" s="149"/>
    </row>
    <row r="554" ht="15.75" customHeight="1">
      <c r="J554" s="149"/>
      <c r="N554" s="149"/>
    </row>
    <row r="555" ht="15.75" customHeight="1">
      <c r="J555" s="149"/>
      <c r="N555" s="149"/>
    </row>
    <row r="556" ht="15.75" customHeight="1">
      <c r="J556" s="149"/>
      <c r="N556" s="149"/>
    </row>
    <row r="557" ht="15.75" customHeight="1">
      <c r="J557" s="149"/>
      <c r="N557" s="149"/>
    </row>
    <row r="558" ht="15.75" customHeight="1">
      <c r="J558" s="149"/>
      <c r="N558" s="149"/>
    </row>
    <row r="559" ht="15.75" customHeight="1">
      <c r="J559" s="149"/>
      <c r="N559" s="149"/>
    </row>
    <row r="560" ht="15.75" customHeight="1">
      <c r="J560" s="149"/>
      <c r="N560" s="149"/>
    </row>
    <row r="561" ht="15.75" customHeight="1">
      <c r="J561" s="149"/>
      <c r="N561" s="149"/>
    </row>
    <row r="562" ht="15.75" customHeight="1">
      <c r="J562" s="149"/>
      <c r="N562" s="149"/>
    </row>
    <row r="563" ht="15.75" customHeight="1">
      <c r="J563" s="149"/>
      <c r="N563" s="149"/>
    </row>
    <row r="564" ht="15.75" customHeight="1">
      <c r="J564" s="149"/>
      <c r="N564" s="149"/>
    </row>
    <row r="565" ht="15.75" customHeight="1">
      <c r="J565" s="149"/>
      <c r="N565" s="149"/>
    </row>
    <row r="566" ht="15.75" customHeight="1">
      <c r="J566" s="149"/>
      <c r="N566" s="149"/>
    </row>
    <row r="567" ht="15.75" customHeight="1">
      <c r="J567" s="149"/>
      <c r="N567" s="149"/>
    </row>
    <row r="568" ht="15.75" customHeight="1">
      <c r="J568" s="149"/>
      <c r="N568" s="149"/>
    </row>
    <row r="569" ht="15.75" customHeight="1">
      <c r="J569" s="149"/>
      <c r="N569" s="149"/>
    </row>
    <row r="570" ht="15.75" customHeight="1">
      <c r="J570" s="149"/>
      <c r="N570" s="149"/>
    </row>
    <row r="571" ht="15.75" customHeight="1">
      <c r="J571" s="149"/>
      <c r="N571" s="149"/>
    </row>
    <row r="572" ht="15.75" customHeight="1">
      <c r="J572" s="149"/>
      <c r="N572" s="149"/>
    </row>
    <row r="573" ht="15.75" customHeight="1">
      <c r="J573" s="149"/>
      <c r="N573" s="149"/>
    </row>
    <row r="574" ht="15.75" customHeight="1">
      <c r="J574" s="149"/>
      <c r="N574" s="149"/>
    </row>
    <row r="575" ht="15.75" customHeight="1">
      <c r="J575" s="149"/>
      <c r="N575" s="149"/>
    </row>
    <row r="576" ht="15.75" customHeight="1">
      <c r="J576" s="149"/>
      <c r="N576" s="149"/>
    </row>
    <row r="577" ht="15.75" customHeight="1">
      <c r="J577" s="149"/>
      <c r="N577" s="149"/>
    </row>
    <row r="578" ht="15.75" customHeight="1">
      <c r="J578" s="149"/>
      <c r="N578" s="149"/>
    </row>
    <row r="579" ht="15.75" customHeight="1">
      <c r="J579" s="149"/>
      <c r="N579" s="149"/>
    </row>
    <row r="580" ht="15.75" customHeight="1">
      <c r="J580" s="149"/>
      <c r="N580" s="149"/>
    </row>
    <row r="581" ht="15.75" customHeight="1">
      <c r="J581" s="149"/>
      <c r="N581" s="149"/>
    </row>
    <row r="582" ht="15.75" customHeight="1">
      <c r="J582" s="149"/>
      <c r="N582" s="149"/>
    </row>
    <row r="583" ht="15.75" customHeight="1">
      <c r="J583" s="149"/>
      <c r="N583" s="149"/>
    </row>
    <row r="584" ht="15.75" customHeight="1">
      <c r="J584" s="149"/>
      <c r="N584" s="149"/>
    </row>
    <row r="585" ht="15.75" customHeight="1">
      <c r="J585" s="149"/>
      <c r="N585" s="149"/>
    </row>
    <row r="586" ht="15.75" customHeight="1">
      <c r="J586" s="149"/>
      <c r="N586" s="149"/>
    </row>
    <row r="587" ht="15.75" customHeight="1">
      <c r="J587" s="149"/>
      <c r="N587" s="149"/>
    </row>
    <row r="588" ht="15.75" customHeight="1">
      <c r="J588" s="149"/>
      <c r="N588" s="149"/>
    </row>
    <row r="589" ht="15.75" customHeight="1">
      <c r="J589" s="149"/>
      <c r="N589" s="149"/>
    </row>
    <row r="590" ht="15.75" customHeight="1">
      <c r="J590" s="149"/>
      <c r="N590" s="149"/>
    </row>
    <row r="591" ht="15.75" customHeight="1">
      <c r="J591" s="149"/>
      <c r="N591" s="149"/>
    </row>
    <row r="592" ht="15.75" customHeight="1">
      <c r="J592" s="149"/>
      <c r="N592" s="149"/>
    </row>
    <row r="593" ht="15.75" customHeight="1">
      <c r="J593" s="149"/>
      <c r="N593" s="149"/>
    </row>
    <row r="594" ht="15.75" customHeight="1">
      <c r="J594" s="149"/>
      <c r="N594" s="149"/>
    </row>
    <row r="595" ht="15.75" customHeight="1">
      <c r="J595" s="149"/>
      <c r="N595" s="149"/>
    </row>
    <row r="596" ht="15.75" customHeight="1">
      <c r="J596" s="149"/>
      <c r="N596" s="149"/>
    </row>
    <row r="597" ht="15.75" customHeight="1">
      <c r="J597" s="149"/>
      <c r="N597" s="149"/>
    </row>
    <row r="598" ht="15.75" customHeight="1">
      <c r="J598" s="149"/>
      <c r="N598" s="149"/>
    </row>
    <row r="599" ht="15.75" customHeight="1">
      <c r="J599" s="149"/>
      <c r="N599" s="149"/>
    </row>
    <row r="600" ht="15.75" customHeight="1">
      <c r="J600" s="149"/>
      <c r="N600" s="149"/>
    </row>
    <row r="601" ht="15.75" customHeight="1">
      <c r="J601" s="149"/>
      <c r="N601" s="149"/>
    </row>
    <row r="602" ht="15.75" customHeight="1">
      <c r="J602" s="149"/>
      <c r="N602" s="149"/>
    </row>
    <row r="603" ht="15.75" customHeight="1">
      <c r="J603" s="149"/>
      <c r="N603" s="149"/>
    </row>
    <row r="604" ht="15.75" customHeight="1">
      <c r="J604" s="149"/>
      <c r="N604" s="149"/>
    </row>
    <row r="605" ht="15.75" customHeight="1">
      <c r="J605" s="149"/>
      <c r="N605" s="149"/>
    </row>
    <row r="606" ht="15.75" customHeight="1">
      <c r="J606" s="149"/>
      <c r="N606" s="149"/>
    </row>
    <row r="607" ht="15.75" customHeight="1">
      <c r="J607" s="149"/>
      <c r="N607" s="149"/>
    </row>
    <row r="608" ht="15.75" customHeight="1">
      <c r="J608" s="149"/>
      <c r="N608" s="149"/>
    </row>
    <row r="609" ht="15.75" customHeight="1">
      <c r="J609" s="149"/>
      <c r="N609" s="149"/>
    </row>
    <row r="610" ht="15.75" customHeight="1">
      <c r="J610" s="149"/>
      <c r="N610" s="149"/>
    </row>
    <row r="611" ht="15.75" customHeight="1">
      <c r="J611" s="149"/>
      <c r="N611" s="149"/>
    </row>
    <row r="612" ht="15.75" customHeight="1">
      <c r="J612" s="149"/>
      <c r="N612" s="149"/>
    </row>
    <row r="613" ht="15.75" customHeight="1">
      <c r="J613" s="149"/>
      <c r="N613" s="149"/>
    </row>
    <row r="614" ht="15.75" customHeight="1">
      <c r="J614" s="149"/>
      <c r="N614" s="149"/>
    </row>
    <row r="615" ht="15.75" customHeight="1">
      <c r="J615" s="149"/>
      <c r="N615" s="149"/>
    </row>
    <row r="616" ht="15.75" customHeight="1">
      <c r="J616" s="149"/>
      <c r="N616" s="149"/>
    </row>
    <row r="617" ht="15.75" customHeight="1">
      <c r="J617" s="149"/>
      <c r="N617" s="149"/>
    </row>
    <row r="618" ht="15.75" customHeight="1">
      <c r="J618" s="149"/>
      <c r="N618" s="149"/>
    </row>
    <row r="619" ht="15.75" customHeight="1">
      <c r="J619" s="149"/>
      <c r="N619" s="149"/>
    </row>
    <row r="620" ht="15.75" customHeight="1">
      <c r="J620" s="149"/>
      <c r="N620" s="149"/>
    </row>
    <row r="621" ht="15.75" customHeight="1">
      <c r="J621" s="149"/>
      <c r="N621" s="149"/>
    </row>
    <row r="622" ht="15.75" customHeight="1">
      <c r="J622" s="149"/>
      <c r="N622" s="149"/>
    </row>
    <row r="623" ht="15.75" customHeight="1">
      <c r="J623" s="149"/>
      <c r="N623" s="149"/>
    </row>
    <row r="624" ht="15.75" customHeight="1">
      <c r="J624" s="149"/>
      <c r="N624" s="149"/>
    </row>
    <row r="625" ht="15.75" customHeight="1">
      <c r="J625" s="149"/>
      <c r="N625" s="149"/>
    </row>
    <row r="626" ht="15.75" customHeight="1">
      <c r="J626" s="149"/>
      <c r="N626" s="149"/>
    </row>
    <row r="627" ht="15.75" customHeight="1">
      <c r="J627" s="149"/>
      <c r="N627" s="149"/>
    </row>
    <row r="628" ht="15.75" customHeight="1">
      <c r="J628" s="149"/>
      <c r="N628" s="149"/>
    </row>
    <row r="629" ht="15.75" customHeight="1">
      <c r="J629" s="149"/>
      <c r="N629" s="149"/>
    </row>
    <row r="630" ht="15.75" customHeight="1">
      <c r="J630" s="149"/>
      <c r="N630" s="149"/>
    </row>
    <row r="631" ht="15.75" customHeight="1">
      <c r="J631" s="149"/>
      <c r="N631" s="149"/>
    </row>
    <row r="632" ht="15.75" customHeight="1">
      <c r="J632" s="149"/>
      <c r="N632" s="149"/>
    </row>
    <row r="633" ht="15.75" customHeight="1">
      <c r="J633" s="149"/>
      <c r="N633" s="149"/>
    </row>
    <row r="634" ht="15.75" customHeight="1">
      <c r="J634" s="149"/>
      <c r="N634" s="149"/>
    </row>
    <row r="635" ht="15.75" customHeight="1">
      <c r="J635" s="149"/>
      <c r="N635" s="149"/>
    </row>
    <row r="636" ht="15.75" customHeight="1">
      <c r="J636" s="149"/>
      <c r="N636" s="149"/>
    </row>
    <row r="637" ht="15.75" customHeight="1">
      <c r="J637" s="149"/>
      <c r="N637" s="149"/>
    </row>
    <row r="638" ht="15.75" customHeight="1">
      <c r="J638" s="149"/>
      <c r="N638" s="149"/>
    </row>
    <row r="639" ht="15.75" customHeight="1">
      <c r="J639" s="149"/>
      <c r="N639" s="149"/>
    </row>
    <row r="640" ht="15.75" customHeight="1">
      <c r="J640" s="149"/>
      <c r="N640" s="149"/>
    </row>
    <row r="641" ht="15.75" customHeight="1">
      <c r="J641" s="149"/>
      <c r="N641" s="149"/>
    </row>
    <row r="642" ht="15.75" customHeight="1">
      <c r="J642" s="149"/>
      <c r="N642" s="149"/>
    </row>
    <row r="643" ht="15.75" customHeight="1">
      <c r="J643" s="149"/>
      <c r="N643" s="149"/>
    </row>
    <row r="644" ht="15.75" customHeight="1">
      <c r="J644" s="149"/>
      <c r="N644" s="149"/>
    </row>
    <row r="645" ht="15.75" customHeight="1">
      <c r="J645" s="149"/>
      <c r="N645" s="149"/>
    </row>
    <row r="646" ht="15.75" customHeight="1">
      <c r="J646" s="149"/>
      <c r="N646" s="149"/>
    </row>
    <row r="647" ht="15.75" customHeight="1">
      <c r="J647" s="149"/>
      <c r="N647" s="149"/>
    </row>
    <row r="648" ht="15.75" customHeight="1">
      <c r="J648" s="149"/>
      <c r="N648" s="149"/>
    </row>
    <row r="649" ht="15.75" customHeight="1">
      <c r="J649" s="149"/>
      <c r="N649" s="149"/>
    </row>
    <row r="650" ht="15.75" customHeight="1">
      <c r="J650" s="149"/>
      <c r="N650" s="149"/>
    </row>
    <row r="651" ht="15.75" customHeight="1">
      <c r="J651" s="149"/>
      <c r="N651" s="149"/>
    </row>
    <row r="652" ht="15.75" customHeight="1">
      <c r="J652" s="149"/>
      <c r="N652" s="149"/>
    </row>
    <row r="653" ht="15.75" customHeight="1">
      <c r="J653" s="149"/>
      <c r="N653" s="149"/>
    </row>
    <row r="654" ht="15.75" customHeight="1">
      <c r="J654" s="149"/>
      <c r="N654" s="149"/>
    </row>
    <row r="655" ht="15.75" customHeight="1">
      <c r="J655" s="149"/>
      <c r="N655" s="149"/>
    </row>
    <row r="656" ht="15.75" customHeight="1">
      <c r="J656" s="149"/>
      <c r="N656" s="149"/>
    </row>
    <row r="657" ht="15.75" customHeight="1">
      <c r="J657" s="149"/>
      <c r="N657" s="149"/>
    </row>
    <row r="658" ht="15.75" customHeight="1">
      <c r="J658" s="149"/>
      <c r="N658" s="149"/>
    </row>
    <row r="659" ht="15.75" customHeight="1">
      <c r="J659" s="149"/>
      <c r="N659" s="149"/>
    </row>
    <row r="660" ht="15.75" customHeight="1">
      <c r="J660" s="149"/>
      <c r="N660" s="149"/>
    </row>
    <row r="661" ht="15.75" customHeight="1">
      <c r="J661" s="149"/>
      <c r="N661" s="149"/>
    </row>
    <row r="662" ht="15.75" customHeight="1">
      <c r="J662" s="149"/>
      <c r="N662" s="149"/>
    </row>
    <row r="663" ht="15.75" customHeight="1">
      <c r="J663" s="149"/>
      <c r="N663" s="149"/>
    </row>
    <row r="664" ht="15.75" customHeight="1">
      <c r="J664" s="149"/>
      <c r="N664" s="149"/>
    </row>
    <row r="665" ht="15.75" customHeight="1">
      <c r="J665" s="149"/>
      <c r="N665" s="149"/>
    </row>
    <row r="666" ht="15.75" customHeight="1">
      <c r="J666" s="149"/>
      <c r="N666" s="149"/>
    </row>
    <row r="667" ht="15.75" customHeight="1">
      <c r="J667" s="149"/>
      <c r="N667" s="149"/>
    </row>
    <row r="668" ht="15.75" customHeight="1">
      <c r="J668" s="149"/>
      <c r="N668" s="149"/>
    </row>
    <row r="669" ht="15.75" customHeight="1">
      <c r="J669" s="149"/>
      <c r="N669" s="149"/>
    </row>
    <row r="670" ht="15.75" customHeight="1">
      <c r="J670" s="149"/>
      <c r="N670" s="149"/>
    </row>
    <row r="671" ht="15.75" customHeight="1">
      <c r="J671" s="149"/>
      <c r="N671" s="149"/>
    </row>
    <row r="672" ht="15.75" customHeight="1">
      <c r="J672" s="149"/>
      <c r="N672" s="149"/>
    </row>
    <row r="673" ht="15.75" customHeight="1">
      <c r="J673" s="149"/>
      <c r="N673" s="149"/>
    </row>
    <row r="674" ht="15.75" customHeight="1">
      <c r="J674" s="149"/>
      <c r="N674" s="149"/>
    </row>
    <row r="675" ht="15.75" customHeight="1">
      <c r="J675" s="149"/>
      <c r="N675" s="149"/>
    </row>
    <row r="676" ht="15.75" customHeight="1">
      <c r="J676" s="149"/>
      <c r="N676" s="149"/>
    </row>
    <row r="677" ht="15.75" customHeight="1">
      <c r="J677" s="149"/>
      <c r="N677" s="149"/>
    </row>
    <row r="678" ht="15.75" customHeight="1">
      <c r="J678" s="149"/>
      <c r="N678" s="149"/>
    </row>
    <row r="679" ht="15.75" customHeight="1">
      <c r="J679" s="149"/>
      <c r="N679" s="149"/>
    </row>
    <row r="680" ht="15.75" customHeight="1">
      <c r="J680" s="149"/>
      <c r="N680" s="149"/>
    </row>
    <row r="681" ht="15.75" customHeight="1">
      <c r="J681" s="149"/>
      <c r="N681" s="149"/>
    </row>
    <row r="682" ht="15.75" customHeight="1">
      <c r="J682" s="149"/>
      <c r="N682" s="149"/>
    </row>
    <row r="683" ht="15.75" customHeight="1">
      <c r="J683" s="149"/>
      <c r="N683" s="149"/>
    </row>
    <row r="684" ht="15.75" customHeight="1">
      <c r="J684" s="149"/>
      <c r="N684" s="149"/>
    </row>
    <row r="685" ht="15.75" customHeight="1">
      <c r="J685" s="149"/>
      <c r="N685" s="149"/>
    </row>
    <row r="686" ht="15.75" customHeight="1">
      <c r="J686" s="149"/>
      <c r="N686" s="149"/>
    </row>
    <row r="687" ht="15.75" customHeight="1">
      <c r="J687" s="149"/>
      <c r="N687" s="149"/>
    </row>
    <row r="688" ht="15.75" customHeight="1">
      <c r="J688" s="149"/>
      <c r="N688" s="149"/>
    </row>
    <row r="689" ht="15.75" customHeight="1">
      <c r="J689" s="149"/>
      <c r="N689" s="149"/>
    </row>
    <row r="690" ht="15.75" customHeight="1">
      <c r="J690" s="149"/>
      <c r="N690" s="149"/>
    </row>
    <row r="691" ht="15.75" customHeight="1">
      <c r="J691" s="149"/>
      <c r="N691" s="149"/>
    </row>
    <row r="692" ht="15.75" customHeight="1">
      <c r="J692" s="149"/>
      <c r="N692" s="149"/>
    </row>
    <row r="693" ht="15.75" customHeight="1">
      <c r="J693" s="149"/>
      <c r="N693" s="149"/>
    </row>
    <row r="694" ht="15.75" customHeight="1">
      <c r="J694" s="149"/>
      <c r="N694" s="149"/>
    </row>
    <row r="695" ht="15.75" customHeight="1">
      <c r="J695" s="149"/>
      <c r="N695" s="149"/>
    </row>
    <row r="696" ht="15.75" customHeight="1">
      <c r="J696" s="149"/>
      <c r="N696" s="149"/>
    </row>
    <row r="697" ht="15.75" customHeight="1">
      <c r="J697" s="149"/>
      <c r="N697" s="149"/>
    </row>
    <row r="698" ht="15.75" customHeight="1">
      <c r="J698" s="149"/>
      <c r="N698" s="149"/>
    </row>
    <row r="699" ht="15.75" customHeight="1">
      <c r="J699" s="149"/>
      <c r="N699" s="149"/>
    </row>
    <row r="700" ht="15.75" customHeight="1">
      <c r="J700" s="149"/>
      <c r="N700" s="149"/>
    </row>
    <row r="701" ht="15.75" customHeight="1">
      <c r="J701" s="149"/>
      <c r="N701" s="149"/>
    </row>
    <row r="702" ht="15.75" customHeight="1">
      <c r="J702" s="149"/>
      <c r="N702" s="149"/>
    </row>
    <row r="703" ht="15.75" customHeight="1">
      <c r="J703" s="149"/>
      <c r="N703" s="149"/>
    </row>
    <row r="704" ht="15.75" customHeight="1">
      <c r="J704" s="149"/>
      <c r="N704" s="149"/>
    </row>
    <row r="705" ht="15.75" customHeight="1">
      <c r="J705" s="149"/>
      <c r="N705" s="149"/>
    </row>
    <row r="706" ht="15.75" customHeight="1">
      <c r="J706" s="149"/>
      <c r="N706" s="149"/>
    </row>
    <row r="707" ht="15.75" customHeight="1">
      <c r="J707" s="149"/>
      <c r="N707" s="149"/>
    </row>
    <row r="708" ht="15.75" customHeight="1">
      <c r="J708" s="149"/>
      <c r="N708" s="149"/>
    </row>
    <row r="709" ht="15.75" customHeight="1">
      <c r="J709" s="149"/>
      <c r="N709" s="149"/>
    </row>
    <row r="710" ht="15.75" customHeight="1">
      <c r="J710" s="149"/>
      <c r="N710" s="149"/>
    </row>
    <row r="711" ht="15.75" customHeight="1">
      <c r="J711" s="149"/>
      <c r="N711" s="149"/>
    </row>
    <row r="712" ht="15.75" customHeight="1">
      <c r="J712" s="149"/>
      <c r="N712" s="149"/>
    </row>
    <row r="713" ht="15.75" customHeight="1">
      <c r="J713" s="149"/>
      <c r="N713" s="149"/>
    </row>
    <row r="714" ht="15.75" customHeight="1">
      <c r="J714" s="149"/>
      <c r="N714" s="149"/>
    </row>
    <row r="715" ht="15.75" customHeight="1">
      <c r="J715" s="149"/>
      <c r="N715" s="149"/>
    </row>
    <row r="716" ht="15.75" customHeight="1">
      <c r="J716" s="149"/>
      <c r="N716" s="149"/>
    </row>
    <row r="717" ht="15.75" customHeight="1">
      <c r="J717" s="149"/>
      <c r="N717" s="149"/>
    </row>
    <row r="718" ht="15.75" customHeight="1">
      <c r="J718" s="149"/>
      <c r="N718" s="149"/>
    </row>
    <row r="719" ht="15.75" customHeight="1">
      <c r="J719" s="149"/>
      <c r="N719" s="149"/>
    </row>
    <row r="720" ht="15.75" customHeight="1">
      <c r="J720" s="149"/>
      <c r="N720" s="149"/>
    </row>
    <row r="721" ht="15.75" customHeight="1">
      <c r="J721" s="149"/>
      <c r="N721" s="149"/>
    </row>
    <row r="722" ht="15.75" customHeight="1">
      <c r="J722" s="149"/>
      <c r="N722" s="149"/>
    </row>
    <row r="723" ht="15.75" customHeight="1">
      <c r="J723" s="149"/>
      <c r="N723" s="149"/>
    </row>
    <row r="724" ht="15.75" customHeight="1">
      <c r="J724" s="149"/>
      <c r="N724" s="149"/>
    </row>
    <row r="725" ht="15.75" customHeight="1">
      <c r="J725" s="149"/>
      <c r="N725" s="149"/>
    </row>
    <row r="726" ht="15.75" customHeight="1">
      <c r="J726" s="149"/>
      <c r="N726" s="149"/>
    </row>
    <row r="727" ht="15.75" customHeight="1">
      <c r="J727" s="149"/>
      <c r="N727" s="149"/>
    </row>
    <row r="728" ht="15.75" customHeight="1">
      <c r="J728" s="149"/>
      <c r="N728" s="149"/>
    </row>
    <row r="729" ht="15.75" customHeight="1">
      <c r="J729" s="149"/>
      <c r="N729" s="149"/>
    </row>
    <row r="730" ht="15.75" customHeight="1">
      <c r="J730" s="149"/>
      <c r="N730" s="149"/>
    </row>
    <row r="731" ht="15.75" customHeight="1">
      <c r="J731" s="149"/>
      <c r="N731" s="149"/>
    </row>
    <row r="732" ht="15.75" customHeight="1">
      <c r="J732" s="149"/>
      <c r="N732" s="149"/>
    </row>
    <row r="733" ht="15.75" customHeight="1">
      <c r="J733" s="149"/>
      <c r="N733" s="149"/>
    </row>
    <row r="734" ht="15.75" customHeight="1">
      <c r="J734" s="149"/>
      <c r="N734" s="149"/>
    </row>
    <row r="735" ht="15.75" customHeight="1">
      <c r="J735" s="149"/>
      <c r="N735" s="149"/>
    </row>
    <row r="736" ht="15.75" customHeight="1">
      <c r="J736" s="149"/>
      <c r="N736" s="149"/>
    </row>
    <row r="737" ht="15.75" customHeight="1">
      <c r="J737" s="149"/>
      <c r="N737" s="149"/>
    </row>
    <row r="738" ht="15.75" customHeight="1">
      <c r="J738" s="149"/>
      <c r="N738" s="149"/>
    </row>
    <row r="739" ht="15.75" customHeight="1">
      <c r="J739" s="149"/>
      <c r="N739" s="149"/>
    </row>
    <row r="740" ht="15.75" customHeight="1">
      <c r="J740" s="149"/>
      <c r="N740" s="149"/>
    </row>
    <row r="741" ht="15.75" customHeight="1">
      <c r="J741" s="149"/>
      <c r="N741" s="149"/>
    </row>
    <row r="742" ht="15.75" customHeight="1">
      <c r="J742" s="149"/>
      <c r="N742" s="149"/>
    </row>
    <row r="743" ht="15.75" customHeight="1">
      <c r="J743" s="149"/>
      <c r="N743" s="149"/>
    </row>
    <row r="744" ht="15.75" customHeight="1">
      <c r="J744" s="149"/>
      <c r="N744" s="149"/>
    </row>
    <row r="745" ht="15.75" customHeight="1">
      <c r="J745" s="149"/>
      <c r="N745" s="149"/>
    </row>
    <row r="746" ht="15.75" customHeight="1">
      <c r="J746" s="149"/>
      <c r="N746" s="149"/>
    </row>
    <row r="747" ht="15.75" customHeight="1">
      <c r="J747" s="149"/>
      <c r="N747" s="149"/>
    </row>
    <row r="748" ht="15.75" customHeight="1">
      <c r="J748" s="149"/>
      <c r="N748" s="149"/>
    </row>
    <row r="749" ht="15.75" customHeight="1">
      <c r="J749" s="149"/>
      <c r="N749" s="149"/>
    </row>
    <row r="750" ht="15.75" customHeight="1">
      <c r="J750" s="149"/>
      <c r="N750" s="149"/>
    </row>
    <row r="751" ht="15.75" customHeight="1">
      <c r="J751" s="149"/>
      <c r="N751" s="149"/>
    </row>
    <row r="752" ht="15.75" customHeight="1">
      <c r="J752" s="149"/>
      <c r="N752" s="149"/>
    </row>
    <row r="753" ht="15.75" customHeight="1">
      <c r="J753" s="149"/>
      <c r="N753" s="149"/>
    </row>
    <row r="754" ht="15.75" customHeight="1">
      <c r="J754" s="149"/>
      <c r="N754" s="149"/>
    </row>
    <row r="755" ht="15.75" customHeight="1">
      <c r="J755" s="149"/>
      <c r="N755" s="149"/>
    </row>
    <row r="756" ht="15.75" customHeight="1">
      <c r="J756" s="149"/>
      <c r="N756" s="149"/>
    </row>
    <row r="757" ht="15.75" customHeight="1">
      <c r="J757" s="149"/>
      <c r="N757" s="149"/>
    </row>
    <row r="758" ht="15.75" customHeight="1">
      <c r="J758" s="149"/>
      <c r="N758" s="149"/>
    </row>
    <row r="759" ht="15.75" customHeight="1">
      <c r="J759" s="149"/>
      <c r="N759" s="149"/>
    </row>
    <row r="760" ht="15.75" customHeight="1">
      <c r="J760" s="149"/>
      <c r="N760" s="149"/>
    </row>
    <row r="761" ht="15.75" customHeight="1">
      <c r="J761" s="149"/>
      <c r="N761" s="149"/>
    </row>
    <row r="762" ht="15.75" customHeight="1">
      <c r="J762" s="149"/>
      <c r="N762" s="149"/>
    </row>
    <row r="763" ht="15.75" customHeight="1">
      <c r="J763" s="149"/>
      <c r="N763" s="149"/>
    </row>
    <row r="764" ht="15.75" customHeight="1">
      <c r="J764" s="149"/>
      <c r="N764" s="149"/>
    </row>
    <row r="765" ht="15.75" customHeight="1">
      <c r="J765" s="149"/>
      <c r="N765" s="149"/>
    </row>
    <row r="766" ht="15.75" customHeight="1">
      <c r="J766" s="149"/>
      <c r="N766" s="149"/>
    </row>
    <row r="767" ht="15.75" customHeight="1">
      <c r="J767" s="149"/>
      <c r="N767" s="149"/>
    </row>
    <row r="768" ht="15.75" customHeight="1">
      <c r="J768" s="149"/>
      <c r="N768" s="149"/>
    </row>
    <row r="769" ht="15.75" customHeight="1">
      <c r="J769" s="149"/>
      <c r="N769" s="149"/>
    </row>
    <row r="770" ht="15.75" customHeight="1">
      <c r="J770" s="149"/>
      <c r="N770" s="149"/>
    </row>
    <row r="771" ht="15.75" customHeight="1">
      <c r="J771" s="149"/>
      <c r="N771" s="149"/>
    </row>
    <row r="772" ht="15.75" customHeight="1">
      <c r="J772" s="149"/>
      <c r="N772" s="149"/>
    </row>
    <row r="773" ht="15.75" customHeight="1">
      <c r="J773" s="149"/>
      <c r="N773" s="149"/>
    </row>
    <row r="774" ht="15.75" customHeight="1">
      <c r="J774" s="149"/>
      <c r="N774" s="149"/>
    </row>
    <row r="775" ht="15.75" customHeight="1">
      <c r="J775" s="149"/>
      <c r="N775" s="149"/>
    </row>
    <row r="776" ht="15.75" customHeight="1">
      <c r="J776" s="149"/>
      <c r="N776" s="149"/>
    </row>
    <row r="777" ht="15.75" customHeight="1">
      <c r="J777" s="149"/>
      <c r="N777" s="149"/>
    </row>
    <row r="778" ht="15.75" customHeight="1">
      <c r="J778" s="149"/>
      <c r="N778" s="149"/>
    </row>
    <row r="779" ht="15.75" customHeight="1">
      <c r="J779" s="149"/>
      <c r="N779" s="149"/>
    </row>
    <row r="780" ht="15.75" customHeight="1">
      <c r="J780" s="149"/>
      <c r="N780" s="149"/>
    </row>
    <row r="781" ht="15.75" customHeight="1">
      <c r="J781" s="149"/>
      <c r="N781" s="149"/>
    </row>
    <row r="782" ht="15.75" customHeight="1">
      <c r="J782" s="149"/>
      <c r="N782" s="149"/>
    </row>
    <row r="783" ht="15.75" customHeight="1">
      <c r="J783" s="149"/>
      <c r="N783" s="149"/>
    </row>
    <row r="784" ht="15.75" customHeight="1">
      <c r="J784" s="149"/>
      <c r="N784" s="149"/>
    </row>
    <row r="785" ht="15.75" customHeight="1">
      <c r="J785" s="149"/>
      <c r="N785" s="149"/>
    </row>
    <row r="786" ht="15.75" customHeight="1">
      <c r="J786" s="149"/>
      <c r="N786" s="149"/>
    </row>
    <row r="787" ht="15.75" customHeight="1">
      <c r="J787" s="149"/>
      <c r="N787" s="149"/>
    </row>
    <row r="788" ht="15.75" customHeight="1">
      <c r="J788" s="149"/>
      <c r="N788" s="149"/>
    </row>
    <row r="789" ht="15.75" customHeight="1">
      <c r="J789" s="149"/>
      <c r="N789" s="149"/>
    </row>
    <row r="790" ht="15.75" customHeight="1">
      <c r="J790" s="149"/>
      <c r="N790" s="149"/>
    </row>
    <row r="791" ht="15.75" customHeight="1">
      <c r="J791" s="149"/>
      <c r="N791" s="149"/>
    </row>
    <row r="792" ht="15.75" customHeight="1">
      <c r="J792" s="149"/>
      <c r="N792" s="149"/>
    </row>
    <row r="793" ht="15.75" customHeight="1">
      <c r="J793" s="149"/>
      <c r="N793" s="149"/>
    </row>
    <row r="794" ht="15.75" customHeight="1">
      <c r="J794" s="149"/>
      <c r="N794" s="149"/>
    </row>
    <row r="795" ht="15.75" customHeight="1">
      <c r="J795" s="149"/>
      <c r="N795" s="149"/>
    </row>
    <row r="796" ht="15.75" customHeight="1">
      <c r="J796" s="149"/>
      <c r="N796" s="149"/>
    </row>
    <row r="797" ht="15.75" customHeight="1">
      <c r="J797" s="149"/>
      <c r="N797" s="149"/>
    </row>
    <row r="798" ht="15.75" customHeight="1">
      <c r="J798" s="149"/>
      <c r="N798" s="149"/>
    </row>
    <row r="799" ht="15.75" customHeight="1">
      <c r="J799" s="149"/>
      <c r="N799" s="149"/>
    </row>
    <row r="800" ht="15.75" customHeight="1">
      <c r="J800" s="149"/>
      <c r="N800" s="149"/>
    </row>
    <row r="801" ht="15.75" customHeight="1">
      <c r="J801" s="149"/>
      <c r="N801" s="149"/>
    </row>
    <row r="802" ht="15.75" customHeight="1">
      <c r="J802" s="149"/>
      <c r="N802" s="149"/>
    </row>
    <row r="803" ht="15.75" customHeight="1">
      <c r="J803" s="149"/>
      <c r="N803" s="149"/>
    </row>
    <row r="804" ht="15.75" customHeight="1">
      <c r="J804" s="149"/>
      <c r="N804" s="149"/>
    </row>
    <row r="805" ht="15.75" customHeight="1">
      <c r="J805" s="149"/>
      <c r="N805" s="149"/>
    </row>
    <row r="806" ht="15.75" customHeight="1">
      <c r="J806" s="149"/>
      <c r="N806" s="149"/>
    </row>
    <row r="807" ht="15.75" customHeight="1">
      <c r="J807" s="149"/>
      <c r="N807" s="149"/>
    </row>
    <row r="808" ht="15.75" customHeight="1">
      <c r="J808" s="149"/>
      <c r="N808" s="149"/>
    </row>
    <row r="809" ht="15.75" customHeight="1">
      <c r="J809" s="149"/>
      <c r="N809" s="149"/>
    </row>
    <row r="810" ht="15.75" customHeight="1">
      <c r="J810" s="149"/>
      <c r="N810" s="149"/>
    </row>
    <row r="811" ht="15.75" customHeight="1">
      <c r="J811" s="149"/>
      <c r="N811" s="149"/>
    </row>
    <row r="812" ht="15.75" customHeight="1">
      <c r="J812" s="149"/>
      <c r="N812" s="149"/>
    </row>
    <row r="813" ht="15.75" customHeight="1">
      <c r="J813" s="149"/>
      <c r="N813" s="149"/>
    </row>
    <row r="814" ht="15.75" customHeight="1">
      <c r="J814" s="149"/>
      <c r="N814" s="149"/>
    </row>
    <row r="815" ht="15.75" customHeight="1">
      <c r="J815" s="149"/>
      <c r="N815" s="149"/>
    </row>
    <row r="816" ht="15.75" customHeight="1">
      <c r="J816" s="149"/>
      <c r="N816" s="149"/>
    </row>
    <row r="817" ht="15.75" customHeight="1">
      <c r="J817" s="149"/>
      <c r="N817" s="149"/>
    </row>
    <row r="818" ht="15.75" customHeight="1">
      <c r="J818" s="149"/>
      <c r="N818" s="149"/>
    </row>
    <row r="819" ht="15.75" customHeight="1">
      <c r="J819" s="149"/>
      <c r="N819" s="149"/>
    </row>
    <row r="820" ht="15.75" customHeight="1">
      <c r="J820" s="149"/>
      <c r="N820" s="149"/>
    </row>
    <row r="821" ht="15.75" customHeight="1">
      <c r="J821" s="149"/>
      <c r="N821" s="149"/>
    </row>
    <row r="822" ht="15.75" customHeight="1">
      <c r="J822" s="149"/>
      <c r="N822" s="149"/>
    </row>
    <row r="823" ht="15.75" customHeight="1">
      <c r="J823" s="149"/>
      <c r="N823" s="149"/>
    </row>
    <row r="824" ht="15.75" customHeight="1">
      <c r="J824" s="149"/>
      <c r="N824" s="149"/>
    </row>
    <row r="825" ht="15.75" customHeight="1">
      <c r="J825" s="149"/>
      <c r="N825" s="149"/>
    </row>
    <row r="826" ht="15.75" customHeight="1">
      <c r="J826" s="149"/>
      <c r="N826" s="149"/>
    </row>
    <row r="827" ht="15.75" customHeight="1">
      <c r="J827" s="149"/>
      <c r="N827" s="149"/>
    </row>
    <row r="828" ht="15.75" customHeight="1">
      <c r="J828" s="149"/>
      <c r="N828" s="149"/>
    </row>
    <row r="829" ht="15.75" customHeight="1">
      <c r="J829" s="149"/>
      <c r="N829" s="149"/>
    </row>
    <row r="830" ht="15.75" customHeight="1">
      <c r="J830" s="149"/>
      <c r="N830" s="149"/>
    </row>
    <row r="831" ht="15.75" customHeight="1">
      <c r="J831" s="149"/>
      <c r="N831" s="149"/>
    </row>
    <row r="832" ht="15.75" customHeight="1">
      <c r="J832" s="149"/>
      <c r="N832" s="149"/>
    </row>
    <row r="833" ht="15.75" customHeight="1">
      <c r="J833" s="149"/>
      <c r="N833" s="149"/>
    </row>
    <row r="834" ht="15.75" customHeight="1">
      <c r="J834" s="149"/>
      <c r="N834" s="149"/>
    </row>
    <row r="835" ht="15.75" customHeight="1">
      <c r="J835" s="149"/>
      <c r="N835" s="149"/>
    </row>
    <row r="836" ht="15.75" customHeight="1">
      <c r="J836" s="149"/>
      <c r="N836" s="149"/>
    </row>
    <row r="837" ht="15.75" customHeight="1">
      <c r="J837" s="149"/>
      <c r="N837" s="149"/>
    </row>
    <row r="838" ht="15.75" customHeight="1">
      <c r="J838" s="149"/>
      <c r="N838" s="149"/>
    </row>
    <row r="839" ht="15.75" customHeight="1">
      <c r="J839" s="149"/>
      <c r="N839" s="149"/>
    </row>
    <row r="840" ht="15.75" customHeight="1">
      <c r="J840" s="149"/>
      <c r="N840" s="149"/>
    </row>
    <row r="841" ht="15.75" customHeight="1">
      <c r="J841" s="149"/>
      <c r="N841" s="149"/>
    </row>
    <row r="842" ht="15.75" customHeight="1">
      <c r="J842" s="149"/>
      <c r="N842" s="149"/>
    </row>
    <row r="843" ht="15.75" customHeight="1">
      <c r="J843" s="149"/>
      <c r="N843" s="149"/>
    </row>
    <row r="844" ht="15.75" customHeight="1">
      <c r="J844" s="149"/>
      <c r="N844" s="149"/>
    </row>
    <row r="845" ht="15.75" customHeight="1">
      <c r="J845" s="149"/>
      <c r="N845" s="149"/>
    </row>
    <row r="846" ht="15.75" customHeight="1">
      <c r="J846" s="149"/>
      <c r="N846" s="149"/>
    </row>
    <row r="847" ht="15.75" customHeight="1">
      <c r="J847" s="149"/>
      <c r="N847" s="149"/>
    </row>
    <row r="848" ht="15.75" customHeight="1">
      <c r="J848" s="149"/>
      <c r="N848" s="149"/>
    </row>
    <row r="849" ht="15.75" customHeight="1">
      <c r="J849" s="149"/>
      <c r="N849" s="149"/>
    </row>
    <row r="850" ht="15.75" customHeight="1">
      <c r="J850" s="149"/>
      <c r="N850" s="149"/>
    </row>
    <row r="851" ht="15.75" customHeight="1">
      <c r="J851" s="149"/>
      <c r="N851" s="149"/>
    </row>
    <row r="852" ht="15.75" customHeight="1">
      <c r="J852" s="149"/>
      <c r="N852" s="149"/>
    </row>
    <row r="853" ht="15.75" customHeight="1">
      <c r="J853" s="149"/>
      <c r="N853" s="149"/>
    </row>
    <row r="854" ht="15.75" customHeight="1">
      <c r="J854" s="149"/>
      <c r="N854" s="149"/>
    </row>
    <row r="855" ht="15.75" customHeight="1">
      <c r="J855" s="149"/>
      <c r="N855" s="149"/>
    </row>
    <row r="856" ht="15.75" customHeight="1">
      <c r="J856" s="149"/>
      <c r="N856" s="149"/>
    </row>
    <row r="857" ht="15.75" customHeight="1">
      <c r="J857" s="149"/>
      <c r="N857" s="149"/>
    </row>
    <row r="858" ht="15.75" customHeight="1">
      <c r="J858" s="149"/>
      <c r="N858" s="149"/>
    </row>
    <row r="859" ht="15.75" customHeight="1">
      <c r="J859" s="149"/>
      <c r="N859" s="149"/>
    </row>
    <row r="860" ht="15.75" customHeight="1">
      <c r="J860" s="149"/>
      <c r="N860" s="149"/>
    </row>
    <row r="861" ht="15.75" customHeight="1">
      <c r="J861" s="149"/>
      <c r="N861" s="149"/>
    </row>
    <row r="862" ht="15.75" customHeight="1">
      <c r="J862" s="149"/>
      <c r="N862" s="149"/>
    </row>
    <row r="863" ht="15.75" customHeight="1">
      <c r="J863" s="149"/>
      <c r="N863" s="149"/>
    </row>
    <row r="864" ht="15.75" customHeight="1">
      <c r="J864" s="149"/>
      <c r="N864" s="149"/>
    </row>
    <row r="865" ht="15.75" customHeight="1">
      <c r="J865" s="149"/>
      <c r="N865" s="149"/>
    </row>
    <row r="866" ht="15.75" customHeight="1">
      <c r="J866" s="149"/>
      <c r="N866" s="149"/>
    </row>
    <row r="867" ht="15.75" customHeight="1">
      <c r="J867" s="149"/>
      <c r="N867" s="149"/>
    </row>
    <row r="868" ht="15.75" customHeight="1">
      <c r="J868" s="149"/>
      <c r="N868" s="149"/>
    </row>
    <row r="869" ht="15.75" customHeight="1">
      <c r="J869" s="149"/>
      <c r="N869" s="149"/>
    </row>
    <row r="870" ht="15.75" customHeight="1">
      <c r="J870" s="149"/>
      <c r="N870" s="149"/>
    </row>
    <row r="871" ht="15.75" customHeight="1">
      <c r="J871" s="149"/>
      <c r="N871" s="149"/>
    </row>
    <row r="872" ht="15.75" customHeight="1">
      <c r="J872" s="149"/>
      <c r="N872" s="149"/>
    </row>
    <row r="873" ht="15.75" customHeight="1">
      <c r="J873" s="149"/>
      <c r="N873" s="149"/>
    </row>
    <row r="874" ht="15.75" customHeight="1">
      <c r="J874" s="149"/>
      <c r="N874" s="149"/>
    </row>
    <row r="875" ht="15.75" customHeight="1">
      <c r="J875" s="149"/>
      <c r="N875" s="149"/>
    </row>
    <row r="876" ht="15.75" customHeight="1">
      <c r="J876" s="149"/>
      <c r="N876" s="149"/>
    </row>
    <row r="877" ht="15.75" customHeight="1">
      <c r="J877" s="149"/>
      <c r="N877" s="149"/>
    </row>
    <row r="878" ht="15.75" customHeight="1">
      <c r="J878" s="149"/>
      <c r="N878" s="149"/>
    </row>
    <row r="879" ht="15.75" customHeight="1">
      <c r="J879" s="149"/>
      <c r="N879" s="149"/>
    </row>
    <row r="880" ht="15.75" customHeight="1">
      <c r="J880" s="149"/>
      <c r="N880" s="149"/>
    </row>
    <row r="881" ht="15.75" customHeight="1">
      <c r="J881" s="149"/>
      <c r="N881" s="149"/>
    </row>
    <row r="882" ht="15.75" customHeight="1">
      <c r="J882" s="149"/>
      <c r="N882" s="149"/>
    </row>
    <row r="883" ht="15.75" customHeight="1">
      <c r="J883" s="149"/>
      <c r="N883" s="149"/>
    </row>
    <row r="884" ht="15.75" customHeight="1">
      <c r="J884" s="149"/>
      <c r="N884" s="149"/>
    </row>
    <row r="885" ht="15.75" customHeight="1">
      <c r="J885" s="149"/>
      <c r="N885" s="149"/>
    </row>
    <row r="886" ht="15.75" customHeight="1">
      <c r="J886" s="149"/>
      <c r="N886" s="149"/>
    </row>
    <row r="887" ht="15.75" customHeight="1">
      <c r="J887" s="149"/>
      <c r="N887" s="149"/>
    </row>
    <row r="888" ht="15.75" customHeight="1">
      <c r="J888" s="149"/>
      <c r="N888" s="149"/>
    </row>
    <row r="889" ht="15.75" customHeight="1">
      <c r="J889" s="149"/>
      <c r="N889" s="149"/>
    </row>
    <row r="890" ht="15.75" customHeight="1">
      <c r="J890" s="149"/>
      <c r="N890" s="149"/>
    </row>
    <row r="891" ht="15.75" customHeight="1">
      <c r="J891" s="149"/>
      <c r="N891" s="149"/>
    </row>
    <row r="892" ht="15.75" customHeight="1">
      <c r="J892" s="149"/>
      <c r="N892" s="149"/>
    </row>
    <row r="893" ht="15.75" customHeight="1">
      <c r="J893" s="149"/>
      <c r="N893" s="149"/>
    </row>
    <row r="894" ht="15.75" customHeight="1">
      <c r="J894" s="149"/>
      <c r="N894" s="149"/>
    </row>
    <row r="895" ht="15.75" customHeight="1">
      <c r="J895" s="149"/>
      <c r="N895" s="149"/>
    </row>
    <row r="896" ht="15.75" customHeight="1">
      <c r="J896" s="149"/>
      <c r="N896" s="149"/>
    </row>
    <row r="897" ht="15.75" customHeight="1">
      <c r="J897" s="149"/>
      <c r="N897" s="149"/>
    </row>
    <row r="898" ht="15.75" customHeight="1">
      <c r="J898" s="149"/>
      <c r="N898" s="149"/>
    </row>
    <row r="899" ht="15.75" customHeight="1">
      <c r="J899" s="149"/>
      <c r="N899" s="149"/>
    </row>
    <row r="900" ht="15.75" customHeight="1">
      <c r="J900" s="149"/>
      <c r="N900" s="149"/>
    </row>
    <row r="901" ht="15.75" customHeight="1">
      <c r="J901" s="149"/>
      <c r="N901" s="149"/>
    </row>
    <row r="902" ht="15.75" customHeight="1">
      <c r="J902" s="149"/>
      <c r="N902" s="149"/>
    </row>
    <row r="903" ht="15.75" customHeight="1">
      <c r="J903" s="149"/>
      <c r="N903" s="149"/>
    </row>
    <row r="904" ht="15.75" customHeight="1">
      <c r="J904" s="149"/>
      <c r="N904" s="149"/>
    </row>
    <row r="905" ht="15.75" customHeight="1">
      <c r="J905" s="149"/>
      <c r="N905" s="149"/>
    </row>
    <row r="906" ht="15.75" customHeight="1">
      <c r="J906" s="149"/>
      <c r="N906" s="149"/>
    </row>
    <row r="907" ht="15.75" customHeight="1">
      <c r="J907" s="149"/>
      <c r="N907" s="149"/>
    </row>
    <row r="908" ht="15.75" customHeight="1">
      <c r="J908" s="149"/>
      <c r="N908" s="149"/>
    </row>
    <row r="909" ht="15.75" customHeight="1">
      <c r="J909" s="149"/>
      <c r="N909" s="149"/>
    </row>
    <row r="910" ht="15.75" customHeight="1">
      <c r="J910" s="149"/>
      <c r="N910" s="149"/>
    </row>
    <row r="911" ht="15.75" customHeight="1">
      <c r="J911" s="149"/>
      <c r="N911" s="149"/>
    </row>
    <row r="912" ht="15.75" customHeight="1">
      <c r="J912" s="149"/>
      <c r="N912" s="149"/>
    </row>
    <row r="913" ht="15.75" customHeight="1">
      <c r="J913" s="149"/>
      <c r="N913" s="149"/>
    </row>
    <row r="914" ht="15.75" customHeight="1">
      <c r="J914" s="149"/>
      <c r="N914" s="149"/>
    </row>
    <row r="915" ht="15.75" customHeight="1">
      <c r="J915" s="149"/>
      <c r="N915" s="149"/>
    </row>
    <row r="916" ht="15.75" customHeight="1">
      <c r="J916" s="149"/>
      <c r="N916" s="149"/>
    </row>
    <row r="917" ht="15.75" customHeight="1">
      <c r="J917" s="149"/>
      <c r="N917" s="149"/>
    </row>
    <row r="918" ht="15.75" customHeight="1">
      <c r="J918" s="149"/>
      <c r="N918" s="149"/>
    </row>
    <row r="919" ht="15.75" customHeight="1">
      <c r="J919" s="149"/>
      <c r="N919" s="149"/>
    </row>
    <row r="920" ht="15.75" customHeight="1">
      <c r="J920" s="149"/>
      <c r="N920" s="149"/>
    </row>
    <row r="921" ht="15.75" customHeight="1">
      <c r="J921" s="149"/>
      <c r="N921" s="149"/>
    </row>
    <row r="922" ht="15.75" customHeight="1">
      <c r="J922" s="149"/>
      <c r="N922" s="149"/>
    </row>
    <row r="923" ht="15.75" customHeight="1">
      <c r="J923" s="149"/>
      <c r="N923" s="149"/>
    </row>
    <row r="924" ht="15.75" customHeight="1">
      <c r="J924" s="149"/>
      <c r="N924" s="149"/>
    </row>
    <row r="925" ht="15.75" customHeight="1">
      <c r="J925" s="149"/>
      <c r="N925" s="149"/>
    </row>
    <row r="926" ht="15.75" customHeight="1">
      <c r="J926" s="149"/>
      <c r="N926" s="149"/>
    </row>
    <row r="927" ht="15.75" customHeight="1">
      <c r="J927" s="149"/>
      <c r="N927" s="149"/>
    </row>
    <row r="928" ht="15.75" customHeight="1">
      <c r="J928" s="149"/>
      <c r="N928" s="149"/>
    </row>
    <row r="929" ht="15.75" customHeight="1">
      <c r="J929" s="149"/>
      <c r="N929" s="149"/>
    </row>
    <row r="930" ht="15.75" customHeight="1">
      <c r="J930" s="149"/>
      <c r="N930" s="149"/>
    </row>
    <row r="931" ht="15.75" customHeight="1">
      <c r="J931" s="149"/>
      <c r="N931" s="149"/>
    </row>
    <row r="932" ht="15.75" customHeight="1">
      <c r="J932" s="149"/>
      <c r="N932" s="149"/>
    </row>
    <row r="933" ht="15.75" customHeight="1">
      <c r="J933" s="149"/>
      <c r="N933" s="149"/>
    </row>
    <row r="934" ht="15.75" customHeight="1">
      <c r="J934" s="149"/>
      <c r="N934" s="149"/>
    </row>
    <row r="935" ht="15.75" customHeight="1">
      <c r="J935" s="149"/>
      <c r="N935" s="149"/>
    </row>
    <row r="936" ht="15.75" customHeight="1">
      <c r="J936" s="149"/>
      <c r="N936" s="149"/>
    </row>
    <row r="937" ht="15.75" customHeight="1">
      <c r="J937" s="149"/>
      <c r="N937" s="149"/>
    </row>
    <row r="938" ht="15.75" customHeight="1">
      <c r="J938" s="149"/>
      <c r="N938" s="149"/>
    </row>
    <row r="939" ht="15.75" customHeight="1">
      <c r="J939" s="149"/>
      <c r="N939" s="149"/>
    </row>
    <row r="940" ht="15.75" customHeight="1">
      <c r="J940" s="149"/>
      <c r="N940" s="149"/>
    </row>
    <row r="941" ht="15.75" customHeight="1">
      <c r="J941" s="149"/>
      <c r="N941" s="149"/>
    </row>
    <row r="942" ht="15.75" customHeight="1">
      <c r="J942" s="149"/>
      <c r="N942" s="149"/>
    </row>
    <row r="943" ht="15.75" customHeight="1">
      <c r="J943" s="149"/>
      <c r="N943" s="149"/>
    </row>
    <row r="944" ht="15.75" customHeight="1">
      <c r="J944" s="149"/>
      <c r="N944" s="149"/>
    </row>
    <row r="945" ht="15.75" customHeight="1">
      <c r="J945" s="149"/>
      <c r="N945" s="149"/>
    </row>
    <row r="946" ht="15.75" customHeight="1">
      <c r="J946" s="149"/>
      <c r="N946" s="149"/>
    </row>
    <row r="947" ht="15.75" customHeight="1">
      <c r="J947" s="149"/>
      <c r="N947" s="149"/>
    </row>
    <row r="948" ht="15.75" customHeight="1">
      <c r="J948" s="149"/>
      <c r="N948" s="149"/>
    </row>
    <row r="949" ht="15.75" customHeight="1">
      <c r="J949" s="149"/>
      <c r="N949" s="149"/>
    </row>
    <row r="950" ht="15.75" customHeight="1">
      <c r="J950" s="149"/>
      <c r="N950" s="149"/>
    </row>
    <row r="951" ht="15.75" customHeight="1">
      <c r="J951" s="149"/>
      <c r="N951" s="149"/>
    </row>
    <row r="952" ht="15.75" customHeight="1">
      <c r="J952" s="149"/>
      <c r="N952" s="149"/>
    </row>
    <row r="953" ht="15.75" customHeight="1">
      <c r="J953" s="149"/>
      <c r="N953" s="149"/>
    </row>
    <row r="954" ht="15.75" customHeight="1">
      <c r="J954" s="149"/>
      <c r="N954" s="149"/>
    </row>
    <row r="955" ht="15.75" customHeight="1">
      <c r="J955" s="149"/>
      <c r="N955" s="149"/>
    </row>
    <row r="956" ht="15.75" customHeight="1">
      <c r="J956" s="149"/>
      <c r="N956" s="149"/>
    </row>
    <row r="957" ht="15.75" customHeight="1">
      <c r="J957" s="149"/>
      <c r="N957" s="149"/>
    </row>
    <row r="958" ht="15.75" customHeight="1">
      <c r="J958" s="149"/>
      <c r="N958" s="149"/>
    </row>
    <row r="959" ht="15.75" customHeight="1">
      <c r="J959" s="149"/>
      <c r="N959" s="149"/>
    </row>
    <row r="960" ht="15.75" customHeight="1">
      <c r="J960" s="149"/>
      <c r="N960" s="149"/>
    </row>
    <row r="961" ht="15.75" customHeight="1">
      <c r="J961" s="149"/>
      <c r="N961" s="149"/>
    </row>
    <row r="962" ht="15.75" customHeight="1">
      <c r="J962" s="149"/>
      <c r="N962" s="149"/>
    </row>
    <row r="963" ht="15.75" customHeight="1">
      <c r="J963" s="149"/>
      <c r="N963" s="149"/>
    </row>
    <row r="964" ht="15.75" customHeight="1">
      <c r="J964" s="149"/>
      <c r="N964" s="149"/>
    </row>
    <row r="965" ht="15.75" customHeight="1">
      <c r="J965" s="149"/>
      <c r="N965" s="149"/>
    </row>
    <row r="966" ht="15.75" customHeight="1">
      <c r="J966" s="149"/>
      <c r="N966" s="149"/>
    </row>
    <row r="967" ht="15.75" customHeight="1">
      <c r="J967" s="149"/>
      <c r="N967" s="149"/>
    </row>
    <row r="968" ht="15.75" customHeight="1">
      <c r="J968" s="149"/>
      <c r="N968" s="149"/>
    </row>
    <row r="969" ht="15.75" customHeight="1">
      <c r="J969" s="149"/>
      <c r="N969" s="149"/>
    </row>
    <row r="970" ht="15.75" customHeight="1">
      <c r="J970" s="149"/>
      <c r="N970" s="149"/>
    </row>
    <row r="971" ht="15.75" customHeight="1">
      <c r="J971" s="149"/>
      <c r="N971" s="149"/>
    </row>
    <row r="972" ht="15.75" customHeight="1">
      <c r="J972" s="149"/>
      <c r="N972" s="149"/>
    </row>
    <row r="973" ht="15.75" customHeight="1">
      <c r="J973" s="149"/>
      <c r="N973" s="149"/>
    </row>
    <row r="974" ht="15.75" customHeight="1">
      <c r="J974" s="149"/>
      <c r="N974" s="149"/>
    </row>
    <row r="975" ht="15.75" customHeight="1">
      <c r="J975" s="149"/>
      <c r="N975" s="149"/>
    </row>
    <row r="976" ht="15.75" customHeight="1">
      <c r="J976" s="149"/>
      <c r="N976" s="149"/>
    </row>
    <row r="977" ht="15.75" customHeight="1">
      <c r="J977" s="149"/>
      <c r="N977" s="149"/>
    </row>
    <row r="978" ht="15.75" customHeight="1">
      <c r="J978" s="149"/>
      <c r="N978" s="149"/>
    </row>
    <row r="979" ht="15.75" customHeight="1">
      <c r="J979" s="149"/>
      <c r="N979" s="149"/>
    </row>
    <row r="980" ht="15.75" customHeight="1">
      <c r="J980" s="149"/>
      <c r="N980" s="149"/>
    </row>
    <row r="981" ht="15.75" customHeight="1">
      <c r="J981" s="149"/>
      <c r="N981" s="149"/>
    </row>
    <row r="982" ht="15.75" customHeight="1">
      <c r="J982" s="149"/>
      <c r="N982" s="149"/>
    </row>
    <row r="983" ht="15.75" customHeight="1">
      <c r="J983" s="149"/>
      <c r="N983" s="149"/>
    </row>
    <row r="984" ht="15.75" customHeight="1">
      <c r="J984" s="149"/>
      <c r="N984" s="149"/>
    </row>
    <row r="985" ht="15.75" customHeight="1">
      <c r="J985" s="149"/>
      <c r="N985" s="149"/>
    </row>
    <row r="986" ht="15.75" customHeight="1">
      <c r="J986" s="149"/>
      <c r="N986" s="149"/>
    </row>
    <row r="987" ht="15.75" customHeight="1">
      <c r="J987" s="149"/>
      <c r="N987" s="149"/>
    </row>
    <row r="988" ht="15.75" customHeight="1">
      <c r="J988" s="149"/>
      <c r="N988" s="149"/>
    </row>
    <row r="989" ht="15.75" customHeight="1">
      <c r="J989" s="149"/>
      <c r="N989" s="149"/>
    </row>
    <row r="990" ht="15.75" customHeight="1">
      <c r="J990" s="149"/>
      <c r="N990" s="149"/>
    </row>
    <row r="991" ht="15.75" customHeight="1">
      <c r="J991" s="149"/>
      <c r="N991" s="149"/>
    </row>
    <row r="992" ht="15.75" customHeight="1">
      <c r="J992" s="149"/>
      <c r="N992" s="149"/>
    </row>
    <row r="993" ht="15.75" customHeight="1">
      <c r="J993" s="149"/>
      <c r="N993" s="149"/>
    </row>
    <row r="994" ht="15.75" customHeight="1">
      <c r="J994" s="149"/>
      <c r="N994" s="149"/>
    </row>
    <row r="995" ht="15.75" customHeight="1">
      <c r="J995" s="149"/>
      <c r="N995" s="149"/>
    </row>
    <row r="996" ht="15.75" customHeight="1">
      <c r="J996" s="149"/>
      <c r="N996" s="149"/>
    </row>
    <row r="997" ht="15.75" customHeight="1">
      <c r="J997" s="149"/>
      <c r="N997" s="149"/>
    </row>
    <row r="998" ht="15.75" customHeight="1">
      <c r="J998" s="149"/>
      <c r="N998" s="149"/>
    </row>
    <row r="999" ht="15.75" customHeight="1">
      <c r="J999" s="149"/>
      <c r="N999" s="149"/>
    </row>
    <row r="1000" ht="15.75" customHeight="1">
      <c r="J1000" s="149"/>
      <c r="N1000" s="149"/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9.14"/>
    <col customWidth="1" min="3" max="3" width="68.14"/>
    <col customWidth="1" min="4" max="4" width="11.57"/>
    <col customWidth="1" min="5" max="5" width="2.71"/>
    <col customWidth="1" min="6" max="6" width="9.14"/>
    <col customWidth="1" min="7" max="7" width="59.57"/>
    <col customWidth="1" min="8" max="8" width="11.57"/>
    <col customWidth="1" min="9" max="9" width="2.71"/>
    <col customWidth="1" min="10" max="25" width="8.71"/>
  </cols>
  <sheetData>
    <row r="1">
      <c r="A1" s="149"/>
      <c r="B1" s="157"/>
      <c r="C1" s="158" t="s">
        <v>139</v>
      </c>
      <c r="D1" s="157"/>
      <c r="E1" s="76"/>
      <c r="F1" s="157"/>
      <c r="G1" s="157" t="s">
        <v>140</v>
      </c>
      <c r="H1" s="157"/>
    </row>
    <row r="2">
      <c r="A2" s="63"/>
      <c r="B2" s="145" t="s">
        <v>6</v>
      </c>
      <c r="C2" s="146" t="s">
        <v>7</v>
      </c>
      <c r="D2" s="145" t="s">
        <v>8</v>
      </c>
      <c r="F2" s="145" t="s">
        <v>6</v>
      </c>
      <c r="G2" s="146" t="s">
        <v>7</v>
      </c>
      <c r="H2" s="145" t="s">
        <v>8</v>
      </c>
    </row>
    <row r="3">
      <c r="A3" s="17"/>
      <c r="B3" s="8">
        <v>111691.0</v>
      </c>
      <c r="C3" s="9" t="str">
        <f>VLOOKUP(B3,'FML March 2026'!E:F,2,false)</f>
        <v>ACHIOTE PASTE CS 12/3.5OZ EL YUCATECO</v>
      </c>
      <c r="D3" s="9" t="str">
        <f>VLOOKUP(B3,'Unit of Measure ship March 2026'!A:C,3,false)</f>
        <v>LBS</v>
      </c>
      <c r="F3" s="8">
        <v>15370.0</v>
      </c>
      <c r="G3" s="9" t="str">
        <f>VLOOKUP(F3,'FML March 2026'!E:F,2,false)</f>
        <v>APPLES GOLDEN DELICIOUS 125CT WASHINGTON FANCY 40#/CS</v>
      </c>
      <c r="H3" s="35" t="s">
        <v>42</v>
      </c>
    </row>
    <row r="4">
      <c r="A4" s="17"/>
      <c r="B4" s="8">
        <v>112721.0</v>
      </c>
      <c r="C4" s="9" t="str">
        <f>VLOOKUP(B4,'FML March 2026'!E:F,2,false)</f>
        <v>ACHIOTE/ ANNATTO SEED WHOLE PKG1.38LBS TERRA SPICE</v>
      </c>
      <c r="D4" s="9" t="str">
        <f>VLOOKUP(B4,'Unit of Measure ship March 2026'!A:C,3,false)</f>
        <v>LBS</v>
      </c>
      <c r="F4" s="8">
        <v>23757.0</v>
      </c>
      <c r="G4" s="9" t="str">
        <f>VLOOKUP(F4,'FML March 2026'!E:F,2,false)</f>
        <v>APPLES GRANNY SMITH 88CT 40#/CS</v>
      </c>
      <c r="H4" s="35" t="s">
        <v>42</v>
      </c>
    </row>
    <row r="5">
      <c r="A5" s="17"/>
      <c r="B5" s="8">
        <v>51236.0</v>
      </c>
      <c r="C5" s="9" t="str">
        <f>VLOOKUP(B5,'FML March 2026'!E:F,2,false)</f>
        <v>ACID CITRIC  1 KG L. FRANCOIS CUISINE TECH</v>
      </c>
      <c r="D5" s="9" t="str">
        <f>VLOOKUP(B5,'Unit of Measure ship March 2026'!A:C,3,false)</f>
        <v>LBS</v>
      </c>
      <c r="F5" s="17">
        <v>15375.0</v>
      </c>
      <c r="G5" s="9" t="str">
        <f>VLOOKUP(F5,'FML March 2026'!E:F,2,false)</f>
        <v>APPLES RED DELICIOUS WASHINGTON EXTRA FANCY 125CT 40#/CS</v>
      </c>
      <c r="H5" s="35" t="s">
        <v>42</v>
      </c>
    </row>
    <row r="6">
      <c r="A6" s="17"/>
      <c r="B6" s="17">
        <v>16262.0</v>
      </c>
      <c r="C6" s="9" t="str">
        <f>VLOOKUP(B6,'FML March 2026'!E:F,2,false)</f>
        <v>ALLSPICE BADIA</v>
      </c>
      <c r="D6" s="9" t="str">
        <f>VLOOKUP(B6,'Unit of Measure ship March 2026'!A:C,3,false)</f>
        <v>LBS</v>
      </c>
      <c r="F6" s="17">
        <v>24182.0</v>
      </c>
      <c r="G6" s="9" t="str">
        <f>VLOOKUP(F6,'FML March 2026'!E:F,2,false)</f>
        <v>ARUGULA, BABY</v>
      </c>
      <c r="H6" s="35" t="s">
        <v>42</v>
      </c>
    </row>
    <row r="7">
      <c r="A7" s="17"/>
      <c r="B7" s="8">
        <v>54020.0</v>
      </c>
      <c r="C7" s="9" t="str">
        <f>VLOOKUP(B7,'FML March 2026'!E:F,2,false)</f>
        <v>ALMOND MILK DIAMOND/ ALMOND BREEZE</v>
      </c>
      <c r="D7" s="9" t="str">
        <f>VLOOKUP(B7,'Unit of Measure ship March 2026'!A:C,3,false)</f>
        <v>LT</v>
      </c>
      <c r="F7" s="17">
        <v>15572.0</v>
      </c>
      <c r="G7" s="9" t="str">
        <f>VLOOKUP(F7,'FML March 2026'!E:F,2,false)</f>
        <v>ASPARAGUS, FRESH, LARGE, FULL 11# BOX, 17 PC/BOX</v>
      </c>
      <c r="H7" s="35" t="s">
        <v>42</v>
      </c>
    </row>
    <row r="8">
      <c r="A8" s="17"/>
      <c r="B8" s="17">
        <v>14978.0</v>
      </c>
      <c r="C8" s="9" t="str">
        <f>VLOOKUP(B8,'FML March 2026'!E:F,2,false)</f>
        <v>AMERICAN CHEESE, YELLOW, SLICED, STACK PACK</v>
      </c>
      <c r="D8" s="9" t="str">
        <f>VLOOKUP(B8,'Unit of Measure ship March 2026'!A:C,3,false)</f>
        <v>LBS</v>
      </c>
      <c r="F8" s="17">
        <v>15378.0</v>
      </c>
      <c r="G8" s="9" t="str">
        <f>VLOOKUP(F8,'FML March 2026'!E:F,2,false)</f>
        <v>AVOCADOS HASS FRESH CA-48PC FL-12/14PC 20#</v>
      </c>
      <c r="H8" s="35" t="s">
        <v>42</v>
      </c>
    </row>
    <row r="9">
      <c r="A9" s="17"/>
      <c r="B9" s="8">
        <v>16304.0</v>
      </c>
      <c r="C9" s="9" t="str">
        <f>VLOOKUP(B9,'FML March 2026'!E:F,2,false)</f>
        <v>ANISE STAR BADIA</v>
      </c>
      <c r="D9" s="9" t="str">
        <f>VLOOKUP(B9,'Unit of Measure ship March 2026'!A:C,3,false)</f>
        <v>UNIT/8OZ</v>
      </c>
      <c r="F9" s="8">
        <v>43516.0</v>
      </c>
      <c r="G9" s="9" t="str">
        <f>VLOOKUP(F9,'FML March 2026'!E:F,2,false)</f>
        <v>BANANAS STAGE #3</v>
      </c>
      <c r="H9" s="35" t="s">
        <v>42</v>
      </c>
    </row>
    <row r="10">
      <c r="A10" s="17"/>
      <c r="B10" s="8">
        <v>109664.0</v>
      </c>
      <c r="C10" s="9" t="str">
        <f>VLOOKUP(B10,'FML March 2026'!E:F,2,false)</f>
        <v>APPLE CIDER VINEGAR SPARROW LANE V</v>
      </c>
      <c r="D10" s="9" t="str">
        <f>VLOOKUP(B10,'Unit of Measure ship March 2026'!A:C,3,false)</f>
        <v>GAL</v>
      </c>
      <c r="F10" s="17">
        <v>15429.0</v>
      </c>
      <c r="G10" s="9" t="str">
        <f>VLOOKUP(F10,'FML March 2026'!E:F,2,false)</f>
        <v>BASIL (12 BUNCH) HYDROPONIC OR REGULAR 1 LB/CS</v>
      </c>
      <c r="H10" s="35" t="s">
        <v>42</v>
      </c>
    </row>
    <row r="11">
      <c r="A11" s="17"/>
      <c r="B11" s="8">
        <v>109686.0</v>
      </c>
      <c r="C11" s="9" t="str">
        <f>VLOOKUP(B11,'FML March 2026'!E:F,2,false)</f>
        <v>BACON, NUESKE 24 HOUR  APPLEWOOD SMOKED BACON (NUESKI 2131)</v>
      </c>
      <c r="D11" s="9" t="str">
        <f>VLOOKUP(B11,'Unit of Measure ship March 2026'!A:C,3,false)</f>
        <v>LBS</v>
      </c>
      <c r="F11" s="8">
        <v>15605.0</v>
      </c>
      <c r="G11" s="9" t="str">
        <f>VLOOKUP(F11,'FML March 2026'!E:F,2,false)</f>
        <v>BEANS FRESH EXTRA FINE GREEN (FRENCH) 1/5 (HARICOT VERT)</v>
      </c>
      <c r="H11" s="35" t="s">
        <v>42</v>
      </c>
    </row>
    <row r="12">
      <c r="A12" s="17"/>
      <c r="B12" s="8">
        <v>15910.0</v>
      </c>
      <c r="C12" s="9" t="str">
        <f>VLOOKUP(B12,'FML March 2026'!E:F,2,false)</f>
        <v>BAGELS, PLAIN  SLICED 4 OZ SLICED O`PELLE (USA)</v>
      </c>
      <c r="D12" s="9" t="str">
        <f>VLOOKUP(B12,'Unit of Measure ship March 2026'!A:C,3,false)</f>
        <v>EA</v>
      </c>
      <c r="F12" s="17">
        <v>15335.0</v>
      </c>
      <c r="G12" s="9" t="str">
        <f>VLOOKUP(F12,'FML March 2026'!E:F,2,false)</f>
        <v>BLUEBERRIES FRESH 12 1/2 PT 4.5#</v>
      </c>
      <c r="H12" s="35" t="s">
        <v>42</v>
      </c>
    </row>
    <row r="13">
      <c r="A13" s="17"/>
      <c r="B13" s="17">
        <v>15651.0</v>
      </c>
      <c r="C13" s="9" t="str">
        <f>VLOOKUP(B13,'FML March 2026'!E:F,2,false)</f>
        <v>BAKING POWDER 50 LB</v>
      </c>
      <c r="D13" s="9" t="str">
        <f>VLOOKUP(B13,'Unit of Measure ship March 2026'!A:C,3,false)</f>
        <v>LBS</v>
      </c>
      <c r="F13" s="8">
        <v>15606.0</v>
      </c>
      <c r="G13" s="9" t="str">
        <f>VLOOKUP(F13,'FML March 2026'!E:F,2,false)</f>
        <v>BOK CHOY BABY</v>
      </c>
      <c r="H13" s="35" t="s">
        <v>42</v>
      </c>
    </row>
    <row r="14">
      <c r="A14" s="17"/>
      <c r="B14" s="17">
        <v>15652.0</v>
      </c>
      <c r="C14" s="9" t="str">
        <f>VLOOKUP(B14,'FML March 2026'!E:F,2,false)</f>
        <v>BAKING SODA</v>
      </c>
      <c r="D14" s="9" t="str">
        <f>VLOOKUP(B14,'Unit of Measure ship March 2026'!A:C,3,false)</f>
        <v>LBS</v>
      </c>
      <c r="F14" s="8">
        <v>15450.0</v>
      </c>
      <c r="G14" s="9" t="str">
        <f>VLOOKUP(F14,'FML March 2026'!E:F,2,false)</f>
        <v>BROCCOLI LARGE FANCY, GREEN UMBRELLA 14 CT 20#</v>
      </c>
      <c r="H14" s="35" t="s">
        <v>42</v>
      </c>
    </row>
    <row r="15">
      <c r="A15" s="17"/>
      <c r="B15" s="17">
        <v>12284.0</v>
      </c>
      <c r="C15" s="9" t="str">
        <f>VLOOKUP(B15,'FML March 2026'!E:F,2,false)</f>
        <v>BARBEQUE SAUCE, HICKORY</v>
      </c>
      <c r="D15" s="9" t="str">
        <f>VLOOKUP(B15,'Unit of Measure ship March 2026'!A:C,3,false)</f>
        <v>GAL</v>
      </c>
      <c r="F15" s="17">
        <v>15454.0</v>
      </c>
      <c r="G15" s="9" t="str">
        <f>VLOOKUP(F15,'FML March 2026'!E:F,2,false)</f>
        <v>CABBAGE GREEN COMM MED/LG TRIMMED 50#</v>
      </c>
      <c r="H15" s="35" t="s">
        <v>42</v>
      </c>
    </row>
    <row r="16">
      <c r="A16" s="17"/>
      <c r="B16" s="17">
        <v>16250.0</v>
      </c>
      <c r="C16" s="9" t="str">
        <f>VLOOKUP(B16,'FML March 2026'!E:F,2,false)</f>
        <v>BAY LEAVES WHOLE D`ALLESANDRO/ SPICECO</v>
      </c>
      <c r="D16" s="9" t="str">
        <f>VLOOKUP(B16,'Unit of Measure ship March 2026'!A:C,3,false)</f>
        <v>LBS</v>
      </c>
      <c r="F16" s="8">
        <v>15456.0</v>
      </c>
      <c r="G16" s="9" t="str">
        <f>VLOOKUP(F16,'FML March 2026'!E:F,2,false)</f>
        <v>CABBAGE NAPA 12CT 30#</v>
      </c>
      <c r="H16" s="35" t="s">
        <v>42</v>
      </c>
    </row>
    <row r="17">
      <c r="A17" s="17"/>
      <c r="B17" s="8">
        <v>43806.0</v>
      </c>
      <c r="C17" s="9" t="str">
        <f>VLOOKUP(B17,'FML March 2026'!E:F,2,false)</f>
        <v>BEAN GREEN CUT FROZEN STANDARD NAVARRA</v>
      </c>
      <c r="D17" s="9" t="str">
        <f>VLOOKUP(B17,'Unit of Measure ship March 2026'!A:C,3,false)</f>
        <v>LBS</v>
      </c>
      <c r="F17" s="8">
        <v>15545.0</v>
      </c>
      <c r="G17" s="9" t="str">
        <f>VLOOKUP(F17,'FML March 2026'!E:F,2,false)</f>
        <v>CABBAGE SAVOY LARGE 40#</v>
      </c>
      <c r="H17" s="35" t="s">
        <v>42</v>
      </c>
    </row>
    <row r="18">
      <c r="A18" s="17"/>
      <c r="B18" s="17">
        <v>32730.0</v>
      </c>
      <c r="C18" s="9" t="str">
        <f>VLOOKUP(B18,'FML March 2026'!E:F,2,false)</f>
        <v>BEANS BLACK, 6/#10 CAN</v>
      </c>
      <c r="D18" s="9" t="str">
        <f>VLOOKUP(B18,'Unit of Measure ship March 2026'!A:C,3,false)</f>
        <v>CN/6.5LB</v>
      </c>
      <c r="F18" s="17">
        <v>15458.0</v>
      </c>
      <c r="G18" s="9" t="str">
        <f>VLOOKUP(F18,'FML March 2026'!E:F,2,false)</f>
        <v>CARROTS CLIP TOP 50#</v>
      </c>
      <c r="H18" s="35" t="s">
        <v>42</v>
      </c>
    </row>
    <row r="19">
      <c r="A19" s="17"/>
      <c r="B19" s="8">
        <v>26627.0</v>
      </c>
      <c r="C19" s="9" t="str">
        <f>VLOOKUP(B19,'FML March 2026'!E:F,2,false)</f>
        <v>BEANS CHICK PEAS DRY BULK</v>
      </c>
      <c r="D19" s="9" t="str">
        <f>VLOOKUP(B19,'Unit of Measure ship March 2026'!A:C,3,false)</f>
        <v>LBS</v>
      </c>
      <c r="F19" s="8">
        <v>24674.0</v>
      </c>
      <c r="G19" s="9" t="str">
        <f>VLOOKUP(F19,'FML March 2026'!E:F,2,false)</f>
        <v>CARROTS LOOSE CAL. JUMBO, 50LBS</v>
      </c>
      <c r="H19" s="35" t="s">
        <v>42</v>
      </c>
    </row>
    <row r="20">
      <c r="A20" s="17"/>
      <c r="B20" s="8">
        <v>48982.0</v>
      </c>
      <c r="C20" s="9" t="str">
        <f>VLOOKUP(B20,'FML March 2026'!E:F,2,false)</f>
        <v>BEANS LENTILS RED SPLIT, DHAL MASSOR 20 LB BOX C&amp;F/ D`ALLESANDRO</v>
      </c>
      <c r="D20" s="9" t="str">
        <f>VLOOKUP(B20,'Unit of Measure ship March 2026'!A:C,3,false)</f>
        <v>LBS</v>
      </c>
      <c r="F20" s="8">
        <v>15459.0</v>
      </c>
      <c r="G20" s="9" t="str">
        <f>VLOOKUP(F20,'FML March 2026'!E:F,2,false)</f>
        <v>CAULIFLOWER #1 CAL. 12 CT 25#</v>
      </c>
      <c r="H20" s="35" t="s">
        <v>42</v>
      </c>
    </row>
    <row r="21" ht="15.75" customHeight="1">
      <c r="A21" s="17"/>
      <c r="B21" s="8">
        <v>16579.0</v>
      </c>
      <c r="C21" s="9" t="str">
        <f>VLOOKUP(B21,'FML March 2026'!E:F,2,false)</f>
        <v>BEANS RED KIDNEY DARK 6/10 CANS (SPAIN)</v>
      </c>
      <c r="D21" s="9" t="str">
        <f>VLOOKUP(B21,'Unit of Measure ship March 2026'!A:C,3,false)</f>
        <v>CN/6.5LB</v>
      </c>
      <c r="F21" s="8">
        <v>15562.0</v>
      </c>
      <c r="G21" s="9" t="str">
        <f>VLOOKUP(F21,'FML March 2026'!E:F,2,false)</f>
        <v>CELERIAC (CELERY ROOT) 20#</v>
      </c>
      <c r="H21" s="35" t="s">
        <v>42</v>
      </c>
    </row>
    <row r="22" ht="15.75" customHeight="1">
      <c r="A22" s="17"/>
      <c r="B22" s="8">
        <v>16210.0</v>
      </c>
      <c r="C22" s="9" t="str">
        <f>VLOOKUP(B22,'FML March 2026'!E:F,2,false)</f>
        <v>BEANS, NAVY, UNCOOKED, GRADE A, DRY, 1/50 LB</v>
      </c>
      <c r="D22" s="9" t="str">
        <f>VLOOKUP(B22,'Unit of Measure ship March 2026'!A:C,3,false)</f>
        <v>LBS</v>
      </c>
      <c r="F22" s="17">
        <v>15460.0</v>
      </c>
      <c r="G22" s="9" t="str">
        <f>VLOOKUP(F22,'FML March 2026'!E:F,2,false)</f>
        <v>CELERY #1 CAL. 36CT 60#</v>
      </c>
      <c r="H22" s="35" t="s">
        <v>42</v>
      </c>
    </row>
    <row r="23" ht="15.75" customHeight="1">
      <c r="A23" s="17"/>
      <c r="B23" s="8">
        <v>24910.0</v>
      </c>
      <c r="C23" s="9" t="str">
        <f>VLOOKUP(B23,'FML March 2026'!E:F,2,false)</f>
        <v>BEANS, PINTO DRY (VV)</v>
      </c>
      <c r="D23" s="9" t="str">
        <f>VLOOKUP(B23,'Unit of Measure ship March 2026'!A:C,3,false)</f>
        <v>LBS</v>
      </c>
      <c r="F23" s="8">
        <v>15543.0</v>
      </c>
      <c r="G23" s="9" t="str">
        <f>VLOOKUP(F23,'FML March 2026'!E:F,2,false)</f>
        <v>CHERVIL, FRESH, 12BU 1 LB/CS</v>
      </c>
      <c r="H23" s="35" t="s">
        <v>42</v>
      </c>
    </row>
    <row r="24" ht="15.75" customHeight="1">
      <c r="A24" s="17"/>
      <c r="B24" s="17">
        <v>15265.0</v>
      </c>
      <c r="C24" s="9" t="str">
        <f>VLOOKUP(B24,'FML March 2026'!E:F,2,false)</f>
        <v>BEV BASE, PINEAPPLE, NESTLE - VITALITY, 12560123, FZN, 12/32 OZ</v>
      </c>
      <c r="D24" s="9" t="str">
        <f>VLOOKUP(B24,'Unit of Measure ship March 2026'!A:C,3,false)</f>
        <v>PC/64OZ</v>
      </c>
      <c r="F24" s="8">
        <v>109753.0</v>
      </c>
      <c r="G24" s="9" t="str">
        <f>VLOOKUP(F24,'FML March 2026'!E:F,2,false)</f>
        <v>CHILI FRESNO FRESH</v>
      </c>
      <c r="H24" s="35" t="s">
        <v>42</v>
      </c>
    </row>
    <row r="25" ht="15.75" customHeight="1">
      <c r="A25" s="17"/>
      <c r="B25" s="17">
        <v>20884.0</v>
      </c>
      <c r="C25" s="9" t="str">
        <f>VLOOKUP(B25,'FML March 2026'!E:F,2,false)</f>
        <v>BREAD CRUMBS PANKO 25 LB KIKKOMAN #05010 (USA)</v>
      </c>
      <c r="D25" s="9" t="str">
        <f>VLOOKUP(B25,'Unit of Measure ship March 2026'!A:C,3,false)</f>
        <v>LBS</v>
      </c>
      <c r="F25" s="8">
        <v>35189.0</v>
      </c>
      <c r="G25" s="9" t="str">
        <f>VLOOKUP(F25,'FML March 2026'!E:F,2,false)</f>
        <v>CHILI PEPPERS GREEN FRESH</v>
      </c>
      <c r="H25" s="35" t="s">
        <v>42</v>
      </c>
    </row>
    <row r="26" ht="15.75" customHeight="1">
      <c r="A26" s="17"/>
      <c r="B26" s="17">
        <v>40427.0</v>
      </c>
      <c r="C26" s="9" t="str">
        <f>VLOOKUP(B26,'FML March 2026'!E:F,2,false)</f>
        <v>BREAD IMPROVER 50 LB PURATOS S-500 VV</v>
      </c>
      <c r="D26" s="9" t="str">
        <f>VLOOKUP(B26,'Unit of Measure ship March 2026'!A:C,3,false)</f>
        <v>KG</v>
      </c>
      <c r="F26" s="17">
        <v>15438.0</v>
      </c>
      <c r="G26" s="9" t="str">
        <f>VLOOKUP(F26,'FML March 2026'!E:F,2,false)</f>
        <v>CHIVES (12 BUNCH), 1 LB/CS</v>
      </c>
      <c r="H26" s="35" t="s">
        <v>42</v>
      </c>
    </row>
    <row r="27" ht="15.75" customHeight="1">
      <c r="A27" s="8"/>
      <c r="B27" s="8">
        <v>109712.0</v>
      </c>
      <c r="C27" s="9" t="str">
        <f>VLOOKUP(B27,'FML March 2026'!E:F,2,false)</f>
        <v>BREAD SOURDOUGH COUNTRY WHEAT BRD40B19  1KG LOAF  ZAK THE BAKER</v>
      </c>
      <c r="D27" s="9" t="str">
        <f>VLOOKUP(B27,'Unit of Measure ship March 2026'!A:C,3,false)</f>
        <v>LV</v>
      </c>
      <c r="F27" s="17">
        <v>15431.0</v>
      </c>
      <c r="G27" s="9" t="str">
        <f>VLOOKUP(F27,'FML March 2026'!E:F,2,false)</f>
        <v>CILANTRO (12 BUNCH) 1 LB/CS DOMESTIC</v>
      </c>
      <c r="H27" s="35" t="s">
        <v>42</v>
      </c>
    </row>
    <row r="28" ht="15.75" customHeight="1">
      <c r="A28" s="8"/>
      <c r="B28" s="17">
        <v>15016.0</v>
      </c>
      <c r="C28" s="9" t="str">
        <f>VLOOKUP(B28,'FML March 2026'!E:F,2,false)</f>
        <v>BUTTER, UNSALTED, 82% FAT, FZN, 50/200 G</v>
      </c>
      <c r="D28" s="9" t="str">
        <f>VLOOKUP(B28,'Unit of Measure ship March 2026'!A:C,3,false)</f>
        <v>LBS</v>
      </c>
      <c r="F28" s="8">
        <v>10013.0</v>
      </c>
      <c r="G28" s="9" t="str">
        <f>VLOOKUP(F28,'FML March 2026'!E:F,2,false)</f>
        <v>CORN ON THE COB FRESH</v>
      </c>
      <c r="H28" s="35" t="s">
        <v>42</v>
      </c>
    </row>
    <row r="29" ht="15.75" customHeight="1">
      <c r="A29" s="8"/>
      <c r="B29" s="17">
        <v>14893.0</v>
      </c>
      <c r="C29" s="9" t="str">
        <f>VLOOKUP(B29,'FML March 2026'!E:F,2,false)</f>
        <v>BUTTERMILK LOCAL 10 DAYS CS9/HGAL</v>
      </c>
      <c r="D29" s="9" t="str">
        <f>VLOOKUP(B29,'Unit of Measure ship March 2026'!A:C,3,false)</f>
        <v>QRT</v>
      </c>
      <c r="F29" s="8">
        <v>109754.0</v>
      </c>
      <c r="G29" s="9" t="str">
        <f>VLOOKUP(F29,'FML March 2026'!E:F,2,false)</f>
        <v>CUCUMBER ENGLISH SEEDLESS, LARGE</v>
      </c>
      <c r="H29" s="35" t="s">
        <v>42</v>
      </c>
    </row>
    <row r="30" ht="15.75" customHeight="1">
      <c r="A30" s="8"/>
      <c r="B30" s="8">
        <v>11938.0</v>
      </c>
      <c r="C30" s="9" t="str">
        <f>VLOOKUP(B30,'FML March 2026'!E:F,2,false)</f>
        <v>CAPER BERRIES STEMMED 6/64 OZ DEL DESTINO/ ROLAND</v>
      </c>
      <c r="D30" s="9" t="str">
        <f>VLOOKUP(B30,'Unit of Measure ship March 2026'!A:C,3,false)</f>
        <v>CAN/64OZ</v>
      </c>
      <c r="F30" s="17">
        <v>15462.0</v>
      </c>
      <c r="G30" s="9" t="str">
        <f>VLOOKUP(F30,'FML March 2026'!E:F,2,false)</f>
        <v>CUCUMBERS SEEDLESS LARGE, PLASTIC WRAPPED 13#</v>
      </c>
      <c r="H30" s="35" t="s">
        <v>42</v>
      </c>
    </row>
    <row r="31" ht="15.75" customHeight="1">
      <c r="A31" s="8"/>
      <c r="B31" s="8">
        <v>16015.0</v>
      </c>
      <c r="C31" s="9" t="str">
        <f>VLOOKUP(B31,'FML March 2026'!E:F,2,false)</f>
        <v>CAPERS, NON-PAREIL, IN VINEGAR, DRY, 6X850GR</v>
      </c>
      <c r="D31" s="9" t="str">
        <f>VLOOKUP(B31,'Unit of Measure ship March 2026'!A:C,3,false)</f>
        <v>CAN/32OZ</v>
      </c>
      <c r="F31" s="8">
        <v>30024.0</v>
      </c>
      <c r="G31" s="9" t="str">
        <f>VLOOKUP(F31,'FML March 2026'!E:F,2,false)</f>
        <v>CURRY LEAVES</v>
      </c>
      <c r="H31" s="35" t="s">
        <v>42</v>
      </c>
    </row>
    <row r="32" ht="15.75" customHeight="1">
      <c r="A32" s="8"/>
      <c r="B32" s="17">
        <v>15816.0</v>
      </c>
      <c r="C32" s="9" t="str">
        <f>VLOOKUP(B32,'FML March 2026'!E:F,2,false)</f>
        <v>CARAWAY SEEDS WHOLE 16 OZ D BADIA</v>
      </c>
      <c r="D32" s="9" t="str">
        <f>VLOOKUP(B32,'Unit of Measure ship March 2026'!A:C,3,false)</f>
        <v>LBS</v>
      </c>
      <c r="F32" s="17">
        <v>15433.0</v>
      </c>
      <c r="G32" s="9" t="str">
        <f>VLOOKUP(F32,'FML March 2026'!E:F,2,false)</f>
        <v>DILL</v>
      </c>
      <c r="H32" s="35" t="s">
        <v>42</v>
      </c>
    </row>
    <row r="33" ht="15.75" customHeight="1">
      <c r="A33" s="8"/>
      <c r="B33" s="8">
        <v>16309.0</v>
      </c>
      <c r="C33" s="9" t="str">
        <f>VLOOKUP(B33,'FML March 2026'!E:F,2,false)</f>
        <v>CARDAMOM GROUND</v>
      </c>
      <c r="D33" s="9" t="str">
        <f>VLOOKUP(B33,'Unit of Measure ship March 2026'!A:C,3,false)</f>
        <v>LBS</v>
      </c>
      <c r="F33" s="8">
        <v>36433.0</v>
      </c>
      <c r="G33" s="9" t="str">
        <f>VLOOKUP(F33,'FML March 2026'!E:F,2,false)</f>
        <v>EGGPLANT JAPANESE 10#/CS</v>
      </c>
      <c r="H33" s="35" t="s">
        <v>42</v>
      </c>
    </row>
    <row r="34" ht="15.75" customHeight="1">
      <c r="A34" s="8"/>
      <c r="B34" s="8">
        <v>111011.0</v>
      </c>
      <c r="C34" s="9" t="str">
        <f>VLOOKUP(B34,'FML March 2026'!E:F,2,false)</f>
        <v>CARDAMOM POD GREEN TERRA SPICE</v>
      </c>
      <c r="D34" s="9" t="str">
        <f>VLOOKUP(B34,'Unit of Measure ship March 2026'!A:C,3,false)</f>
        <v>JR32/OZ</v>
      </c>
      <c r="F34" s="8">
        <v>15547.0</v>
      </c>
      <c r="G34" s="9" t="str">
        <f>VLOOKUP(F34,'FML March 2026'!E:F,2,false)</f>
        <v>FENNEL FRESH CAL. 40#</v>
      </c>
      <c r="H34" s="35" t="s">
        <v>42</v>
      </c>
    </row>
    <row r="35" ht="15.75" customHeight="1">
      <c r="A35" s="8"/>
      <c r="B35" s="8">
        <v>111026.0</v>
      </c>
      <c r="C35" s="9" t="str">
        <f>VLOOKUP(B35,'FML March 2026'!E:F,2,false)</f>
        <v>CARDAMOM WHOLE PKG1/LB FRONTIER HERB</v>
      </c>
      <c r="D35" s="9" t="str">
        <f>VLOOKUP(B35,'Unit of Measure ship March 2026'!A:C,3,false)</f>
        <v>LBS</v>
      </c>
      <c r="F35" s="8">
        <v>30479.0</v>
      </c>
      <c r="G35" s="9" t="str">
        <f>VLOOKUP(F35,'FML March 2026'!E:F,2,false)</f>
        <v>GALANGAL</v>
      </c>
      <c r="H35" s="35" t="s">
        <v>42</v>
      </c>
    </row>
    <row r="36" ht="15.75" customHeight="1">
      <c r="A36" s="8"/>
      <c r="B36" s="8">
        <v>15893.0</v>
      </c>
      <c r="C36" s="9" t="str">
        <f>VLOOKUP(B36,'FML March 2026'!E:F,2,false)</f>
        <v>CASHEWS, RAW, WHOLE, #320, DRY, 1/50 LB</v>
      </c>
      <c r="D36" s="9" t="str">
        <f>VLOOKUP(B36,'Unit of Measure ship March 2026'!A:C,3,false)</f>
        <v>LBS</v>
      </c>
      <c r="F36" s="8">
        <v>15466.0</v>
      </c>
      <c r="G36" s="9" t="str">
        <f>VLOOKUP(F36,'FML March 2026'!E:F,2,false)</f>
        <v>GARLIC CRATE JUMBO 30# 8 CT</v>
      </c>
      <c r="H36" s="35" t="s">
        <v>42</v>
      </c>
    </row>
    <row r="37" ht="15.75" customHeight="1">
      <c r="A37" s="8"/>
      <c r="B37" s="8">
        <v>35186.0</v>
      </c>
      <c r="C37" s="9" t="str">
        <f>VLOOKUP(B37,'FML March 2026'!E:F,2,false)</f>
        <v>CELERY SALT 32 OZ D`ALLESANDRO/ SPICE CO</v>
      </c>
      <c r="D37" s="9" t="str">
        <f>VLOOKUP(B37,'Unit of Measure ship March 2026'!A:C,3,false)</f>
        <v>JAR/32OZ</v>
      </c>
      <c r="F37" s="8">
        <v>30639.0</v>
      </c>
      <c r="G37" s="9" t="str">
        <f>VLOOKUP(F37,'FML March 2026'!E:F,2,false)</f>
        <v>GARLIC PEELED</v>
      </c>
      <c r="H37" s="35" t="s">
        <v>42</v>
      </c>
    </row>
    <row r="38" ht="15.75" customHeight="1">
      <c r="A38" s="8"/>
      <c r="B38" s="17">
        <v>48393.0</v>
      </c>
      <c r="C38" s="9" t="str">
        <f>VLOOKUP(B38,'FML March 2026'!E:F,2,false)</f>
        <v>CHAAT MASALA POWDER, INDIAN SPICE 10/100 GR MDH/SHAN</v>
      </c>
      <c r="D38" s="9" t="str">
        <f>VLOOKUP(B38,'Unit of Measure ship March 2026'!A:C,3,false)</f>
        <v>LBS</v>
      </c>
      <c r="F38" s="8">
        <v>38392.0</v>
      </c>
      <c r="G38" s="9" t="str">
        <f>VLOOKUP(F38,'FML March 2026'!E:F,2,false)</f>
        <v>GINGER FRESH</v>
      </c>
      <c r="H38" s="35" t="s">
        <v>42</v>
      </c>
    </row>
    <row r="39" ht="15.75" customHeight="1">
      <c r="A39" s="8"/>
      <c r="B39" s="17">
        <v>14984.0</v>
      </c>
      <c r="C39" s="9" t="str">
        <f>VLOOKUP(B39,'FML March 2026'!E:F,2,false)</f>
        <v>CHEDDAR BLOCK YELLOW IMP.4/11</v>
      </c>
      <c r="D39" s="9" t="str">
        <f>VLOOKUP(B39,'Unit of Measure ship March 2026'!A:C,3,false)</f>
        <v>LBS</v>
      </c>
      <c r="F39" s="8">
        <v>61703.0</v>
      </c>
      <c r="G39" s="9" t="str">
        <f>VLOOKUP(F39,'FML March 2026'!E:F,2,false)</f>
        <v>HABANERO PEPPERS FRESH</v>
      </c>
      <c r="H39" s="35" t="s">
        <v>42</v>
      </c>
    </row>
    <row r="40" ht="15.75" customHeight="1">
      <c r="A40" s="8"/>
      <c r="B40" s="8">
        <v>111964.0</v>
      </c>
      <c r="C40" s="9" t="str">
        <f>VLOOKUP(B40,'FML March 2026'!E:F,2,false)</f>
        <v>CHEESE COTIJA QUESO CASE 2/5 LB SUPREMO VV</v>
      </c>
      <c r="D40" s="9" t="str">
        <f>VLOOKUP(B40,'Unit of Measure ship March 2026'!A:C,3,false)</f>
        <v>LBS</v>
      </c>
      <c r="F40" s="8">
        <v>30025.0</v>
      </c>
      <c r="G40" s="9" t="str">
        <f>VLOOKUP(F40,'FML March 2026'!E:F,2,false)</f>
        <v>KAFFIR LIME LEAVES FRESH</v>
      </c>
      <c r="H40" s="35" t="s">
        <v>42</v>
      </c>
    </row>
    <row r="41" ht="15.75" customHeight="1">
      <c r="A41" s="8"/>
      <c r="B41" s="17">
        <v>109529.0</v>
      </c>
      <c r="C41" s="9" t="str">
        <f>VLOOKUP(B41,'FML March 2026'!E:F,2,false)</f>
        <v>CHEESE VEGAN PROVOLONE</v>
      </c>
      <c r="D41" s="9" t="str">
        <f>VLOOKUP(B41,'Unit of Measure ship March 2026'!A:C,3,false)</f>
        <v>LBS</v>
      </c>
      <c r="F41" s="8">
        <v>110907.0</v>
      </c>
      <c r="G41" s="9" t="str">
        <f>VLOOKUP(F41,'FML March 2026'!E:F,2,false)</f>
        <v>KALE GREEN  FRESH CS15/LBS</v>
      </c>
      <c r="H41" s="35" t="s">
        <v>42</v>
      </c>
    </row>
    <row r="42" ht="15.75" customHeight="1">
      <c r="A42" s="8"/>
      <c r="B42" s="8">
        <v>27418.0</v>
      </c>
      <c r="C42" s="9" t="str">
        <f>VLOOKUP(B42,'FML March 2026'!E:F,2,false)</f>
        <v>CHEESE, PARMIGIANO REGGIANO, DOP, QUARTERS, 18-20 LB EA, CHL, 2/1 EA</v>
      </c>
      <c r="D42" s="9" t="str">
        <f>VLOOKUP(B42,'Unit of Measure ship March 2026'!A:C,3,false)</f>
        <v>LBS</v>
      </c>
      <c r="F42" s="8">
        <v>15471.0</v>
      </c>
      <c r="G42" s="9" t="str">
        <f>VLOOKUP(F42,'FML March 2026'!E:F,2,false)</f>
        <v>LEEKS LARGE FRESH 12 BU 15#</v>
      </c>
      <c r="H42" s="35" t="s">
        <v>42</v>
      </c>
    </row>
    <row r="43" ht="15.75" customHeight="1">
      <c r="A43" s="8"/>
      <c r="B43" s="17">
        <v>47179.0</v>
      </c>
      <c r="C43" s="9" t="str">
        <f>VLOOKUP(B43,'FML March 2026'!E:F,2,false)</f>
        <v>CHEESE, PECORINO ROMANO</v>
      </c>
      <c r="D43" s="9" t="str">
        <f>VLOOKUP(B43,'Unit of Measure ship March 2026'!A:C,3,false)</f>
        <v>LBS</v>
      </c>
      <c r="F43" s="8">
        <v>15478.0</v>
      </c>
      <c r="G43" s="9" t="str">
        <f>VLOOKUP(F43,'FML March 2026'!E:F,2,false)</f>
        <v>LEMONGRASS 12 STICKS/BUNCH 1#/BUNCH</v>
      </c>
      <c r="H43" s="35" t="s">
        <v>42</v>
      </c>
    </row>
    <row r="44" ht="15.75" customHeight="1">
      <c r="A44" s="8"/>
      <c r="B44" s="17">
        <v>112137.0</v>
      </c>
      <c r="C44" s="9" t="str">
        <f>VLOOKUP(B44,'FML March 2026'!E:F,2,false)</f>
        <v>CHEEZE WHIZ CS6/6.5LB KRAFT</v>
      </c>
      <c r="D44" s="9" t="str">
        <f>VLOOKUP(B44,'Unit of Measure ship March 2026'!A:C,3,false)</f>
        <v>CN6.5/LB</v>
      </c>
      <c r="F44" s="17">
        <v>15397.0</v>
      </c>
      <c r="G44" s="9" t="str">
        <f>VLOOKUP(F44,'FML March 2026'!E:F,2,false)</f>
        <v>LEMONS FRESH FIRM FANCY CALIF. SUNKIST #1 200CT 40#</v>
      </c>
      <c r="H44" s="35" t="s">
        <v>42</v>
      </c>
    </row>
    <row r="45" ht="15.75" customHeight="1">
      <c r="A45" s="8"/>
      <c r="B45" s="17">
        <v>15701.0</v>
      </c>
      <c r="C45" s="9" t="str">
        <f>VLOOKUP(B45,'FML March 2026'!E:F,2,false)</f>
        <v>CHERRIES, RED DRIED SWEET (USA)</v>
      </c>
      <c r="D45" s="9" t="str">
        <f>VLOOKUP(B45,'Unit of Measure ship March 2026'!A:C,3,false)</f>
        <v>LBS</v>
      </c>
      <c r="F45" s="8">
        <v>111049.0</v>
      </c>
      <c r="G45" s="9" t="str">
        <f>VLOOKUP(F45,'FML March 2026'!E:F,2,false)</f>
        <v>LETTUCE BABY GEM FRESH CS24/CT</v>
      </c>
      <c r="H45" s="35" t="s">
        <v>42</v>
      </c>
    </row>
    <row r="46" ht="15.75" customHeight="1">
      <c r="A46" s="8"/>
      <c r="B46" s="8">
        <v>109681.0</v>
      </c>
      <c r="C46" s="9" t="str">
        <f>VLOOKUP(B46,'FML March 2026'!E:F,2,false)</f>
        <v>CHICKEN STOCK  CS4.5 LT SAVORY CHOICE  FLAVOR</v>
      </c>
      <c r="D46" s="9" t="str">
        <f>VLOOKUP(B46,'Unit of Measure ship March 2026'!A:C,3,false)</f>
        <v>LITER</v>
      </c>
      <c r="F46" s="17">
        <v>15473.0</v>
      </c>
      <c r="G46" s="9" t="str">
        <f>VLOOKUP(F46,'FML March 2026'!E:F,2,false)</f>
        <v>LETTUCE ICEBERG, CALIF. AVGE 50# CASE 24HD</v>
      </c>
      <c r="H46" s="35" t="s">
        <v>42</v>
      </c>
    </row>
    <row r="47" ht="15.75" customHeight="1">
      <c r="A47" s="8"/>
      <c r="B47" s="8">
        <v>22328.0</v>
      </c>
      <c r="C47" s="9" t="str">
        <f>VLOOKUP(B47,'FML March 2026'!E:F,2,false)</f>
        <v>CHILI ANCHO  DRY CS5/LBS</v>
      </c>
      <c r="D47" s="9" t="str">
        <f>VLOOKUP(B47,'Unit of Measure ship March 2026'!A:C,3,false)</f>
        <v>KG</v>
      </c>
      <c r="F47" s="8">
        <v>15489.0</v>
      </c>
      <c r="G47" s="9" t="str">
        <f>VLOOKUP(F47,'FML March 2026'!E:F,2,false)</f>
        <v>LETTUCE ROMAINE, CAL., CRISP 24HD 38#</v>
      </c>
      <c r="H47" s="35" t="s">
        <v>42</v>
      </c>
    </row>
    <row r="48" ht="15.75" customHeight="1">
      <c r="A48" s="8"/>
      <c r="B48" s="17">
        <v>16308.0</v>
      </c>
      <c r="C48" s="9" t="str">
        <f>VLOOKUP(B48,'FML March 2026'!E:F,2,false)</f>
        <v>CHILI PEPPER RED CRUSHED D`ALLESANDRO/ SPICECO</v>
      </c>
      <c r="D48" s="9" t="str">
        <f>VLOOKUP(B48,'Unit of Measure ship March 2026'!A:C,3,false)</f>
        <v>LBS</v>
      </c>
      <c r="F48" s="17">
        <v>15399.0</v>
      </c>
      <c r="G48" s="9" t="str">
        <f>VLOOKUP(F48,'FML March 2026'!E:F,2,false)</f>
        <v>LIMES, FRESH, FIRM #1 200CT 40#</v>
      </c>
      <c r="H48" s="35" t="s">
        <v>42</v>
      </c>
    </row>
    <row r="49" ht="15.75" customHeight="1">
      <c r="A49" s="8"/>
      <c r="B49" s="8">
        <v>110039.0</v>
      </c>
      <c r="C49" s="9" t="str">
        <f>VLOOKUP(B49,'FML March 2026'!E:F,2,false)</f>
        <v>CHILI PEPPER THREADS KOREAN WHOLE PKG 1  OZ  SPICEOLOGY</v>
      </c>
      <c r="D49" s="9" t="str">
        <f>VLOOKUP(B49,'Unit of Measure ship March 2026'!A:C,3,false)</f>
        <v>OZ</v>
      </c>
      <c r="F49" s="17">
        <v>15400.0</v>
      </c>
      <c r="G49" s="9" t="str">
        <f>VLOOKUP(F49,'FML March 2026'!E:F,2,false)</f>
        <v>MANGOS, RIPE 9/12 CT, 10#/CS</v>
      </c>
      <c r="H49" s="35" t="s">
        <v>42</v>
      </c>
    </row>
    <row r="50" ht="15.75" customHeight="1">
      <c r="A50" s="8"/>
      <c r="B50" s="8">
        <v>16252.0</v>
      </c>
      <c r="C50" s="9" t="str">
        <f>VLOOKUP(B50,'FML March 2026'!E:F,2,false)</f>
        <v>CHILI POWDER 16 OZ D`ALLESANDRO/ SPICECO</v>
      </c>
      <c r="D50" s="9" t="str">
        <f>VLOOKUP(B50,'Unit of Measure ship March 2026'!A:C,3,false)</f>
        <v>LBS</v>
      </c>
      <c r="F50" s="8">
        <v>15434.0</v>
      </c>
      <c r="G50" s="9" t="str">
        <f>VLOOKUP(F50,'FML March 2026'!E:F,2,false)</f>
        <v>MARJORAM (12 BUNCH), 1 LB/CS</v>
      </c>
      <c r="H50" s="35" t="s">
        <v>42</v>
      </c>
    </row>
    <row r="51" ht="15.75" customHeight="1">
      <c r="A51" s="8"/>
      <c r="B51" s="8">
        <v>16343.0</v>
      </c>
      <c r="C51" s="9" t="str">
        <f>VLOOKUP(B51,'FML March 2026'!E:F,2,false)</f>
        <v>CHILI SAUCE, HEINZ, 6/10'S</v>
      </c>
      <c r="D51" s="9" t="str">
        <f>VLOOKUP(B51,'Unit of Measure ship March 2026'!A:C,3,false)</f>
        <v>CN/6.5LB</v>
      </c>
      <c r="F51" s="8">
        <v>15436.0</v>
      </c>
      <c r="G51" s="9" t="str">
        <f>VLOOKUP(F51,'FML March 2026'!E:F,2,false)</f>
        <v>MINT (12 BUNCH), 1 LB/CS</v>
      </c>
      <c r="H51" s="35" t="s">
        <v>42</v>
      </c>
    </row>
    <row r="52" ht="15.75" customHeight="1">
      <c r="A52" s="17"/>
      <c r="B52" s="8">
        <v>16265.0</v>
      </c>
      <c r="C52" s="9" t="str">
        <f>VLOOKUP(B52,'FML March 2026'!E:F,2,false)</f>
        <v>CHINESE FIVE SPICE 16 OZ D`ALLESANDRO/ SPICECO</v>
      </c>
      <c r="D52" s="9" t="str">
        <f>VLOOKUP(B52,'Unit of Measure ship March 2026'!A:C,3,false)</f>
        <v>LBS</v>
      </c>
      <c r="F52" s="8">
        <v>110069.0</v>
      </c>
      <c r="G52" s="9" t="str">
        <f>VLOOKUP(F52,'FML March 2026'!E:F,2,false)</f>
        <v>MUSHROOM KING TRUMPET</v>
      </c>
      <c r="H52" s="35" t="s">
        <v>42</v>
      </c>
    </row>
    <row r="53" ht="15.75" customHeight="1">
      <c r="A53" s="17"/>
      <c r="B53" s="17">
        <v>19408.0</v>
      </c>
      <c r="C53" s="9" t="str">
        <f>VLOOKUP(B53,'FML March 2026'!E:F,2,false)</f>
        <v>CHIPOTLE PEPPER CANNED SAN MARCOS IN ADOBO</v>
      </c>
      <c r="D53" s="9" t="str">
        <f>VLOOKUP(B53,'Unit of Measure ship March 2026'!A:C,3,false)</f>
        <v>CAN/7OZ</v>
      </c>
      <c r="F53" s="8">
        <v>24459.0</v>
      </c>
      <c r="G53" s="9" t="str">
        <f>VLOOKUP(F53,'FML March 2026'!E:F,2,false)</f>
        <v>MUSHROOM, CRIMINI</v>
      </c>
      <c r="H53" s="35" t="s">
        <v>42</v>
      </c>
    </row>
    <row r="54" ht="15.75" customHeight="1">
      <c r="A54" s="17"/>
      <c r="B54" s="8">
        <v>16882.0</v>
      </c>
      <c r="C54" s="9" t="str">
        <f>VLOOKUP(B54,'FML March 2026'!E:F,2,false)</f>
        <v>CHIPS POTATO CHIPS BULK</v>
      </c>
      <c r="D54" s="9" t="str">
        <f>VLOOKUP(B54,'Unit of Measure ship March 2026'!A:C,3,false)</f>
        <v>LBS</v>
      </c>
      <c r="F54" s="8">
        <v>15585.0</v>
      </c>
      <c r="G54" s="9" t="str">
        <f>VLOOKUP(F54,'FML March 2026'!E:F,2,false)</f>
        <v>MUSHROOMS OYSTER 1/5#</v>
      </c>
      <c r="H54" s="35" t="s">
        <v>42</v>
      </c>
    </row>
    <row r="55" ht="15.75" customHeight="1">
      <c r="A55" s="17"/>
      <c r="B55" s="17">
        <v>10883.0</v>
      </c>
      <c r="C55" s="9" t="str">
        <f>VLOOKUP(B55,'FML March 2026'!E:F,2,false)</f>
        <v>CHIPS, TORTILLA, TRIANGLE FOR NACHOS</v>
      </c>
      <c r="D55" s="9" t="str">
        <f>VLOOKUP(B55,'Unit of Measure ship March 2026'!A:C,3,false)</f>
        <v>PKG16/OZ</v>
      </c>
      <c r="F55" s="8">
        <v>15551.0</v>
      </c>
      <c r="G55" s="9" t="str">
        <f>VLOOKUP(F55,'FML March 2026'!E:F,2,false)</f>
        <v>MUSHROOMS PORTOBELLO FRESH</v>
      </c>
      <c r="H55" s="35" t="s">
        <v>42</v>
      </c>
    </row>
    <row r="56" ht="15.75" customHeight="1">
      <c r="A56" s="17"/>
      <c r="B56" s="17">
        <v>147889.0</v>
      </c>
      <c r="C56" s="9" t="str">
        <f>VLOOKUP(B56,'FML March 2026'!E:F,2,false)</f>
        <v>CHORIZO SAUSAGE MEAT 12/14 OZ BULK OLE FOODS</v>
      </c>
      <c r="D56" s="9" t="str">
        <f>VLOOKUP(B56,'Unit of Measure ship March 2026'!A:C,3,false)</f>
        <v>LBS</v>
      </c>
      <c r="F56" s="8">
        <v>15556.0</v>
      </c>
      <c r="G56" s="9" t="str">
        <f>VLOOKUP(F56,'FML March 2026'!E:F,2,false)</f>
        <v>MUSHROOMS SHIITAKE  FRESH NO 1</v>
      </c>
      <c r="H56" s="35" t="s">
        <v>42</v>
      </c>
    </row>
    <row r="57" ht="15.75" customHeight="1">
      <c r="A57" s="17"/>
      <c r="B57" s="17">
        <v>16253.0</v>
      </c>
      <c r="C57" s="9" t="str">
        <f>VLOOKUP(B57,'FML March 2026'!E:F,2,false)</f>
        <v>CINNAMON GROUND</v>
      </c>
      <c r="D57" s="9" t="str">
        <f>VLOOKUP(B57,'Unit of Measure ship March 2026'!A:C,3,false)</f>
        <v>LBS</v>
      </c>
      <c r="F57" s="8">
        <v>31638.0</v>
      </c>
      <c r="G57" s="9" t="str">
        <f>VLOOKUP(F57,'FML March 2026'!E:F,2,false)</f>
        <v>MUSHROOMS, FRESH WHITE, 8 OZ CELLO PACK</v>
      </c>
      <c r="H57" s="35" t="s">
        <v>42</v>
      </c>
    </row>
    <row r="58" ht="15.75" customHeight="1">
      <c r="A58" s="17"/>
      <c r="B58" s="8">
        <v>16267.0</v>
      </c>
      <c r="C58" s="9" t="str">
        <f>VLOOKUP(B58,'FML March 2026'!E:F,2,false)</f>
        <v>CINNAMON STICKS BADIA (USA)</v>
      </c>
      <c r="D58" s="9" t="str">
        <f>VLOOKUP(B58,'Unit of Measure ship March 2026'!A:C,3,false)</f>
        <v>LBS</v>
      </c>
      <c r="F58" s="8">
        <v>46179.0</v>
      </c>
      <c r="G58" s="9" t="str">
        <f>VLOOKUP(F58,'FML March 2026'!E:F,2,false)</f>
        <v>ONION WHITE BIG FRESH</v>
      </c>
      <c r="H58" s="35" t="s">
        <v>42</v>
      </c>
    </row>
    <row r="59" ht="15.75" customHeight="1">
      <c r="A59" s="17"/>
      <c r="B59" s="8">
        <v>40584.0</v>
      </c>
      <c r="C59" s="9" t="str">
        <f>VLOOKUP(B59,'FML March 2026'!E:F,2,false)</f>
        <v>CLOVES GROUND PKG 16 OZ BADIA (USA )</v>
      </c>
      <c r="D59" s="9" t="str">
        <f>VLOOKUP(B59,'Unit of Measure ship March 2026'!A:C,3,false)</f>
        <v>LBS</v>
      </c>
      <c r="F59" s="17">
        <v>15496.0</v>
      </c>
      <c r="G59" s="9" t="str">
        <f>VLOOKUP(F59,'FML March 2026'!E:F,2,false)</f>
        <v>ONIONS RED, MEDIUM 25#</v>
      </c>
      <c r="H59" s="35" t="s">
        <v>42</v>
      </c>
    </row>
    <row r="60" ht="15.75" customHeight="1">
      <c r="A60" s="17"/>
      <c r="B60" s="8">
        <v>16254.0</v>
      </c>
      <c r="C60" s="9" t="str">
        <f>VLOOKUP(B60,'FML March 2026'!E:F,2,false)</f>
        <v>CLOVES WHOLE D`ALLESANDRO/ SPICECO</v>
      </c>
      <c r="D60" s="9" t="str">
        <f>VLOOKUP(B60,'Unit of Measure ship March 2026'!A:C,3,false)</f>
        <v>LBS</v>
      </c>
      <c r="F60" s="8">
        <v>111864.0</v>
      </c>
      <c r="G60" s="9" t="str">
        <f>VLOOKUP(F60,'FML March 2026'!E:F,2,false)</f>
        <v>ONIONS, PEARL ONIONS RED FRESH 1/12PT 4#/CS</v>
      </c>
      <c r="H60" s="35" t="s">
        <v>42</v>
      </c>
    </row>
    <row r="61" ht="15.75" customHeight="1">
      <c r="A61" s="17"/>
      <c r="B61" s="17">
        <v>109671.0</v>
      </c>
      <c r="C61" s="9" t="str">
        <f>VLOOKUP(B61,'FML March 2026'!E:F,2,false)</f>
        <v>COARSE CORNMEAL BOBS RED MILL</v>
      </c>
      <c r="D61" s="9" t="str">
        <f>VLOOKUP(B61,'Unit of Measure ship March 2026'!A:C,3,false)</f>
        <v>LBS</v>
      </c>
      <c r="F61" s="17">
        <v>15497.0</v>
      </c>
      <c r="G61" s="9" t="str">
        <f>VLOOKUP(F61,'FML March 2026'!E:F,2,false)</f>
        <v>ONIONS, YELLOW, MEDIUM, SPANISH #1, 50#</v>
      </c>
      <c r="H61" s="35" t="s">
        <v>42</v>
      </c>
    </row>
    <row r="62" ht="15.75" customHeight="1">
      <c r="A62" s="17"/>
      <c r="B62" s="78">
        <v>110020.0</v>
      </c>
      <c r="C62" s="9" t="str">
        <f>VLOOKUP(B62,'FML March 2026'!E:F,2,false)</f>
        <v>COCONUT FLAKES UNSWEETENED BOBS RED MILL CS4/24OZ</v>
      </c>
      <c r="D62" s="9" t="str">
        <f>VLOOKUP(B62,'Unit of Measure ship March 2026'!A:C,3,false)</f>
        <v>LBS</v>
      </c>
      <c r="F62" s="17">
        <v>15408.0</v>
      </c>
      <c r="G62" s="9" t="str">
        <f>VLOOKUP(F62,'FML March 2026'!E:F,2,false)</f>
        <v>ORANGES CAL. SUNKIST FANCY, VALENCIA NAVEL,88CT 40#</v>
      </c>
      <c r="H62" s="35" t="s">
        <v>42</v>
      </c>
    </row>
    <row r="63" ht="15.75" customHeight="1">
      <c r="A63" s="17"/>
      <c r="B63" s="15">
        <v>62920.0</v>
      </c>
      <c r="C63" s="9" t="str">
        <f>VLOOKUP(B63,'FML March 2026'!E:F,2,false)</f>
        <v>COCONUT MILK CS24/14OZ  17% TO 18%</v>
      </c>
      <c r="D63" s="9" t="str">
        <f>VLOOKUP(B63,'Unit of Measure ship March 2026'!A:C,3,false)</f>
        <v>PC/13.5Z</v>
      </c>
      <c r="F63" s="17">
        <v>15447.0</v>
      </c>
      <c r="G63" s="9" t="str">
        <f>VLOOKUP(F63,'FML March 2026'!E:F,2,false)</f>
        <v>OREGANO FRESH</v>
      </c>
      <c r="H63" s="35" t="s">
        <v>42</v>
      </c>
    </row>
    <row r="64" ht="15.75" customHeight="1">
      <c r="A64" s="17"/>
      <c r="B64" s="8">
        <v>62920.0</v>
      </c>
      <c r="C64" s="9" t="str">
        <f>VLOOKUP(B64,'FML March 2026'!E:F,2,false)</f>
        <v>COCONUT MILK CS24/14OZ  17% TO 18%</v>
      </c>
      <c r="D64" s="9" t="str">
        <f>VLOOKUP(B64,'Unit of Measure ship March 2026'!A:C,3,false)</f>
        <v>PC/13.5Z</v>
      </c>
      <c r="F64" s="17">
        <v>15500.0</v>
      </c>
      <c r="G64" s="9" t="str">
        <f>VLOOKUP(F64,'FML March 2026'!E:F,2,false)</f>
        <v>PARSLEY ITALIAN,  20#/CS</v>
      </c>
      <c r="H64" s="35" t="s">
        <v>42</v>
      </c>
    </row>
    <row r="65" ht="15.75" customHeight="1">
      <c r="A65" s="17"/>
      <c r="B65" s="17">
        <v>14546.0</v>
      </c>
      <c r="C65" s="9" t="str">
        <f>VLOOKUP(B65,'FML March 2026'!E:F,2,false)</f>
        <v>COOKED HAM NATURAL JUICE (BOILED HAM EXTRA)</v>
      </c>
      <c r="D65" s="9" t="str">
        <f>VLOOKUP(B65,'Unit of Measure ship March 2026'!A:C,3,false)</f>
        <v>LBS</v>
      </c>
      <c r="F65" s="8">
        <v>23714.0</v>
      </c>
      <c r="G65" s="9" t="str">
        <f>VLOOKUP(F65,'FML March 2026'!E:F,2,false)</f>
        <v>PARSNIP 20#/CS</v>
      </c>
      <c r="H65" s="35" t="s">
        <v>42</v>
      </c>
    </row>
    <row r="66" ht="15.75" customHeight="1">
      <c r="A66" s="17"/>
      <c r="B66" s="8">
        <v>16289.0</v>
      </c>
      <c r="C66" s="9" t="str">
        <f>VLOOKUP(B66,'FML March 2026'!E:F,2,false)</f>
        <v>CORIANDER GROUND BADIA (USA )</v>
      </c>
      <c r="D66" s="9" t="str">
        <f>VLOOKUP(B66,'Unit of Measure ship March 2026'!A:C,3,false)</f>
        <v>LBS</v>
      </c>
      <c r="F66" s="8">
        <v>112615.0</v>
      </c>
      <c r="G66" s="9" t="str">
        <f>VLOOKUP(F66,'FML March 2026'!E:F,2,false)</f>
        <v>PEPPER JALAPENO RED FRESH</v>
      </c>
      <c r="H66" s="35" t="s">
        <v>42</v>
      </c>
    </row>
    <row r="67" ht="15.75" customHeight="1">
      <c r="A67" s="17"/>
      <c r="B67" s="17">
        <v>16288.0</v>
      </c>
      <c r="C67" s="9" t="str">
        <f>VLOOKUP(B67,'FML March 2026'!E:F,2,false)</f>
        <v>CORIANDER WHOLE BADIA (USA )</v>
      </c>
      <c r="D67" s="9" t="str">
        <f>VLOOKUP(B67,'Unit of Measure ship March 2026'!A:C,3,false)</f>
        <v>LBS</v>
      </c>
      <c r="F67" s="8">
        <v>111047.0</v>
      </c>
      <c r="G67" s="9" t="str">
        <f>VLOOKUP(F67,'FML March 2026'!E:F,2,false)</f>
        <v>PEPPER THAI LONG GREEN FRESH  CS3/LBS</v>
      </c>
      <c r="H67" s="35" t="s">
        <v>42</v>
      </c>
    </row>
    <row r="68" ht="15.75" customHeight="1">
      <c r="A68" s="17"/>
      <c r="B68" s="17">
        <v>15133.0</v>
      </c>
      <c r="C68" s="9" t="str">
        <f>VLOOKUP(B68,'FML March 2026'!E:F,2,false)</f>
        <v>CORN, WHOLE KERNEL, GRADE A, IQF, FZN, 1/10 KG</v>
      </c>
      <c r="D68" s="9" t="str">
        <f>VLOOKUP(B68,'Unit of Measure ship March 2026'!A:C,3,false)</f>
        <v>LBS</v>
      </c>
      <c r="F68" s="17">
        <v>15501.0</v>
      </c>
      <c r="G68" s="9" t="str">
        <f>VLOOKUP(F68,'FML March 2026'!E:F,2,false)</f>
        <v>PEPPERS GREEN, MEDIUM, CHOICE, 88-100 MM</v>
      </c>
      <c r="H68" s="35" t="s">
        <v>42</v>
      </c>
    </row>
    <row r="69" ht="15.75" customHeight="1">
      <c r="A69" s="17"/>
      <c r="B69" s="17">
        <v>16184.0</v>
      </c>
      <c r="C69" s="9" t="str">
        <f>VLOOKUP(B69,'FML March 2026'!E:F,2,false)</f>
        <v>CORNSTARCH BULK</v>
      </c>
      <c r="D69" s="9" t="str">
        <f>VLOOKUP(B69,'Unit of Measure ship March 2026'!A:C,3,false)</f>
        <v>LBS</v>
      </c>
      <c r="F69" s="17">
        <v>15504.0</v>
      </c>
      <c r="G69" s="9" t="str">
        <f>VLOOKUP(F69,'FML March 2026'!E:F,2,false)</f>
        <v>PEPPERS HOT, JALAPENOS 10#</v>
      </c>
      <c r="H69" s="35" t="s">
        <v>42</v>
      </c>
    </row>
    <row r="70" ht="15.75" customHeight="1">
      <c r="A70" s="17"/>
      <c r="B70" s="8">
        <v>14987.0</v>
      </c>
      <c r="C70" s="9" t="str">
        <f>VLOOKUP(B70,'FML March 2026'!E:F,2,false)</f>
        <v>CREAM CHEESE QUESCREM/PHILADELPHIA FOR BAKERY</v>
      </c>
      <c r="D70" s="9" t="str">
        <f>VLOOKUP(B70,'Unit of Measure ship March 2026'!A:C,3,false)</f>
        <v>LBS</v>
      </c>
      <c r="F70" s="17">
        <v>15502.0</v>
      </c>
      <c r="G70" s="9" t="str">
        <f>VLOOKUP(F70,'FML March 2026'!E:F,2,false)</f>
        <v>PEPPERS RED, MEDIUM, 88-100 MM</v>
      </c>
      <c r="H70" s="35" t="s">
        <v>42</v>
      </c>
    </row>
    <row r="71" ht="15.75" customHeight="1">
      <c r="A71" s="17"/>
      <c r="B71" s="17">
        <v>11882.0</v>
      </c>
      <c r="C71" s="9" t="str">
        <f>VLOOKUP(B71,'FML March 2026'!E:F,2,false)</f>
        <v>CREME FRAICHE</v>
      </c>
      <c r="D71" s="9" t="str">
        <f>VLOOKUP(B71,'Unit of Measure ship March 2026'!A:C,3,false)</f>
        <v>QRT</v>
      </c>
      <c r="F71" s="8">
        <v>15577.0</v>
      </c>
      <c r="G71" s="9" t="str">
        <f>VLOOKUP(F71,'FML March 2026'!E:F,2,false)</f>
        <v>PEPPERS YELLOW, MEDIUM, 88-100 MM</v>
      </c>
      <c r="H71" s="35" t="s">
        <v>42</v>
      </c>
    </row>
    <row r="72" ht="15.75" customHeight="1">
      <c r="A72" s="17"/>
      <c r="B72" s="8">
        <v>16256.0</v>
      </c>
      <c r="C72" s="9" t="str">
        <f>VLOOKUP(B72,'FML March 2026'!E:F,2,false)</f>
        <v>CUMIN GROUND D`ALLESANDRO/ SPICECO (USA )</v>
      </c>
      <c r="D72" s="9" t="str">
        <f>VLOOKUP(B72,'Unit of Measure ship March 2026'!A:C,3,false)</f>
        <v>LBS</v>
      </c>
      <c r="F72" s="8">
        <v>108577.0</v>
      </c>
      <c r="G72" s="9" t="str">
        <f>VLOOKUP(F72,'FML March 2026'!E:F,2,false)</f>
        <v>PINEAPPLES, CROWNLESS, GOLD, FRESH</v>
      </c>
      <c r="H72" s="35" t="s">
        <v>42</v>
      </c>
    </row>
    <row r="73" ht="15.75" customHeight="1">
      <c r="A73" s="17"/>
      <c r="B73" s="8">
        <v>16264.0</v>
      </c>
      <c r="C73" s="9" t="str">
        <f>VLOOKUP(B73,'FML March 2026'!E:F,2,false)</f>
        <v>CUMIN SEED WHOLE BADIA (USA )</v>
      </c>
      <c r="D73" s="9" t="str">
        <f>VLOOKUP(B73,'Unit of Measure ship March 2026'!A:C,3,false)</f>
        <v>LBS</v>
      </c>
      <c r="F73" s="8">
        <v>110075.0</v>
      </c>
      <c r="G73" s="9" t="str">
        <f>VLOOKUP(F73,'FML March 2026'!E:F,2,false)</f>
        <v>POTATO PEE WEE MULTI COLORED MARBLE</v>
      </c>
      <c r="H73" s="35" t="s">
        <v>42</v>
      </c>
    </row>
    <row r="74" ht="15.75" customHeight="1">
      <c r="A74" s="17"/>
      <c r="B74" s="8">
        <v>109630.0</v>
      </c>
      <c r="C74" s="9" t="str">
        <f>VLOOKUP(B74,'FML March 2026'!E:F,2,false)</f>
        <v>CURRANTS DRIED HIALEAH</v>
      </c>
      <c r="D74" s="9" t="str">
        <f>VLOOKUP(B74,'Unit of Measure ship March 2026'!A:C,3,false)</f>
        <v>KG</v>
      </c>
      <c r="F74" s="8">
        <v>109751.0</v>
      </c>
      <c r="G74" s="9" t="str">
        <f>VLOOKUP(F74,'FML March 2026'!E:F,2,false)</f>
        <v>POTATO RUSSET  110 CT</v>
      </c>
      <c r="H74" s="35" t="s">
        <v>42</v>
      </c>
    </row>
    <row r="75" ht="15.75" customHeight="1">
      <c r="A75" s="17"/>
      <c r="B75" s="8">
        <v>16257.0</v>
      </c>
      <c r="C75" s="9" t="str">
        <f>VLOOKUP(B75,'FML March 2026'!E:F,2,false)</f>
        <v>CURRY POWDER BADIA (USA )</v>
      </c>
      <c r="D75" s="9" t="str">
        <f>VLOOKUP(B75,'Unit of Measure ship March 2026'!A:C,3,false)</f>
        <v>LBS</v>
      </c>
      <c r="F75" s="8">
        <v>15513.0</v>
      </c>
      <c r="G75" s="9" t="str">
        <f>VLOOKUP(F75,'FML March 2026'!E:F,2,false)</f>
        <v>POTATOES CHEF (BAG) 50#</v>
      </c>
      <c r="H75" s="35" t="s">
        <v>42</v>
      </c>
    </row>
    <row r="76" ht="15.75" customHeight="1">
      <c r="A76" s="17"/>
      <c r="B76" s="15">
        <v>107107.0</v>
      </c>
      <c r="C76" s="9" t="str">
        <f>VLOOKUP(B76,'FML March 2026'!E:F,2,false)</f>
        <v>DUCK FAT (TH) (VV)</v>
      </c>
      <c r="D76" s="9" t="str">
        <f>VLOOKUP(B76,'Unit of Measure ship March 2026'!A:C,3,false)</f>
        <v>LBS</v>
      </c>
      <c r="F76" s="8">
        <v>15510.0</v>
      </c>
      <c r="G76" s="9" t="str">
        <f>VLOOKUP(F76,'FML March 2026'!E:F,2,false)</f>
        <v>POTATOES RED BLISS B-1 50#</v>
      </c>
      <c r="H76" s="35" t="s">
        <v>42</v>
      </c>
    </row>
    <row r="77" ht="15.75" customHeight="1">
      <c r="A77" s="17"/>
      <c r="B77" s="8">
        <v>102460.0</v>
      </c>
      <c r="C77" s="9" t="str">
        <f>VLOOKUP(B77,'FML March 2026'!E:F,2,false)</f>
        <v>EDAMAME, SHELLED, FRZN (GREENLAND)</v>
      </c>
      <c r="D77" s="9" t="str">
        <f>VLOOKUP(B77,'Unit of Measure ship March 2026'!A:C,3,false)</f>
        <v>LBS</v>
      </c>
      <c r="F77" s="8">
        <v>11856.0</v>
      </c>
      <c r="G77" s="9" t="str">
        <f>VLOOKUP(F77,'FML March 2026'!E:F,2,false)</f>
        <v>POTATOES YUKON GOLD, LARGE, FRESH</v>
      </c>
      <c r="H77" s="35" t="s">
        <v>42</v>
      </c>
    </row>
    <row r="78" ht="15.75" customHeight="1">
      <c r="A78" s="17"/>
      <c r="B78" s="8">
        <v>112620.0</v>
      </c>
      <c r="C78" s="9" t="str">
        <f>VLOOKUP(B78,'FML March 2026'!E:F,2,false)</f>
        <v>EGG REPLACER BOB'S RED MILL</v>
      </c>
      <c r="D78" s="9"/>
      <c r="F78" s="17">
        <v>15516.0</v>
      </c>
      <c r="G78" s="9" t="str">
        <f>VLOOKUP(F78,'FML March 2026'!E:F,2,false)</f>
        <v>POTATOES, SWEET, JUMBO, 40# BAG</v>
      </c>
      <c r="H78" s="35" t="s">
        <v>42</v>
      </c>
    </row>
    <row r="79" ht="15.75" customHeight="1">
      <c r="A79" s="17"/>
      <c r="B79" s="17">
        <v>15025.0</v>
      </c>
      <c r="C79" s="9" t="str">
        <f>VLOOKUP(B79,'FML March 2026'!E:F,2,false)</f>
        <v>EGG WHITES FROZEN 6/5# PAPETTI/ 12X1KG EUROVO/15X2LB DEBEL (USA)</v>
      </c>
      <c r="D79" s="9" t="str">
        <f>VLOOKUP(B79,'Unit of Measure ship March 2026'!A:C,3,false)</f>
        <v>LBS</v>
      </c>
      <c r="F79" s="8">
        <v>32705.0</v>
      </c>
      <c r="G79" s="9" t="str">
        <f>VLOOKUP(F79,'FML March 2026'!E:F,2,false)</f>
        <v>PUMPKIN/CALABASA, FRESH</v>
      </c>
      <c r="H79" s="35" t="s">
        <v>42</v>
      </c>
    </row>
    <row r="80" ht="15.75" customHeight="1">
      <c r="A80" s="17"/>
      <c r="B80" s="8">
        <v>15027.0</v>
      </c>
      <c r="C80" s="9" t="str">
        <f>VLOOKUP(B80,'FML March 2026'!E:F,2,false)</f>
        <v>EGG YOLKS FROZEN NO SUGAR OR SALT ADDED 6/5 LB SUNNY FRESH/ DEBEL (USA)</v>
      </c>
      <c r="D80" s="9" t="str">
        <f>VLOOKUP(B80,'Unit of Measure ship March 2026'!A:C,3,false)</f>
        <v>LBS</v>
      </c>
      <c r="F80" s="8">
        <v>15469.0</v>
      </c>
      <c r="G80" s="9" t="str">
        <f>VLOOKUP(F80,'FML March 2026'!E:F,2,false)</f>
        <v>RADICCIO LARGE HEADS 9 HD 6# FLAT</v>
      </c>
      <c r="H80" s="35" t="s">
        <v>42</v>
      </c>
    </row>
    <row r="81" ht="15.75" customHeight="1">
      <c r="A81" s="17"/>
      <c r="B81" s="17">
        <v>15022.0</v>
      </c>
      <c r="C81" s="9" t="str">
        <f>VLOOKUP(B81,'FML March 2026'!E:F,2,false)</f>
        <v>EGGS-DATED, MEDIUM, REGULAR</v>
      </c>
      <c r="D81" s="9" t="str">
        <f>VLOOKUP(B81,'Unit of Measure ship March 2026'!A:C,3,false)</f>
        <v>PC</v>
      </c>
      <c r="F81" s="8">
        <v>15518.0</v>
      </c>
      <c r="G81" s="9" t="str">
        <f>VLOOKUP(F81,'FML March 2026'!E:F,2,false)</f>
        <v>RADISHES, FRESH, BULK 40#</v>
      </c>
      <c r="H81" s="35" t="s">
        <v>42</v>
      </c>
    </row>
    <row r="82" ht="15.75" customHeight="1">
      <c r="A82" s="17"/>
      <c r="B82" s="17">
        <v>15026.0</v>
      </c>
      <c r="C82" s="9" t="str">
        <f>VLOOKUP(B82,'FML March 2026'!E:F,2,false)</f>
        <v>EGGS, WHOLE, LIQUID, W/ CITRIC ACID, NO SUGAR, 1-5 LB/1-5 LT, FZN, 6/5 LB</v>
      </c>
      <c r="D82" s="9" t="str">
        <f>VLOOKUP(B82,'Unit of Measure ship March 2026'!A:C,3,false)</f>
        <v>LBS</v>
      </c>
      <c r="F82" s="17">
        <v>15427.0</v>
      </c>
      <c r="G82" s="9" t="str">
        <f>VLOOKUP(F82,'FML March 2026'!E:F,2,false)</f>
        <v>ROSEMARY (12 BUNCH) 1 LB/CS</v>
      </c>
      <c r="H82" s="35" t="s">
        <v>42</v>
      </c>
    </row>
    <row r="83" ht="15.75" customHeight="1">
      <c r="A83" s="17"/>
      <c r="B83" s="17">
        <v>14997.0</v>
      </c>
      <c r="C83" s="9" t="str">
        <f>VLOOKUP(B83,'FML March 2026'!E:F,2,false)</f>
        <v>EMMENTHAL LOAF / DEXPA # 7290 - 7465</v>
      </c>
      <c r="D83" s="9" t="str">
        <f>VLOOKUP(B83,'Unit of Measure ship March 2026'!A:C,3,false)</f>
        <v>LBS</v>
      </c>
      <c r="F83" s="17">
        <v>15444.0</v>
      </c>
      <c r="G83" s="9" t="str">
        <f>VLOOKUP(F83,'FML March 2026'!E:F,2,false)</f>
        <v>SAGE FRESH</v>
      </c>
      <c r="H83" s="35" t="s">
        <v>42</v>
      </c>
    </row>
    <row r="84" ht="15.75" customHeight="1">
      <c r="A84" s="17"/>
      <c r="B84" s="17">
        <v>16259.0</v>
      </c>
      <c r="C84" s="9" t="str">
        <f>VLOOKUP(B84,'FML March 2026'!E:F,2,false)</f>
        <v>FENNEL SEED WHOLE BADIA (USA )</v>
      </c>
      <c r="D84" s="9" t="str">
        <f>VLOOKUP(B84,'Unit of Measure ship March 2026'!A:C,3,false)</f>
        <v>LBS</v>
      </c>
      <c r="F84" s="17">
        <v>24185.0</v>
      </c>
      <c r="G84" s="9" t="str">
        <f>VLOOKUP(F84,'FML March 2026'!E:F,2,false)</f>
        <v>SCALLIONS FRESH - ICELESS</v>
      </c>
      <c r="H84" s="35" t="s">
        <v>42</v>
      </c>
    </row>
    <row r="85" ht="15.75" customHeight="1">
      <c r="A85" s="17"/>
      <c r="B85" s="8">
        <v>16535.0</v>
      </c>
      <c r="C85" s="9" t="str">
        <f>VLOOKUP(B85,'FML March 2026'!E:F,2,false)</f>
        <v>FISH SAUCE, BTL (REQUIRES INSPECTION)</v>
      </c>
      <c r="D85" s="9" t="str">
        <f>VLOOKUP(B85,'Unit of Measure ship March 2026'!A:C,3,false)</f>
        <v>BTL/24OZ</v>
      </c>
      <c r="F85" s="8">
        <v>61705.0</v>
      </c>
      <c r="G85" s="9" t="str">
        <f>VLOOKUP(F85,'FML March 2026'!E:F,2,false)</f>
        <v>SERRANO PEPPERS FRESH</v>
      </c>
      <c r="H85" s="35" t="s">
        <v>42</v>
      </c>
    </row>
    <row r="86" ht="15.75" customHeight="1">
      <c r="A86" s="17"/>
      <c r="B86" s="17">
        <v>15716.0</v>
      </c>
      <c r="C86" s="9" t="str">
        <f>VLOOKUP(B86,'FML March 2026'!E:F,2,false)</f>
        <v>FLAVOR VANILLA BOURBON ROYALE FOR ICE CREAM 1 GALLON PASTRY STAR (USA)</v>
      </c>
      <c r="D86" s="9" t="str">
        <f>VLOOKUP(B86,'Unit of Measure ship March 2026'!A:C,3,false)</f>
        <v>GAL</v>
      </c>
      <c r="F86" s="17">
        <v>15522.0</v>
      </c>
      <c r="G86" s="9" t="str">
        <f>VLOOKUP(F86,'FML March 2026'!E:F,2,false)</f>
        <v>SHALLOTS CLOVES #1 FRESH 5#</v>
      </c>
      <c r="H86" s="35" t="s">
        <v>42</v>
      </c>
    </row>
    <row r="87" ht="15.75" customHeight="1">
      <c r="A87" s="17"/>
      <c r="B87" s="17">
        <v>111865.0</v>
      </c>
      <c r="C87" s="9" t="str">
        <f>VLOOKUP(B87,'FML March 2026'!E:F,2,false)</f>
        <v>FLOUR ALL PURPOSE SIR GALAHAD BAG50/LBS KING ARTHUR</v>
      </c>
      <c r="D87" s="9" t="str">
        <f>VLOOKUP(B87,'Unit of Measure ship March 2026'!A:C,3,false)</f>
        <v>LBS</v>
      </c>
      <c r="F87" s="17">
        <v>15525.0</v>
      </c>
      <c r="G87" s="9" t="str">
        <f>VLOOKUP(F87,'FML March 2026'!E:F,2,false)</f>
        <v>SPINACH FLAT LEAF, FRESH, CRISP 4/2.5# 10#</v>
      </c>
      <c r="H87" s="35" t="s">
        <v>42</v>
      </c>
    </row>
    <row r="88" ht="15.75" customHeight="1">
      <c r="A88" s="17"/>
      <c r="B88" s="8">
        <v>147847.0</v>
      </c>
      <c r="C88" s="9" t="str">
        <f>VLOOKUP(B88,'FML March 2026'!E:F,2,false)</f>
        <v>FLOUR GLUTEN FREE/ SUGAR FREE  CUP 4 CUP CS25/ LB</v>
      </c>
      <c r="D88" s="9" t="str">
        <f>VLOOKUP(B88,'Unit of Measure ship March 2026'!A:C,3,false)</f>
        <v>LBS</v>
      </c>
      <c r="F88" s="8">
        <v>110903.0</v>
      </c>
      <c r="G88" s="9" t="str">
        <f>VLOOKUP(F88,'FML March 2026'!E:F,2,false)</f>
        <v>SPROUTS, SOY BEAN 5 LBS</v>
      </c>
      <c r="H88" s="35" t="s">
        <v>42</v>
      </c>
    </row>
    <row r="89" ht="15.75" customHeight="1">
      <c r="A89" s="17"/>
      <c r="B89" s="17">
        <v>15741.0</v>
      </c>
      <c r="C89" s="9" t="str">
        <f>VLOOKUP(B89,'FML March 2026'!E:F,2,false)</f>
        <v>FLOUR SEMOLINA BAG 50/LBS DURAKOTA/BAY STATE (USA)</v>
      </c>
      <c r="D89" s="9" t="str">
        <f>VLOOKUP(B89,'Unit of Measure ship March 2026'!A:C,3,false)</f>
        <v>LBS</v>
      </c>
      <c r="F89" s="8">
        <v>15531.0</v>
      </c>
      <c r="G89" s="9" t="str">
        <f>VLOOKUP(F89,'FML March 2026'!E:F,2,false)</f>
        <v>SQUASH YELLOW, STRAIGHT NK FANCY 1/2 BUSHEL 20#, 180-210 MM</v>
      </c>
      <c r="H89" s="35" t="s">
        <v>42</v>
      </c>
    </row>
    <row r="90" ht="15.75" customHeight="1">
      <c r="A90" s="17"/>
      <c r="B90" s="17">
        <v>109639.0</v>
      </c>
      <c r="C90" s="9" t="str">
        <f>VLOOKUP(B90,'FML March 2026'!E:F,2,false)</f>
        <v>FLOUR SIR LANCELOT HIGH GLUTEN  50 LB KING ARTHUR</v>
      </c>
      <c r="D90" s="9" t="str">
        <f>VLOOKUP(B90,'Unit of Measure ship March 2026'!A:C,3,false)</f>
        <v>KG</v>
      </c>
      <c r="F90" s="8">
        <v>15575.0</v>
      </c>
      <c r="G90" s="9" t="str">
        <f>VLOOKUP(F90,'FML March 2026'!E:F,2,false)</f>
        <v>SWISS CHARD 24 BU 20#</v>
      </c>
      <c r="H90" s="35" t="s">
        <v>42</v>
      </c>
    </row>
    <row r="91" ht="15.75" customHeight="1">
      <c r="A91" s="17"/>
      <c r="B91" s="8">
        <v>39714.0</v>
      </c>
      <c r="C91" s="9" t="str">
        <f>VLOOKUP(B91,'FML March 2026'!E:F,2,false)</f>
        <v>FLOUR TEMPURA FLOUR BULK</v>
      </c>
      <c r="D91" s="9" t="str">
        <f>VLOOKUP(B91,'Unit of Measure ship March 2026'!A:C,3,false)</f>
        <v>LBS</v>
      </c>
      <c r="F91" s="17">
        <v>15442.0</v>
      </c>
      <c r="G91" s="9" t="str">
        <f>VLOOKUP(F91,'FML March 2026'!E:F,2,false)</f>
        <v>TARRAGON (12 BUNCH), 1 LB/CS</v>
      </c>
      <c r="H91" s="35" t="s">
        <v>42</v>
      </c>
    </row>
    <row r="92" ht="15.75" customHeight="1">
      <c r="A92" s="17"/>
      <c r="B92" s="17">
        <v>15672.0</v>
      </c>
      <c r="C92" s="9" t="str">
        <f>VLOOKUP(B92,'FML March 2026'!E:F,2,false)</f>
        <v>FOOD COLOR RED 1/10.5 OZ CHEFMASTER</v>
      </c>
      <c r="D92" s="9" t="str">
        <f>VLOOKUP(B92,'Unit of Measure ship March 2026'!A:C,3,false)</f>
        <v>BTL/10OZ</v>
      </c>
      <c r="F92" s="17">
        <v>15446.0</v>
      </c>
      <c r="G92" s="9" t="str">
        <f>VLOOKUP(F92,'FML March 2026'!E:F,2,false)</f>
        <v>THYME FRESH</v>
      </c>
      <c r="H92" s="35" t="s">
        <v>42</v>
      </c>
    </row>
    <row r="93" ht="15.75" customHeight="1">
      <c r="A93" s="17"/>
      <c r="B93" s="17">
        <v>15673.0</v>
      </c>
      <c r="C93" s="9" t="str">
        <f>VLOOKUP(B93,'FML March 2026'!E:F,2,false)</f>
        <v>FOOD COLOR YELLOW 1/10.5 OZ CHEFMASTER</v>
      </c>
      <c r="D93" s="9" t="str">
        <f>VLOOKUP(B93,'Unit of Measure ship March 2026'!A:C,3,false)</f>
        <v>BTL/10OZ</v>
      </c>
      <c r="F93" s="17">
        <v>15537.0</v>
      </c>
      <c r="G93" s="9" t="str">
        <f>VLOOKUP(F93,'FML March 2026'!E:F,2,false)</f>
        <v>TOMATOES 6X6 #1 18# RED RIPE, FIRM (LAYERED), 55-65 MM</v>
      </c>
      <c r="H93" s="35" t="s">
        <v>42</v>
      </c>
    </row>
    <row r="94" ht="15.75" customHeight="1">
      <c r="A94" s="17"/>
      <c r="B94" s="17">
        <v>111794.0</v>
      </c>
      <c r="C94" s="9" t="str">
        <f>VLOOKUP(B94,'FML March 2026'!E:F,2,false)</f>
        <v>FRENCH FRIES SEASHORE STYLE SEASONED SKIN-ON CS 6/5 LB LAMB WESTON SS101</v>
      </c>
      <c r="D94" s="9" t="str">
        <f>VLOOKUP(B94,'Unit of Measure ship March 2026'!A:C,3,false)</f>
        <v>LBS</v>
      </c>
      <c r="F94" s="8">
        <v>15534.0</v>
      </c>
      <c r="G94" s="9" t="str">
        <f>VLOOKUP(F94,'FML March 2026'!E:F,2,false)</f>
        <v>TOMATOES CHERRY #1 (GRAPE) 10 PINK, RED, FIRM SMALL</v>
      </c>
      <c r="H94" s="35" t="s">
        <v>42</v>
      </c>
    </row>
    <row r="95" ht="15.75" customHeight="1">
      <c r="A95" s="17"/>
      <c r="B95" s="8">
        <v>111698.0</v>
      </c>
      <c r="C95" s="9" t="str">
        <f>VLOOKUP(B95,'FML March 2026'!E:F,2,false)</f>
        <v>FRIED SHALLOTS LA RUSTICHELLA</v>
      </c>
      <c r="D95" s="9" t="str">
        <f>VLOOKUP(B95,'Unit of Measure ship March 2026'!A:C,3,false)</f>
        <v>LBS</v>
      </c>
      <c r="F95" s="8">
        <v>15568.0</v>
      </c>
      <c r="G95" s="9" t="str">
        <f>VLOOKUP(F95,'FML March 2026'!E:F,2,false)</f>
        <v>TOMATOES, TOMATILLOS 10#</v>
      </c>
      <c r="H95" s="35" t="s">
        <v>42</v>
      </c>
    </row>
    <row r="96" ht="15.75" customHeight="1">
      <c r="A96" s="17"/>
      <c r="B96" s="8">
        <v>16337.0</v>
      </c>
      <c r="C96" s="9" t="str">
        <f>VLOOKUP(B96,'FML March 2026'!E:F,2,false)</f>
        <v>GARAM MASALA POWDER INDIAN SPICE D`ALLESANDRO/MAYA</v>
      </c>
      <c r="D96" s="9" t="str">
        <f>VLOOKUP(B96,'Unit of Measure ship March 2026'!A:C,3,false)</f>
        <v>LBS</v>
      </c>
      <c r="F96" s="8">
        <v>15542.0</v>
      </c>
      <c r="G96" s="9" t="str">
        <f>VLOOKUP(F96,'FML March 2026'!E:F,2,false)</f>
        <v>ZUCCHINI MEDIUM #1 FANCY 20#/CS, 180-210 MM</v>
      </c>
      <c r="H96" s="35" t="s">
        <v>42</v>
      </c>
    </row>
    <row r="97" ht="15.75" customHeight="1">
      <c r="A97" s="17"/>
      <c r="B97" s="17">
        <v>16578.0</v>
      </c>
      <c r="C97" s="9" t="str">
        <f>VLOOKUP(B97,'FML March 2026'!E:F,2,false)</f>
        <v>GARBANZO BEANS 6/10 CANS (SPAIN)</v>
      </c>
      <c r="D97" s="9" t="str">
        <f>VLOOKUP(B97,'Unit of Measure ship March 2026'!A:C,3,false)</f>
        <v>CN/6.5LB</v>
      </c>
      <c r="G97" s="9"/>
      <c r="H97" s="9"/>
    </row>
    <row r="98" ht="15.75" customHeight="1">
      <c r="A98" s="17"/>
      <c r="B98" s="17">
        <v>16260.0</v>
      </c>
      <c r="C98" s="9" t="str">
        <f>VLOOKUP(B98,'FML March 2026'!E:F,2,false)</f>
        <v>GARLIC, POWDER, DRY, 12/16 OZ</v>
      </c>
      <c r="D98" s="9" t="str">
        <f>VLOOKUP(B98,'Unit of Measure ship March 2026'!A:C,3,false)</f>
        <v>LBS</v>
      </c>
      <c r="G98" s="9"/>
      <c r="H98" s="9"/>
    </row>
    <row r="99" ht="15.75" customHeight="1">
      <c r="A99" s="17"/>
      <c r="B99" s="17">
        <v>16318.0</v>
      </c>
      <c r="C99" s="9" t="str">
        <f>VLOOKUP(B99,'FML March 2026'!E:F,2,false)</f>
        <v>GINGER PICKLED PINK CHINESE K SEA/SE FOODS 20 LB</v>
      </c>
      <c r="D99" s="9" t="str">
        <f>VLOOKUP(B99,'Unit of Measure ship March 2026'!A:C,3,false)</f>
        <v>LBS</v>
      </c>
      <c r="G99" s="9"/>
      <c r="H99" s="9"/>
    </row>
    <row r="100" ht="15.75" customHeight="1">
      <c r="A100" s="17"/>
      <c r="B100" s="8">
        <v>143571.0</v>
      </c>
      <c r="C100" s="9" t="str">
        <f>VLOOKUP(B100,'FML March 2026'!E:F,2,false)</f>
        <v>GINGER, CRYSTALLIZED (USA)</v>
      </c>
      <c r="D100" s="9" t="str">
        <f>VLOOKUP(B100,'Unit of Measure ship March 2026'!A:C,3,false)</f>
        <v>LBS</v>
      </c>
      <c r="G100" s="9"/>
      <c r="H100" s="9"/>
    </row>
    <row r="101" ht="15.75" customHeight="1">
      <c r="A101" s="17"/>
      <c r="B101" s="8">
        <v>12672.0</v>
      </c>
      <c r="C101" s="9" t="str">
        <f>VLOOKUP(B101,'FML March 2026'!E:F,2,false)</f>
        <v>GLUTEN FREE CHICKPEA FLOUR SONALI/ PARIVAR</v>
      </c>
      <c r="D101" s="9" t="str">
        <f>VLOOKUP(B101,'Unit of Measure ship March 2026'!A:C,3,false)</f>
        <v>LBS</v>
      </c>
      <c r="G101" s="9"/>
      <c r="H101" s="9"/>
    </row>
    <row r="102" ht="15.75" customHeight="1">
      <c r="A102" s="17"/>
      <c r="B102" s="8">
        <v>12666.0</v>
      </c>
      <c r="C102" s="9" t="str">
        <f>VLOOKUP(B102,'FML March 2026'!E:F,2,false)</f>
        <v>GLUTEN FREE WHITE RICE FLOUR</v>
      </c>
      <c r="D102" s="9" t="str">
        <f>VLOOKUP(B102,'Unit of Measure ship March 2026'!A:C,3,false)</f>
        <v>LBS</v>
      </c>
      <c r="G102" s="9"/>
      <c r="H102" s="9"/>
    </row>
    <row r="103" ht="15.75" customHeight="1">
      <c r="A103" s="17"/>
      <c r="B103" s="8">
        <v>142011.0</v>
      </c>
      <c r="C103" s="9" t="str">
        <f>VLOOKUP(B103,'FML March 2026'!E:F,2,false)</f>
        <v>GLUTEN-FREE ENGLISH MUFFIN  6X13.5 OZ KINNIKINNICK/ UDI'S</v>
      </c>
      <c r="D103" s="9" t="str">
        <f>VLOOKUP(B103,'Unit of Measure ship March 2026'!A:C,3,false)</f>
        <v>C6/13.5O</v>
      </c>
      <c r="G103" s="9"/>
      <c r="H103" s="9"/>
    </row>
    <row r="104" ht="15.75" customHeight="1">
      <c r="A104" s="17"/>
      <c r="B104" s="8">
        <v>112068.0</v>
      </c>
      <c r="C104" s="9" t="str">
        <f>VLOOKUP(B104,'FML March 2026'!E:F,2,false)</f>
        <v>GOAT CHEESE  CHEFS CHEVRE CS 2/4 LB LAUR CHENEL</v>
      </c>
      <c r="D104" s="9" t="str">
        <f>VLOOKUP(B104,'Unit of Measure ship March 2026'!A:C,3,false)</f>
        <v>LBS</v>
      </c>
      <c r="G104" s="9"/>
      <c r="H104" s="9"/>
    </row>
    <row r="105" ht="15.75" customHeight="1">
      <c r="A105" s="17"/>
      <c r="B105" s="8">
        <v>110091.0</v>
      </c>
      <c r="C105" s="9" t="str">
        <f>VLOOKUP(B105,'FML March 2026'!E:F,2,false)</f>
        <v>GOCHUGARU KOREAN CHILI RED PEPPER FLAKES ASSI</v>
      </c>
      <c r="D105" s="9" t="str">
        <f>VLOOKUP(B105,'Unit of Measure ship March 2026'!A:C,3,false)</f>
        <v>CS8/5LB</v>
      </c>
      <c r="G105" s="9"/>
      <c r="H105" s="9"/>
    </row>
    <row r="106" ht="15.75" customHeight="1">
      <c r="A106" s="17"/>
      <c r="B106" s="8">
        <v>27417.0</v>
      </c>
      <c r="C106" s="9" t="str">
        <f>VLOOKUP(B106,'FML March 2026'!E:F,2,false)</f>
        <v>GORGONZOLA DOLCE LATTE</v>
      </c>
      <c r="D106" s="9" t="str">
        <f>VLOOKUP(B106,'Unit of Measure ship March 2026'!A:C,3,false)</f>
        <v>LBS</v>
      </c>
      <c r="G106" s="9"/>
      <c r="H106" s="9"/>
    </row>
    <row r="107" ht="15.75" customHeight="1">
      <c r="A107" s="17"/>
      <c r="B107" s="8">
        <v>15923.0</v>
      </c>
      <c r="C107" s="9" t="str">
        <f>VLOOKUP(B107,'FML March 2026'!E:F,2,false)</f>
        <v>GRITS 8/ 5LB QUAKER</v>
      </c>
      <c r="D107" s="9" t="str">
        <f>VLOOKUP(B107,'Unit of Measure ship March 2026'!A:C,3,false)</f>
        <v>LBS</v>
      </c>
      <c r="G107" s="9"/>
      <c r="H107" s="9"/>
    </row>
    <row r="108" ht="15.75" customHeight="1">
      <c r="A108" s="17"/>
      <c r="B108" s="8">
        <v>15058.0</v>
      </c>
      <c r="C108" s="9" t="str">
        <f>VLOOKUP(B108,'FML March 2026'!E:F,2,false)</f>
        <v>GRUYERE IGP SAVOIE CHABERT 40KG / DEXPA # 8681</v>
      </c>
      <c r="D108" s="9" t="str">
        <f>VLOOKUP(B108,'Unit of Measure ship March 2026'!A:C,3,false)</f>
        <v>LBS</v>
      </c>
      <c r="G108" s="9"/>
      <c r="H108" s="9"/>
    </row>
    <row r="109" ht="15.75" customHeight="1">
      <c r="A109" s="17"/>
      <c r="B109" s="8">
        <v>27410.0</v>
      </c>
      <c r="C109" s="9" t="str">
        <f>VLOOKUP(B109,'FML March 2026'!E:F,2,false)</f>
        <v>HAM BLACK FOREST DRY CURED ADLER</v>
      </c>
      <c r="D109" s="9" t="str">
        <f>VLOOKUP(B109,'Unit of Measure ship March 2026'!A:C,3,false)</f>
        <v>LBS</v>
      </c>
      <c r="G109" s="9"/>
      <c r="H109" s="9"/>
    </row>
    <row r="110" ht="15.75" customHeight="1">
      <c r="A110" s="17"/>
      <c r="B110" s="17">
        <v>15912.0</v>
      </c>
      <c r="C110" s="9" t="str">
        <f>VLOOKUP(B110,'FML March 2026'!E:F,2,false)</f>
        <v>HAMBURGER BUNS 4  INCH SESAME SEEDED  CS8/12 PC</v>
      </c>
      <c r="D110" s="9" t="str">
        <f>VLOOKUP(B110,'Unit of Measure ship March 2026'!A:C,3,false)</f>
        <v>PC</v>
      </c>
      <c r="G110" s="9"/>
      <c r="H110" s="9"/>
    </row>
    <row r="111" ht="15.75" customHeight="1">
      <c r="A111" s="17"/>
      <c r="B111" s="17">
        <v>30022.0</v>
      </c>
      <c r="C111" s="9" t="str">
        <f>VLOOKUP(B111,'FML March 2026'!E:F,2,false)</f>
        <v>HASH BROWN, ROUND, 2.5 INCH, IQF AVIKO</v>
      </c>
      <c r="D111" s="9" t="str">
        <f>VLOOKUP(B111,'Unit of Measure ship March 2026'!A:C,3,false)</f>
        <v>LBS</v>
      </c>
      <c r="G111" s="9"/>
      <c r="H111" s="9"/>
    </row>
    <row r="112" ht="15.75" customHeight="1">
      <c r="A112" s="17"/>
      <c r="B112" s="17">
        <v>14907.0</v>
      </c>
      <c r="C112" s="9" t="str">
        <f>VLOOKUP(B112,'FML March 2026'!E:F,2,false)</f>
        <v>HEAVY CREAM UHT LONG LIFE 38%-40% 12/1LT</v>
      </c>
      <c r="D112" s="9" t="str">
        <f>VLOOKUP(B112,'Unit of Measure ship March 2026'!A:C,3,false)</f>
        <v>LT</v>
      </c>
      <c r="G112" s="9"/>
      <c r="H112" s="9"/>
    </row>
    <row r="113" ht="15.75" customHeight="1">
      <c r="A113" s="17"/>
      <c r="B113" s="8">
        <v>105726.0</v>
      </c>
      <c r="C113" s="9" t="str">
        <f>VLOOKUP(B113,'FML March 2026'!E:F,2,false)</f>
        <v>HOISIN SAUCE</v>
      </c>
      <c r="D113" s="9" t="str">
        <f>VLOOKUP(B113,'Unit of Measure ship March 2026'!A:C,3,false)</f>
        <v>CAN/5LBS</v>
      </c>
      <c r="G113" s="9"/>
      <c r="H113" s="9"/>
    </row>
    <row r="114" ht="15.75" customHeight="1">
      <c r="A114" s="17"/>
      <c r="B114" s="8">
        <v>100464.0</v>
      </c>
      <c r="C114" s="9" t="str">
        <f>VLOOKUP(B114,'FML March 2026'!E:F,2,false)</f>
        <v>HONDASHI BONITO SOUP STOCK CS 10/1KG AJINOMOTO (RED GINGER)</v>
      </c>
      <c r="D114" s="9" t="str">
        <f>VLOOKUP(B114,'Unit of Measure ship March 2026'!A:C,3,false)</f>
        <v>KG</v>
      </c>
      <c r="G114" s="9"/>
      <c r="H114" s="9"/>
    </row>
    <row r="115" ht="15.75" customHeight="1">
      <c r="A115" s="17"/>
      <c r="B115" s="17">
        <v>15658.0</v>
      </c>
      <c r="C115" s="9" t="str">
        <f>VLOOKUP(B115,'FML March 2026'!E:F,2,false)</f>
        <v>HONEY 6/5 LB GROEB/MELONIA/SWEET HARVEST</v>
      </c>
      <c r="D115" s="9" t="str">
        <f>VLOOKUP(B115,'Unit of Measure ship March 2026'!A:C,3,false)</f>
        <v>KG</v>
      </c>
      <c r="G115" s="9"/>
      <c r="H115" s="9"/>
    </row>
    <row r="116" ht="15.75" customHeight="1">
      <c r="A116" s="17"/>
      <c r="B116" s="8">
        <v>109680.0</v>
      </c>
      <c r="C116" s="9" t="str">
        <f>VLOOKUP(B116,'FML March 2026'!E:F,2,false)</f>
        <v>HOT SAUCE CHOLULAS</v>
      </c>
      <c r="D116" s="9" t="str">
        <f>VLOOKUP(B116,'Unit of Measure ship March 2026'!A:C,3,false)</f>
        <v>BTL/6OZ</v>
      </c>
      <c r="G116" s="9"/>
      <c r="H116" s="9"/>
    </row>
    <row r="117" ht="15.75" customHeight="1">
      <c r="A117" s="17"/>
      <c r="B117" s="8">
        <v>17917.0</v>
      </c>
      <c r="C117" s="9" t="str">
        <f>VLOOKUP(B117,'FML March 2026'!E:F,2,false)</f>
        <v>JAM BLUEBERRY, BULK</v>
      </c>
      <c r="D117" s="9" t="str">
        <f>VLOOKUP(B117,'Unit of Measure ship March 2026'!A:C,3,false)</f>
        <v>CS10/LBS</v>
      </c>
      <c r="G117" s="9"/>
      <c r="H117" s="9"/>
    </row>
    <row r="118" ht="15.75" customHeight="1">
      <c r="A118" s="17"/>
      <c r="B118" s="8">
        <v>33375.0</v>
      </c>
      <c r="C118" s="9" t="str">
        <f>VLOOKUP(B118,'FML March 2026'!E:F,2,false)</f>
        <v>JAM STRAWBERRY, BULK</v>
      </c>
      <c r="D118" s="9" t="str">
        <f>VLOOKUP(B118,'Unit of Measure ship March 2026'!A:C,3,false)</f>
        <v>CS10/LBS</v>
      </c>
      <c r="G118" s="9"/>
      <c r="H118" s="9"/>
    </row>
    <row r="119" ht="15.75" customHeight="1">
      <c r="A119" s="17"/>
      <c r="B119" s="8">
        <v>39757.0</v>
      </c>
      <c r="C119" s="9" t="str">
        <f>VLOOKUP(B119,'FML March 2026'!E:F,2,false)</f>
        <v>JUICE, 100% APPLE, FROM CONC, DRY, 12/1 LT</v>
      </c>
      <c r="D119" s="9" t="str">
        <f>VLOOKUP(B119,'Unit of Measure ship March 2026'!A:C,3,false)</f>
        <v>LT</v>
      </c>
      <c r="G119" s="9"/>
      <c r="H119" s="9"/>
    </row>
    <row r="120" ht="15.75" customHeight="1">
      <c r="A120" s="17"/>
      <c r="B120" s="8">
        <v>16349.0</v>
      </c>
      <c r="C120" s="9" t="str">
        <f>VLOOKUP(B120,'FML March 2026'!E:F,2,false)</f>
        <v>KETCHUP, HEINZ, 51290, DRY, 6/#10</v>
      </c>
      <c r="D120" s="9" t="str">
        <f>VLOOKUP(B120,'Unit of Measure ship March 2026'!A:C,3,false)</f>
        <v>CN/6.5LB</v>
      </c>
      <c r="G120" s="9"/>
      <c r="H120" s="9"/>
    </row>
    <row r="121" ht="15.75" customHeight="1">
      <c r="A121" s="17"/>
      <c r="B121" s="17">
        <v>16949.0</v>
      </c>
      <c r="C121" s="9" t="str">
        <f>VLOOKUP(B121,'FML March 2026'!E:F,2,false)</f>
        <v>KOMBU SQUARE DASHI KST</v>
      </c>
      <c r="D121" s="9" t="str">
        <f>VLOOKUP(B121,'Unit of Measure ship March 2026'!A:C,3,false)</f>
        <v>PK/5LBS</v>
      </c>
      <c r="G121" s="9"/>
      <c r="H121" s="9"/>
    </row>
    <row r="122" ht="15.75" customHeight="1">
      <c r="A122" s="17"/>
      <c r="B122" s="17">
        <v>37989.0</v>
      </c>
      <c r="C122" s="9" t="str">
        <f>VLOOKUP(B122,'FML March 2026'!E:F,2,false)</f>
        <v>LEAVENER YEAST INSTANT DRY (NETHERLANDS)</v>
      </c>
      <c r="D122" s="9" t="str">
        <f>VLOOKUP(B122,'Unit of Measure ship March 2026'!A:C,3,false)</f>
        <v>LBS</v>
      </c>
      <c r="G122" s="9"/>
      <c r="H122" s="9"/>
    </row>
    <row r="123" ht="15.75" customHeight="1">
      <c r="A123" s="17"/>
      <c r="B123" s="17">
        <v>15057.0</v>
      </c>
      <c r="C123" s="9" t="str">
        <f>VLOOKUP(B123,'FML March 2026'!E:F,2,false)</f>
        <v>MANCHEGO, MEDIUM (MESETA)</v>
      </c>
      <c r="D123" s="9" t="str">
        <f>VLOOKUP(B123,'Unit of Measure ship March 2026'!A:C,3,false)</f>
        <v>LBS</v>
      </c>
      <c r="G123" s="9"/>
      <c r="H123" s="9"/>
    </row>
    <row r="124" ht="15.75" customHeight="1">
      <c r="A124" s="17"/>
      <c r="B124" s="17">
        <v>51247.0</v>
      </c>
      <c r="C124" s="9" t="str">
        <f>VLOOKUP(B124,'FML March 2026'!E:F,2,false)</f>
        <v>MATFER GREEN FOOD COLORING MAT #410141, BTL/125ML (EUROPE ONLY)</v>
      </c>
      <c r="D124" s="9" t="str">
        <f>VLOOKUP(B124,'Unit of Measure ship March 2026'!A:C,3,false)</f>
        <v>BTL9/OZ</v>
      </c>
      <c r="G124" s="9"/>
      <c r="H124" s="9"/>
    </row>
    <row r="125" ht="15.75" customHeight="1">
      <c r="A125" s="17"/>
      <c r="B125" s="17">
        <v>16380.0</v>
      </c>
      <c r="C125" s="9" t="str">
        <f>VLOOKUP(B125,'FML March 2026'!E:F,2,false)</f>
        <v>MAYONNAISE HEAVY DUTY, GALLON</v>
      </c>
      <c r="D125" s="9" t="str">
        <f>VLOOKUP(B125,'Unit of Measure ship March 2026'!A:C,3,false)</f>
        <v>GAL</v>
      </c>
      <c r="G125" s="9"/>
      <c r="H125" s="9"/>
    </row>
    <row r="126" ht="15.75" customHeight="1">
      <c r="A126" s="17"/>
      <c r="B126" s="8">
        <v>109668.0</v>
      </c>
      <c r="C126" s="9" t="str">
        <f>VLOOKUP(B126,'FML March 2026'!E:F,2,false)</f>
        <v>MAYONNAISE VEGAN FOLLOW YOUR HEART</v>
      </c>
      <c r="D126" s="9" t="str">
        <f>VLOOKUP(B126,'Unit of Measure ship March 2026'!A:C,3,false)</f>
        <v>GAL</v>
      </c>
      <c r="G126" s="9"/>
      <c r="H126" s="9"/>
    </row>
    <row r="127" ht="15.75" customHeight="1">
      <c r="A127" s="17"/>
      <c r="B127" s="8">
        <v>109667.0</v>
      </c>
      <c r="C127" s="9" t="str">
        <f>VLOOKUP(B127,'FML March 2026'!E:F,2,false)</f>
        <v>MAYONNAISE, UNILEVER - HELLMANN'S, 4800126530, DRY, 4/1 GAL</v>
      </c>
      <c r="D127" s="9" t="str">
        <f>VLOOKUP(B127,'Unit of Measure ship March 2026'!A:C,3,false)</f>
        <v>GAL</v>
      </c>
      <c r="G127" s="9"/>
      <c r="H127" s="9"/>
    </row>
    <row r="128" ht="15.75" customHeight="1">
      <c r="A128" s="8"/>
      <c r="B128" s="8">
        <v>11745.0</v>
      </c>
      <c r="C128" s="9" t="str">
        <f>VLOOKUP(B128,'FML March 2026'!E:F,2,false)</f>
        <v>MAYTAG BLUE CHEESE</v>
      </c>
      <c r="D128" s="9" t="str">
        <f>VLOOKUP(B128,'Unit of Measure ship March 2026'!A:C,3,false)</f>
        <v>LBS</v>
      </c>
      <c r="G128" s="9"/>
      <c r="H128" s="9"/>
    </row>
    <row r="129" ht="15.75" customHeight="1">
      <c r="A129" s="8"/>
      <c r="B129" s="8">
        <v>112201.0</v>
      </c>
      <c r="C129" s="9" t="str">
        <f>VLOOKUP(B129,'FML March 2026'!E:F,2,false)</f>
        <v>MENMA SEASONED BAMBOO SHOOT CS10/1KG</v>
      </c>
      <c r="D129" s="9" t="str">
        <f>VLOOKUP(B129,'Unit of Measure ship March 2026'!A:C,3,false)</f>
        <v>LBS</v>
      </c>
      <c r="G129" s="9"/>
      <c r="H129" s="9"/>
    </row>
    <row r="130" ht="15.75" customHeight="1">
      <c r="A130" s="8"/>
      <c r="B130" s="8">
        <v>14869.0</v>
      </c>
      <c r="C130" s="9" t="str">
        <f>VLOOKUP(B130,'FML March 2026'!E:F,2,false)</f>
        <v>MILK, UHT, WHOLE, 3.5% FAT, DRY, 12/1 LT</v>
      </c>
      <c r="D130" s="9" t="str">
        <f>VLOOKUP(B130,'Unit of Measure ship March 2026'!A:C,3,false)</f>
        <v>LT</v>
      </c>
      <c r="G130" s="9"/>
      <c r="H130" s="9"/>
    </row>
    <row r="131" ht="15.75" customHeight="1">
      <c r="A131" s="8"/>
      <c r="B131" s="8">
        <v>16948.0</v>
      </c>
      <c r="C131" s="9" t="str">
        <f>VLOOKUP(B131,'FML March 2026'!E:F,2,false)</f>
        <v>MISO PASTE WHITE, TUB</v>
      </c>
      <c r="D131" s="9" t="str">
        <f>VLOOKUP(B131,'Unit of Measure ship March 2026'!A:C,3,false)</f>
        <v>PC/2.2LB</v>
      </c>
      <c r="G131" s="9"/>
      <c r="H131" s="9"/>
    </row>
    <row r="132" ht="15.75" customHeight="1">
      <c r="A132" s="8"/>
      <c r="B132" s="17">
        <v>106293.0</v>
      </c>
      <c r="C132" s="9" t="str">
        <f>VLOOKUP(B132,'FML March 2026'!E:F,2,false)</f>
        <v>MOJO MARINADE LIQUID BADIA 1 GALLON</v>
      </c>
      <c r="D132" s="9" t="str">
        <f>VLOOKUP(B132,'Unit of Measure ship March 2026'!A:C,3,false)</f>
        <v>GAL</v>
      </c>
      <c r="G132" s="9"/>
      <c r="H132" s="9"/>
    </row>
    <row r="133" ht="15.75" customHeight="1">
      <c r="A133" s="8"/>
      <c r="B133" s="8">
        <v>15711.0</v>
      </c>
      <c r="C133" s="9" t="str">
        <f>VLOOKUP(B133,'FML March 2026'!E:F,2,false)</f>
        <v>MOLASSES 4/1 GALLON GRANDMAS/ TORINO (USA )</v>
      </c>
      <c r="D133" s="9" t="str">
        <f>VLOOKUP(B133,'Unit of Measure ship March 2026'!A:C,3,false)</f>
        <v>GAL</v>
      </c>
      <c r="G133" s="9"/>
      <c r="H133" s="9"/>
    </row>
    <row r="134" ht="15.75" customHeight="1">
      <c r="A134" s="8"/>
      <c r="B134" s="8">
        <v>111702.0</v>
      </c>
      <c r="C134" s="9" t="str">
        <f>VLOOKUP(B134,'FML March 2026'!E:F,2,false)</f>
        <v>MOLASSES POMEGRANATE CS12/10OZ AL WADI</v>
      </c>
      <c r="D134" s="9" t="str">
        <f>VLOOKUP(B134,'Unit of Measure ship March 2026'!A:C,3,false)</f>
        <v>LBS</v>
      </c>
      <c r="G134" s="9"/>
      <c r="H134" s="9"/>
    </row>
    <row r="135" ht="15.75" customHeight="1">
      <c r="A135" s="8"/>
      <c r="B135" s="8">
        <v>15010.0</v>
      </c>
      <c r="C135" s="9" t="str">
        <f>VLOOKUP(B135,'FML March 2026'!E:F,2,false)</f>
        <v>MONTERREY JACK 10 LB WHEEL</v>
      </c>
      <c r="D135" s="9" t="str">
        <f>VLOOKUP(B135,'Unit of Measure ship March 2026'!A:C,3,false)</f>
        <v>LBS</v>
      </c>
      <c r="G135" s="9"/>
      <c r="H135" s="9"/>
    </row>
    <row r="136" ht="15.75" customHeight="1">
      <c r="A136" s="8"/>
      <c r="B136" s="17">
        <v>145206.0</v>
      </c>
      <c r="C136" s="9" t="str">
        <f>VLOOKUP(B136,'FML March 2026'!E:F,2,false)</f>
        <v>MORINGA POWDER</v>
      </c>
      <c r="D136" s="9" t="str">
        <f>VLOOKUP(B136,'Unit of Measure ship March 2026'!A:C,3,false)</f>
        <v>LBS</v>
      </c>
      <c r="G136" s="9"/>
      <c r="H136" s="9"/>
    </row>
    <row r="137" ht="15.75" customHeight="1">
      <c r="A137" s="8"/>
      <c r="B137" s="17">
        <v>14995.0</v>
      </c>
      <c r="C137" s="9" t="str">
        <f>VLOOKUP(B137,'FML March 2026'!E:F,2,false)</f>
        <v>MOZZARELLA, 100%, SHREDDED, WHOLE MILK</v>
      </c>
      <c r="D137" s="9" t="str">
        <f>VLOOKUP(B137,'Unit of Measure ship March 2026'!A:C,3,false)</f>
        <v>LBS</v>
      </c>
      <c r="G137" s="9"/>
      <c r="H137" s="9"/>
    </row>
    <row r="138" ht="15.75" customHeight="1">
      <c r="A138" s="8"/>
      <c r="B138" s="8">
        <v>15911.0</v>
      </c>
      <c r="C138" s="9" t="str">
        <f>VLOOKUP(B138,'FML March 2026'!E:F,2,false)</f>
        <v>MUFFIN, ENGLISH, PLAIN, EASY SPLIT, 2 OZ EA, FZN, 6/12 EA</v>
      </c>
      <c r="D138" s="9" t="str">
        <f>VLOOKUP(B138,'Unit of Measure ship March 2026'!A:C,3,false)</f>
        <v>PK/12PC</v>
      </c>
      <c r="G138" s="9"/>
      <c r="H138" s="9"/>
    </row>
    <row r="139" ht="15.75" customHeight="1">
      <c r="A139" s="8"/>
      <c r="B139" s="8">
        <v>112200.0</v>
      </c>
      <c r="C139" s="9" t="str">
        <f>VLOOKUP(B139,'FML March 2026'!E:F,2,false)</f>
        <v>MUSHROOM KIKURAGE /WOODEAR DRIED</v>
      </c>
      <c r="D139" s="9" t="str">
        <f>VLOOKUP(B139,'Unit of Measure ship March 2026'!A:C,3,false)</f>
        <v>LBS</v>
      </c>
      <c r="G139" s="9"/>
      <c r="H139" s="9"/>
    </row>
    <row r="140" ht="15.75" customHeight="1">
      <c r="A140" s="8"/>
      <c r="B140" s="8">
        <v>16418.0</v>
      </c>
      <c r="C140" s="9" t="str">
        <f>VLOOKUP(B140,'FML March 2026'!E:F,2,false)</f>
        <v>MUSHROOM PORCINI/ BOLETUS DRY 1 LB MARKYS/URBANI/ROLAND (USA)</v>
      </c>
      <c r="D140" s="9" t="str">
        <f>VLOOKUP(B140,'Unit of Measure ship March 2026'!A:C,3,false)</f>
        <v>LBS</v>
      </c>
      <c r="G140" s="9"/>
      <c r="H140" s="9"/>
    </row>
    <row r="141" ht="15.75" customHeight="1">
      <c r="A141" s="8"/>
      <c r="B141" s="8">
        <v>11940.0</v>
      </c>
      <c r="C141" s="9" t="str">
        <f>VLOOKUP(B141,'FML March 2026'!E:F,2,false)</f>
        <v>MUSHROOM SHITAKI DRY  URBANI/MARKY`S</v>
      </c>
      <c r="D141" s="9" t="str">
        <f>VLOOKUP(B141,'Unit of Measure ship March 2026'!A:C,3,false)</f>
        <v>LBS</v>
      </c>
      <c r="G141" s="9"/>
      <c r="H141" s="9"/>
    </row>
    <row r="142" ht="15.75" customHeight="1">
      <c r="A142" s="8"/>
      <c r="B142" s="8">
        <v>16426.0</v>
      </c>
      <c r="C142" s="9" t="str">
        <f>VLOOKUP(B142,'FML March 2026'!E:F,2,false)</f>
        <v>MUSTARD  TUB GREY POUPON - DIJON MUSTARD PLAIN (FRANCE)</v>
      </c>
      <c r="D142" s="9" t="str">
        <f>VLOOKUP(B142,'Unit of Measure ship March 2026'!A:C,3,false)</f>
        <v>JAR/48OZ</v>
      </c>
      <c r="G142" s="9"/>
      <c r="H142" s="9"/>
    </row>
    <row r="143" ht="15.75" customHeight="1">
      <c r="A143" s="8"/>
      <c r="B143" s="17">
        <v>16320.0</v>
      </c>
      <c r="C143" s="9" t="str">
        <f>VLOOKUP(B143,'FML March 2026'!E:F,2,false)</f>
        <v>MUSTARD SEED 24 OZ D`ALLESANDRO/ SPICECO</v>
      </c>
      <c r="D143" s="9" t="str">
        <f>VLOOKUP(B143,'Unit of Measure ship March 2026'!A:C,3,false)</f>
        <v>LBS</v>
      </c>
      <c r="G143" s="9"/>
      <c r="H143" s="9"/>
    </row>
    <row r="144" ht="15.75" customHeight="1">
      <c r="A144" s="8"/>
      <c r="B144" s="8">
        <v>16350.0</v>
      </c>
      <c r="C144" s="9" t="str">
        <f>VLOOKUP(B144,'FML March 2026'!E:F,2,false)</f>
        <v>MUSTARD YELLOW, PREPARED, GAL FRENCH`S</v>
      </c>
      <c r="D144" s="9" t="str">
        <f>VLOOKUP(B144,'Unit of Measure ship March 2026'!A:C,3,false)</f>
        <v>GAL</v>
      </c>
      <c r="G144" s="9"/>
      <c r="H144" s="9"/>
    </row>
    <row r="145" ht="15.75" customHeight="1">
      <c r="A145" s="8"/>
      <c r="B145" s="8">
        <v>37627.0</v>
      </c>
      <c r="C145" s="9" t="str">
        <f>VLOOKUP(B145,'FML March 2026'!E:F,2,false)</f>
        <v>NOODLE, VERMICELLI, GLASS NOODLES, PACKER</v>
      </c>
      <c r="D145" s="9" t="str">
        <f>VLOOKUP(B145,'Unit of Measure ship March 2026'!A:C,3,false)</f>
        <v>PK/8.8OZ</v>
      </c>
      <c r="G145" s="9"/>
      <c r="H145" s="9"/>
    </row>
    <row r="146" ht="15.75" customHeight="1">
      <c r="A146" s="8"/>
      <c r="B146" s="8">
        <v>16539.0</v>
      </c>
      <c r="C146" s="9" t="str">
        <f>VLOOKUP(B146,'FML March 2026'!E:F,2,false)</f>
        <v>NOODLES ORIENTAL RICE STICK NOODLE MED FLAT 30/16 OZ ERAWAN (CHINA)</v>
      </c>
      <c r="D146" s="9" t="str">
        <f>VLOOKUP(B146,'Unit of Measure ship March 2026'!A:C,3,false)</f>
        <v>PK/16OZ</v>
      </c>
      <c r="G146" s="9"/>
      <c r="H146" s="9"/>
    </row>
    <row r="147" ht="15.75" customHeight="1">
      <c r="A147" s="8"/>
      <c r="B147" s="8">
        <v>112187.0</v>
      </c>
      <c r="C147" s="9" t="str">
        <f>VLOOKUP(B147,'FML March 2026'!E:F,2,false)</f>
        <v>NOODLES RAMEN FROZEN SUN NOODLE BRAND ONLY VV 5OZ</v>
      </c>
      <c r="D147" s="9" t="str">
        <f>VLOOKUP(B147,'Unit of Measure ship March 2026'!A:C,3,false)</f>
        <v>PKG5/OZ</v>
      </c>
      <c r="G147" s="9"/>
      <c r="H147" s="9"/>
    </row>
    <row r="148" ht="15.75" customHeight="1">
      <c r="A148" s="8"/>
      <c r="B148" s="8">
        <v>112186.0</v>
      </c>
      <c r="C148" s="9" t="str">
        <f>VLOOKUP(B148,'FML March 2026'!E:F,2,false)</f>
        <v>NOODLES UDON FROZEN CS30/250 GR SANUKI</v>
      </c>
      <c r="D148" s="9" t="str">
        <f>VLOOKUP(B148,'Unit of Measure ship March 2026'!A:C,3,false)</f>
        <v>30/250GR</v>
      </c>
      <c r="G148" s="9"/>
      <c r="H148" s="9"/>
    </row>
    <row r="149" ht="15.75" customHeight="1">
      <c r="A149" s="8"/>
      <c r="B149" s="17">
        <v>16114.0</v>
      </c>
      <c r="C149" s="9" t="str">
        <f>VLOOKUP(B149,'FML March 2026'!E:F,2,false)</f>
        <v>NORI SHEETS, 50CT (FULL SHEET)</v>
      </c>
      <c r="D149" s="9" t="str">
        <f>VLOOKUP(B149,'Unit of Measure ship March 2026'!A:C,3,false)</f>
        <v>PK/50PC</v>
      </c>
      <c r="G149" s="9"/>
      <c r="H149" s="9"/>
    </row>
    <row r="150" ht="15.75" customHeight="1">
      <c r="A150" s="8"/>
      <c r="B150" s="8">
        <v>42554.0</v>
      </c>
      <c r="C150" s="9" t="str">
        <f>VLOOKUP(B150,'FML March 2026'!E:F,2,false)</f>
        <v>NUTELLA SPREAD CS 12/26 OZ JAR 87011 FERRARO (ITALY)</v>
      </c>
      <c r="D150" s="9" t="str">
        <f>VLOOKUP(B150,'Unit of Measure ship March 2026'!A:C,3,false)</f>
        <v>JR/26OZ</v>
      </c>
      <c r="G150" s="9"/>
      <c r="H150" s="9"/>
    </row>
    <row r="151" ht="15.75" customHeight="1">
      <c r="A151" s="8"/>
      <c r="B151" s="8">
        <v>16266.0</v>
      </c>
      <c r="C151" s="9" t="str">
        <f>VLOOKUP(B151,'FML March 2026'!E:F,2,false)</f>
        <v>NUTMEG GROUND D`ALLESANDRO/ SPICECO (USA)</v>
      </c>
      <c r="D151" s="9" t="str">
        <f>VLOOKUP(B151,'Unit of Measure ship March 2026'!A:C,3,false)</f>
        <v>UNIT/1LB</v>
      </c>
      <c r="G151" s="9"/>
      <c r="H151" s="9"/>
    </row>
    <row r="152" ht="15.75" customHeight="1">
      <c r="A152" s="8"/>
      <c r="B152" s="8">
        <v>109227.0</v>
      </c>
      <c r="C152" s="9" t="str">
        <f>VLOOKUP(B152,'FML March 2026'!E:F,2,false)</f>
        <v>NUTRITIONAL YEAST FLAKES VEGAN C6/5OZ BOBS RED ,MILL (USA)</v>
      </c>
      <c r="D152" s="9" t="str">
        <f>VLOOKUP(B152,'Unit of Measure ship March 2026'!A:C,3,false)</f>
        <v>CS6/5OZ</v>
      </c>
      <c r="G152" s="9"/>
      <c r="H152" s="9"/>
    </row>
    <row r="153" ht="15.75" customHeight="1">
      <c r="A153" s="8"/>
      <c r="B153" s="8">
        <v>16869.0</v>
      </c>
      <c r="C153" s="9" t="str">
        <f>VLOOKUP(B153,'FML March 2026'!E:F,2,false)</f>
        <v>NUTS PEANUTS DRY ROASTED UNSALTED PLANTERS, 6/52 OZ</v>
      </c>
      <c r="D153" s="9" t="str">
        <f>VLOOKUP(B153,'Unit of Measure ship March 2026'!A:C,3,false)</f>
        <v>PC/52OZ</v>
      </c>
      <c r="G153" s="9"/>
      <c r="H153" s="9"/>
    </row>
    <row r="154" ht="15.75" customHeight="1">
      <c r="A154" s="8"/>
      <c r="B154" s="78">
        <v>16869.0</v>
      </c>
      <c r="C154" s="9" t="str">
        <f>VLOOKUP(B154,'FML March 2026'!E:F,2,false)</f>
        <v>NUTS PEANUTS DRY ROASTED UNSALTED PLANTERS, 6/52 OZ</v>
      </c>
      <c r="D154" s="9" t="str">
        <f>VLOOKUP(B154,'Unit of Measure ship March 2026'!A:C,3,false)</f>
        <v>PC/52OZ</v>
      </c>
      <c r="G154" s="9"/>
      <c r="H154" s="9"/>
    </row>
    <row r="155" ht="15.75" customHeight="1">
      <c r="A155" s="8"/>
      <c r="B155" s="8">
        <v>110639.0</v>
      </c>
      <c r="C155" s="9" t="str">
        <f>VLOOKUP(B155,'FML March 2026'!E:F,2,false)</f>
        <v>OATS, ROLLED, WHOLE GRAIN, OLD FASHIONED, DRY, 1/50 LB</v>
      </c>
      <c r="D155" s="9" t="str">
        <f>VLOOKUP(B155,'Unit of Measure ship March 2026'!A:C,3,false)</f>
        <v>LBS</v>
      </c>
      <c r="G155" s="9"/>
      <c r="H155" s="9"/>
    </row>
    <row r="156" ht="15.75" customHeight="1">
      <c r="A156" s="8"/>
      <c r="B156" s="8">
        <v>111948.0</v>
      </c>
      <c r="C156" s="9" t="str">
        <f>VLOOKUP(B156,'FML March 2026'!E:F,2,false)</f>
        <v>OIL CHILI SESAME RAYU/ LA YU</v>
      </c>
      <c r="D156" s="9" t="str">
        <f>VLOOKUP(B156,'Unit of Measure ship March 2026'!A:C,3,false)</f>
        <v>B32.2/OZ</v>
      </c>
      <c r="G156" s="9"/>
      <c r="H156" s="9"/>
    </row>
    <row r="157" ht="15.75" customHeight="1">
      <c r="A157" s="8"/>
      <c r="B157" s="32">
        <v>52602.0</v>
      </c>
      <c r="C157" s="33" t="str">
        <f>VLOOKUP(B157,'FML March 2026'!E:F,2,false)</f>
        <v>OIL, 100% OLIVE, EXTRA VIRGIN, DRY, 4/5 LT</v>
      </c>
      <c r="D157" s="33" t="str">
        <f>VLOOKUP(B157,'Unit of Measure ship March 2026'!A:C,3,false)</f>
        <v>LT</v>
      </c>
      <c r="G157" s="9"/>
      <c r="H157" s="9"/>
    </row>
    <row r="158" ht="15.75" customHeight="1">
      <c r="A158" s="8"/>
      <c r="B158" s="17">
        <v>16346.0</v>
      </c>
      <c r="C158" s="9" t="str">
        <f>VLOOKUP(B158,'FML March 2026'!E:F,2,false)</f>
        <v>OIL, 100% SESAME, TOASTED, DRY, 10/56 OZ</v>
      </c>
      <c r="D158" s="9" t="str">
        <f>VLOOKUP(B158,'Unit of Measure ship March 2026'!A:C,3,false)</f>
        <v>BT/56OZ</v>
      </c>
      <c r="G158" s="9"/>
      <c r="H158" s="9"/>
    </row>
    <row r="159" ht="15.75" customHeight="1">
      <c r="A159" s="8"/>
      <c r="B159" s="17">
        <v>16377.0</v>
      </c>
      <c r="C159" s="9" t="str">
        <f>VLOOKUP(B159,'FML March 2026'!E:F,2,false)</f>
        <v>OIL, 100% VEGETABLE SOYBEAN, DRY, 4/5 LT</v>
      </c>
      <c r="D159" s="9" t="str">
        <f>VLOOKUP(B159,'Unit of Measure ship March 2026'!A:C,3,false)</f>
        <v>C4/5LT</v>
      </c>
      <c r="G159" s="9"/>
      <c r="H159" s="9"/>
    </row>
    <row r="160" ht="15.75" customHeight="1">
      <c r="A160" s="8"/>
      <c r="B160" s="8">
        <v>10265.0</v>
      </c>
      <c r="C160" s="9" t="str">
        <f>VLOOKUP(B160,'FML March 2026'!E:F,2,false)</f>
        <v>OIL, FRYING, 100% SOYBEAN, TRANS FAT FREE, FLASHPOINT &gt;600F, DRY, 4/5 LT</v>
      </c>
      <c r="D160" s="9" t="str">
        <f>VLOOKUP(B160,'Unit of Measure ship March 2026'!A:C,3,false)</f>
        <v>CS4/5LT</v>
      </c>
      <c r="G160" s="9"/>
      <c r="H160" s="9"/>
    </row>
    <row r="161" ht="15.75" customHeight="1">
      <c r="A161" s="8"/>
      <c r="B161" s="17">
        <v>102133.0</v>
      </c>
      <c r="C161" s="9" t="str">
        <f>VLOOKUP(B161,'FML March 2026'!E:F,2,false)</f>
        <v>OLIVE OIL TERRE BORMANE CITRON 500 ML  CS6/500ML</v>
      </c>
      <c r="D161" s="9" t="str">
        <f>VLOOKUP(B161,'Unit of Measure ship March 2026'!A:C,3,false)</f>
        <v>BT/500ML</v>
      </c>
      <c r="G161" s="9"/>
      <c r="H161" s="9"/>
    </row>
    <row r="162" ht="15.75" customHeight="1">
      <c r="A162" s="8"/>
      <c r="B162" s="8">
        <v>52603.0</v>
      </c>
      <c r="C162" s="9" t="str">
        <f>VLOOKUP(B162,'FML March 2026'!E:F,2,false)</f>
        <v>OLIVE/CANOLA BLEND OIL</v>
      </c>
      <c r="D162" s="9" t="str">
        <f>VLOOKUP(B162,'Unit of Measure ship March 2026'!A:C,3,false)</f>
        <v>LT</v>
      </c>
      <c r="G162" s="9"/>
      <c r="H162" s="9"/>
    </row>
    <row r="163" ht="15.75" customHeight="1">
      <c r="A163" s="8"/>
      <c r="B163" s="8">
        <v>16431.0</v>
      </c>
      <c r="C163" s="9" t="str">
        <f>VLOOKUP(B163,'FML March 2026'!E:F,2,false)</f>
        <v>OLIVES KALAMATA PITTED AMBROSIA 16122 (8X5) (TURKEY)</v>
      </c>
      <c r="D163" s="9" t="str">
        <f>VLOOKUP(B163,'Unit of Measure ship March 2026'!A:C,3,false)</f>
        <v>CAN/2KG</v>
      </c>
      <c r="G163" s="9"/>
      <c r="H163" s="9"/>
    </row>
    <row r="164" ht="15.75" customHeight="1">
      <c r="A164" s="8"/>
      <c r="B164" s="8">
        <v>41451.0</v>
      </c>
      <c r="C164" s="9" t="str">
        <f>VLOOKUP(B164,'FML March 2026'!E:F,2,false)</f>
        <v>OLIVES QUEEN STUFFED 100/110CT 4/1GALLON PREMIUM/ DEL DESTINO</v>
      </c>
      <c r="D164" s="9" t="str">
        <f>VLOOKUP(B164,'Unit of Measure ship March 2026'!A:C,3,false)</f>
        <v>GAL</v>
      </c>
      <c r="G164" s="9"/>
      <c r="H164" s="9"/>
    </row>
    <row r="165" ht="15.75" customHeight="1">
      <c r="A165" s="8"/>
      <c r="B165" s="78">
        <v>142069.0</v>
      </c>
      <c r="C165" s="9" t="str">
        <f>VLOOKUP(B165,'FML March 2026'!E:F,2,false)</f>
        <v>ONION MINCED BADIA</v>
      </c>
      <c r="D165" s="9" t="str">
        <f>VLOOKUP(B165,'Unit of Measure ship March 2026'!A:C,3,false)</f>
        <v>LBS</v>
      </c>
      <c r="G165" s="9"/>
      <c r="H165" s="9"/>
    </row>
    <row r="166" ht="15.75" customHeight="1">
      <c r="A166" s="8"/>
      <c r="B166" s="17">
        <v>62951.0</v>
      </c>
      <c r="C166" s="9" t="str">
        <f>VLOOKUP(B166,'FML March 2026'!E:F,2,false)</f>
        <v>ONION POWDER</v>
      </c>
      <c r="D166" s="9" t="str">
        <f>VLOOKUP(B166,'Unit of Measure ship March 2026'!A:C,3,false)</f>
        <v>LBS</v>
      </c>
      <c r="G166" s="9"/>
      <c r="H166" s="9"/>
    </row>
    <row r="167" ht="15.75" customHeight="1">
      <c r="A167" s="8"/>
      <c r="B167" s="17">
        <v>15213.0</v>
      </c>
      <c r="C167" s="9" t="str">
        <f>VLOOKUP(B167,'FML March 2026'!E:F,2,false)</f>
        <v>ONIONS, PEARL, GRADE A, IQF, FZN, 1/10 KG</v>
      </c>
      <c r="D167" s="9" t="str">
        <f>VLOOKUP(B167,'Unit of Measure ship March 2026'!A:C,3,false)</f>
        <v>LBS</v>
      </c>
      <c r="G167" s="9"/>
      <c r="H167" s="9"/>
    </row>
    <row r="168" ht="15.75" customHeight="1">
      <c r="A168" s="8"/>
      <c r="B168" s="8">
        <v>16268.0</v>
      </c>
      <c r="C168" s="9" t="str">
        <f>VLOOKUP(B168,'FML March 2026'!E:F,2,false)</f>
        <v>OREGANO LEAVES WHOLE D`ALLESANDRO/ SPICECO</v>
      </c>
      <c r="D168" s="9" t="str">
        <f>VLOOKUP(B168,'Unit of Measure ship March 2026'!A:C,3,false)</f>
        <v>PC/5OZ</v>
      </c>
      <c r="G168" s="9"/>
      <c r="H168" s="9"/>
    </row>
    <row r="169" ht="15.75" customHeight="1">
      <c r="A169" s="8"/>
      <c r="B169" s="8">
        <v>106302.0</v>
      </c>
      <c r="C169" s="9" t="str">
        <f>VLOOKUP(B169,'FML March 2026'!E:F,2,false)</f>
        <v>OREGANO MEXICAN DRY CS1/LBS TERRA SPICE</v>
      </c>
      <c r="D169" s="9" t="str">
        <f>VLOOKUP(B169,'Unit of Measure ship March 2026'!A:C,3,false)</f>
        <v>OZ</v>
      </c>
      <c r="G169" s="9"/>
      <c r="H169" s="9"/>
    </row>
    <row r="170" ht="15.75" customHeight="1">
      <c r="A170" s="8"/>
      <c r="B170" s="17">
        <v>105727.0</v>
      </c>
      <c r="C170" s="9" t="str">
        <f>VLOOKUP(B170,'FML March 2026'!E:F,2,false)</f>
        <v>OYSTER SAUCE MSG FREE</v>
      </c>
      <c r="D170" s="9" t="str">
        <f>VLOOKUP(B170,'Unit of Measure ship March 2026'!A:C,3,false)</f>
        <v>CAN/5LB</v>
      </c>
      <c r="G170" s="9"/>
      <c r="H170" s="9"/>
    </row>
    <row r="171" ht="15.75" customHeight="1">
      <c r="A171" s="8"/>
      <c r="B171" s="8">
        <v>11263.0</v>
      </c>
      <c r="C171" s="9" t="str">
        <f>VLOOKUP(B171,'FML March 2026'!E:F,2,false)</f>
        <v>PALM SUGAR PURE THAILAND DUN G JONG/ TASTY JOY (THAILAND)</v>
      </c>
      <c r="D171" s="9" t="str">
        <f>VLOOKUP(B171,'Unit of Measure ship March 2026'!A:C,3,false)</f>
        <v>LBS</v>
      </c>
      <c r="G171" s="9"/>
      <c r="H171" s="9"/>
    </row>
    <row r="172" ht="15.75" customHeight="1">
      <c r="A172" s="8"/>
      <c r="B172" s="8">
        <v>109697.0</v>
      </c>
      <c r="C172" s="9" t="str">
        <f>VLOOKUP(B172,'FML March 2026'!E:F,2,false)</f>
        <v>PAPRIKA SMOKED PKG 26.46  OZ LA CHINATA</v>
      </c>
      <c r="D172" s="9" t="str">
        <f>VLOOKUP(B172,'Unit of Measure ship March 2026'!A:C,3,false)</f>
        <v>KG</v>
      </c>
      <c r="G172" s="9"/>
      <c r="H172" s="9"/>
    </row>
    <row r="173" ht="15.75" customHeight="1">
      <c r="A173" s="8"/>
      <c r="B173" s="17">
        <v>16269.0</v>
      </c>
      <c r="C173" s="9" t="str">
        <f>VLOOKUP(B173,'FML March 2026'!E:F,2,false)</f>
        <v>PAPRIKA SPANISH MUNOZ Y PUJANTE/ D`ALLESANDRO/ SPICECO</v>
      </c>
      <c r="D173" s="9" t="str">
        <f>VLOOKUP(B173,'Unit of Measure ship March 2026'!A:C,3,false)</f>
        <v>LBS</v>
      </c>
      <c r="G173" s="9"/>
      <c r="H173" s="9"/>
    </row>
    <row r="174" ht="15.75" customHeight="1">
      <c r="A174" s="8"/>
      <c r="B174" s="17">
        <v>14993.0</v>
      </c>
      <c r="C174" s="9" t="str">
        <f>VLOOKUP(B174,'FML March 2026'!E:F,2,false)</f>
        <v>PARMESAN, GRATED</v>
      </c>
      <c r="D174" s="9" t="str">
        <f>VLOOKUP(B174,'Unit of Measure ship March 2026'!A:C,3,false)</f>
        <v>LBS</v>
      </c>
      <c r="G174" s="9"/>
      <c r="H174" s="9"/>
    </row>
    <row r="175" ht="15.75" customHeight="1">
      <c r="A175" s="8"/>
      <c r="B175" s="17">
        <v>18536.0</v>
      </c>
      <c r="C175" s="9" t="str">
        <f>VLOOKUP(B175,'FML March 2026'!E:F,2,false)</f>
        <v>PARMIGIANO, GRANA PADANO, QUARTERS</v>
      </c>
      <c r="D175" s="9" t="str">
        <f>VLOOKUP(B175,'Unit of Measure ship March 2026'!A:C,3,false)</f>
        <v>LBS</v>
      </c>
      <c r="G175" s="9"/>
      <c r="H175" s="9"/>
    </row>
    <row r="176" ht="15.75" customHeight="1">
      <c r="A176" s="8"/>
      <c r="B176" s="8">
        <v>112723.0</v>
      </c>
      <c r="C176" s="9" t="str">
        <f>VLOOKUP(B176,'FML March 2026'!E:F,2,false)</f>
        <v>PARSLEY FLAKES DRIED CS6/3 OZ BADIA</v>
      </c>
      <c r="D176" s="9" t="str">
        <f>VLOOKUP(B176,'Unit of Measure ship March 2026'!A:C,3,false)</f>
        <v>PK2/OZ</v>
      </c>
      <c r="G176" s="9"/>
      <c r="H176" s="9"/>
    </row>
    <row r="177" ht="15.75" customHeight="1">
      <c r="A177" s="8"/>
      <c r="B177" s="8">
        <v>15973.0</v>
      </c>
      <c r="C177" s="9" t="str">
        <f>VLOOKUP(B177,'FML March 2026'!E:F,2,false)</f>
        <v>PASTA ORECCHIETTE - BARILLA BR56/ DE CECCO</v>
      </c>
      <c r="D177" s="9" t="str">
        <f>VLOOKUP(B177,'Unit of Measure ship March 2026'!A:C,3,false)</f>
        <v>LBS</v>
      </c>
      <c r="G177" s="9"/>
      <c r="H177" s="9"/>
    </row>
    <row r="178" ht="15.75" customHeight="1">
      <c r="A178" s="8"/>
      <c r="B178" s="8">
        <v>16239.0</v>
      </c>
      <c r="C178" s="9" t="str">
        <f>VLOOKUP(B178,'FML March 2026'!E:F,2,false)</f>
        <v>PASTE CURRY GREEN MAE PLOY (THAILAND)</v>
      </c>
      <c r="D178" s="9" t="str">
        <f>VLOOKUP(B178,'Unit of Measure ship March 2026'!A:C,3,false)</f>
        <v>PC/35OZ</v>
      </c>
      <c r="G178" s="9"/>
      <c r="H178" s="9"/>
    </row>
    <row r="179" ht="15.75" customHeight="1">
      <c r="A179" s="8"/>
      <c r="B179" s="8">
        <v>16238.0</v>
      </c>
      <c r="C179" s="9" t="str">
        <f>VLOOKUP(B179,'FML March 2026'!E:F,2,false)</f>
        <v>PASTE CURRY RED MAE PLOY (THAILAND)</v>
      </c>
      <c r="D179" s="9" t="str">
        <f>VLOOKUP(B179,'Unit of Measure ship March 2026'!A:C,3,false)</f>
        <v>PC/35OZ</v>
      </c>
      <c r="G179" s="9"/>
      <c r="H179" s="9"/>
    </row>
    <row r="180" ht="15.75" customHeight="1">
      <c r="A180" s="8"/>
      <c r="B180" s="17">
        <v>51211.0</v>
      </c>
      <c r="C180" s="9" t="str">
        <f>VLOOKUP(B180,'FML March 2026'!E:F,2,false)</f>
        <v>PASTE VANILLA FLAVOR 35 OZ PASTRY STAR #00057</v>
      </c>
      <c r="D180" s="9" t="str">
        <f>VLOOKUP(B180,'Unit of Measure ship March 2026'!A:C,3,false)</f>
        <v>BTL/35OZ</v>
      </c>
      <c r="G180" s="9"/>
      <c r="H180" s="9"/>
    </row>
    <row r="181" ht="15.75" customHeight="1">
      <c r="A181" s="8"/>
      <c r="B181" s="8">
        <v>112841.0</v>
      </c>
      <c r="C181" s="9" t="str">
        <f>VLOOKUP(B181,'FML March 2026'!E:F,2,false)</f>
        <v>PEANUT BUTTER CRUNCHY</v>
      </c>
      <c r="D181" s="9" t="str">
        <f>VLOOKUP(B181,'Unit of Measure ship March 2026'!A:C,3,false)</f>
        <v>LBS</v>
      </c>
      <c r="G181" s="9"/>
      <c r="H181" s="9"/>
    </row>
    <row r="182" ht="15.75" customHeight="1">
      <c r="A182" s="8"/>
      <c r="B182" s="8">
        <v>43805.0</v>
      </c>
      <c r="C182" s="9" t="str">
        <f>VLOOKUP(B182,'FML March 2026'!E:F,2,false)</f>
        <v>PEAS, GREEN, GRADE A, IQF, FZN, 1/10 KG</v>
      </c>
      <c r="D182" s="9" t="str">
        <f>VLOOKUP(B182,'Unit of Measure ship March 2026'!A:C,3,false)</f>
        <v>LBS</v>
      </c>
      <c r="G182" s="9"/>
      <c r="H182" s="9"/>
    </row>
    <row r="183" ht="15.75" customHeight="1">
      <c r="A183" s="8"/>
      <c r="B183" s="8">
        <v>108553.0</v>
      </c>
      <c r="C183" s="9" t="str">
        <f>VLOOKUP(B183,'FML March 2026'!E:F,2,false)</f>
        <v>PEPPER ARBOL  D'ALLESANDRO CS/5LB</v>
      </c>
      <c r="D183" s="9" t="str">
        <f>VLOOKUP(B183,'Unit of Measure ship March 2026'!A:C,3,false)</f>
        <v>KG</v>
      </c>
      <c r="G183" s="9"/>
      <c r="H183" s="9"/>
    </row>
    <row r="184" ht="15.75" customHeight="1">
      <c r="A184" s="8"/>
      <c r="B184" s="8">
        <v>33681.0</v>
      </c>
      <c r="C184" s="9" t="str">
        <f>VLOOKUP(B184,'FML March 2026'!E:F,2,false)</f>
        <v>PEPPER BLACK GROUND BADIA (USA )</v>
      </c>
      <c r="D184" s="9" t="str">
        <f>VLOOKUP(B184,'Unit of Measure ship March 2026'!A:C,3,false)</f>
        <v>LBS</v>
      </c>
      <c r="G184" s="9"/>
      <c r="H184" s="9"/>
    </row>
    <row r="185" ht="15.75" customHeight="1">
      <c r="A185" s="8"/>
      <c r="B185" s="8">
        <v>16302.0</v>
      </c>
      <c r="C185" s="9" t="str">
        <f>VLOOKUP(B185,'FML March 2026'!E:F,2,false)</f>
        <v>PEPPER CAYENNE GROUND BADIA (USA )</v>
      </c>
      <c r="D185" s="9" t="str">
        <f>VLOOKUP(B185,'Unit of Measure ship March 2026'!A:C,3,false)</f>
        <v>LBS</v>
      </c>
      <c r="G185" s="9"/>
      <c r="H185" s="9"/>
    </row>
    <row r="186" ht="15.75" customHeight="1">
      <c r="A186" s="8"/>
      <c r="B186" s="17">
        <v>111696.0</v>
      </c>
      <c r="C186" s="9" t="str">
        <f>VLOOKUP(B186,'FML March 2026'!E:F,2,false)</f>
        <v>PEPPER CHILI DRIED MORITA  PKG1/LB WOODLAND FARMS</v>
      </c>
      <c r="D186" s="9" t="str">
        <f>VLOOKUP(B186,'Unit of Measure ship March 2026'!A:C,3,false)</f>
        <v>LBS</v>
      </c>
      <c r="G186" s="9"/>
      <c r="H186" s="9"/>
    </row>
    <row r="187" ht="15.75" customHeight="1">
      <c r="A187" s="8"/>
      <c r="B187" s="8">
        <v>111701.0</v>
      </c>
      <c r="C187" s="9" t="str">
        <f>VLOOKUP(B187,'FML March 2026'!E:F,2,false)</f>
        <v>PEPPER GUAJILLO  DRIED CS5/LB MI BARRIO</v>
      </c>
      <c r="D187" s="9" t="str">
        <f>VLOOKUP(B187,'Unit of Measure ship March 2026'!A:C,3,false)</f>
        <v>LBS</v>
      </c>
      <c r="G187" s="9"/>
      <c r="H187" s="9"/>
    </row>
    <row r="188" ht="15.75" customHeight="1">
      <c r="A188" s="8"/>
      <c r="B188" s="8">
        <v>16272.0</v>
      </c>
      <c r="C188" s="9" t="str">
        <f>VLOOKUP(B188,'FML March 2026'!E:F,2,false)</f>
        <v>PEPPER WHITE GROUND D`ALLESANDRO/ SPICECO</v>
      </c>
      <c r="D188" s="9" t="str">
        <f>VLOOKUP(B188,'Unit of Measure ship March 2026'!A:C,3,false)</f>
        <v>LBS</v>
      </c>
      <c r="G188" s="9"/>
      <c r="H188" s="9"/>
    </row>
    <row r="189" ht="15.75" customHeight="1">
      <c r="A189" s="8"/>
      <c r="B189" s="8">
        <v>30052.0</v>
      </c>
      <c r="C189" s="9" t="str">
        <f>VLOOKUP(B189,'FML March 2026'!E:F,2,false)</f>
        <v>PEPPERCORN SZECHWAN 8 OZ D`ALLESANDRO/ PACKER</v>
      </c>
      <c r="D189" s="9" t="str">
        <f>VLOOKUP(B189,'Unit of Measure ship March 2026'!A:C,3,false)</f>
        <v>LBS</v>
      </c>
      <c r="G189" s="9"/>
      <c r="H189" s="9"/>
    </row>
    <row r="190" ht="15.75" customHeight="1">
      <c r="A190" s="8"/>
      <c r="B190" s="17">
        <v>16285.0</v>
      </c>
      <c r="C190" s="9" t="str">
        <f>VLOOKUP(B190,'FML March 2026'!E:F,2,false)</f>
        <v>PEPPERCORN, BLACK, WHOLE, DRY, 6/420 G</v>
      </c>
      <c r="D190" s="9" t="str">
        <f>VLOOKUP(B190,'Unit of Measure ship March 2026'!A:C,3,false)</f>
        <v>LBS</v>
      </c>
      <c r="G190" s="9"/>
      <c r="H190" s="9"/>
    </row>
    <row r="191" ht="15.75" customHeight="1">
      <c r="A191" s="8"/>
      <c r="B191" s="8">
        <v>16384.0</v>
      </c>
      <c r="C191" s="9" t="str">
        <f>VLOOKUP(B191,'FML March 2026'!E:F,2,false)</f>
        <v>PEPPERS JALAPENO WHOLE 6/10 CASA DIVA/ GLOBAL (PERU)</v>
      </c>
      <c r="D191" s="9" t="str">
        <f>VLOOKUP(B191,'Unit of Measure ship March 2026'!A:C,3,false)</f>
        <v>CN/6.5LB</v>
      </c>
      <c r="G191" s="9"/>
      <c r="H191" s="9"/>
    </row>
    <row r="192" ht="15.75" customHeight="1">
      <c r="A192" s="8"/>
      <c r="B192" s="8">
        <v>16392.0</v>
      </c>
      <c r="C192" s="9" t="str">
        <f>VLOOKUP(B192,'FML March 2026'!E:F,2,false)</f>
        <v>PEPPERS RED ROASTED 6X#10</v>
      </c>
      <c r="D192" s="9" t="str">
        <f>VLOOKUP(B192,'Unit of Measure ship March 2026'!A:C,3,false)</f>
        <v>TIN/3KG</v>
      </c>
      <c r="G192" s="9"/>
      <c r="H192" s="9"/>
    </row>
    <row r="193" ht="15.75" customHeight="1">
      <c r="A193" s="8"/>
      <c r="B193" s="17">
        <v>47893.0</v>
      </c>
      <c r="C193" s="9" t="str">
        <f>VLOOKUP(B193,'FML March 2026'!E:F,2,false)</f>
        <v>PICKLES KOSHER DRY B&amp;G (USA)</v>
      </c>
      <c r="D193" s="9" t="str">
        <f>VLOOKUP(B193,'Unit of Measure ship March 2026'!A:C,3,false)</f>
        <v>GAL</v>
      </c>
      <c r="G193" s="9"/>
      <c r="H193" s="9"/>
    </row>
    <row r="194" ht="15.75" customHeight="1">
      <c r="A194" s="8"/>
      <c r="B194" s="17">
        <v>109709.0</v>
      </c>
      <c r="C194" s="9" t="str">
        <f>VLOOKUP(B194,'FML March 2026'!E:F,2,false)</f>
        <v>PIERRE POIVRE PEPPER (LA BOITE A EPICE BRAND)</v>
      </c>
      <c r="D194" s="9" t="str">
        <f>VLOOKUP(B194,'Unit of Measure ship March 2026'!A:C,3,false)</f>
        <v>UNT/16OZ</v>
      </c>
      <c r="G194" s="9"/>
      <c r="H194" s="9"/>
    </row>
    <row r="195" ht="15.75" customHeight="1">
      <c r="A195" s="8"/>
      <c r="B195" s="8">
        <v>16487.0</v>
      </c>
      <c r="C195" s="9" t="str">
        <f>VLOOKUP(B195,'FML March 2026'!E:F,2,false)</f>
        <v>PINEAPPLE, SLICED, IN JUICE</v>
      </c>
      <c r="D195" s="9" t="str">
        <f>VLOOKUP(B195,'Unit of Measure ship March 2026'!A:C,3,false)</f>
        <v>CN/6.5LB</v>
      </c>
      <c r="G195" s="9"/>
      <c r="H195" s="9"/>
    </row>
    <row r="196" ht="15.75" customHeight="1">
      <c r="A196" s="8"/>
      <c r="B196" s="8">
        <v>53666.0</v>
      </c>
      <c r="C196" s="9" t="str">
        <f>VLOOKUP(B196,'FML March 2026'!E:F,2,false)</f>
        <v>PIQUILLO PIMIENTOS WHOLE ROASTED &amp; PEELED 6/#10</v>
      </c>
      <c r="D196" s="9" t="str">
        <f>VLOOKUP(B196,'Unit of Measure ship March 2026'!A:C,3,false)</f>
        <v>CAN/3KG</v>
      </c>
      <c r="G196" s="9"/>
      <c r="H196" s="9"/>
    </row>
    <row r="197" ht="15.75" customHeight="1">
      <c r="A197" s="8"/>
      <c r="B197" s="17">
        <v>15894.0</v>
      </c>
      <c r="C197" s="9" t="str">
        <f>VLOOKUP(B197,'FML March 2026'!E:F,2,false)</f>
        <v>PISTACHIO NUTS WHOLE SHELLED RAW NUTLAND</v>
      </c>
      <c r="D197" s="9" t="str">
        <f>VLOOKUP(B197,'Unit of Measure ship March 2026'!A:C,3,false)</f>
        <v>LBS</v>
      </c>
      <c r="G197" s="9"/>
      <c r="H197" s="9"/>
    </row>
    <row r="198" ht="15.75" customHeight="1">
      <c r="A198" s="8"/>
      <c r="B198" s="17">
        <v>16245.0</v>
      </c>
      <c r="C198" s="9" t="str">
        <f>VLOOKUP(B198,'FML March 2026'!E:F,2,false)</f>
        <v>POLENTA MEDIUM</v>
      </c>
      <c r="D198" s="9" t="str">
        <f>VLOOKUP(B198,'Unit of Measure ship March 2026'!A:C,3,false)</f>
        <v>LBS</v>
      </c>
      <c r="G198" s="9"/>
      <c r="H198" s="9"/>
    </row>
    <row r="199" ht="15.75" customHeight="1">
      <c r="A199" s="8"/>
      <c r="B199" s="8">
        <v>14541.0</v>
      </c>
      <c r="C199" s="9" t="str">
        <f>VLOOKUP(B199,'FML March 2026'!E:F,2,false)</f>
        <v>PORK, BACON, SLICED, APPLEWOOD SMOKED, LAID OUT, 18-22/LB, FZN, 1/15 LB</v>
      </c>
      <c r="D199" s="9" t="str">
        <f>VLOOKUP(B199,'Unit of Measure ship March 2026'!A:C,3,false)</f>
        <v>LBS</v>
      </c>
      <c r="G199" s="9"/>
      <c r="H199" s="9"/>
    </row>
    <row r="200" ht="15.75" customHeight="1">
      <c r="A200" s="8"/>
      <c r="B200" s="48">
        <v>101442.0</v>
      </c>
      <c r="C200" s="9" t="str">
        <f>VLOOKUP(B200,'FML March 2026'!E:F,2,false)</f>
        <v>PROSCIUTTO DI SAN DANIELE LEVONI BONELESS 16 MONTH  RESERVE CS/16 LBS</v>
      </c>
      <c r="D200" s="9" t="str">
        <f>VLOOKUP(B200,'Unit of Measure ship March 2026'!A:C,3,false)</f>
        <v>LBS</v>
      </c>
      <c r="G200" s="9"/>
      <c r="H200" s="9"/>
    </row>
    <row r="201" ht="15.75" customHeight="1">
      <c r="A201" s="8"/>
      <c r="B201" s="17">
        <v>15029.0</v>
      </c>
      <c r="C201" s="9" t="str">
        <f>VLOOKUP(B201,'FML March 2026'!E:F,2,false)</f>
        <v>PUFF PASTRY, SLAB, FZN, 2/15 LB</v>
      </c>
      <c r="D201" s="9" t="str">
        <f>VLOOKUP(B201,'Unit of Measure ship March 2026'!A:C,3,false)</f>
        <v>LBS</v>
      </c>
      <c r="G201" s="9"/>
      <c r="H201" s="9"/>
    </row>
    <row r="202" ht="15.75" customHeight="1">
      <c r="A202" s="8"/>
      <c r="B202" s="17">
        <v>15897.0</v>
      </c>
      <c r="C202" s="9" t="str">
        <f>VLOOKUP(B202,'FML March 2026'!E:F,2,false)</f>
        <v>PUMPKIN SEEDS WHOLE SHELLED RAW 10 LB HIALEAH/ D`ALLESANDRO</v>
      </c>
      <c r="D202" s="9" t="str">
        <f>VLOOKUP(B202,'Unit of Measure ship March 2026'!A:C,3,false)</f>
        <v>LBS</v>
      </c>
      <c r="G202" s="9"/>
      <c r="H202" s="9"/>
    </row>
    <row r="203" ht="15.75" customHeight="1">
      <c r="A203" s="8"/>
      <c r="B203" s="8">
        <v>111998.0</v>
      </c>
      <c r="C203" s="9" t="str">
        <f>VLOOKUP(B203,'FML March 2026'!E:F,2,false)</f>
        <v>PUREE TAMARIND CS6/30 OZ PERFECT PUREE</v>
      </c>
      <c r="D203" s="9" t="str">
        <f>VLOOKUP(B203,'Unit of Measure ship March 2026'!A:C,3,false)</f>
        <v>LBS</v>
      </c>
      <c r="G203" s="9"/>
      <c r="H203" s="9"/>
    </row>
    <row r="204" ht="15.75" customHeight="1">
      <c r="A204" s="8"/>
      <c r="B204" s="17">
        <v>16946.0</v>
      </c>
      <c r="C204" s="9" t="str">
        <f>VLOOKUP(B204,'FML March 2026'!E:F,2,false)</f>
        <v>QUINOA WHITE</v>
      </c>
      <c r="D204" s="9" t="str">
        <f>VLOOKUP(B204,'Unit of Measure ship March 2026'!A:C,3,false)</f>
        <v>PC/12OZ</v>
      </c>
      <c r="G204" s="9"/>
      <c r="H204" s="9"/>
    </row>
    <row r="205" ht="15.75" customHeight="1">
      <c r="A205" s="8"/>
      <c r="B205" s="17">
        <v>15805.0</v>
      </c>
      <c r="C205" s="9" t="str">
        <f>VLOOKUP(B205,'FML March 2026'!E:F,2,false)</f>
        <v>RAISINS GOLDEN SEEDLESS</v>
      </c>
      <c r="D205" s="9" t="str">
        <f>VLOOKUP(B205,'Unit of Measure ship March 2026'!A:C,3,false)</f>
        <v>LBS</v>
      </c>
      <c r="G205" s="9"/>
      <c r="H205" s="9"/>
    </row>
    <row r="206" ht="15.75" customHeight="1">
      <c r="A206" s="8"/>
      <c r="B206" s="8">
        <v>112190.0</v>
      </c>
      <c r="C206" s="9" t="str">
        <f>VLOOKUP(B206,'FML March 2026'!E:F,2,false)</f>
        <v>RAMEN SOUP BASE MISO CS 6/4.4LB SUN NOODLE</v>
      </c>
      <c r="D206" s="9" t="str">
        <f>VLOOKUP(B206,'Unit of Measure ship March 2026'!A:C,3,false)</f>
        <v>OZ</v>
      </c>
      <c r="G206" s="9"/>
      <c r="H206" s="9"/>
    </row>
    <row r="207" ht="15.75" customHeight="1">
      <c r="A207" s="8"/>
      <c r="B207" s="8">
        <v>112195.0</v>
      </c>
      <c r="C207" s="9" t="str">
        <f>VLOOKUP(B207,'FML March 2026'!E:F,2,false)</f>
        <v>RAMEN SOUP BASE TONKOTSU</v>
      </c>
      <c r="D207" s="9" t="str">
        <f>VLOOKUP(B207,'Unit of Measure ship March 2026'!A:C,3,false)</f>
        <v>PKG4/LBS</v>
      </c>
      <c r="G207" s="9"/>
      <c r="H207" s="9"/>
    </row>
    <row r="208" ht="15.75" customHeight="1">
      <c r="A208" s="8"/>
      <c r="B208" s="17">
        <v>20143.0</v>
      </c>
      <c r="C208" s="9" t="str">
        <f>VLOOKUP(B208,'FML March 2026'!E:F,2,false)</f>
        <v>RICE TAMAKI GOLD/MATSURI KOSHIHIKARI/MARUYU</v>
      </c>
      <c r="D208" s="9" t="str">
        <f>VLOOKUP(B208,'Unit of Measure ship March 2026'!A:C,3,false)</f>
        <v>LBS</v>
      </c>
      <c r="G208" s="9"/>
      <c r="H208" s="9"/>
    </row>
    <row r="209" ht="15.75" customHeight="1">
      <c r="A209" s="8"/>
      <c r="B209" s="8">
        <v>38014.0</v>
      </c>
      <c r="C209" s="9" t="str">
        <f>VLOOKUP(B209,'FML March 2026'!E:F,2,false)</f>
        <v>RICE, BASMATI, FULL GRAIN, AGED, DRY, 1/40 LB</v>
      </c>
      <c r="D209" s="9" t="str">
        <f>VLOOKUP(B209,'Unit of Measure ship March 2026'!A:C,3,false)</f>
        <v>LBS</v>
      </c>
      <c r="G209" s="9"/>
      <c r="H209" s="9"/>
    </row>
    <row r="210" ht="15.75" customHeight="1">
      <c r="A210" s="8"/>
      <c r="B210" s="8">
        <v>40158.0</v>
      </c>
      <c r="C210" s="9" t="str">
        <f>VLOOKUP(B210,'FML March 2026'!E:F,2,false)</f>
        <v>RICE, JASMINE, &lt;4% BROKEN KERNELS, DRY, 1/50 LB</v>
      </c>
      <c r="D210" s="9" t="str">
        <f>VLOOKUP(B210,'Unit of Measure ship March 2026'!A:C,3,false)</f>
        <v>LBS</v>
      </c>
      <c r="G210" s="9"/>
      <c r="H210" s="9"/>
    </row>
    <row r="211" ht="15.75" customHeight="1">
      <c r="A211" s="8"/>
      <c r="B211" s="17">
        <v>109653.0</v>
      </c>
      <c r="C211" s="9" t="str">
        <f>VLOOKUP(B211,'FML March 2026'!E:F,2,false)</f>
        <v>RICOTTA CHEESE FRESH CALABRO</v>
      </c>
      <c r="D211" s="9" t="str">
        <f>VLOOKUP(B211,'Unit of Measure ship March 2026'!A:C,3,false)</f>
        <v>LBS</v>
      </c>
      <c r="G211" s="9"/>
      <c r="H211" s="9"/>
    </row>
    <row r="212" ht="15.75" customHeight="1">
      <c r="A212" s="8"/>
      <c r="B212" s="8">
        <v>109650.0</v>
      </c>
      <c r="C212" s="9" t="str">
        <f>VLOOKUP(B212,'FML March 2026'!E:F,2,false)</f>
        <v>ROLLED OATS, STEEL CUT BOBS RED MILL</v>
      </c>
      <c r="D212" s="9" t="str">
        <f>VLOOKUP(B212,'Unit of Measure ship March 2026'!A:C,3,false)</f>
        <v>KG</v>
      </c>
      <c r="G212" s="9"/>
      <c r="H212" s="9"/>
    </row>
    <row r="213" ht="15.75" customHeight="1">
      <c r="A213" s="8"/>
      <c r="B213" s="8">
        <v>16276.0</v>
      </c>
      <c r="C213" s="9" t="str">
        <f>VLOOKUP(B213,'FML March 2026'!E:F,2,false)</f>
        <v>ROSEMARY WHOLE 8 OZ BADIA (USA )</v>
      </c>
      <c r="D213" s="9" t="str">
        <f>VLOOKUP(B213,'Unit of Measure ship March 2026'!A:C,3,false)</f>
        <v>PC/8OZ</v>
      </c>
      <c r="G213" s="9"/>
      <c r="H213" s="9"/>
    </row>
    <row r="214" ht="15.75" customHeight="1">
      <c r="A214" s="8"/>
      <c r="B214" s="17">
        <v>16307.0</v>
      </c>
      <c r="C214" s="9" t="str">
        <f>VLOOKUP(B214,'FML March 2026'!E:F,2,false)</f>
        <v>SALT KOSHER GRANULATED</v>
      </c>
      <c r="D214" s="9" t="str">
        <f>VLOOKUP(B214,'Unit of Measure ship March 2026'!A:C,3,false)</f>
        <v>LBS</v>
      </c>
      <c r="G214" s="9"/>
      <c r="H214" s="9"/>
    </row>
    <row r="215" ht="15.75" customHeight="1">
      <c r="A215" s="8"/>
      <c r="B215" s="8">
        <v>27243.0</v>
      </c>
      <c r="C215" s="9" t="str">
        <f>VLOOKUP(B215,'FML March 2026'!E:F,2,false)</f>
        <v>SALT SEA COARSE 12/CS ROLAND (ITALY)</v>
      </c>
      <c r="D215" s="9" t="str">
        <f>VLOOKUP(B215,'Unit of Measure ship March 2026'!A:C,3,false)</f>
        <v>LBS</v>
      </c>
      <c r="G215" s="9"/>
      <c r="H215" s="9"/>
    </row>
    <row r="216" ht="15.75" customHeight="1">
      <c r="A216" s="8"/>
      <c r="B216" s="8">
        <v>20880.0</v>
      </c>
      <c r="C216" s="9" t="str">
        <f>VLOOKUP(B216,'FML March 2026'!E:F,2,false)</f>
        <v>SALT SEA MALDON</v>
      </c>
      <c r="D216" s="9" t="str">
        <f>VLOOKUP(B216,'Unit of Measure ship March 2026'!A:C,3,false)</f>
        <v>LBS</v>
      </c>
      <c r="G216" s="9"/>
      <c r="H216" s="9"/>
    </row>
    <row r="217" ht="15.75" customHeight="1">
      <c r="A217" s="8"/>
      <c r="B217" s="8">
        <v>16280.0</v>
      </c>
      <c r="C217" s="9" t="str">
        <f>VLOOKUP(B217,'FML March 2026'!E:F,2,false)</f>
        <v>SALT, GRANULATED, IODIZED, DRY, 12/26 OZ</v>
      </c>
      <c r="D217" s="9" t="str">
        <f>VLOOKUP(B217,'Unit of Measure ship March 2026'!A:C,3,false)</f>
        <v>LBS</v>
      </c>
      <c r="G217" s="9"/>
      <c r="H217" s="9"/>
    </row>
    <row r="218" ht="15.75" customHeight="1">
      <c r="A218" s="8"/>
      <c r="B218" s="17">
        <v>16357.0</v>
      </c>
      <c r="C218" s="9" t="str">
        <f>VLOOKUP(B218,'FML March 2026'!E:F,2,false)</f>
        <v>SAUCE TABASCO RED  2 OZ</v>
      </c>
      <c r="D218" s="9" t="str">
        <f>VLOOKUP(B218,'Unit of Measure ship March 2026'!A:C,3,false)</f>
        <v>BTL/2OZ</v>
      </c>
      <c r="G218" s="9"/>
      <c r="H218" s="9"/>
    </row>
    <row r="219" ht="15.75" customHeight="1">
      <c r="A219" s="8"/>
      <c r="B219" s="8">
        <v>16354.0</v>
      </c>
      <c r="C219" s="9" t="str">
        <f>VLOOKUP(B219,'FML March 2026'!E:F,2,false)</f>
        <v>SAUCE, SOY, REG, DRY, 4/1 GAL</v>
      </c>
      <c r="D219" s="9" t="str">
        <f>VLOOKUP(B219,'Unit of Measure ship March 2026'!A:C,3,false)</f>
        <v>GAL</v>
      </c>
      <c r="G219" s="9"/>
      <c r="H219" s="9"/>
    </row>
    <row r="220" ht="15.75" customHeight="1">
      <c r="A220" s="8"/>
      <c r="B220" s="8">
        <v>51001.0</v>
      </c>
      <c r="C220" s="9" t="str">
        <f>VLOOKUP(B220,'FML March 2026'!E:F,2,false)</f>
        <v>SAUCE, SWEET CHILI, MAE PLOY, SWCHIX730, DRY, 12/32 OZ</v>
      </c>
      <c r="D220" s="9" t="str">
        <f>VLOOKUP(B220,'Unit of Measure ship March 2026'!A:C,3,false)</f>
        <v>C12/32OZ</v>
      </c>
      <c r="G220" s="9"/>
      <c r="H220" s="9"/>
    </row>
    <row r="221" ht="15.75" customHeight="1">
      <c r="A221" s="8"/>
      <c r="B221" s="8">
        <v>142852.0</v>
      </c>
      <c r="C221" s="9" t="str">
        <f>VLOOKUP(B221,'FML March 2026'!E:F,2,false)</f>
        <v>SAUSAGE, CHICKEN APPLE BREAKFAST  SMOKED 2 OZ. SHEEP CASING AIDELLS  10000020317</v>
      </c>
      <c r="D221" s="9" t="str">
        <f>VLOOKUP(B221,'Unit of Measure ship March 2026'!A:C,3,false)</f>
        <v>LBS</v>
      </c>
      <c r="G221" s="9"/>
      <c r="H221" s="9"/>
    </row>
    <row r="222" ht="15.75" customHeight="1">
      <c r="A222" s="8"/>
      <c r="B222" s="8">
        <v>20670.0</v>
      </c>
      <c r="C222" s="9" t="str">
        <f>VLOOKUP(B222,'FML March 2026'!E:F,2,false)</f>
        <v>SEAWEED, SALAD, WAKAME, FZN, 4/2 KG</v>
      </c>
      <c r="D222" s="9" t="str">
        <f>VLOOKUP(B222,'Unit of Measure ship March 2026'!A:C,3,false)</f>
        <v>LBS</v>
      </c>
      <c r="G222" s="9"/>
      <c r="H222" s="9"/>
    </row>
    <row r="223" ht="15.75" customHeight="1">
      <c r="A223" s="8"/>
      <c r="B223" s="17">
        <v>11260.0</v>
      </c>
      <c r="C223" s="9" t="str">
        <f>VLOOKUP(B223,'FML March 2026'!E:F,2,false)</f>
        <v>SESAME SEED BLACK</v>
      </c>
      <c r="D223" s="9" t="str">
        <f>VLOOKUP(B223,'Unit of Measure ship March 2026'!A:C,3,false)</f>
        <v>LBS</v>
      </c>
      <c r="G223" s="9"/>
      <c r="H223" s="9"/>
    </row>
    <row r="224" ht="15.75" customHeight="1">
      <c r="A224" s="8"/>
      <c r="B224" s="17">
        <v>15818.0</v>
      </c>
      <c r="C224" s="9" t="str">
        <f>VLOOKUP(B224,'FML March 2026'!E:F,2,false)</f>
        <v>SESAME SEEDS WHITE BADIA (USA )</v>
      </c>
      <c r="D224" s="9" t="str">
        <f>VLOOKUP(B224,'Unit of Measure ship March 2026'!A:C,3,false)</f>
        <v>LBS</v>
      </c>
      <c r="G224" s="9"/>
      <c r="H224" s="9"/>
    </row>
    <row r="225" ht="15.75" customHeight="1">
      <c r="A225" s="8"/>
      <c r="B225" s="8">
        <v>20887.0</v>
      </c>
      <c r="C225" s="9" t="str">
        <f>VLOOKUP(B225,'FML March 2026'!E:F,2,false)</f>
        <v>SHICHIMI TOGARASHI CHINESE 7 FLAVOR CHILI PEPPERS</v>
      </c>
      <c r="D225" s="9" t="str">
        <f>VLOOKUP(B225,'Unit of Measure ship March 2026'!A:C,3,false)</f>
        <v>LBS</v>
      </c>
      <c r="G225" s="9"/>
      <c r="H225" s="9"/>
    </row>
    <row r="226" ht="15.75" customHeight="1">
      <c r="A226" s="8"/>
      <c r="B226" s="8">
        <v>111141.0</v>
      </c>
      <c r="C226" s="9" t="str">
        <f>VLOOKUP(B226,'FML March 2026'!E:F,2,false)</f>
        <v>SHITAKE MUSHROOM POWDER CS6/8OZ D'ALLESANDRO</v>
      </c>
      <c r="D226" s="9" t="str">
        <f>VLOOKUP(B226,'Unit of Measure ship March 2026'!A:C,3,false)</f>
        <v>LBS</v>
      </c>
      <c r="G226" s="9"/>
      <c r="H226" s="9"/>
    </row>
    <row r="227" ht="15.75" customHeight="1">
      <c r="A227" s="8"/>
      <c r="B227" s="17">
        <v>30013.0</v>
      </c>
      <c r="C227" s="9" t="str">
        <f>VLOOKUP(B227,'FML March 2026'!E:F,2,false)</f>
        <v>SMOKED BUFFALA MOZZARELLA</v>
      </c>
      <c r="D227" s="9" t="str">
        <f>VLOOKUP(B227,'Unit of Measure ship March 2026'!A:C,3,false)</f>
        <v>LBS</v>
      </c>
      <c r="G227" s="9"/>
      <c r="H227" s="9"/>
    </row>
    <row r="228" ht="15.75" customHeight="1">
      <c r="A228" s="8"/>
      <c r="B228" s="17">
        <v>14883.0</v>
      </c>
      <c r="C228" s="9" t="str">
        <f>VLOOKUP(B228,'FML March 2026'!E:F,2,false)</f>
        <v>SOUR CREAM LONG LIFE 24% 6/5#</v>
      </c>
      <c r="D228" s="9" t="str">
        <f>VLOOKUP(B228,'Unit of Measure ship March 2026'!A:C,3,false)</f>
        <v>LBS</v>
      </c>
      <c r="G228" s="9"/>
      <c r="H228" s="9"/>
    </row>
    <row r="229" ht="15.75" customHeight="1">
      <c r="A229" s="8"/>
      <c r="B229" s="17">
        <v>20150.0</v>
      </c>
      <c r="C229" s="9" t="str">
        <f>VLOOKUP(B229,'FML March 2026'!E:F,2,false)</f>
        <v>SOY SAUCE 4/1 GALLON KIKKOMAN</v>
      </c>
      <c r="D229" s="9" t="str">
        <f>VLOOKUP(B229,'Unit of Measure ship March 2026'!A:C,3,false)</f>
        <v>GAL</v>
      </c>
      <c r="G229" s="9"/>
      <c r="H229" s="9"/>
    </row>
    <row r="230" ht="15.75" customHeight="1">
      <c r="A230" s="8"/>
      <c r="B230" s="8">
        <v>111107.0</v>
      </c>
      <c r="C230" s="9" t="str">
        <f>VLOOKUP(B230,'FML March 2026'!E:F,2,false)</f>
        <v>SOY SAUCE BREWED GLUTEN FREE SEMPIO CS 12/930</v>
      </c>
      <c r="D230" s="9" t="str">
        <f>VLOOKUP(B230,'Unit of Measure ship March 2026'!A:C,3,false)</f>
        <v>BT/60 OZ</v>
      </c>
      <c r="G230" s="9"/>
      <c r="H230" s="9"/>
    </row>
    <row r="231" ht="15.75" customHeight="1">
      <c r="A231" s="8"/>
      <c r="B231" s="8">
        <v>20151.0</v>
      </c>
      <c r="C231" s="9" t="str">
        <f>VLOOKUP(B231,'FML March 2026'!E:F,2,false)</f>
        <v>SOY SAUCE LOWER SODIUM CS6/64OZ KIKKOMAN #00130 (USA)</v>
      </c>
      <c r="D231" s="9" t="str">
        <f>VLOOKUP(B231,'Unit of Measure ship March 2026'!A:C,3,false)</f>
        <v>BTL/64OZ</v>
      </c>
      <c r="G231" s="9"/>
      <c r="H231" s="9"/>
    </row>
    <row r="232" ht="15.75" customHeight="1">
      <c r="A232" s="8"/>
      <c r="B232" s="8">
        <v>109689.0</v>
      </c>
      <c r="C232" s="9" t="str">
        <f>VLOOKUP(B232,'FML March 2026'!E:F,2,false)</f>
        <v>SPICE BLEND REIMS LA BOITE</v>
      </c>
      <c r="D232" s="9" t="str">
        <f>VLOOKUP(B232,'Unit of Measure ship March 2026'!A:C,3,false)</f>
        <v>PKG/1LB</v>
      </c>
      <c r="G232" s="9"/>
      <c r="H232" s="9"/>
    </row>
    <row r="233" ht="15.75" customHeight="1">
      <c r="A233" s="8"/>
      <c r="B233" s="8">
        <v>111759.0</v>
      </c>
      <c r="C233" s="9" t="str">
        <f>VLOOKUP(B233,'FML March 2026'!E:F,2,false)</f>
        <v>SPICE DEGI MIRCHI POWDER M*D*H</v>
      </c>
      <c r="D233" s="9" t="str">
        <f>VLOOKUP(B233,'Unit of Measure ship March 2026'!A:C,3,false)</f>
        <v>KG</v>
      </c>
      <c r="G233" s="9"/>
      <c r="H233" s="9"/>
    </row>
    <row r="234" ht="15.75" customHeight="1">
      <c r="A234" s="8"/>
      <c r="B234" s="8">
        <v>111762.0</v>
      </c>
      <c r="C234" s="9" t="str">
        <f>VLOOKUP(B234,'FML March 2026'!E:F,2,false)</f>
        <v>SPICE KASOORI METHIMDH/ EVEREST</v>
      </c>
      <c r="D234" s="9" t="str">
        <f>VLOOKUP(B234,'Unit of Measure ship March 2026'!A:C,3,false)</f>
        <v>KG</v>
      </c>
      <c r="G234" s="9"/>
      <c r="H234" s="9"/>
    </row>
    <row r="235" ht="15.75" customHeight="1">
      <c r="A235" s="8"/>
      <c r="B235" s="8">
        <v>107138.0</v>
      </c>
      <c r="C235" s="9" t="str">
        <f>VLOOKUP(B235,'FML March 2026'!E:F,2,false)</f>
        <v>SPICE SAFFRON THREADS SPANISH (SPAIN)</v>
      </c>
      <c r="D235" s="9" t="str">
        <f>VLOOKUP(B235,'Unit of Measure ship March 2026'!A:C,3,false)</f>
        <v>CAN/1-OZ</v>
      </c>
      <c r="G235" s="9"/>
      <c r="H235" s="9"/>
    </row>
    <row r="236" ht="15.75" customHeight="1">
      <c r="A236" s="8"/>
      <c r="B236" s="17">
        <v>100466.0</v>
      </c>
      <c r="C236" s="9" t="str">
        <f>VLOOKUP(B236,'FML March 2026'!E:F,2,false)</f>
        <v>SPRING ROLL WRAPPERS (CHINA)</v>
      </c>
      <c r="D236" s="9" t="str">
        <f>VLOOKUP(B236,'Unit of Measure ship March 2026'!A:C,3,false)</f>
        <v>PK/25SH</v>
      </c>
      <c r="G236" s="9"/>
      <c r="H236" s="9"/>
    </row>
    <row r="237" ht="15.75" customHeight="1">
      <c r="A237" s="8"/>
      <c r="B237" s="8">
        <v>20879.0</v>
      </c>
      <c r="C237" s="9" t="str">
        <f>VLOOKUP(B237,'FML March 2026'!E:F,2,false)</f>
        <v>SRIRACHA, HOT CHILI SAUCE, HUY FONG, 28OZ</v>
      </c>
      <c r="D237" s="9" t="str">
        <f>VLOOKUP(B237,'Unit of Measure ship March 2026'!A:C,3,false)</f>
        <v>BT/17OZ</v>
      </c>
      <c r="G237" s="9"/>
      <c r="H237" s="9"/>
    </row>
    <row r="238" ht="15.75" customHeight="1">
      <c r="A238" s="8"/>
      <c r="B238" s="17">
        <v>15646.0</v>
      </c>
      <c r="C238" s="9" t="str">
        <f>VLOOKUP(B238,'FML March 2026'!E:F,2,false)</f>
        <v>SUGAR BROWN DARK  24/1LB  DOMINO (404310) (USA)</v>
      </c>
      <c r="D238" s="9" t="str">
        <f>VLOOKUP(B238,'Unit of Measure ship March 2026'!A:C,3,false)</f>
        <v>LBS</v>
      </c>
      <c r="G238" s="9"/>
      <c r="H238" s="9"/>
    </row>
    <row r="239" ht="15.75" customHeight="1">
      <c r="A239" s="8"/>
      <c r="B239" s="8">
        <v>100872.0</v>
      </c>
      <c r="C239" s="9" t="str">
        <f>VLOOKUP(B239,'FML March 2026'!E:F,2,false)</f>
        <v>SUGAR BROWN LIGHT 24LB  DOMINO (404309)</v>
      </c>
      <c r="D239" s="9" t="str">
        <f>VLOOKUP(B239,'Unit of Measure ship March 2026'!A:C,3,false)</f>
        <v>LBS</v>
      </c>
      <c r="G239" s="9"/>
      <c r="H239" s="9"/>
    </row>
    <row r="240" ht="15.75" customHeight="1">
      <c r="A240" s="8"/>
      <c r="B240" s="17">
        <v>15642.0</v>
      </c>
      <c r="C240" s="9" t="str">
        <f>VLOOKUP(B240,'FML March 2026'!E:F,2,false)</f>
        <v>SUGAR, GRANULATED, ICUMSA 150, SUGARCANE, DRY, 1/50 LB</v>
      </c>
      <c r="D240" s="9" t="str">
        <f>VLOOKUP(B240,'Unit of Measure ship March 2026'!A:C,3,false)</f>
        <v>LBS</v>
      </c>
      <c r="G240" s="9"/>
      <c r="H240" s="9"/>
    </row>
    <row r="241" ht="15.75" customHeight="1">
      <c r="A241" s="8"/>
      <c r="B241" s="17">
        <v>15644.0</v>
      </c>
      <c r="C241" s="9" t="str">
        <f>VLOOKUP(B241,'FML March 2026'!E:F,2,false)</f>
        <v>SUGAR, POWDERED, W/ CORNSTARCH, DRY, 24/1 LB</v>
      </c>
      <c r="D241" s="9" t="str">
        <f>VLOOKUP(B241,'Unit of Measure ship March 2026'!A:C,3,false)</f>
        <v>LBS</v>
      </c>
      <c r="G241" s="9"/>
      <c r="H241" s="9"/>
    </row>
    <row r="242" ht="15.75" customHeight="1">
      <c r="A242" s="8"/>
      <c r="B242" s="17">
        <v>15892.0</v>
      </c>
      <c r="C242" s="9" t="str">
        <f>VLOOKUP(B242,'FML March 2026'!E:F,2,false)</f>
        <v>SUNFLOWER SEEDS WHOLE SHELL-OFF RAW  HIALEAH (USA )</v>
      </c>
      <c r="D242" s="9" t="str">
        <f>VLOOKUP(B242,'Unit of Measure ship March 2026'!A:C,3,false)</f>
        <v>LBS</v>
      </c>
      <c r="G242" s="9"/>
      <c r="H242" s="9"/>
    </row>
    <row r="243" ht="15.75" customHeight="1">
      <c r="A243" s="8"/>
      <c r="B243" s="8">
        <v>29904.0</v>
      </c>
      <c r="C243" s="9" t="str">
        <f>VLOOKUP(B243,'FML March 2026'!E:F,2,false)</f>
        <v>SYRUP, MAPLE, 100% PURE, GRADE A, AMBER, DRY, 4/4 LT</v>
      </c>
      <c r="D243" s="9" t="str">
        <f>VLOOKUP(B243,'Unit of Measure ship March 2026'!A:C,3,false)</f>
        <v>BOX/4LTR</v>
      </c>
      <c r="G243" s="9"/>
      <c r="H243" s="9"/>
    </row>
    <row r="244" ht="15.75" customHeight="1">
      <c r="A244" s="8"/>
      <c r="B244" s="8">
        <v>16939.0</v>
      </c>
      <c r="C244" s="9" t="str">
        <f>VLOOKUP(B244,'FML March 2026'!E:F,2,false)</f>
        <v>TAMARI, GLUTEN FREE SOY SAUCE IH 11/20</v>
      </c>
      <c r="D244" s="9" t="str">
        <f>VLOOKUP(B244,'Unit of Measure ship March 2026'!A:C,3,false)</f>
        <v>PC/10OZ</v>
      </c>
      <c r="G244" s="9"/>
      <c r="H244" s="9"/>
    </row>
    <row r="245" ht="15.75" customHeight="1">
      <c r="A245" s="8"/>
      <c r="B245" s="8">
        <v>40229.0</v>
      </c>
      <c r="C245" s="9" t="str">
        <f>VLOOKUP(B245,'FML March 2026'!E:F,2,false)</f>
        <v>TANDOORI PASTE PATAKS</v>
      </c>
      <c r="D245" s="9" t="str">
        <f>VLOOKUP(B245,'Unit of Measure ship March 2026'!A:C,3,false)</f>
        <v>CAN/11OZ</v>
      </c>
      <c r="G245" s="9"/>
      <c r="H245" s="9"/>
    </row>
    <row r="246" ht="15.75" customHeight="1">
      <c r="A246" s="8"/>
      <c r="B246" s="8">
        <v>40230.0</v>
      </c>
      <c r="C246" s="9" t="str">
        <f>VLOOKUP(B246,'FML March 2026'!E:F,2,false)</f>
        <v>TANDOORI POWDER D`ALLESANDRO/ SPICECO (INDIA)</v>
      </c>
      <c r="D246" s="9" t="str">
        <f>VLOOKUP(B246,'Unit of Measure ship March 2026'!A:C,3,false)</f>
        <v>PK/22OZ</v>
      </c>
      <c r="G246" s="9"/>
      <c r="H246" s="9"/>
    </row>
    <row r="247" ht="15.75" customHeight="1">
      <c r="A247" s="8"/>
      <c r="B247" s="8">
        <v>112637.0</v>
      </c>
      <c r="C247" s="9" t="str">
        <f>VLOOKUP(B247,'FML March 2026'!E:F,2,false)</f>
        <v>TOBANJAN SAUCE CS12/17 OZ YOUKI</v>
      </c>
      <c r="D247" s="9" t="str">
        <f>VLOOKUP(B247,'Unit of Measure ship March 2026'!A:C,3,false)</f>
        <v>PKG1/KG</v>
      </c>
      <c r="G247" s="9"/>
      <c r="H247" s="9"/>
    </row>
    <row r="248" ht="15.75" customHeight="1">
      <c r="A248" s="8"/>
      <c r="B248" s="8">
        <v>109967.0</v>
      </c>
      <c r="C248" s="9" t="str">
        <f>VLOOKUP(B248,'FML March 2026'!E:F,2,false)</f>
        <v>TOFU EXTRA FIRM, TUB</v>
      </c>
      <c r="D248" s="9" t="str">
        <f>VLOOKUP(B248,'Unit of Measure ship March 2026'!A:C,3,false)</f>
        <v>LBS</v>
      </c>
      <c r="G248" s="9"/>
      <c r="H248" s="9"/>
    </row>
    <row r="249" ht="15.75" customHeight="1">
      <c r="A249" s="8"/>
      <c r="B249" s="8">
        <v>15060.0</v>
      </c>
      <c r="C249" s="9" t="str">
        <f>VLOOKUP(B249,'FML March 2026'!E:F,2,false)</f>
        <v>TOFU FIRM, TUB</v>
      </c>
      <c r="D249" s="9" t="str">
        <f>VLOOKUP(B249,'Unit of Measure ship March 2026'!A:C,3,false)</f>
        <v>PC/12OZ</v>
      </c>
      <c r="G249" s="9"/>
      <c r="H249" s="9"/>
    </row>
    <row r="250" ht="15.75" customHeight="1">
      <c r="A250" s="8"/>
      <c r="B250" s="8">
        <v>16951.0</v>
      </c>
      <c r="C250" s="9" t="str">
        <f>VLOOKUP(B250,'FML March 2026'!E:F,2,false)</f>
        <v>TOFU SILKY SOFT (KINU TOFU)</v>
      </c>
      <c r="D250" s="9" t="str">
        <f>VLOOKUP(B250,'Unit of Measure ship March 2026'!A:C,3,false)</f>
        <v>PC/12OZ</v>
      </c>
      <c r="G250" s="9"/>
      <c r="H250" s="9"/>
    </row>
    <row r="251" ht="15.75" customHeight="1">
      <c r="A251" s="8"/>
      <c r="B251" s="8">
        <v>16581.0</v>
      </c>
      <c r="C251" s="9" t="str">
        <f>VLOOKUP(B251,'FML March 2026'!E:F,2,false)</f>
        <v>TOMATO, PASTE, HEINZ, 57310, DRY, 6/#10</v>
      </c>
      <c r="D251" s="9" t="str">
        <f>VLOOKUP(B251,'Unit of Measure ship March 2026'!A:C,3,false)</f>
        <v>CN/6.5LB</v>
      </c>
      <c r="G251" s="9"/>
      <c r="H251" s="9"/>
    </row>
    <row r="252" ht="15.75" customHeight="1">
      <c r="A252" s="8"/>
      <c r="B252" s="78">
        <v>143140.0</v>
      </c>
      <c r="C252" s="9" t="str">
        <f>VLOOKUP(B252,'FML March 2026'!E:F,2,false)</f>
        <v>TOMATO, WHOLE, PEELED, IN JUICE, DRY, 6/#10</v>
      </c>
      <c r="D252" s="9" t="str">
        <f>VLOOKUP(B252,'Unit of Measure ship March 2026'!A:C,3,false)</f>
        <v>C6/6.5LB</v>
      </c>
      <c r="G252" s="9"/>
      <c r="H252" s="9"/>
    </row>
    <row r="253" ht="15.75" customHeight="1">
      <c r="A253" s="8"/>
      <c r="B253" s="8">
        <v>111690.0</v>
      </c>
      <c r="C253" s="9" t="str">
        <f>VLOOKUP(B253,'FML March 2026'!E:F,2,false)</f>
        <v>TORTILLA CORN 4.5 INCH CS6/50PC MISSION</v>
      </c>
      <c r="D253" s="9" t="str">
        <f>VLOOKUP(B253,'Unit of Measure ship March 2026'!A:C,3,false)</f>
        <v>PC</v>
      </c>
      <c r="G253" s="9"/>
      <c r="H253" s="9"/>
    </row>
    <row r="254" ht="15.75" customHeight="1">
      <c r="A254" s="8"/>
      <c r="B254" s="8">
        <v>15194.0</v>
      </c>
      <c r="C254" s="9" t="str">
        <f>VLOOKUP(B254,'FML March 2026'!E:F,2,false)</f>
        <v>TORTILLA, FLOUR, SOFT, 10INCH, FRZN</v>
      </c>
      <c r="D254" s="9" t="str">
        <f>VLOOKUP(B254,'Unit of Measure ship March 2026'!A:C,3,false)</f>
        <v>PC</v>
      </c>
      <c r="G254" s="9"/>
      <c r="H254" s="9"/>
    </row>
    <row r="255" ht="15.75" customHeight="1">
      <c r="A255" s="8"/>
      <c r="B255" s="8">
        <v>101990.0</v>
      </c>
      <c r="C255" s="9" t="str">
        <f>VLOOKUP(B255,'FML March 2026'!E:F,2,false)</f>
        <v>TRUFFLE AESTIVUM-SUMMER PEELINGS HENRAS (FRANCE)</v>
      </c>
      <c r="D255" s="9" t="str">
        <f>VLOOKUP(B255,'Unit of Measure ship March 2026'!A:C,3,false)</f>
        <v>CAN/7OZ</v>
      </c>
      <c r="G255" s="9"/>
      <c r="H255" s="9"/>
    </row>
    <row r="256" ht="15.75" customHeight="1">
      <c r="A256" s="8"/>
      <c r="B256" s="8">
        <v>16310.0</v>
      </c>
      <c r="C256" s="9" t="str">
        <f>VLOOKUP(B256,'FML March 2026'!E:F,2,false)</f>
        <v>TURMERIC GROUND</v>
      </c>
      <c r="D256" s="9" t="str">
        <f>VLOOKUP(B256,'Unit of Measure ship March 2026'!A:C,3,false)</f>
        <v>LBS</v>
      </c>
      <c r="G256" s="9"/>
      <c r="H256" s="9"/>
    </row>
    <row r="257" ht="15.75" customHeight="1">
      <c r="A257" s="8"/>
      <c r="B257" s="8">
        <v>110035.0</v>
      </c>
      <c r="C257" s="9" t="str">
        <f>VLOOKUP(B257,'FML March 2026'!E:F,2,false)</f>
        <v>VEGAN WORCESTERSHIRE SAUCE CS12/8 OZ ANNIES</v>
      </c>
      <c r="D257" s="9" t="str">
        <f>VLOOKUP(B257,'Unit of Measure ship March 2026'!A:C,3,false)</f>
        <v>CS12/8OZ</v>
      </c>
      <c r="G257" s="9"/>
      <c r="H257" s="9"/>
    </row>
    <row r="258" ht="15.75" customHeight="1">
      <c r="A258" s="8"/>
      <c r="B258" s="8">
        <v>111933.0</v>
      </c>
      <c r="C258" s="9" t="str">
        <f>VLOOKUP(B258,'FML March 2026'!E:F,2,false)</f>
        <v>VEGETABLE STOCK LIQUID  CS 4.5/ LITER SAVORY CHOICE</v>
      </c>
      <c r="D258" s="9" t="str">
        <f>VLOOKUP(B258,'Unit of Measure ship March 2026'!A:C,3,false)</f>
        <v>LT</v>
      </c>
      <c r="G258" s="9"/>
      <c r="H258" s="9"/>
    </row>
    <row r="259" ht="15.75" customHeight="1">
      <c r="A259" s="8"/>
      <c r="B259" s="17">
        <v>109611.0</v>
      </c>
      <c r="C259" s="9" t="str">
        <f>VLOOKUP(B259,'FML March 2026'!E:F,2,false)</f>
        <v>VEGGIE PATTIES IMPOSSIBLE BURGER CS40/4 OZ</v>
      </c>
      <c r="D259" s="9" t="str">
        <f>VLOOKUP(B259,'Unit of Measure ship March 2026'!A:C,3,false)</f>
        <v>LBS</v>
      </c>
      <c r="G259" s="9"/>
      <c r="H259" s="9"/>
    </row>
    <row r="260" ht="15.75" customHeight="1">
      <c r="A260" s="8"/>
      <c r="B260" s="8">
        <v>109665.0</v>
      </c>
      <c r="C260" s="9" t="str">
        <f>VLOOKUP(B260,'FML March 2026'!E:F,2,false)</f>
        <v>VINEGAR CABERNET SPARROW LANE</v>
      </c>
      <c r="D260" s="9" t="str">
        <f>VLOOKUP(B260,'Unit of Measure ship March 2026'!A:C,3,false)</f>
        <v>GAL</v>
      </c>
      <c r="G260" s="9"/>
      <c r="H260" s="9"/>
    </row>
    <row r="261" ht="15.75" customHeight="1">
      <c r="A261" s="8"/>
      <c r="B261" s="8">
        <v>109666.0</v>
      </c>
      <c r="C261" s="9" t="str">
        <f>VLOOKUP(B261,'FML March 2026'!E:F,2,false)</f>
        <v>VINEGAR CHAMPAGNE WINE SPARROW LANE/ PACKER</v>
      </c>
      <c r="D261" s="9" t="str">
        <f>VLOOKUP(B261,'Unit of Measure ship March 2026'!A:C,3,false)</f>
        <v>GAL</v>
      </c>
      <c r="G261" s="9"/>
      <c r="H261" s="9"/>
    </row>
    <row r="262" ht="15.75" customHeight="1">
      <c r="A262" s="8"/>
      <c r="B262" s="8">
        <v>16402.0</v>
      </c>
      <c r="C262" s="9" t="str">
        <f>VLOOKUP(B262,'FML March 2026'!E:F,2,false)</f>
        <v>VINEGAR SHERRY/ XERES CS4/5 LT ROLAND</v>
      </c>
      <c r="D262" s="9" t="str">
        <f>VLOOKUP(B262,'Unit of Measure ship March 2026'!A:C,3,false)</f>
        <v>BT/750ML</v>
      </c>
      <c r="G262" s="9"/>
      <c r="H262" s="9"/>
    </row>
    <row r="263" ht="15.75" customHeight="1">
      <c r="A263" s="8"/>
      <c r="B263" s="8">
        <v>10033.0</v>
      </c>
      <c r="C263" s="9" t="str">
        <f>VLOOKUP(B263,'FML March 2026'!E:F,2,false)</f>
        <v>VINEGAR, RED WINE VINEGAR</v>
      </c>
      <c r="D263" s="9" t="str">
        <f>VLOOKUP(B263,'Unit of Measure ship March 2026'!A:C,3,false)</f>
        <v>BTL/5LT</v>
      </c>
      <c r="G263" s="9"/>
      <c r="H263" s="9"/>
    </row>
    <row r="264" ht="15.75" customHeight="1">
      <c r="A264" s="8"/>
      <c r="B264" s="17">
        <v>16413.0</v>
      </c>
      <c r="C264" s="9" t="str">
        <f>VLOOKUP(B264,'FML March 2026'!E:F,2,false)</f>
        <v>VINEGAR, RICE WINE, UNSEASONED, JUG</v>
      </c>
      <c r="D264" s="9" t="str">
        <f>VLOOKUP(B264,'Unit of Measure ship March 2026'!A:C,3,false)</f>
        <v>GAL</v>
      </c>
      <c r="G264" s="9"/>
      <c r="H264" s="9"/>
    </row>
    <row r="265" ht="15.75" customHeight="1">
      <c r="A265" s="8"/>
      <c r="B265" s="8">
        <v>16374.0</v>
      </c>
      <c r="C265" s="9" t="str">
        <f>VLOOKUP(B265,'FML March 2026'!E:F,2,false)</f>
        <v>VINEGAR, WHITE DISTILLED</v>
      </c>
      <c r="D265" s="9" t="str">
        <f>VLOOKUP(B265,'Unit of Measure ship March 2026'!A:C,3,false)</f>
        <v>BTL/5LT</v>
      </c>
      <c r="G265" s="9"/>
      <c r="H265" s="9"/>
    </row>
    <row r="266" ht="15.75" customHeight="1">
      <c r="A266" s="8"/>
      <c r="B266" s="8">
        <v>24829.0</v>
      </c>
      <c r="C266" s="9" t="str">
        <f>VLOOKUP(B266,'FML March 2026'!E:F,2,false)</f>
        <v>WAKAME DRY FOR MISO SOUP K-SEA  MA/RV (USA)</v>
      </c>
      <c r="D266" s="9" t="str">
        <f>VLOOKUP(B266,'Unit of Measure ship March 2026'!A:C,3,false)</f>
        <v>LBS</v>
      </c>
      <c r="G266" s="9"/>
      <c r="H266" s="9"/>
    </row>
    <row r="267" ht="15.75" customHeight="1">
      <c r="A267" s="8"/>
      <c r="B267" s="8">
        <v>38071.0</v>
      </c>
      <c r="C267" s="9" t="str">
        <f>VLOOKUP(B267,'FML March 2026'!E:F,2,false)</f>
        <v>WASABI POWDER SANWA JAPANESE</v>
      </c>
      <c r="D267" s="9" t="str">
        <f>VLOOKUP(B267,'Unit of Measure ship March 2026'!A:C,3,false)</f>
        <v>KG</v>
      </c>
      <c r="G267" s="9"/>
      <c r="H267" s="9"/>
    </row>
    <row r="268" ht="15.75" customHeight="1">
      <c r="A268" s="8"/>
      <c r="B268" s="8">
        <v>49450.0</v>
      </c>
      <c r="C268" s="9" t="str">
        <f>VLOOKUP(B268,'FML March 2026'!E:F,2,false)</f>
        <v>WHIPPING CREAM (35% TO 36%) UHT</v>
      </c>
      <c r="D268" s="9" t="str">
        <f>VLOOKUP(B268,'Unit of Measure ship March 2026'!A:C,3,false)</f>
        <v>QRT</v>
      </c>
      <c r="G268" s="9"/>
      <c r="H268" s="9"/>
    </row>
    <row r="269" ht="15.75" customHeight="1">
      <c r="A269" s="8"/>
      <c r="B269" s="8">
        <v>16387.0</v>
      </c>
      <c r="C269" s="9" t="str">
        <f>VLOOKUP(B269,'FML March 2026'!E:F,2,false)</f>
        <v>WHITE TRUFFLE OIL</v>
      </c>
      <c r="D269" s="9" t="str">
        <f>VLOOKUP(B269,'Unit of Measure ship March 2026'!A:C,3,false)</f>
        <v>BT/250ML</v>
      </c>
      <c r="G269" s="9"/>
      <c r="H269" s="9"/>
    </row>
    <row r="270" ht="15.75" customHeight="1">
      <c r="A270" s="8"/>
      <c r="B270" s="17">
        <v>16358.0</v>
      </c>
      <c r="C270" s="9" t="str">
        <f>VLOOKUP(B270,'FML March 2026'!E:F,2,false)</f>
        <v>WORCESTERSHIRE SAUCE 5 OZ LEA &amp; PERRINS</v>
      </c>
      <c r="D270" s="9" t="str">
        <f>VLOOKUP(B270,'Unit of Measure ship March 2026'!A:C,3,false)</f>
        <v>BTL/5OZ</v>
      </c>
      <c r="G270" s="9"/>
      <c r="H270" s="9"/>
    </row>
    <row r="271" ht="15.75" customHeight="1">
      <c r="A271" s="8"/>
      <c r="B271" s="8">
        <v>102288.0</v>
      </c>
      <c r="C271" s="9" t="str">
        <f>VLOOKUP(B271,'FML March 2026'!E:F,2,false)</f>
        <v>XANTHAN GUM (AUSTRIA)</v>
      </c>
      <c r="D271" s="9" t="str">
        <f>VLOOKUP(B271,'Unit of Measure ship March 2026'!A:C,3,false)</f>
        <v>LBS</v>
      </c>
      <c r="G271" s="9"/>
      <c r="H271" s="9"/>
    </row>
    <row r="272" ht="15.75" customHeight="1">
      <c r="A272" s="8"/>
      <c r="B272" s="17">
        <v>15032.0</v>
      </c>
      <c r="C272" s="9" t="str">
        <f>VLOOKUP(B272,'FML March 2026'!E:F,2,false)</f>
        <v>YEAST ACTIVE 24/1# FRESH &amp; REFRIGERATED, FLEISCHMANS</v>
      </c>
      <c r="D272" s="9" t="str">
        <f>VLOOKUP(B272,'Unit of Measure ship March 2026'!A:C,3,false)</f>
        <v>LBS</v>
      </c>
      <c r="G272" s="9"/>
      <c r="H272" s="9"/>
    </row>
    <row r="273" ht="15.75" customHeight="1">
      <c r="A273" s="8"/>
      <c r="B273" s="8">
        <v>109846.0</v>
      </c>
      <c r="C273" s="9" t="str">
        <f>VLOOKUP(B273,'FML March 2026'!E:F,2,false)</f>
        <v>YOGURT GREEK BULK</v>
      </c>
      <c r="D273" s="9" t="str">
        <f>VLOOKUP(B273,'Unit of Measure ship March 2026'!A:C,3,false)</f>
        <v>LBS</v>
      </c>
      <c r="G273" s="9"/>
      <c r="H273" s="9"/>
    </row>
    <row r="274" ht="15.75" customHeight="1">
      <c r="C274" s="9"/>
      <c r="D274" s="9"/>
      <c r="G274" s="9"/>
      <c r="H274" s="9"/>
    </row>
    <row r="275" ht="15.75" customHeight="1">
      <c r="C275" s="9"/>
      <c r="D275" s="9"/>
      <c r="G275" s="9"/>
      <c r="H275" s="9"/>
    </row>
    <row r="276" ht="15.75" customHeight="1">
      <c r="C276" s="9"/>
      <c r="D276" s="9"/>
      <c r="G276" s="9"/>
      <c r="H276" s="9"/>
    </row>
    <row r="277" ht="15.75" customHeight="1">
      <c r="C277" s="9"/>
      <c r="D277" s="9"/>
      <c r="G277" s="9"/>
      <c r="H277" s="9"/>
    </row>
    <row r="278" ht="15.75" customHeight="1">
      <c r="C278" s="9"/>
      <c r="D278" s="9"/>
      <c r="G278" s="9"/>
      <c r="H278" s="9"/>
    </row>
    <row r="279" ht="15.75" customHeight="1">
      <c r="C279" s="9"/>
      <c r="D279" s="9"/>
      <c r="G279" s="9"/>
      <c r="H279" s="9"/>
    </row>
    <row r="280" ht="15.75" customHeight="1">
      <c r="C280" s="9"/>
      <c r="D280" s="9"/>
      <c r="G280" s="9"/>
      <c r="H280" s="9"/>
    </row>
    <row r="281" ht="15.75" customHeight="1">
      <c r="C281" s="9"/>
      <c r="D281" s="9"/>
      <c r="G281" s="9"/>
      <c r="H281" s="9"/>
    </row>
    <row r="282" ht="15.75" customHeight="1">
      <c r="C282" s="9"/>
      <c r="D282" s="9"/>
      <c r="G282" s="9"/>
      <c r="H282" s="9"/>
    </row>
    <row r="283" ht="15.75" customHeight="1">
      <c r="C283" s="9"/>
      <c r="D283" s="9"/>
      <c r="G283" s="9"/>
      <c r="H283" s="9"/>
    </row>
    <row r="284" ht="15.75" customHeight="1">
      <c r="C284" s="9"/>
      <c r="D284" s="9"/>
      <c r="G284" s="9"/>
      <c r="H284" s="9"/>
    </row>
    <row r="285" ht="15.75" customHeight="1">
      <c r="C285" s="9"/>
      <c r="D285" s="9"/>
      <c r="G285" s="9"/>
      <c r="H285" s="9"/>
    </row>
    <row r="286" ht="15.75" customHeight="1">
      <c r="C286" s="9"/>
      <c r="D286" s="9"/>
      <c r="G286" s="9"/>
      <c r="H286" s="9"/>
    </row>
    <row r="287" ht="15.75" customHeight="1">
      <c r="C287" s="9"/>
      <c r="D287" s="9"/>
      <c r="G287" s="9"/>
      <c r="H287" s="9"/>
    </row>
    <row r="288" ht="15.75" customHeight="1">
      <c r="C288" s="9"/>
      <c r="D288" s="9"/>
      <c r="G288" s="9"/>
      <c r="H288" s="9"/>
    </row>
    <row r="289" ht="15.75" customHeight="1">
      <c r="C289" s="9"/>
      <c r="D289" s="9"/>
      <c r="G289" s="9"/>
      <c r="H289" s="9"/>
    </row>
    <row r="290" ht="15.75" customHeight="1">
      <c r="C290" s="9"/>
      <c r="D290" s="9"/>
      <c r="H290" s="101"/>
    </row>
    <row r="291" ht="15.75" customHeight="1">
      <c r="C291" s="9"/>
      <c r="D291" s="9"/>
      <c r="H291" s="101"/>
    </row>
    <row r="292" ht="15.75" customHeight="1">
      <c r="C292" s="9"/>
      <c r="D292" s="9"/>
      <c r="H292" s="101"/>
    </row>
    <row r="293" ht="15.75" customHeight="1">
      <c r="C293" s="9"/>
      <c r="D293" s="9"/>
      <c r="H293" s="101"/>
    </row>
    <row r="294" ht="15.75" customHeight="1">
      <c r="C294" s="9"/>
      <c r="D294" s="9"/>
      <c r="H294" s="101"/>
    </row>
    <row r="295" ht="15.75" customHeight="1">
      <c r="C295" s="9"/>
      <c r="D295" s="9"/>
      <c r="H295" s="101"/>
    </row>
    <row r="296" ht="15.75" customHeight="1">
      <c r="C296" s="9"/>
      <c r="D296" s="9"/>
      <c r="H296" s="101"/>
    </row>
    <row r="297" ht="15.75" customHeight="1">
      <c r="C297" s="9"/>
      <c r="D297" s="9"/>
      <c r="H297" s="101"/>
    </row>
    <row r="298" ht="15.75" customHeight="1">
      <c r="C298" s="9"/>
      <c r="D298" s="9"/>
      <c r="H298" s="101"/>
    </row>
    <row r="299" ht="15.75" customHeight="1">
      <c r="C299" s="9"/>
      <c r="D299" s="9"/>
      <c r="H299" s="101"/>
    </row>
    <row r="300" ht="15.75" customHeight="1">
      <c r="C300" s="9"/>
      <c r="D300" s="9"/>
      <c r="H300" s="101"/>
    </row>
    <row r="301" ht="15.75" customHeight="1">
      <c r="C301" s="9"/>
      <c r="D301" s="9"/>
      <c r="H301" s="101"/>
    </row>
    <row r="302" ht="15.75" customHeight="1">
      <c r="C302" s="9"/>
      <c r="D302" s="9"/>
      <c r="H302" s="101"/>
    </row>
    <row r="303" ht="15.75" customHeight="1">
      <c r="C303" s="9"/>
      <c r="D303" s="9"/>
      <c r="H303" s="101"/>
    </row>
    <row r="304" ht="15.75" customHeight="1">
      <c r="C304" s="9"/>
      <c r="D304" s="9"/>
      <c r="H304" s="101"/>
    </row>
    <row r="305" ht="15.75" customHeight="1">
      <c r="C305" s="9"/>
      <c r="D305" s="9"/>
      <c r="H305" s="101"/>
    </row>
    <row r="306" ht="15.75" customHeight="1">
      <c r="C306" s="9"/>
      <c r="D306" s="9"/>
      <c r="H306" s="101"/>
    </row>
    <row r="307" ht="15.75" customHeight="1">
      <c r="C307" s="9"/>
      <c r="D307" s="9"/>
      <c r="H307" s="101"/>
    </row>
    <row r="308" ht="15.75" customHeight="1">
      <c r="C308" s="9"/>
      <c r="D308" s="9"/>
      <c r="H308" s="101"/>
    </row>
    <row r="309" ht="15.75" customHeight="1">
      <c r="C309" s="9"/>
      <c r="D309" s="9"/>
      <c r="H309" s="101"/>
    </row>
    <row r="310" ht="15.75" customHeight="1">
      <c r="C310" s="9"/>
      <c r="D310" s="9"/>
      <c r="H310" s="101"/>
    </row>
    <row r="311" ht="15.75" customHeight="1">
      <c r="C311" s="9"/>
      <c r="D311" s="9"/>
      <c r="H311" s="101"/>
    </row>
    <row r="312" ht="15.75" customHeight="1">
      <c r="C312" s="9"/>
      <c r="D312" s="9"/>
      <c r="H312" s="101"/>
    </row>
    <row r="313" ht="15.75" customHeight="1">
      <c r="C313" s="9"/>
      <c r="D313" s="9"/>
      <c r="H313" s="101"/>
    </row>
    <row r="314" ht="15.75" customHeight="1">
      <c r="C314" s="9"/>
      <c r="D314" s="9"/>
      <c r="H314" s="101"/>
    </row>
    <row r="315" ht="15.75" customHeight="1">
      <c r="C315" s="9"/>
      <c r="D315" s="9"/>
      <c r="H315" s="101"/>
    </row>
    <row r="316" ht="15.75" customHeight="1">
      <c r="C316" s="9"/>
      <c r="D316" s="9"/>
      <c r="H316" s="101"/>
    </row>
    <row r="317" ht="15.75" customHeight="1">
      <c r="C317" s="9"/>
      <c r="D317" s="9"/>
      <c r="H317" s="101"/>
    </row>
    <row r="318" ht="15.75" customHeight="1">
      <c r="C318" s="9"/>
      <c r="D318" s="9"/>
      <c r="H318" s="101"/>
    </row>
    <row r="319" ht="15.75" customHeight="1">
      <c r="C319" s="9"/>
      <c r="D319" s="9"/>
      <c r="H319" s="101"/>
    </row>
    <row r="320" ht="15.75" customHeight="1">
      <c r="C320" s="9"/>
      <c r="D320" s="9"/>
      <c r="H320" s="101"/>
    </row>
    <row r="321" ht="15.75" customHeight="1">
      <c r="C321" s="9"/>
      <c r="D321" s="9"/>
      <c r="H321" s="101"/>
    </row>
    <row r="322" ht="15.75" customHeight="1">
      <c r="C322" s="9"/>
      <c r="D322" s="9"/>
      <c r="H322" s="101"/>
    </row>
    <row r="323" ht="15.75" customHeight="1">
      <c r="C323" s="9"/>
      <c r="D323" s="9"/>
      <c r="H323" s="101"/>
    </row>
    <row r="324" ht="15.75" customHeight="1">
      <c r="C324" s="9"/>
      <c r="D324" s="9"/>
      <c r="H324" s="101"/>
    </row>
    <row r="325" ht="15.75" customHeight="1">
      <c r="C325" s="9"/>
      <c r="D325" s="9"/>
      <c r="H325" s="101"/>
    </row>
    <row r="326" ht="15.75" customHeight="1">
      <c r="C326" s="9"/>
      <c r="D326" s="9"/>
      <c r="H326" s="101"/>
    </row>
    <row r="327" ht="15.75" customHeight="1">
      <c r="C327" s="9"/>
      <c r="D327" s="9"/>
      <c r="H327" s="101"/>
    </row>
    <row r="328" ht="15.75" customHeight="1">
      <c r="C328" s="9"/>
      <c r="D328" s="9"/>
      <c r="H328" s="101"/>
    </row>
    <row r="329" ht="15.75" customHeight="1">
      <c r="C329" s="9"/>
      <c r="D329" s="9"/>
      <c r="H329" s="101"/>
    </row>
    <row r="330" ht="15.75" customHeight="1">
      <c r="C330" s="9"/>
      <c r="D330" s="9"/>
      <c r="H330" s="101"/>
    </row>
    <row r="331" ht="15.75" customHeight="1">
      <c r="C331" s="9"/>
      <c r="D331" s="9"/>
      <c r="H331" s="101"/>
    </row>
    <row r="332" ht="15.75" customHeight="1">
      <c r="C332" s="9"/>
      <c r="D332" s="9"/>
      <c r="H332" s="101"/>
    </row>
    <row r="333" ht="15.75" customHeight="1">
      <c r="C333" s="9"/>
      <c r="D333" s="9"/>
      <c r="H333" s="101"/>
    </row>
    <row r="334" ht="15.75" customHeight="1">
      <c r="C334" s="9"/>
      <c r="D334" s="9"/>
      <c r="H334" s="101"/>
    </row>
    <row r="335" ht="15.75" customHeight="1">
      <c r="C335" s="9"/>
      <c r="D335" s="9"/>
      <c r="H335" s="101"/>
    </row>
    <row r="336" ht="15.75" customHeight="1">
      <c r="C336" s="9"/>
      <c r="D336" s="9"/>
      <c r="H336" s="101"/>
    </row>
    <row r="337" ht="15.75" customHeight="1">
      <c r="C337" s="9"/>
      <c r="D337" s="9"/>
      <c r="H337" s="101"/>
    </row>
    <row r="338" ht="15.75" customHeight="1">
      <c r="C338" s="9"/>
      <c r="D338" s="9"/>
      <c r="H338" s="101"/>
    </row>
    <row r="339" ht="15.75" customHeight="1">
      <c r="C339" s="9"/>
      <c r="D339" s="9"/>
      <c r="H339" s="101"/>
    </row>
    <row r="340" ht="15.75" customHeight="1">
      <c r="C340" s="9"/>
      <c r="D340" s="9"/>
      <c r="H340" s="101"/>
    </row>
    <row r="341" ht="15.75" customHeight="1">
      <c r="C341" s="9"/>
      <c r="D341" s="9"/>
      <c r="H341" s="101"/>
    </row>
    <row r="342" ht="15.75" customHeight="1">
      <c r="C342" s="9"/>
      <c r="D342" s="9"/>
      <c r="H342" s="101"/>
    </row>
    <row r="343" ht="15.75" customHeight="1">
      <c r="C343" s="9"/>
      <c r="D343" s="9"/>
      <c r="H343" s="101"/>
    </row>
    <row r="344" ht="15.75" customHeight="1">
      <c r="C344" s="9"/>
      <c r="D344" s="9"/>
      <c r="H344" s="101"/>
    </row>
    <row r="345" ht="15.75" customHeight="1">
      <c r="C345" s="9"/>
      <c r="D345" s="9"/>
      <c r="H345" s="101"/>
    </row>
    <row r="346" ht="15.75" customHeight="1">
      <c r="C346" s="9"/>
      <c r="D346" s="9"/>
      <c r="H346" s="101"/>
    </row>
    <row r="347" ht="15.75" customHeight="1">
      <c r="C347" s="9"/>
      <c r="D347" s="9"/>
      <c r="H347" s="101"/>
    </row>
    <row r="348" ht="15.75" customHeight="1">
      <c r="C348" s="9"/>
      <c r="D348" s="9"/>
      <c r="H348" s="101"/>
    </row>
    <row r="349" ht="15.75" customHeight="1">
      <c r="C349" s="9"/>
      <c r="D349" s="9"/>
      <c r="H349" s="101"/>
    </row>
    <row r="350" ht="15.75" customHeight="1">
      <c r="C350" s="9"/>
      <c r="D350" s="9"/>
      <c r="H350" s="101"/>
    </row>
    <row r="351" ht="15.75" customHeight="1">
      <c r="C351" s="9"/>
      <c r="D351" s="9"/>
      <c r="H351" s="101"/>
    </row>
    <row r="352" ht="15.75" customHeight="1">
      <c r="C352" s="9"/>
      <c r="D352" s="9"/>
      <c r="H352" s="101"/>
    </row>
    <row r="353" ht="15.75" customHeight="1">
      <c r="C353" s="9"/>
      <c r="D353" s="9"/>
      <c r="H353" s="101"/>
    </row>
    <row r="354" ht="15.75" customHeight="1">
      <c r="C354" s="9"/>
      <c r="D354" s="9"/>
      <c r="H354" s="101"/>
    </row>
    <row r="355" ht="15.75" customHeight="1">
      <c r="C355" s="9"/>
      <c r="D355" s="9"/>
      <c r="H355" s="101"/>
    </row>
    <row r="356" ht="15.75" customHeight="1">
      <c r="C356" s="9"/>
      <c r="D356" s="9"/>
      <c r="H356" s="101"/>
    </row>
    <row r="357" ht="15.75" customHeight="1">
      <c r="C357" s="9"/>
      <c r="D357" s="9"/>
      <c r="H357" s="101"/>
    </row>
    <row r="358" ht="15.75" customHeight="1">
      <c r="C358" s="9"/>
      <c r="D358" s="9"/>
      <c r="H358" s="101"/>
    </row>
    <row r="359" ht="15.75" customHeight="1">
      <c r="C359" s="9"/>
      <c r="D359" s="9"/>
      <c r="H359" s="101"/>
    </row>
    <row r="360" ht="15.75" customHeight="1">
      <c r="C360" s="9"/>
      <c r="D360" s="9"/>
      <c r="H360" s="101"/>
    </row>
    <row r="361" ht="15.75" customHeight="1">
      <c r="C361" s="9"/>
      <c r="D361" s="9"/>
      <c r="H361" s="101"/>
    </row>
    <row r="362" ht="15.75" customHeight="1">
      <c r="C362" s="9"/>
      <c r="D362" s="9"/>
      <c r="H362" s="101"/>
    </row>
    <row r="363" ht="15.75" customHeight="1">
      <c r="C363" s="9"/>
      <c r="D363" s="9"/>
      <c r="H363" s="101"/>
    </row>
    <row r="364" ht="15.75" customHeight="1">
      <c r="C364" s="9"/>
      <c r="D364" s="9"/>
      <c r="H364" s="101"/>
    </row>
    <row r="365" ht="15.75" customHeight="1">
      <c r="C365" s="9"/>
      <c r="D365" s="9"/>
      <c r="H365" s="101"/>
    </row>
    <row r="366" ht="15.75" customHeight="1">
      <c r="C366" s="9"/>
      <c r="D366" s="9"/>
      <c r="H366" s="101"/>
    </row>
    <row r="367" ht="15.75" customHeight="1">
      <c r="C367" s="9"/>
      <c r="D367" s="9"/>
      <c r="H367" s="101"/>
    </row>
    <row r="368" ht="15.75" customHeight="1">
      <c r="C368" s="9"/>
      <c r="D368" s="9"/>
      <c r="H368" s="101"/>
    </row>
    <row r="369" ht="15.75" customHeight="1">
      <c r="C369" s="9"/>
      <c r="D369" s="9"/>
      <c r="H369" s="101"/>
    </row>
    <row r="370" ht="15.75" customHeight="1">
      <c r="C370" s="9"/>
      <c r="D370" s="9"/>
      <c r="H370" s="101"/>
    </row>
    <row r="371" ht="15.75" customHeight="1">
      <c r="C371" s="9"/>
      <c r="D371" s="9"/>
      <c r="H371" s="101"/>
    </row>
    <row r="372" ht="15.75" customHeight="1">
      <c r="C372" s="9"/>
      <c r="D372" s="9"/>
      <c r="H372" s="101"/>
    </row>
    <row r="373" ht="15.75" customHeight="1">
      <c r="C373" s="9"/>
      <c r="D373" s="9"/>
      <c r="H373" s="101"/>
    </row>
    <row r="374" ht="15.75" customHeight="1">
      <c r="C374" s="9"/>
      <c r="D374" s="9"/>
      <c r="H374" s="101"/>
    </row>
    <row r="375" ht="15.75" customHeight="1">
      <c r="C375" s="9"/>
      <c r="D375" s="9"/>
      <c r="H375" s="101"/>
    </row>
    <row r="376" ht="15.75" customHeight="1">
      <c r="C376" s="9"/>
      <c r="D376" s="9"/>
      <c r="H376" s="101"/>
    </row>
    <row r="377" ht="15.75" customHeight="1">
      <c r="C377" s="9"/>
      <c r="D377" s="9"/>
      <c r="H377" s="101"/>
    </row>
    <row r="378" ht="15.75" customHeight="1">
      <c r="C378" s="9"/>
      <c r="D378" s="9"/>
      <c r="H378" s="101"/>
    </row>
    <row r="379" ht="15.75" customHeight="1">
      <c r="C379" s="9"/>
      <c r="D379" s="9"/>
      <c r="H379" s="101"/>
    </row>
    <row r="380" ht="15.75" customHeight="1">
      <c r="C380" s="9"/>
      <c r="D380" s="9"/>
      <c r="H380" s="101"/>
    </row>
    <row r="381" ht="15.75" customHeight="1">
      <c r="C381" s="9"/>
      <c r="D381" s="9"/>
      <c r="H381" s="101"/>
    </row>
    <row r="382" ht="15.75" customHeight="1">
      <c r="C382" s="9"/>
      <c r="D382" s="9"/>
      <c r="H382" s="101"/>
    </row>
    <row r="383" ht="15.75" customHeight="1">
      <c r="C383" s="9"/>
      <c r="D383" s="9"/>
      <c r="H383" s="101"/>
    </row>
    <row r="384" ht="15.75" customHeight="1">
      <c r="C384" s="9"/>
      <c r="D384" s="9"/>
      <c r="H384" s="101"/>
    </row>
    <row r="385" ht="15.75" customHeight="1">
      <c r="C385" s="9"/>
      <c r="D385" s="9"/>
      <c r="H385" s="101"/>
    </row>
    <row r="386" ht="15.75" customHeight="1">
      <c r="C386" s="9"/>
      <c r="D386" s="9"/>
      <c r="H386" s="101"/>
    </row>
    <row r="387" ht="15.75" customHeight="1">
      <c r="C387" s="9"/>
      <c r="D387" s="9"/>
      <c r="H387" s="101"/>
    </row>
    <row r="388" ht="15.75" customHeight="1">
      <c r="C388" s="9"/>
      <c r="D388" s="9"/>
      <c r="H388" s="101"/>
    </row>
    <row r="389" ht="15.75" customHeight="1">
      <c r="C389" s="9"/>
      <c r="D389" s="9"/>
      <c r="H389" s="101"/>
    </row>
    <row r="390" ht="15.75" customHeight="1">
      <c r="C390" s="9"/>
      <c r="D390" s="9"/>
      <c r="H390" s="101"/>
    </row>
    <row r="391" ht="15.75" customHeight="1">
      <c r="C391" s="9"/>
      <c r="D391" s="9"/>
      <c r="H391" s="101"/>
    </row>
    <row r="392" ht="15.75" customHeight="1">
      <c r="C392" s="9"/>
      <c r="D392" s="9"/>
      <c r="H392" s="101"/>
    </row>
    <row r="393" ht="15.75" customHeight="1">
      <c r="C393" s="9"/>
      <c r="D393" s="9"/>
      <c r="H393" s="101"/>
    </row>
    <row r="394" ht="15.75" customHeight="1">
      <c r="C394" s="9"/>
      <c r="D394" s="9"/>
      <c r="H394" s="101"/>
    </row>
    <row r="395" ht="15.75" customHeight="1">
      <c r="C395" s="9"/>
      <c r="D395" s="9"/>
      <c r="H395" s="101"/>
    </row>
    <row r="396" ht="15.75" customHeight="1">
      <c r="C396" s="9"/>
      <c r="D396" s="9"/>
      <c r="H396" s="101"/>
    </row>
    <row r="397" ht="15.75" customHeight="1">
      <c r="C397" s="9"/>
      <c r="D397" s="9"/>
      <c r="H397" s="101"/>
    </row>
    <row r="398" ht="15.75" customHeight="1">
      <c r="C398" s="9"/>
      <c r="D398" s="9"/>
      <c r="H398" s="101"/>
    </row>
    <row r="399" ht="15.75" customHeight="1">
      <c r="C399" s="9"/>
      <c r="D399" s="9"/>
      <c r="H399" s="101"/>
    </row>
    <row r="400" ht="15.75" customHeight="1">
      <c r="C400" s="9"/>
      <c r="D400" s="9"/>
      <c r="H400" s="101"/>
    </row>
    <row r="401" ht="15.75" customHeight="1">
      <c r="C401" s="9"/>
      <c r="D401" s="9"/>
      <c r="H401" s="101"/>
    </row>
    <row r="402" ht="15.75" customHeight="1">
      <c r="C402" s="9"/>
      <c r="D402" s="9"/>
      <c r="H402" s="101"/>
    </row>
    <row r="403" ht="15.75" customHeight="1">
      <c r="C403" s="9"/>
      <c r="D403" s="9"/>
      <c r="H403" s="101"/>
    </row>
    <row r="404" ht="15.75" customHeight="1">
      <c r="C404" s="9"/>
      <c r="D404" s="9"/>
      <c r="H404" s="101"/>
    </row>
    <row r="405" ht="15.75" customHeight="1">
      <c r="C405" s="9"/>
      <c r="D405" s="9"/>
      <c r="H405" s="101"/>
    </row>
    <row r="406" ht="15.75" customHeight="1">
      <c r="C406" s="9"/>
      <c r="D406" s="9"/>
      <c r="H406" s="101"/>
    </row>
    <row r="407" ht="15.75" customHeight="1">
      <c r="C407" s="9"/>
      <c r="D407" s="9"/>
      <c r="H407" s="101"/>
    </row>
    <row r="408" ht="15.75" customHeight="1">
      <c r="C408" s="9"/>
      <c r="D408" s="9"/>
      <c r="H408" s="101"/>
    </row>
    <row r="409" ht="15.75" customHeight="1">
      <c r="C409" s="9"/>
      <c r="D409" s="9"/>
      <c r="H409" s="101"/>
    </row>
    <row r="410" ht="15.75" customHeight="1">
      <c r="C410" s="9"/>
      <c r="D410" s="9"/>
      <c r="H410" s="101"/>
    </row>
    <row r="411" ht="15.75" customHeight="1">
      <c r="C411" s="9"/>
      <c r="D411" s="9"/>
      <c r="H411" s="101"/>
    </row>
    <row r="412" ht="15.75" customHeight="1">
      <c r="C412" s="9"/>
      <c r="D412" s="9"/>
      <c r="H412" s="101"/>
    </row>
    <row r="413" ht="15.75" customHeight="1">
      <c r="C413" s="9"/>
      <c r="D413" s="9"/>
      <c r="H413" s="101"/>
    </row>
    <row r="414" ht="15.75" customHeight="1">
      <c r="C414" s="9"/>
      <c r="D414" s="9"/>
      <c r="H414" s="101"/>
    </row>
    <row r="415" ht="15.75" customHeight="1">
      <c r="C415" s="9"/>
      <c r="D415" s="9"/>
      <c r="H415" s="101"/>
    </row>
    <row r="416" ht="15.75" customHeight="1">
      <c r="C416" s="9"/>
      <c r="D416" s="9"/>
      <c r="H416" s="101"/>
    </row>
    <row r="417" ht="15.75" customHeight="1">
      <c r="C417" s="9"/>
      <c r="D417" s="9"/>
      <c r="H417" s="101"/>
    </row>
    <row r="418" ht="15.75" customHeight="1">
      <c r="C418" s="9"/>
      <c r="D418" s="9"/>
      <c r="H418" s="101"/>
    </row>
    <row r="419" ht="15.75" customHeight="1">
      <c r="C419" s="9"/>
      <c r="D419" s="9"/>
      <c r="H419" s="101"/>
    </row>
    <row r="420" ht="15.75" customHeight="1">
      <c r="C420" s="9"/>
      <c r="D420" s="9"/>
      <c r="H420" s="101"/>
    </row>
    <row r="421" ht="15.75" customHeight="1">
      <c r="C421" s="9"/>
      <c r="D421" s="9"/>
      <c r="H421" s="101"/>
    </row>
    <row r="422" ht="15.75" customHeight="1">
      <c r="D422" s="101"/>
      <c r="H422" s="101"/>
    </row>
    <row r="423" ht="15.75" customHeight="1">
      <c r="D423" s="101"/>
      <c r="H423" s="101"/>
    </row>
    <row r="424" ht="15.75" customHeight="1">
      <c r="D424" s="101"/>
      <c r="H424" s="101"/>
    </row>
    <row r="425" ht="15.75" customHeight="1">
      <c r="D425" s="101"/>
      <c r="H425" s="101"/>
    </row>
    <row r="426" ht="15.75" customHeight="1">
      <c r="D426" s="101"/>
      <c r="H426" s="101"/>
    </row>
    <row r="427" ht="15.75" customHeight="1">
      <c r="D427" s="101"/>
      <c r="H427" s="101"/>
    </row>
    <row r="428" ht="15.75" customHeight="1">
      <c r="D428" s="101"/>
      <c r="H428" s="101"/>
    </row>
    <row r="429" ht="15.75" customHeight="1">
      <c r="D429" s="101"/>
      <c r="H429" s="101"/>
    </row>
    <row r="430" ht="15.75" customHeight="1">
      <c r="D430" s="101"/>
      <c r="H430" s="101"/>
    </row>
    <row r="431" ht="15.75" customHeight="1">
      <c r="D431" s="101"/>
      <c r="H431" s="101"/>
    </row>
    <row r="432" ht="15.75" customHeight="1">
      <c r="D432" s="101"/>
      <c r="H432" s="101"/>
    </row>
    <row r="433" ht="15.75" customHeight="1">
      <c r="D433" s="101"/>
      <c r="H433" s="101"/>
    </row>
    <row r="434" ht="15.75" customHeight="1">
      <c r="D434" s="101"/>
      <c r="H434" s="101"/>
    </row>
    <row r="435" ht="15.75" customHeight="1">
      <c r="D435" s="101"/>
      <c r="H435" s="101"/>
    </row>
    <row r="436" ht="15.75" customHeight="1">
      <c r="D436" s="101"/>
      <c r="H436" s="101"/>
    </row>
    <row r="437" ht="15.75" customHeight="1">
      <c r="D437" s="101"/>
      <c r="H437" s="101"/>
    </row>
    <row r="438" ht="15.75" customHeight="1">
      <c r="D438" s="101"/>
      <c r="H438" s="101"/>
    </row>
    <row r="439" ht="15.75" customHeight="1">
      <c r="D439" s="101"/>
      <c r="H439" s="101"/>
    </row>
    <row r="440" ht="15.75" customHeight="1">
      <c r="D440" s="101"/>
      <c r="H440" s="101"/>
    </row>
    <row r="441" ht="15.75" customHeight="1">
      <c r="D441" s="101"/>
      <c r="H441" s="101"/>
    </row>
    <row r="442" ht="15.75" customHeight="1">
      <c r="D442" s="101"/>
      <c r="H442" s="101"/>
    </row>
    <row r="443" ht="15.75" customHeight="1">
      <c r="D443" s="101"/>
      <c r="H443" s="101"/>
    </row>
    <row r="444" ht="15.75" customHeight="1">
      <c r="D444" s="101"/>
      <c r="H444" s="101"/>
    </row>
    <row r="445" ht="15.75" customHeight="1">
      <c r="D445" s="101"/>
      <c r="H445" s="101"/>
    </row>
    <row r="446" ht="15.75" customHeight="1">
      <c r="D446" s="101"/>
      <c r="H446" s="101"/>
    </row>
    <row r="447" ht="15.75" customHeight="1">
      <c r="D447" s="101"/>
      <c r="H447" s="101"/>
    </row>
    <row r="448" ht="15.75" customHeight="1">
      <c r="D448" s="101"/>
      <c r="H448" s="101"/>
    </row>
    <row r="449" ht="15.75" customHeight="1">
      <c r="D449" s="101"/>
      <c r="H449" s="101"/>
    </row>
    <row r="450" ht="15.75" customHeight="1">
      <c r="D450" s="101"/>
      <c r="H450" s="101"/>
    </row>
    <row r="451" ht="15.75" customHeight="1">
      <c r="D451" s="101"/>
      <c r="H451" s="101"/>
    </row>
    <row r="452" ht="15.75" customHeight="1">
      <c r="D452" s="101"/>
      <c r="H452" s="101"/>
    </row>
    <row r="453" ht="15.75" customHeight="1">
      <c r="D453" s="101"/>
      <c r="H453" s="101"/>
    </row>
    <row r="454" ht="15.75" customHeight="1">
      <c r="D454" s="101"/>
      <c r="H454" s="101"/>
    </row>
    <row r="455" ht="15.75" customHeight="1">
      <c r="D455" s="101"/>
      <c r="H455" s="101"/>
    </row>
    <row r="456" ht="15.75" customHeight="1">
      <c r="D456" s="101"/>
      <c r="H456" s="101"/>
    </row>
    <row r="457" ht="15.75" customHeight="1">
      <c r="D457" s="101"/>
      <c r="H457" s="101"/>
    </row>
    <row r="458" ht="15.75" customHeight="1">
      <c r="D458" s="101"/>
      <c r="H458" s="101"/>
    </row>
    <row r="459" ht="15.75" customHeight="1">
      <c r="D459" s="101"/>
      <c r="H459" s="101"/>
    </row>
    <row r="460" ht="15.75" customHeight="1">
      <c r="D460" s="101"/>
      <c r="H460" s="101"/>
    </row>
    <row r="461" ht="15.75" customHeight="1">
      <c r="D461" s="101"/>
      <c r="H461" s="101"/>
    </row>
    <row r="462" ht="15.75" customHeight="1">
      <c r="D462" s="101"/>
      <c r="H462" s="101"/>
    </row>
    <row r="463" ht="15.75" customHeight="1">
      <c r="D463" s="101"/>
      <c r="H463" s="101"/>
    </row>
    <row r="464" ht="15.75" customHeight="1">
      <c r="D464" s="101"/>
      <c r="H464" s="101"/>
    </row>
    <row r="465" ht="15.75" customHeight="1">
      <c r="D465" s="101"/>
      <c r="H465" s="101"/>
    </row>
    <row r="466" ht="15.75" customHeight="1">
      <c r="D466" s="101"/>
      <c r="H466" s="101"/>
    </row>
    <row r="467" ht="15.75" customHeight="1">
      <c r="D467" s="101"/>
      <c r="H467" s="101"/>
    </row>
    <row r="468" ht="15.75" customHeight="1">
      <c r="D468" s="101"/>
      <c r="H468" s="101"/>
    </row>
    <row r="469" ht="15.75" customHeight="1">
      <c r="D469" s="101"/>
      <c r="H469" s="101"/>
    </row>
    <row r="470" ht="15.75" customHeight="1">
      <c r="D470" s="101"/>
      <c r="H470" s="101"/>
    </row>
    <row r="471" ht="15.75" customHeight="1">
      <c r="D471" s="101"/>
      <c r="H471" s="101"/>
    </row>
    <row r="472" ht="15.75" customHeight="1">
      <c r="D472" s="101"/>
      <c r="H472" s="101"/>
    </row>
    <row r="473" ht="15.75" customHeight="1">
      <c r="D473" s="101"/>
      <c r="H473" s="101"/>
    </row>
    <row r="474" ht="15.75" customHeight="1">
      <c r="D474" s="101"/>
      <c r="H474" s="101"/>
    </row>
    <row r="475" ht="15.75" customHeight="1">
      <c r="D475" s="101"/>
      <c r="H475" s="101"/>
    </row>
    <row r="476" ht="15.75" customHeight="1">
      <c r="D476" s="101"/>
      <c r="H476" s="101"/>
    </row>
    <row r="477" ht="15.75" customHeight="1">
      <c r="D477" s="101"/>
      <c r="H477" s="101"/>
    </row>
    <row r="478" ht="15.75" customHeight="1">
      <c r="D478" s="101"/>
      <c r="H478" s="101"/>
    </row>
    <row r="479" ht="15.75" customHeight="1">
      <c r="D479" s="101"/>
      <c r="H479" s="101"/>
    </row>
    <row r="480" ht="15.75" customHeight="1">
      <c r="D480" s="101"/>
      <c r="H480" s="101"/>
    </row>
    <row r="481" ht="15.75" customHeight="1">
      <c r="D481" s="101"/>
      <c r="H481" s="101"/>
    </row>
    <row r="482" ht="15.75" customHeight="1">
      <c r="D482" s="101"/>
      <c r="H482" s="101"/>
    </row>
    <row r="483" ht="15.75" customHeight="1">
      <c r="D483" s="101"/>
      <c r="H483" s="101"/>
    </row>
    <row r="484" ht="15.75" customHeight="1">
      <c r="D484" s="101"/>
      <c r="H484" s="101"/>
    </row>
    <row r="485" ht="15.75" customHeight="1">
      <c r="D485" s="101"/>
      <c r="H485" s="101"/>
    </row>
    <row r="486" ht="15.75" customHeight="1">
      <c r="D486" s="101"/>
      <c r="H486" s="101"/>
    </row>
    <row r="487" ht="15.75" customHeight="1">
      <c r="D487" s="101"/>
      <c r="H487" s="101"/>
    </row>
    <row r="488" ht="15.75" customHeight="1">
      <c r="D488" s="101"/>
      <c r="H488" s="101"/>
    </row>
    <row r="489" ht="15.75" customHeight="1">
      <c r="D489" s="101"/>
      <c r="H489" s="101"/>
    </row>
    <row r="490" ht="15.75" customHeight="1">
      <c r="D490" s="101"/>
      <c r="H490" s="101"/>
    </row>
    <row r="491" ht="15.75" customHeight="1">
      <c r="D491" s="101"/>
      <c r="H491" s="101"/>
    </row>
    <row r="492" ht="15.75" customHeight="1">
      <c r="D492" s="101"/>
      <c r="H492" s="101"/>
    </row>
    <row r="493" ht="15.75" customHeight="1">
      <c r="D493" s="101"/>
      <c r="H493" s="101"/>
    </row>
    <row r="494" ht="15.75" customHeight="1">
      <c r="D494" s="101"/>
      <c r="H494" s="101"/>
    </row>
    <row r="495" ht="15.75" customHeight="1">
      <c r="D495" s="101"/>
      <c r="H495" s="101"/>
    </row>
    <row r="496" ht="15.75" customHeight="1">
      <c r="D496" s="101"/>
      <c r="H496" s="101"/>
    </row>
    <row r="497" ht="15.75" customHeight="1">
      <c r="D497" s="101"/>
      <c r="H497" s="101"/>
    </row>
    <row r="498" ht="15.75" customHeight="1">
      <c r="D498" s="101"/>
      <c r="H498" s="101"/>
    </row>
    <row r="499" ht="15.75" customHeight="1">
      <c r="D499" s="101"/>
      <c r="H499" s="101"/>
    </row>
    <row r="500" ht="15.75" customHeight="1">
      <c r="D500" s="101"/>
      <c r="H500" s="101"/>
    </row>
    <row r="501" ht="15.75" customHeight="1">
      <c r="D501" s="101"/>
      <c r="H501" s="101"/>
    </row>
    <row r="502" ht="15.75" customHeight="1">
      <c r="D502" s="101"/>
      <c r="H502" s="101"/>
    </row>
    <row r="503" ht="15.75" customHeight="1">
      <c r="D503" s="101"/>
      <c r="H503" s="101"/>
    </row>
    <row r="504" ht="15.75" customHeight="1">
      <c r="D504" s="101"/>
      <c r="H504" s="101"/>
    </row>
    <row r="505" ht="15.75" customHeight="1">
      <c r="D505" s="101"/>
      <c r="H505" s="101"/>
    </row>
    <row r="506" ht="15.75" customHeight="1">
      <c r="D506" s="101"/>
      <c r="H506" s="101"/>
    </row>
    <row r="507" ht="15.75" customHeight="1">
      <c r="D507" s="101"/>
      <c r="H507" s="101"/>
    </row>
    <row r="508" ht="15.75" customHeight="1">
      <c r="D508" s="101"/>
      <c r="H508" s="101"/>
    </row>
    <row r="509" ht="15.75" customHeight="1">
      <c r="D509" s="101"/>
      <c r="H509" s="101"/>
    </row>
    <row r="510" ht="15.75" customHeight="1">
      <c r="D510" s="101"/>
      <c r="H510" s="101"/>
    </row>
    <row r="511" ht="15.75" customHeight="1">
      <c r="D511" s="101"/>
      <c r="H511" s="101"/>
    </row>
    <row r="512" ht="15.75" customHeight="1">
      <c r="D512" s="101"/>
      <c r="H512" s="101"/>
    </row>
    <row r="513" ht="15.75" customHeight="1">
      <c r="D513" s="101"/>
      <c r="H513" s="101"/>
    </row>
    <row r="514" ht="15.75" customHeight="1">
      <c r="D514" s="101"/>
      <c r="H514" s="101"/>
    </row>
    <row r="515" ht="15.75" customHeight="1">
      <c r="D515" s="101"/>
      <c r="H515" s="101"/>
    </row>
    <row r="516" ht="15.75" customHeight="1">
      <c r="D516" s="101"/>
      <c r="H516" s="101"/>
    </row>
    <row r="517" ht="15.75" customHeight="1">
      <c r="D517" s="101"/>
      <c r="H517" s="101"/>
    </row>
    <row r="518" ht="15.75" customHeight="1">
      <c r="D518" s="101"/>
      <c r="H518" s="101"/>
    </row>
    <row r="519" ht="15.75" customHeight="1">
      <c r="D519" s="101"/>
      <c r="H519" s="101"/>
    </row>
    <row r="520" ht="15.75" customHeight="1">
      <c r="D520" s="101"/>
      <c r="H520" s="101"/>
    </row>
    <row r="521" ht="15.75" customHeight="1">
      <c r="D521" s="101"/>
      <c r="H521" s="101"/>
    </row>
    <row r="522" ht="15.75" customHeight="1">
      <c r="D522" s="101"/>
      <c r="H522" s="101"/>
    </row>
    <row r="523" ht="15.75" customHeight="1">
      <c r="D523" s="101"/>
      <c r="H523" s="101"/>
    </row>
    <row r="524" ht="15.75" customHeight="1">
      <c r="D524" s="101"/>
      <c r="H524" s="101"/>
    </row>
    <row r="525" ht="15.75" customHeight="1">
      <c r="D525" s="101"/>
      <c r="H525" s="101"/>
    </row>
    <row r="526" ht="15.75" customHeight="1">
      <c r="D526" s="101"/>
      <c r="H526" s="101"/>
    </row>
    <row r="527" ht="15.75" customHeight="1">
      <c r="D527" s="101"/>
      <c r="H527" s="101"/>
    </row>
    <row r="528" ht="15.75" customHeight="1">
      <c r="D528" s="101"/>
      <c r="H528" s="101"/>
    </row>
    <row r="529" ht="15.75" customHeight="1">
      <c r="D529" s="101"/>
      <c r="H529" s="101"/>
    </row>
    <row r="530" ht="15.75" customHeight="1">
      <c r="D530" s="101"/>
      <c r="H530" s="101"/>
    </row>
    <row r="531" ht="15.75" customHeight="1">
      <c r="D531" s="101"/>
      <c r="H531" s="101"/>
    </row>
    <row r="532" ht="15.75" customHeight="1">
      <c r="D532" s="101"/>
      <c r="H532" s="101"/>
    </row>
    <row r="533" ht="15.75" customHeight="1">
      <c r="D533" s="101"/>
      <c r="H533" s="101"/>
    </row>
    <row r="534" ht="15.75" customHeight="1">
      <c r="D534" s="101"/>
      <c r="H534" s="101"/>
    </row>
    <row r="535" ht="15.75" customHeight="1">
      <c r="D535" s="101"/>
      <c r="H535" s="101"/>
    </row>
    <row r="536" ht="15.75" customHeight="1">
      <c r="D536" s="101"/>
      <c r="H536" s="101"/>
    </row>
    <row r="537" ht="15.75" customHeight="1">
      <c r="D537" s="101"/>
      <c r="H537" s="101"/>
    </row>
    <row r="538" ht="15.75" customHeight="1">
      <c r="D538" s="101"/>
      <c r="H538" s="101"/>
    </row>
    <row r="539" ht="15.75" customHeight="1">
      <c r="D539" s="101"/>
      <c r="H539" s="101"/>
    </row>
    <row r="540" ht="15.75" customHeight="1">
      <c r="D540" s="101"/>
      <c r="H540" s="101"/>
    </row>
    <row r="541" ht="15.75" customHeight="1">
      <c r="D541" s="101"/>
      <c r="H541" s="101"/>
    </row>
    <row r="542" ht="15.75" customHeight="1">
      <c r="D542" s="101"/>
      <c r="H542" s="101"/>
    </row>
    <row r="543" ht="15.75" customHeight="1">
      <c r="D543" s="101"/>
      <c r="H543" s="101"/>
    </row>
    <row r="544" ht="15.75" customHeight="1">
      <c r="D544" s="101"/>
      <c r="H544" s="101"/>
    </row>
    <row r="545" ht="15.75" customHeight="1">
      <c r="D545" s="101"/>
      <c r="H545" s="101"/>
    </row>
    <row r="546" ht="15.75" customHeight="1">
      <c r="D546" s="101"/>
      <c r="H546" s="101"/>
    </row>
    <row r="547" ht="15.75" customHeight="1">
      <c r="D547" s="101"/>
      <c r="H547" s="101"/>
    </row>
    <row r="548" ht="15.75" customHeight="1">
      <c r="D548" s="101"/>
      <c r="H548" s="101"/>
    </row>
    <row r="549" ht="15.75" customHeight="1">
      <c r="D549" s="101"/>
      <c r="H549" s="101"/>
    </row>
    <row r="550" ht="15.75" customHeight="1">
      <c r="D550" s="101"/>
      <c r="H550" s="101"/>
    </row>
    <row r="551" ht="15.75" customHeight="1">
      <c r="D551" s="101"/>
      <c r="H551" s="101"/>
    </row>
    <row r="552" ht="15.75" customHeight="1">
      <c r="D552" s="101"/>
      <c r="H552" s="101"/>
    </row>
    <row r="553" ht="15.75" customHeight="1">
      <c r="D553" s="101"/>
      <c r="H553" s="101"/>
    </row>
    <row r="554" ht="15.75" customHeight="1">
      <c r="D554" s="101"/>
      <c r="H554" s="101"/>
    </row>
    <row r="555" ht="15.75" customHeight="1">
      <c r="D555" s="101"/>
      <c r="H555" s="101"/>
    </row>
    <row r="556" ht="15.75" customHeight="1">
      <c r="D556" s="101"/>
      <c r="H556" s="101"/>
    </row>
    <row r="557" ht="15.75" customHeight="1">
      <c r="D557" s="101"/>
      <c r="H557" s="101"/>
    </row>
    <row r="558" ht="15.75" customHeight="1">
      <c r="D558" s="101"/>
      <c r="H558" s="101"/>
    </row>
    <row r="559" ht="15.75" customHeight="1">
      <c r="D559" s="101"/>
      <c r="H559" s="101"/>
    </row>
    <row r="560" ht="15.75" customHeight="1">
      <c r="D560" s="101"/>
      <c r="H560" s="101"/>
    </row>
    <row r="561" ht="15.75" customHeight="1">
      <c r="D561" s="101"/>
      <c r="H561" s="101"/>
    </row>
    <row r="562" ht="15.75" customHeight="1">
      <c r="D562" s="101"/>
      <c r="H562" s="101"/>
    </row>
    <row r="563" ht="15.75" customHeight="1">
      <c r="D563" s="101"/>
      <c r="H563" s="101"/>
    </row>
    <row r="564" ht="15.75" customHeight="1">
      <c r="D564" s="101"/>
      <c r="H564" s="101"/>
    </row>
    <row r="565" ht="15.75" customHeight="1">
      <c r="D565" s="101"/>
      <c r="H565" s="101"/>
    </row>
    <row r="566" ht="15.75" customHeight="1">
      <c r="D566" s="101"/>
      <c r="H566" s="101"/>
    </row>
    <row r="567" ht="15.75" customHeight="1">
      <c r="D567" s="101"/>
      <c r="H567" s="101"/>
    </row>
    <row r="568" ht="15.75" customHeight="1">
      <c r="D568" s="101"/>
      <c r="H568" s="101"/>
    </row>
    <row r="569" ht="15.75" customHeight="1">
      <c r="D569" s="101"/>
      <c r="H569" s="101"/>
    </row>
    <row r="570" ht="15.75" customHeight="1">
      <c r="D570" s="101"/>
      <c r="H570" s="101"/>
    </row>
    <row r="571" ht="15.75" customHeight="1">
      <c r="D571" s="101"/>
      <c r="H571" s="101"/>
    </row>
    <row r="572" ht="15.75" customHeight="1">
      <c r="D572" s="101"/>
      <c r="H572" s="101"/>
    </row>
    <row r="573" ht="15.75" customHeight="1">
      <c r="D573" s="101"/>
      <c r="H573" s="101"/>
    </row>
    <row r="574" ht="15.75" customHeight="1">
      <c r="D574" s="101"/>
      <c r="H574" s="101"/>
    </row>
    <row r="575" ht="15.75" customHeight="1">
      <c r="D575" s="101"/>
      <c r="H575" s="101"/>
    </row>
    <row r="576" ht="15.75" customHeight="1">
      <c r="D576" s="101"/>
      <c r="H576" s="101"/>
    </row>
    <row r="577" ht="15.75" customHeight="1">
      <c r="D577" s="101"/>
      <c r="H577" s="101"/>
    </row>
    <row r="578" ht="15.75" customHeight="1">
      <c r="D578" s="101"/>
      <c r="H578" s="101"/>
    </row>
    <row r="579" ht="15.75" customHeight="1">
      <c r="D579" s="101"/>
      <c r="H579" s="101"/>
    </row>
    <row r="580" ht="15.75" customHeight="1">
      <c r="D580" s="101"/>
      <c r="H580" s="101"/>
    </row>
    <row r="581" ht="15.75" customHeight="1">
      <c r="D581" s="101"/>
      <c r="H581" s="101"/>
    </row>
    <row r="582" ht="15.75" customHeight="1">
      <c r="D582" s="101"/>
      <c r="H582" s="101"/>
    </row>
    <row r="583" ht="15.75" customHeight="1">
      <c r="D583" s="101"/>
      <c r="H583" s="101"/>
    </row>
    <row r="584" ht="15.75" customHeight="1">
      <c r="D584" s="101"/>
      <c r="H584" s="101"/>
    </row>
    <row r="585" ht="15.75" customHeight="1">
      <c r="D585" s="101"/>
      <c r="H585" s="101"/>
    </row>
    <row r="586" ht="15.75" customHeight="1">
      <c r="D586" s="101"/>
      <c r="H586" s="101"/>
    </row>
    <row r="587" ht="15.75" customHeight="1">
      <c r="D587" s="101"/>
      <c r="H587" s="101"/>
    </row>
    <row r="588" ht="15.75" customHeight="1">
      <c r="D588" s="101"/>
      <c r="H588" s="101"/>
    </row>
    <row r="589" ht="15.75" customHeight="1">
      <c r="D589" s="101"/>
      <c r="H589" s="101"/>
    </row>
    <row r="590" ht="15.75" customHeight="1">
      <c r="D590" s="101"/>
      <c r="H590" s="101"/>
    </row>
    <row r="591" ht="15.75" customHeight="1">
      <c r="D591" s="101"/>
      <c r="H591" s="101"/>
    </row>
    <row r="592" ht="15.75" customHeight="1">
      <c r="D592" s="101"/>
      <c r="H592" s="101"/>
    </row>
    <row r="593" ht="15.75" customHeight="1">
      <c r="D593" s="101"/>
      <c r="H593" s="101"/>
    </row>
    <row r="594" ht="15.75" customHeight="1">
      <c r="D594" s="101"/>
      <c r="H594" s="101"/>
    </row>
    <row r="595" ht="15.75" customHeight="1">
      <c r="D595" s="101"/>
      <c r="H595" s="101"/>
    </row>
    <row r="596" ht="15.75" customHeight="1">
      <c r="D596" s="101"/>
      <c r="H596" s="101"/>
    </row>
    <row r="597" ht="15.75" customHeight="1">
      <c r="D597" s="101"/>
      <c r="H597" s="101"/>
    </row>
    <row r="598" ht="15.75" customHeight="1">
      <c r="D598" s="101"/>
      <c r="H598" s="101"/>
    </row>
    <row r="599" ht="15.75" customHeight="1">
      <c r="D599" s="101"/>
      <c r="H599" s="101"/>
    </row>
    <row r="600" ht="15.75" customHeight="1">
      <c r="D600" s="101"/>
      <c r="H600" s="101"/>
    </row>
    <row r="601" ht="15.75" customHeight="1">
      <c r="D601" s="101"/>
      <c r="H601" s="101"/>
    </row>
    <row r="602" ht="15.75" customHeight="1">
      <c r="D602" s="101"/>
      <c r="H602" s="101"/>
    </row>
    <row r="603" ht="15.75" customHeight="1">
      <c r="D603" s="101"/>
      <c r="H603" s="101"/>
    </row>
    <row r="604" ht="15.75" customHeight="1">
      <c r="D604" s="101"/>
      <c r="H604" s="101"/>
    </row>
    <row r="605" ht="15.75" customHeight="1">
      <c r="D605" s="101"/>
      <c r="H605" s="101"/>
    </row>
    <row r="606" ht="15.75" customHeight="1">
      <c r="D606" s="101"/>
      <c r="H606" s="101"/>
    </row>
    <row r="607" ht="15.75" customHeight="1">
      <c r="D607" s="101"/>
      <c r="H607" s="101"/>
    </row>
    <row r="608" ht="15.75" customHeight="1">
      <c r="D608" s="101"/>
      <c r="H608" s="101"/>
    </row>
    <row r="609" ht="15.75" customHeight="1">
      <c r="D609" s="101"/>
      <c r="H609" s="101"/>
    </row>
    <row r="610" ht="15.75" customHeight="1">
      <c r="D610" s="101"/>
      <c r="H610" s="101"/>
    </row>
    <row r="611" ht="15.75" customHeight="1">
      <c r="D611" s="101"/>
      <c r="H611" s="101"/>
    </row>
    <row r="612" ht="15.75" customHeight="1">
      <c r="D612" s="101"/>
      <c r="H612" s="101"/>
    </row>
    <row r="613" ht="15.75" customHeight="1">
      <c r="D613" s="101"/>
      <c r="H613" s="101"/>
    </row>
    <row r="614" ht="15.75" customHeight="1">
      <c r="D614" s="101"/>
      <c r="H614" s="101"/>
    </row>
    <row r="615" ht="15.75" customHeight="1">
      <c r="D615" s="101"/>
      <c r="H615" s="101"/>
    </row>
    <row r="616" ht="15.75" customHeight="1">
      <c r="D616" s="101"/>
      <c r="H616" s="101"/>
    </row>
    <row r="617" ht="15.75" customHeight="1">
      <c r="D617" s="101"/>
      <c r="H617" s="101"/>
    </row>
    <row r="618" ht="15.75" customHeight="1">
      <c r="D618" s="101"/>
      <c r="H618" s="101"/>
    </row>
    <row r="619" ht="15.75" customHeight="1">
      <c r="D619" s="101"/>
      <c r="H619" s="101"/>
    </row>
    <row r="620" ht="15.75" customHeight="1">
      <c r="D620" s="101"/>
      <c r="H620" s="101"/>
    </row>
    <row r="621" ht="15.75" customHeight="1">
      <c r="D621" s="101"/>
      <c r="H621" s="101"/>
    </row>
    <row r="622" ht="15.75" customHeight="1">
      <c r="D622" s="101"/>
      <c r="H622" s="101"/>
    </row>
    <row r="623" ht="15.75" customHeight="1">
      <c r="D623" s="101"/>
      <c r="H623" s="101"/>
    </row>
    <row r="624" ht="15.75" customHeight="1">
      <c r="D624" s="101"/>
      <c r="H624" s="101"/>
    </row>
    <row r="625" ht="15.75" customHeight="1">
      <c r="D625" s="101"/>
      <c r="H625" s="101"/>
    </row>
    <row r="626" ht="15.75" customHeight="1">
      <c r="D626" s="101"/>
      <c r="H626" s="101"/>
    </row>
    <row r="627" ht="15.75" customHeight="1">
      <c r="D627" s="101"/>
      <c r="H627" s="101"/>
    </row>
    <row r="628" ht="15.75" customHeight="1">
      <c r="D628" s="101"/>
      <c r="H628" s="101"/>
    </row>
    <row r="629" ht="15.75" customHeight="1">
      <c r="D629" s="101"/>
      <c r="H629" s="101"/>
    </row>
    <row r="630" ht="15.75" customHeight="1">
      <c r="D630" s="101"/>
      <c r="H630" s="101"/>
    </row>
    <row r="631" ht="15.75" customHeight="1">
      <c r="D631" s="101"/>
      <c r="H631" s="101"/>
    </row>
    <row r="632" ht="15.75" customHeight="1">
      <c r="D632" s="101"/>
      <c r="H632" s="101"/>
    </row>
    <row r="633" ht="15.75" customHeight="1">
      <c r="D633" s="101"/>
      <c r="H633" s="101"/>
    </row>
    <row r="634" ht="15.75" customHeight="1">
      <c r="D634" s="101"/>
      <c r="H634" s="101"/>
    </row>
    <row r="635" ht="15.75" customHeight="1">
      <c r="D635" s="101"/>
      <c r="H635" s="101"/>
    </row>
    <row r="636" ht="15.75" customHeight="1">
      <c r="D636" s="101"/>
      <c r="H636" s="101"/>
    </row>
    <row r="637" ht="15.75" customHeight="1">
      <c r="D637" s="101"/>
      <c r="H637" s="101"/>
    </row>
    <row r="638" ht="15.75" customHeight="1">
      <c r="D638" s="101"/>
      <c r="H638" s="101"/>
    </row>
    <row r="639" ht="15.75" customHeight="1">
      <c r="D639" s="101"/>
      <c r="H639" s="101"/>
    </row>
    <row r="640" ht="15.75" customHeight="1">
      <c r="D640" s="101"/>
      <c r="H640" s="101"/>
    </row>
    <row r="641" ht="15.75" customHeight="1">
      <c r="D641" s="101"/>
      <c r="H641" s="101"/>
    </row>
    <row r="642" ht="15.75" customHeight="1">
      <c r="D642" s="101"/>
      <c r="H642" s="101"/>
    </row>
    <row r="643" ht="15.75" customHeight="1">
      <c r="D643" s="101"/>
      <c r="H643" s="101"/>
    </row>
    <row r="644" ht="15.75" customHeight="1">
      <c r="D644" s="101"/>
      <c r="H644" s="101"/>
    </row>
    <row r="645" ht="15.75" customHeight="1">
      <c r="D645" s="101"/>
      <c r="H645" s="101"/>
    </row>
    <row r="646" ht="15.75" customHeight="1">
      <c r="D646" s="101"/>
      <c r="H646" s="101"/>
    </row>
    <row r="647" ht="15.75" customHeight="1">
      <c r="D647" s="101"/>
      <c r="H647" s="101"/>
    </row>
    <row r="648" ht="15.75" customHeight="1">
      <c r="D648" s="101"/>
      <c r="H648" s="101"/>
    </row>
    <row r="649" ht="15.75" customHeight="1">
      <c r="D649" s="101"/>
      <c r="H649" s="101"/>
    </row>
    <row r="650" ht="15.75" customHeight="1">
      <c r="D650" s="101"/>
      <c r="H650" s="101"/>
    </row>
    <row r="651" ht="15.75" customHeight="1">
      <c r="D651" s="101"/>
      <c r="H651" s="101"/>
    </row>
    <row r="652" ht="15.75" customHeight="1">
      <c r="D652" s="101"/>
      <c r="H652" s="101"/>
    </row>
    <row r="653" ht="15.75" customHeight="1">
      <c r="D653" s="101"/>
      <c r="H653" s="101"/>
    </row>
    <row r="654" ht="15.75" customHeight="1">
      <c r="D654" s="101"/>
      <c r="H654" s="101"/>
    </row>
    <row r="655" ht="15.75" customHeight="1">
      <c r="D655" s="101"/>
      <c r="H655" s="101"/>
    </row>
    <row r="656" ht="15.75" customHeight="1">
      <c r="D656" s="101"/>
      <c r="H656" s="101"/>
    </row>
    <row r="657" ht="15.75" customHeight="1">
      <c r="D657" s="101"/>
      <c r="H657" s="101"/>
    </row>
    <row r="658" ht="15.75" customHeight="1">
      <c r="D658" s="101"/>
      <c r="H658" s="101"/>
    </row>
    <row r="659" ht="15.75" customHeight="1">
      <c r="D659" s="101"/>
      <c r="H659" s="101"/>
    </row>
    <row r="660" ht="15.75" customHeight="1">
      <c r="D660" s="101"/>
      <c r="H660" s="101"/>
    </row>
    <row r="661" ht="15.75" customHeight="1">
      <c r="D661" s="101"/>
      <c r="H661" s="101"/>
    </row>
    <row r="662" ht="15.75" customHeight="1">
      <c r="D662" s="101"/>
      <c r="H662" s="101"/>
    </row>
    <row r="663" ht="15.75" customHeight="1">
      <c r="D663" s="101"/>
      <c r="H663" s="101"/>
    </row>
    <row r="664" ht="15.75" customHeight="1">
      <c r="D664" s="101"/>
      <c r="H664" s="101"/>
    </row>
    <row r="665" ht="15.75" customHeight="1">
      <c r="D665" s="101"/>
      <c r="H665" s="101"/>
    </row>
    <row r="666" ht="15.75" customHeight="1">
      <c r="D666" s="101"/>
      <c r="H666" s="101"/>
    </row>
    <row r="667" ht="15.75" customHeight="1">
      <c r="D667" s="101"/>
      <c r="H667" s="101"/>
    </row>
    <row r="668" ht="15.75" customHeight="1">
      <c r="D668" s="101"/>
      <c r="H668" s="101"/>
    </row>
    <row r="669" ht="15.75" customHeight="1">
      <c r="D669" s="101"/>
      <c r="H669" s="101"/>
    </row>
    <row r="670" ht="15.75" customHeight="1">
      <c r="D670" s="101"/>
      <c r="H670" s="101"/>
    </row>
    <row r="671" ht="15.75" customHeight="1">
      <c r="D671" s="101"/>
      <c r="H671" s="101"/>
    </row>
    <row r="672" ht="15.75" customHeight="1">
      <c r="D672" s="101"/>
      <c r="H672" s="101"/>
    </row>
    <row r="673" ht="15.75" customHeight="1">
      <c r="D673" s="101"/>
      <c r="H673" s="101"/>
    </row>
    <row r="674" ht="15.75" customHeight="1">
      <c r="D674" s="101"/>
      <c r="H674" s="101"/>
    </row>
    <row r="675" ht="15.75" customHeight="1">
      <c r="D675" s="101"/>
      <c r="H675" s="101"/>
    </row>
    <row r="676" ht="15.75" customHeight="1">
      <c r="D676" s="101"/>
      <c r="H676" s="101"/>
    </row>
    <row r="677" ht="15.75" customHeight="1">
      <c r="D677" s="101"/>
      <c r="H677" s="101"/>
    </row>
    <row r="678" ht="15.75" customHeight="1">
      <c r="D678" s="101"/>
      <c r="H678" s="101"/>
    </row>
    <row r="679" ht="15.75" customHeight="1">
      <c r="D679" s="101"/>
      <c r="H679" s="101"/>
    </row>
    <row r="680" ht="15.75" customHeight="1">
      <c r="D680" s="101"/>
      <c r="H680" s="101"/>
    </row>
    <row r="681" ht="15.75" customHeight="1">
      <c r="D681" s="101"/>
      <c r="H681" s="101"/>
    </row>
    <row r="682" ht="15.75" customHeight="1">
      <c r="D682" s="101"/>
      <c r="H682" s="101"/>
    </row>
    <row r="683" ht="15.75" customHeight="1">
      <c r="D683" s="101"/>
      <c r="H683" s="101"/>
    </row>
    <row r="684" ht="15.75" customHeight="1">
      <c r="D684" s="101"/>
      <c r="H684" s="101"/>
    </row>
    <row r="685" ht="15.75" customHeight="1">
      <c r="D685" s="101"/>
      <c r="H685" s="101"/>
    </row>
    <row r="686" ht="15.75" customHeight="1">
      <c r="D686" s="101"/>
      <c r="H686" s="101"/>
    </row>
    <row r="687" ht="15.75" customHeight="1">
      <c r="D687" s="101"/>
      <c r="H687" s="101"/>
    </row>
    <row r="688" ht="15.75" customHeight="1">
      <c r="D688" s="101"/>
      <c r="H688" s="101"/>
    </row>
    <row r="689" ht="15.75" customHeight="1">
      <c r="D689" s="101"/>
      <c r="H689" s="101"/>
    </row>
    <row r="690" ht="15.75" customHeight="1">
      <c r="D690" s="101"/>
      <c r="H690" s="101"/>
    </row>
    <row r="691" ht="15.75" customHeight="1">
      <c r="D691" s="101"/>
      <c r="H691" s="101"/>
    </row>
    <row r="692" ht="15.75" customHeight="1">
      <c r="D692" s="101"/>
      <c r="H692" s="101"/>
    </row>
    <row r="693" ht="15.75" customHeight="1">
      <c r="D693" s="101"/>
      <c r="H693" s="101"/>
    </row>
    <row r="694" ht="15.75" customHeight="1">
      <c r="D694" s="101"/>
      <c r="H694" s="101"/>
    </row>
    <row r="695" ht="15.75" customHeight="1">
      <c r="D695" s="101"/>
      <c r="H695" s="101"/>
    </row>
    <row r="696" ht="15.75" customHeight="1">
      <c r="D696" s="101"/>
      <c r="H696" s="101"/>
    </row>
    <row r="697" ht="15.75" customHeight="1">
      <c r="D697" s="101"/>
      <c r="H697" s="101"/>
    </row>
    <row r="698" ht="15.75" customHeight="1">
      <c r="D698" s="101"/>
      <c r="H698" s="101"/>
    </row>
    <row r="699" ht="15.75" customHeight="1">
      <c r="D699" s="101"/>
      <c r="H699" s="101"/>
    </row>
    <row r="700" ht="15.75" customHeight="1">
      <c r="D700" s="101"/>
      <c r="H700" s="101"/>
    </row>
    <row r="701" ht="15.75" customHeight="1">
      <c r="D701" s="101"/>
      <c r="H701" s="101"/>
    </row>
    <row r="702" ht="15.75" customHeight="1">
      <c r="D702" s="101"/>
      <c r="H702" s="101"/>
    </row>
    <row r="703" ht="15.75" customHeight="1">
      <c r="D703" s="101"/>
      <c r="H703" s="101"/>
    </row>
    <row r="704" ht="15.75" customHeight="1">
      <c r="D704" s="101"/>
      <c r="H704" s="101"/>
    </row>
    <row r="705" ht="15.75" customHeight="1">
      <c r="D705" s="101"/>
      <c r="H705" s="101"/>
    </row>
    <row r="706" ht="15.75" customHeight="1">
      <c r="D706" s="101"/>
      <c r="H706" s="101"/>
    </row>
    <row r="707" ht="15.75" customHeight="1">
      <c r="D707" s="101"/>
      <c r="H707" s="101"/>
    </row>
    <row r="708" ht="15.75" customHeight="1">
      <c r="D708" s="101"/>
      <c r="H708" s="101"/>
    </row>
    <row r="709" ht="15.75" customHeight="1">
      <c r="D709" s="101"/>
      <c r="H709" s="101"/>
    </row>
    <row r="710" ht="15.75" customHeight="1">
      <c r="D710" s="101"/>
      <c r="H710" s="101"/>
    </row>
    <row r="711" ht="15.75" customHeight="1">
      <c r="D711" s="101"/>
      <c r="H711" s="101"/>
    </row>
    <row r="712" ht="15.75" customHeight="1">
      <c r="D712" s="101"/>
      <c r="H712" s="101"/>
    </row>
    <row r="713" ht="15.75" customHeight="1">
      <c r="D713" s="101"/>
      <c r="H713" s="101"/>
    </row>
    <row r="714" ht="15.75" customHeight="1">
      <c r="D714" s="101"/>
      <c r="H714" s="101"/>
    </row>
    <row r="715" ht="15.75" customHeight="1">
      <c r="D715" s="101"/>
      <c r="H715" s="101"/>
    </row>
    <row r="716" ht="15.75" customHeight="1">
      <c r="D716" s="101"/>
      <c r="H716" s="101"/>
    </row>
    <row r="717" ht="15.75" customHeight="1">
      <c r="D717" s="101"/>
      <c r="H717" s="101"/>
    </row>
    <row r="718" ht="15.75" customHeight="1">
      <c r="D718" s="101"/>
      <c r="H718" s="101"/>
    </row>
    <row r="719" ht="15.75" customHeight="1">
      <c r="D719" s="101"/>
      <c r="H719" s="101"/>
    </row>
    <row r="720" ht="15.75" customHeight="1">
      <c r="D720" s="101"/>
      <c r="H720" s="101"/>
    </row>
    <row r="721" ht="15.75" customHeight="1">
      <c r="D721" s="101"/>
      <c r="H721" s="101"/>
    </row>
    <row r="722" ht="15.75" customHeight="1">
      <c r="D722" s="101"/>
      <c r="H722" s="101"/>
    </row>
    <row r="723" ht="15.75" customHeight="1">
      <c r="D723" s="101"/>
      <c r="H723" s="101"/>
    </row>
    <row r="724" ht="15.75" customHeight="1">
      <c r="D724" s="101"/>
      <c r="H724" s="101"/>
    </row>
    <row r="725" ht="15.75" customHeight="1">
      <c r="D725" s="101"/>
      <c r="H725" s="101"/>
    </row>
    <row r="726" ht="15.75" customHeight="1">
      <c r="D726" s="101"/>
      <c r="H726" s="101"/>
    </row>
    <row r="727" ht="15.75" customHeight="1">
      <c r="D727" s="101"/>
      <c r="H727" s="101"/>
    </row>
    <row r="728" ht="15.75" customHeight="1">
      <c r="D728" s="101"/>
      <c r="H728" s="101"/>
    </row>
    <row r="729" ht="15.75" customHeight="1">
      <c r="D729" s="101"/>
      <c r="H729" s="101"/>
    </row>
    <row r="730" ht="15.75" customHeight="1">
      <c r="D730" s="101"/>
      <c r="H730" s="101"/>
    </row>
    <row r="731" ht="15.75" customHeight="1">
      <c r="D731" s="101"/>
      <c r="H731" s="101"/>
    </row>
    <row r="732" ht="15.75" customHeight="1">
      <c r="D732" s="101"/>
      <c r="H732" s="101"/>
    </row>
    <row r="733" ht="15.75" customHeight="1">
      <c r="D733" s="101"/>
      <c r="H733" s="101"/>
    </row>
    <row r="734" ht="15.75" customHeight="1">
      <c r="D734" s="101"/>
      <c r="H734" s="101"/>
    </row>
    <row r="735" ht="15.75" customHeight="1">
      <c r="D735" s="101"/>
      <c r="H735" s="101"/>
    </row>
    <row r="736" ht="15.75" customHeight="1">
      <c r="D736" s="101"/>
      <c r="H736" s="101"/>
    </row>
    <row r="737" ht="15.75" customHeight="1">
      <c r="D737" s="101"/>
      <c r="H737" s="101"/>
    </row>
    <row r="738" ht="15.75" customHeight="1">
      <c r="D738" s="101"/>
      <c r="H738" s="101"/>
    </row>
    <row r="739" ht="15.75" customHeight="1">
      <c r="D739" s="101"/>
      <c r="H739" s="101"/>
    </row>
    <row r="740" ht="15.75" customHeight="1">
      <c r="D740" s="101"/>
      <c r="H740" s="101"/>
    </row>
    <row r="741" ht="15.75" customHeight="1">
      <c r="D741" s="101"/>
      <c r="H741" s="101"/>
    </row>
    <row r="742" ht="15.75" customHeight="1">
      <c r="D742" s="101"/>
      <c r="H742" s="101"/>
    </row>
    <row r="743" ht="15.75" customHeight="1">
      <c r="D743" s="101"/>
      <c r="H743" s="101"/>
    </row>
    <row r="744" ht="15.75" customHeight="1">
      <c r="D744" s="101"/>
      <c r="H744" s="101"/>
    </row>
    <row r="745" ht="15.75" customHeight="1">
      <c r="D745" s="101"/>
      <c r="H745" s="101"/>
    </row>
    <row r="746" ht="15.75" customHeight="1">
      <c r="D746" s="101"/>
      <c r="H746" s="101"/>
    </row>
    <row r="747" ht="15.75" customHeight="1">
      <c r="D747" s="101"/>
      <c r="H747" s="101"/>
    </row>
    <row r="748" ht="15.75" customHeight="1">
      <c r="D748" s="101"/>
      <c r="H748" s="101"/>
    </row>
    <row r="749" ht="15.75" customHeight="1">
      <c r="D749" s="101"/>
      <c r="H749" s="101"/>
    </row>
    <row r="750" ht="15.75" customHeight="1">
      <c r="D750" s="101"/>
      <c r="H750" s="101"/>
    </row>
    <row r="751" ht="15.75" customHeight="1">
      <c r="D751" s="101"/>
      <c r="H751" s="101"/>
    </row>
    <row r="752" ht="15.75" customHeight="1">
      <c r="D752" s="101"/>
      <c r="H752" s="101"/>
    </row>
    <row r="753" ht="15.75" customHeight="1">
      <c r="D753" s="101"/>
      <c r="H753" s="101"/>
    </row>
    <row r="754" ht="15.75" customHeight="1">
      <c r="D754" s="101"/>
      <c r="H754" s="101"/>
    </row>
    <row r="755" ht="15.75" customHeight="1">
      <c r="D755" s="101"/>
      <c r="H755" s="101"/>
    </row>
    <row r="756" ht="15.75" customHeight="1">
      <c r="D756" s="101"/>
      <c r="H756" s="101"/>
    </row>
    <row r="757" ht="15.75" customHeight="1">
      <c r="D757" s="101"/>
      <c r="H757" s="101"/>
    </row>
    <row r="758" ht="15.75" customHeight="1">
      <c r="D758" s="101"/>
      <c r="H758" s="101"/>
    </row>
    <row r="759" ht="15.75" customHeight="1">
      <c r="D759" s="101"/>
      <c r="H759" s="101"/>
    </row>
    <row r="760" ht="15.75" customHeight="1">
      <c r="D760" s="101"/>
      <c r="H760" s="101"/>
    </row>
    <row r="761" ht="15.75" customHeight="1">
      <c r="D761" s="101"/>
      <c r="H761" s="101"/>
    </row>
    <row r="762" ht="15.75" customHeight="1">
      <c r="D762" s="101"/>
      <c r="H762" s="101"/>
    </row>
    <row r="763" ht="15.75" customHeight="1">
      <c r="D763" s="101"/>
      <c r="H763" s="101"/>
    </row>
    <row r="764" ht="15.75" customHeight="1">
      <c r="D764" s="101"/>
      <c r="H764" s="101"/>
    </row>
    <row r="765" ht="15.75" customHeight="1">
      <c r="D765" s="101"/>
      <c r="H765" s="101"/>
    </row>
    <row r="766" ht="15.75" customHeight="1">
      <c r="D766" s="101"/>
      <c r="H766" s="101"/>
    </row>
    <row r="767" ht="15.75" customHeight="1">
      <c r="D767" s="101"/>
      <c r="H767" s="101"/>
    </row>
    <row r="768" ht="15.75" customHeight="1">
      <c r="D768" s="101"/>
      <c r="H768" s="101"/>
    </row>
    <row r="769" ht="15.75" customHeight="1">
      <c r="D769" s="101"/>
      <c r="H769" s="101"/>
    </row>
    <row r="770" ht="15.75" customHeight="1">
      <c r="D770" s="101"/>
      <c r="H770" s="101"/>
    </row>
    <row r="771" ht="15.75" customHeight="1">
      <c r="D771" s="101"/>
      <c r="H771" s="101"/>
    </row>
    <row r="772" ht="15.75" customHeight="1">
      <c r="D772" s="101"/>
      <c r="H772" s="101"/>
    </row>
    <row r="773" ht="15.75" customHeight="1">
      <c r="D773" s="101"/>
      <c r="H773" s="101"/>
    </row>
    <row r="774" ht="15.75" customHeight="1">
      <c r="D774" s="101"/>
      <c r="H774" s="101"/>
    </row>
    <row r="775" ht="15.75" customHeight="1">
      <c r="D775" s="101"/>
      <c r="H775" s="101"/>
    </row>
    <row r="776" ht="15.75" customHeight="1">
      <c r="D776" s="101"/>
      <c r="H776" s="101"/>
    </row>
    <row r="777" ht="15.75" customHeight="1">
      <c r="D777" s="101"/>
      <c r="H777" s="101"/>
    </row>
    <row r="778" ht="15.75" customHeight="1">
      <c r="D778" s="101"/>
      <c r="H778" s="101"/>
    </row>
    <row r="779" ht="15.75" customHeight="1">
      <c r="D779" s="101"/>
      <c r="H779" s="101"/>
    </row>
    <row r="780" ht="15.75" customHeight="1">
      <c r="D780" s="101"/>
      <c r="H780" s="101"/>
    </row>
    <row r="781" ht="15.75" customHeight="1">
      <c r="D781" s="101"/>
      <c r="H781" s="101"/>
    </row>
    <row r="782" ht="15.75" customHeight="1">
      <c r="D782" s="101"/>
      <c r="H782" s="101"/>
    </row>
    <row r="783" ht="15.75" customHeight="1">
      <c r="D783" s="101"/>
      <c r="H783" s="101"/>
    </row>
    <row r="784" ht="15.75" customHeight="1">
      <c r="D784" s="101"/>
      <c r="H784" s="101"/>
    </row>
    <row r="785" ht="15.75" customHeight="1">
      <c r="D785" s="101"/>
      <c r="H785" s="101"/>
    </row>
    <row r="786" ht="15.75" customHeight="1">
      <c r="D786" s="101"/>
      <c r="H786" s="101"/>
    </row>
    <row r="787" ht="15.75" customHeight="1">
      <c r="D787" s="101"/>
      <c r="H787" s="101"/>
    </row>
    <row r="788" ht="15.75" customHeight="1">
      <c r="D788" s="101"/>
      <c r="H788" s="101"/>
    </row>
    <row r="789" ht="15.75" customHeight="1">
      <c r="D789" s="101"/>
      <c r="H789" s="101"/>
    </row>
    <row r="790" ht="15.75" customHeight="1">
      <c r="D790" s="101"/>
      <c r="H790" s="101"/>
    </row>
    <row r="791" ht="15.75" customHeight="1">
      <c r="D791" s="101"/>
      <c r="H791" s="101"/>
    </row>
    <row r="792" ht="15.75" customHeight="1">
      <c r="D792" s="101"/>
      <c r="H792" s="101"/>
    </row>
    <row r="793" ht="15.75" customHeight="1">
      <c r="D793" s="101"/>
      <c r="H793" s="101"/>
    </row>
    <row r="794" ht="15.75" customHeight="1">
      <c r="D794" s="101"/>
      <c r="H794" s="101"/>
    </row>
    <row r="795" ht="15.75" customHeight="1">
      <c r="D795" s="101"/>
      <c r="H795" s="101"/>
    </row>
    <row r="796" ht="15.75" customHeight="1">
      <c r="D796" s="101"/>
      <c r="H796" s="101"/>
    </row>
    <row r="797" ht="15.75" customHeight="1">
      <c r="D797" s="101"/>
      <c r="H797" s="101"/>
    </row>
    <row r="798" ht="15.75" customHeight="1">
      <c r="D798" s="101"/>
      <c r="H798" s="101"/>
    </row>
    <row r="799" ht="15.75" customHeight="1">
      <c r="D799" s="101"/>
      <c r="H799" s="101"/>
    </row>
    <row r="800" ht="15.75" customHeight="1">
      <c r="D800" s="101"/>
      <c r="H800" s="101"/>
    </row>
    <row r="801" ht="15.75" customHeight="1">
      <c r="D801" s="101"/>
      <c r="H801" s="101"/>
    </row>
    <row r="802" ht="15.75" customHeight="1">
      <c r="D802" s="101"/>
      <c r="H802" s="101"/>
    </row>
    <row r="803" ht="15.75" customHeight="1">
      <c r="D803" s="101"/>
      <c r="H803" s="101"/>
    </row>
    <row r="804" ht="15.75" customHeight="1">
      <c r="D804" s="101"/>
      <c r="H804" s="101"/>
    </row>
    <row r="805" ht="15.75" customHeight="1">
      <c r="D805" s="101"/>
      <c r="H805" s="101"/>
    </row>
    <row r="806" ht="15.75" customHeight="1">
      <c r="D806" s="101"/>
      <c r="H806" s="101"/>
    </row>
    <row r="807" ht="15.75" customHeight="1">
      <c r="D807" s="101"/>
      <c r="H807" s="101"/>
    </row>
    <row r="808" ht="15.75" customHeight="1">
      <c r="D808" s="101"/>
      <c r="H808" s="101"/>
    </row>
    <row r="809" ht="15.75" customHeight="1">
      <c r="D809" s="101"/>
      <c r="H809" s="101"/>
    </row>
    <row r="810" ht="15.75" customHeight="1">
      <c r="D810" s="101"/>
      <c r="H810" s="101"/>
    </row>
    <row r="811" ht="15.75" customHeight="1">
      <c r="D811" s="101"/>
      <c r="H811" s="101"/>
    </row>
    <row r="812" ht="15.75" customHeight="1">
      <c r="D812" s="101"/>
      <c r="H812" s="101"/>
    </row>
    <row r="813" ht="15.75" customHeight="1">
      <c r="D813" s="101"/>
      <c r="H813" s="101"/>
    </row>
    <row r="814" ht="15.75" customHeight="1">
      <c r="D814" s="101"/>
      <c r="H814" s="101"/>
    </row>
    <row r="815" ht="15.75" customHeight="1">
      <c r="D815" s="101"/>
      <c r="H815" s="101"/>
    </row>
    <row r="816" ht="15.75" customHeight="1">
      <c r="D816" s="101"/>
      <c r="H816" s="101"/>
    </row>
    <row r="817" ht="15.75" customHeight="1">
      <c r="D817" s="101"/>
      <c r="H817" s="101"/>
    </row>
    <row r="818" ht="15.75" customHeight="1">
      <c r="D818" s="101"/>
      <c r="H818" s="101"/>
    </row>
    <row r="819" ht="15.75" customHeight="1">
      <c r="D819" s="101"/>
      <c r="H819" s="101"/>
    </row>
    <row r="820" ht="15.75" customHeight="1">
      <c r="D820" s="101"/>
      <c r="H820" s="101"/>
    </row>
    <row r="821" ht="15.75" customHeight="1">
      <c r="D821" s="101"/>
      <c r="H821" s="101"/>
    </row>
    <row r="822" ht="15.75" customHeight="1">
      <c r="D822" s="101"/>
      <c r="H822" s="101"/>
    </row>
    <row r="823" ht="15.75" customHeight="1">
      <c r="D823" s="101"/>
      <c r="H823" s="101"/>
    </row>
    <row r="824" ht="15.75" customHeight="1">
      <c r="D824" s="101"/>
      <c r="H824" s="101"/>
    </row>
    <row r="825" ht="15.75" customHeight="1">
      <c r="D825" s="101"/>
      <c r="H825" s="101"/>
    </row>
    <row r="826" ht="15.75" customHeight="1">
      <c r="D826" s="101"/>
      <c r="H826" s="101"/>
    </row>
    <row r="827" ht="15.75" customHeight="1">
      <c r="D827" s="101"/>
      <c r="H827" s="101"/>
    </row>
    <row r="828" ht="15.75" customHeight="1">
      <c r="D828" s="101"/>
      <c r="H828" s="101"/>
    </row>
    <row r="829" ht="15.75" customHeight="1">
      <c r="D829" s="101"/>
      <c r="H829" s="101"/>
    </row>
    <row r="830" ht="15.75" customHeight="1">
      <c r="D830" s="101"/>
      <c r="H830" s="101"/>
    </row>
    <row r="831" ht="15.75" customHeight="1">
      <c r="D831" s="101"/>
      <c r="H831" s="101"/>
    </row>
    <row r="832" ht="15.75" customHeight="1">
      <c r="D832" s="101"/>
      <c r="H832" s="101"/>
    </row>
    <row r="833" ht="15.75" customHeight="1">
      <c r="D833" s="101"/>
      <c r="H833" s="101"/>
    </row>
    <row r="834" ht="15.75" customHeight="1">
      <c r="D834" s="101"/>
      <c r="H834" s="101"/>
    </row>
    <row r="835" ht="15.75" customHeight="1">
      <c r="D835" s="101"/>
      <c r="H835" s="101"/>
    </row>
    <row r="836" ht="15.75" customHeight="1">
      <c r="D836" s="101"/>
      <c r="H836" s="101"/>
    </row>
    <row r="837" ht="15.75" customHeight="1">
      <c r="D837" s="101"/>
      <c r="H837" s="101"/>
    </row>
    <row r="838" ht="15.75" customHeight="1">
      <c r="D838" s="101"/>
      <c r="H838" s="101"/>
    </row>
    <row r="839" ht="15.75" customHeight="1">
      <c r="D839" s="101"/>
      <c r="H839" s="101"/>
    </row>
    <row r="840" ht="15.75" customHeight="1">
      <c r="D840" s="101"/>
      <c r="H840" s="101"/>
    </row>
    <row r="841" ht="15.75" customHeight="1">
      <c r="D841" s="101"/>
      <c r="H841" s="101"/>
    </row>
    <row r="842" ht="15.75" customHeight="1">
      <c r="D842" s="101"/>
      <c r="H842" s="101"/>
    </row>
    <row r="843" ht="15.75" customHeight="1">
      <c r="D843" s="101"/>
      <c r="H843" s="101"/>
    </row>
    <row r="844" ht="15.75" customHeight="1">
      <c r="D844" s="101"/>
      <c r="H844" s="101"/>
    </row>
    <row r="845" ht="15.75" customHeight="1">
      <c r="D845" s="101"/>
      <c r="H845" s="101"/>
    </row>
    <row r="846" ht="15.75" customHeight="1">
      <c r="D846" s="101"/>
      <c r="H846" s="101"/>
    </row>
    <row r="847" ht="15.75" customHeight="1">
      <c r="D847" s="101"/>
      <c r="H847" s="101"/>
    </row>
    <row r="848" ht="15.75" customHeight="1">
      <c r="D848" s="101"/>
      <c r="H848" s="101"/>
    </row>
    <row r="849" ht="15.75" customHeight="1">
      <c r="D849" s="101"/>
      <c r="H849" s="101"/>
    </row>
    <row r="850" ht="15.75" customHeight="1">
      <c r="D850" s="101"/>
      <c r="H850" s="101"/>
    </row>
    <row r="851" ht="15.75" customHeight="1">
      <c r="D851" s="101"/>
      <c r="H851" s="101"/>
    </row>
    <row r="852" ht="15.75" customHeight="1">
      <c r="D852" s="101"/>
      <c r="H852" s="101"/>
    </row>
    <row r="853" ht="15.75" customHeight="1">
      <c r="D853" s="101"/>
      <c r="H853" s="101"/>
    </row>
    <row r="854" ht="15.75" customHeight="1">
      <c r="D854" s="101"/>
      <c r="H854" s="101"/>
    </row>
    <row r="855" ht="15.75" customHeight="1">
      <c r="D855" s="101"/>
      <c r="H855" s="101"/>
    </row>
    <row r="856" ht="15.75" customHeight="1">
      <c r="D856" s="101"/>
      <c r="H856" s="101"/>
    </row>
    <row r="857" ht="15.75" customHeight="1">
      <c r="D857" s="101"/>
      <c r="H857" s="101"/>
    </row>
    <row r="858" ht="15.75" customHeight="1">
      <c r="D858" s="101"/>
      <c r="H858" s="101"/>
    </row>
    <row r="859" ht="15.75" customHeight="1">
      <c r="D859" s="101"/>
      <c r="H859" s="101"/>
    </row>
    <row r="860" ht="15.75" customHeight="1">
      <c r="D860" s="101"/>
      <c r="H860" s="101"/>
    </row>
    <row r="861" ht="15.75" customHeight="1">
      <c r="D861" s="101"/>
      <c r="H861" s="101"/>
    </row>
    <row r="862" ht="15.75" customHeight="1">
      <c r="D862" s="101"/>
      <c r="H862" s="101"/>
    </row>
    <row r="863" ht="15.75" customHeight="1">
      <c r="D863" s="101"/>
      <c r="H863" s="101"/>
    </row>
    <row r="864" ht="15.75" customHeight="1">
      <c r="D864" s="101"/>
      <c r="H864" s="101"/>
    </row>
    <row r="865" ht="15.75" customHeight="1">
      <c r="D865" s="101"/>
      <c r="H865" s="101"/>
    </row>
    <row r="866" ht="15.75" customHeight="1">
      <c r="D866" s="101"/>
      <c r="H866" s="101"/>
    </row>
    <row r="867" ht="15.75" customHeight="1">
      <c r="D867" s="101"/>
      <c r="H867" s="101"/>
    </row>
    <row r="868" ht="15.75" customHeight="1">
      <c r="D868" s="101"/>
      <c r="H868" s="101"/>
    </row>
    <row r="869" ht="15.75" customHeight="1">
      <c r="D869" s="101"/>
      <c r="H869" s="101"/>
    </row>
    <row r="870" ht="15.75" customHeight="1">
      <c r="D870" s="101"/>
      <c r="H870" s="101"/>
    </row>
    <row r="871" ht="15.75" customHeight="1">
      <c r="D871" s="101"/>
      <c r="H871" s="101"/>
    </row>
    <row r="872" ht="15.75" customHeight="1">
      <c r="D872" s="101"/>
      <c r="H872" s="101"/>
    </row>
    <row r="873" ht="15.75" customHeight="1">
      <c r="D873" s="101"/>
      <c r="H873" s="101"/>
    </row>
    <row r="874" ht="15.75" customHeight="1">
      <c r="D874" s="101"/>
      <c r="H874" s="101"/>
    </row>
    <row r="875" ht="15.75" customHeight="1">
      <c r="D875" s="101"/>
      <c r="H875" s="101"/>
    </row>
    <row r="876" ht="15.75" customHeight="1">
      <c r="D876" s="101"/>
      <c r="H876" s="101"/>
    </row>
    <row r="877" ht="15.75" customHeight="1">
      <c r="D877" s="101"/>
      <c r="H877" s="101"/>
    </row>
    <row r="878" ht="15.75" customHeight="1">
      <c r="D878" s="101"/>
      <c r="H878" s="101"/>
    </row>
    <row r="879" ht="15.75" customHeight="1">
      <c r="D879" s="101"/>
      <c r="H879" s="101"/>
    </row>
    <row r="880" ht="15.75" customHeight="1">
      <c r="D880" s="101"/>
      <c r="H880" s="101"/>
    </row>
    <row r="881" ht="15.75" customHeight="1">
      <c r="D881" s="101"/>
      <c r="H881" s="101"/>
    </row>
    <row r="882" ht="15.75" customHeight="1">
      <c r="D882" s="101"/>
      <c r="H882" s="101"/>
    </row>
    <row r="883" ht="15.75" customHeight="1">
      <c r="D883" s="101"/>
      <c r="H883" s="101"/>
    </row>
    <row r="884" ht="15.75" customHeight="1">
      <c r="D884" s="101"/>
      <c r="H884" s="101"/>
    </row>
    <row r="885" ht="15.75" customHeight="1">
      <c r="D885" s="101"/>
      <c r="H885" s="101"/>
    </row>
    <row r="886" ht="15.75" customHeight="1">
      <c r="D886" s="101"/>
      <c r="H886" s="101"/>
    </row>
    <row r="887" ht="15.75" customHeight="1">
      <c r="D887" s="101"/>
      <c r="H887" s="101"/>
    </row>
    <row r="888" ht="15.75" customHeight="1">
      <c r="D888" s="101"/>
      <c r="H888" s="101"/>
    </row>
    <row r="889" ht="15.75" customHeight="1">
      <c r="D889" s="101"/>
      <c r="H889" s="101"/>
    </row>
    <row r="890" ht="15.75" customHeight="1">
      <c r="D890" s="101"/>
      <c r="H890" s="101"/>
    </row>
    <row r="891" ht="15.75" customHeight="1">
      <c r="D891" s="101"/>
      <c r="H891" s="101"/>
    </row>
    <row r="892" ht="15.75" customHeight="1">
      <c r="D892" s="101"/>
      <c r="H892" s="101"/>
    </row>
    <row r="893" ht="15.75" customHeight="1">
      <c r="D893" s="101"/>
      <c r="H893" s="101"/>
    </row>
    <row r="894" ht="15.75" customHeight="1">
      <c r="D894" s="101"/>
      <c r="H894" s="101"/>
    </row>
    <row r="895" ht="15.75" customHeight="1">
      <c r="D895" s="101"/>
      <c r="H895" s="101"/>
    </row>
    <row r="896" ht="15.75" customHeight="1">
      <c r="D896" s="101"/>
      <c r="H896" s="101"/>
    </row>
    <row r="897" ht="15.75" customHeight="1">
      <c r="D897" s="101"/>
      <c r="H897" s="101"/>
    </row>
    <row r="898" ht="15.75" customHeight="1">
      <c r="D898" s="101"/>
      <c r="H898" s="101"/>
    </row>
    <row r="899" ht="15.75" customHeight="1">
      <c r="D899" s="101"/>
      <c r="H899" s="101"/>
    </row>
    <row r="900" ht="15.75" customHeight="1">
      <c r="D900" s="101"/>
      <c r="H900" s="101"/>
    </row>
    <row r="901" ht="15.75" customHeight="1">
      <c r="D901" s="101"/>
      <c r="H901" s="101"/>
    </row>
    <row r="902" ht="15.75" customHeight="1">
      <c r="D902" s="101"/>
      <c r="H902" s="101"/>
    </row>
    <row r="903" ht="15.75" customHeight="1">
      <c r="D903" s="101"/>
      <c r="H903" s="101"/>
    </row>
    <row r="904" ht="15.75" customHeight="1">
      <c r="D904" s="101"/>
      <c r="H904" s="101"/>
    </row>
    <row r="905" ht="15.75" customHeight="1">
      <c r="D905" s="101"/>
      <c r="H905" s="101"/>
    </row>
    <row r="906" ht="15.75" customHeight="1">
      <c r="D906" s="101"/>
      <c r="H906" s="101"/>
    </row>
    <row r="907" ht="15.75" customHeight="1">
      <c r="D907" s="101"/>
      <c r="H907" s="101"/>
    </row>
    <row r="908" ht="15.75" customHeight="1">
      <c r="D908" s="101"/>
      <c r="H908" s="101"/>
    </row>
    <row r="909" ht="15.75" customHeight="1">
      <c r="D909" s="101"/>
      <c r="H909" s="101"/>
    </row>
    <row r="910" ht="15.75" customHeight="1">
      <c r="D910" s="101"/>
      <c r="H910" s="101"/>
    </row>
    <row r="911" ht="15.75" customHeight="1">
      <c r="D911" s="101"/>
      <c r="H911" s="101"/>
    </row>
    <row r="912" ht="15.75" customHeight="1">
      <c r="D912" s="101"/>
      <c r="H912" s="101"/>
    </row>
    <row r="913" ht="15.75" customHeight="1">
      <c r="D913" s="101"/>
      <c r="H913" s="101"/>
    </row>
    <row r="914" ht="15.75" customHeight="1">
      <c r="D914" s="101"/>
      <c r="H914" s="101"/>
    </row>
    <row r="915" ht="15.75" customHeight="1">
      <c r="D915" s="101"/>
      <c r="H915" s="101"/>
    </row>
    <row r="916" ht="15.75" customHeight="1">
      <c r="D916" s="101"/>
      <c r="H916" s="101"/>
    </row>
    <row r="917" ht="15.75" customHeight="1">
      <c r="D917" s="101"/>
      <c r="H917" s="101"/>
    </row>
    <row r="918" ht="15.75" customHeight="1">
      <c r="D918" s="101"/>
      <c r="H918" s="101"/>
    </row>
    <row r="919" ht="15.75" customHeight="1">
      <c r="D919" s="101"/>
      <c r="H919" s="101"/>
    </row>
    <row r="920" ht="15.75" customHeight="1">
      <c r="D920" s="101"/>
      <c r="H920" s="101"/>
    </row>
    <row r="921" ht="15.75" customHeight="1">
      <c r="D921" s="101"/>
      <c r="H921" s="101"/>
    </row>
    <row r="922" ht="15.75" customHeight="1">
      <c r="D922" s="101"/>
      <c r="H922" s="101"/>
    </row>
    <row r="923" ht="15.75" customHeight="1">
      <c r="D923" s="101"/>
      <c r="H923" s="101"/>
    </row>
    <row r="924" ht="15.75" customHeight="1">
      <c r="D924" s="101"/>
      <c r="H924" s="101"/>
    </row>
    <row r="925" ht="15.75" customHeight="1">
      <c r="D925" s="101"/>
      <c r="H925" s="101"/>
    </row>
    <row r="926" ht="15.75" customHeight="1">
      <c r="D926" s="101"/>
      <c r="H926" s="101"/>
    </row>
    <row r="927" ht="15.75" customHeight="1">
      <c r="D927" s="101"/>
      <c r="H927" s="101"/>
    </row>
    <row r="928" ht="15.75" customHeight="1">
      <c r="D928" s="101"/>
      <c r="H928" s="101"/>
    </row>
    <row r="929" ht="15.75" customHeight="1">
      <c r="D929" s="101"/>
      <c r="H929" s="101"/>
    </row>
    <row r="930" ht="15.75" customHeight="1">
      <c r="D930" s="101"/>
      <c r="H930" s="101"/>
    </row>
    <row r="931" ht="15.75" customHeight="1">
      <c r="D931" s="101"/>
      <c r="H931" s="101"/>
    </row>
    <row r="932" ht="15.75" customHeight="1">
      <c r="D932" s="101"/>
      <c r="H932" s="101"/>
    </row>
    <row r="933" ht="15.75" customHeight="1">
      <c r="D933" s="101"/>
      <c r="H933" s="101"/>
    </row>
    <row r="934" ht="15.75" customHeight="1">
      <c r="D934" s="101"/>
      <c r="H934" s="101"/>
    </row>
    <row r="935" ht="15.75" customHeight="1">
      <c r="D935" s="101"/>
      <c r="H935" s="101"/>
    </row>
    <row r="936" ht="15.75" customHeight="1">
      <c r="D936" s="101"/>
      <c r="H936" s="101"/>
    </row>
    <row r="937" ht="15.75" customHeight="1">
      <c r="D937" s="101"/>
      <c r="H937" s="101"/>
    </row>
    <row r="938" ht="15.75" customHeight="1">
      <c r="D938" s="101"/>
      <c r="H938" s="101"/>
    </row>
    <row r="939" ht="15.75" customHeight="1">
      <c r="D939" s="101"/>
      <c r="H939" s="101"/>
    </row>
    <row r="940" ht="15.75" customHeight="1">
      <c r="D940" s="101"/>
      <c r="H940" s="101"/>
    </row>
    <row r="941" ht="15.75" customHeight="1">
      <c r="D941" s="101"/>
      <c r="H941" s="101"/>
    </row>
    <row r="942" ht="15.75" customHeight="1">
      <c r="D942" s="101"/>
      <c r="H942" s="101"/>
    </row>
    <row r="943" ht="15.75" customHeight="1">
      <c r="D943" s="101"/>
      <c r="H943" s="101"/>
    </row>
    <row r="944" ht="15.75" customHeight="1">
      <c r="D944" s="101"/>
      <c r="H944" s="101"/>
    </row>
    <row r="945" ht="15.75" customHeight="1">
      <c r="D945" s="101"/>
      <c r="H945" s="101"/>
    </row>
    <row r="946" ht="15.75" customHeight="1">
      <c r="D946" s="101"/>
      <c r="H946" s="101"/>
    </row>
    <row r="947" ht="15.75" customHeight="1">
      <c r="D947" s="101"/>
      <c r="H947" s="101"/>
    </row>
    <row r="948" ht="15.75" customHeight="1">
      <c r="D948" s="101"/>
      <c r="H948" s="101"/>
    </row>
    <row r="949" ht="15.75" customHeight="1">
      <c r="D949" s="101"/>
      <c r="H949" s="101"/>
    </row>
    <row r="950" ht="15.75" customHeight="1">
      <c r="D950" s="101"/>
      <c r="H950" s="101"/>
    </row>
    <row r="951" ht="15.75" customHeight="1">
      <c r="D951" s="101"/>
      <c r="H951" s="101"/>
    </row>
    <row r="952" ht="15.75" customHeight="1">
      <c r="D952" s="101"/>
      <c r="H952" s="101"/>
    </row>
    <row r="953" ht="15.75" customHeight="1">
      <c r="D953" s="101"/>
      <c r="H953" s="101"/>
    </row>
    <row r="954" ht="15.75" customHeight="1">
      <c r="D954" s="101"/>
      <c r="H954" s="101"/>
    </row>
    <row r="955" ht="15.75" customHeight="1">
      <c r="D955" s="101"/>
      <c r="H955" s="101"/>
    </row>
    <row r="956" ht="15.75" customHeight="1">
      <c r="D956" s="101"/>
      <c r="H956" s="101"/>
    </row>
    <row r="957" ht="15.75" customHeight="1">
      <c r="D957" s="101"/>
      <c r="H957" s="101"/>
    </row>
    <row r="958" ht="15.75" customHeight="1">
      <c r="D958" s="101"/>
      <c r="H958" s="101"/>
    </row>
    <row r="959" ht="15.75" customHeight="1">
      <c r="D959" s="101"/>
      <c r="H959" s="101"/>
    </row>
    <row r="960" ht="15.75" customHeight="1">
      <c r="D960" s="101"/>
      <c r="H960" s="101"/>
    </row>
    <row r="961" ht="15.75" customHeight="1">
      <c r="D961" s="101"/>
      <c r="H961" s="101"/>
    </row>
    <row r="962" ht="15.75" customHeight="1">
      <c r="D962" s="101"/>
      <c r="H962" s="101"/>
    </row>
    <row r="963" ht="15.75" customHeight="1">
      <c r="D963" s="101"/>
      <c r="H963" s="101"/>
    </row>
    <row r="964" ht="15.75" customHeight="1">
      <c r="D964" s="101"/>
      <c r="H964" s="101"/>
    </row>
    <row r="965" ht="15.75" customHeight="1">
      <c r="D965" s="101"/>
      <c r="H965" s="101"/>
    </row>
    <row r="966" ht="15.75" customHeight="1">
      <c r="D966" s="101"/>
      <c r="H966" s="101"/>
    </row>
    <row r="967" ht="15.75" customHeight="1">
      <c r="D967" s="101"/>
      <c r="H967" s="101"/>
    </row>
    <row r="968" ht="15.75" customHeight="1">
      <c r="D968" s="101"/>
      <c r="H968" s="101"/>
    </row>
    <row r="969" ht="15.75" customHeight="1">
      <c r="D969" s="101"/>
      <c r="H969" s="101"/>
    </row>
    <row r="970" ht="15.75" customHeight="1">
      <c r="D970" s="101"/>
      <c r="H970" s="101"/>
    </row>
    <row r="971" ht="15.75" customHeight="1">
      <c r="D971" s="101"/>
      <c r="H971" s="101"/>
    </row>
    <row r="972" ht="15.75" customHeight="1">
      <c r="D972" s="101"/>
      <c r="H972" s="101"/>
    </row>
    <row r="973" ht="15.75" customHeight="1">
      <c r="D973" s="101"/>
      <c r="H973" s="101"/>
    </row>
    <row r="974" ht="15.75" customHeight="1">
      <c r="D974" s="101"/>
      <c r="H974" s="101"/>
    </row>
    <row r="975" ht="15.75" customHeight="1">
      <c r="D975" s="101"/>
      <c r="H975" s="101"/>
    </row>
    <row r="976" ht="15.75" customHeight="1">
      <c r="D976" s="101"/>
      <c r="H976" s="101"/>
    </row>
    <row r="977" ht="15.75" customHeight="1">
      <c r="D977" s="101"/>
      <c r="H977" s="101"/>
    </row>
    <row r="978" ht="15.75" customHeight="1">
      <c r="D978" s="101"/>
      <c r="H978" s="101"/>
    </row>
    <row r="979" ht="15.75" customHeight="1">
      <c r="D979" s="101"/>
      <c r="H979" s="101"/>
    </row>
    <row r="980" ht="15.75" customHeight="1">
      <c r="D980" s="101"/>
      <c r="H980" s="101"/>
    </row>
    <row r="981" ht="15.75" customHeight="1">
      <c r="D981" s="101"/>
      <c r="H981" s="101"/>
    </row>
    <row r="982" ht="15.75" customHeight="1">
      <c r="D982" s="101"/>
      <c r="H982" s="101"/>
    </row>
    <row r="983" ht="15.75" customHeight="1">
      <c r="D983" s="101"/>
      <c r="H983" s="101"/>
    </row>
    <row r="984" ht="15.75" customHeight="1">
      <c r="D984" s="101"/>
      <c r="H984" s="101"/>
    </row>
    <row r="985" ht="15.75" customHeight="1">
      <c r="D985" s="101"/>
      <c r="H985" s="101"/>
    </row>
    <row r="986" ht="15.75" customHeight="1">
      <c r="D986" s="101"/>
      <c r="H986" s="101"/>
    </row>
    <row r="987" ht="15.75" customHeight="1">
      <c r="D987" s="101"/>
      <c r="H987" s="101"/>
    </row>
    <row r="988" ht="15.75" customHeight="1">
      <c r="D988" s="101"/>
      <c r="H988" s="101"/>
    </row>
    <row r="989" ht="15.75" customHeight="1">
      <c r="D989" s="101"/>
      <c r="H989" s="101"/>
    </row>
    <row r="990" ht="15.75" customHeight="1">
      <c r="D990" s="101"/>
      <c r="H990" s="101"/>
    </row>
    <row r="991" ht="15.75" customHeight="1">
      <c r="D991" s="101"/>
      <c r="H991" s="101"/>
    </row>
    <row r="992" ht="15.75" customHeight="1">
      <c r="D992" s="101"/>
      <c r="H992" s="101"/>
    </row>
    <row r="993" ht="15.75" customHeight="1">
      <c r="D993" s="101"/>
      <c r="H993" s="101"/>
    </row>
    <row r="994" ht="15.75" customHeight="1">
      <c r="D994" s="101"/>
      <c r="H994" s="101"/>
    </row>
    <row r="995" ht="15.75" customHeight="1">
      <c r="D995" s="101"/>
      <c r="H995" s="101"/>
    </row>
    <row r="996" ht="15.75" customHeight="1">
      <c r="D996" s="101"/>
      <c r="H996" s="101"/>
    </row>
    <row r="997" ht="15.75" customHeight="1">
      <c r="D997" s="101"/>
      <c r="H997" s="101"/>
    </row>
    <row r="998" ht="15.75" customHeight="1">
      <c r="D998" s="101"/>
      <c r="H998" s="101"/>
    </row>
    <row r="999" ht="15.75" customHeight="1">
      <c r="D999" s="101"/>
      <c r="H999" s="101"/>
    </row>
    <row r="1000" ht="15.75" customHeight="1">
      <c r="D1000" s="101"/>
      <c r="H1000" s="101"/>
    </row>
    <row r="1001" ht="15.75" customHeight="1">
      <c r="D1001" s="101"/>
      <c r="H1001" s="101"/>
    </row>
    <row r="1002" ht="15.75" customHeight="1">
      <c r="D1002" s="101"/>
      <c r="H1002" s="101"/>
    </row>
    <row r="1003" ht="15.75" customHeight="1">
      <c r="D1003" s="101"/>
      <c r="H1003" s="101"/>
    </row>
    <row r="1004" ht="15.75" customHeight="1">
      <c r="D1004" s="101"/>
      <c r="H1004" s="101"/>
    </row>
    <row r="1005" ht="15.75" customHeight="1">
      <c r="D1005" s="101"/>
      <c r="H1005" s="101"/>
    </row>
    <row r="1006" ht="15.75" customHeight="1">
      <c r="D1006" s="101"/>
      <c r="H1006" s="101"/>
    </row>
    <row r="1007" ht="15.75" customHeight="1">
      <c r="D1007" s="101"/>
      <c r="H1007" s="101"/>
    </row>
    <row r="1008" ht="15.75" customHeight="1">
      <c r="D1008" s="101"/>
      <c r="H1008" s="101"/>
    </row>
    <row r="1009" ht="15.75" customHeight="1">
      <c r="D1009" s="101"/>
      <c r="H1009" s="101"/>
    </row>
    <row r="1010" ht="15.75" customHeight="1">
      <c r="D1010" s="101"/>
      <c r="H1010" s="101"/>
    </row>
    <row r="1011" ht="15.75" customHeight="1">
      <c r="D1011" s="101"/>
      <c r="H1011" s="101"/>
    </row>
    <row r="1012" ht="15.75" customHeight="1">
      <c r="D1012" s="101"/>
      <c r="H1012" s="101"/>
    </row>
    <row r="1013" ht="15.75" customHeight="1">
      <c r="D1013" s="101"/>
      <c r="H1013" s="101"/>
    </row>
    <row r="1014" ht="15.75" customHeight="1">
      <c r="D1014" s="101"/>
      <c r="H1014" s="101"/>
    </row>
    <row r="1015" ht="15.75" customHeight="1">
      <c r="D1015" s="101"/>
      <c r="H1015" s="101"/>
    </row>
    <row r="1016" ht="15.75" customHeight="1">
      <c r="D1016" s="101"/>
      <c r="H1016" s="101"/>
    </row>
    <row r="1017" ht="15.75" customHeight="1">
      <c r="D1017" s="101"/>
      <c r="H1017" s="101"/>
    </row>
    <row r="1018" ht="15.75" customHeight="1">
      <c r="D1018" s="101"/>
      <c r="H1018" s="101"/>
    </row>
    <row r="1019" ht="15.75" customHeight="1">
      <c r="D1019" s="101"/>
      <c r="H1019" s="101"/>
    </row>
    <row r="1020" ht="15.75" customHeight="1">
      <c r="D1020" s="101"/>
      <c r="H1020" s="101"/>
    </row>
    <row r="1021" ht="15.75" customHeight="1">
      <c r="D1021" s="101"/>
      <c r="H1021" s="101"/>
    </row>
    <row r="1022" ht="15.75" customHeight="1">
      <c r="D1022" s="101"/>
      <c r="H1022" s="101"/>
    </row>
    <row r="1023" ht="15.75" customHeight="1">
      <c r="D1023" s="101"/>
      <c r="H1023" s="101"/>
    </row>
    <row r="1024" ht="15.75" customHeight="1">
      <c r="D1024" s="101"/>
      <c r="H1024" s="101"/>
    </row>
    <row r="1025" ht="15.75" customHeight="1">
      <c r="D1025" s="101"/>
      <c r="H1025" s="101"/>
    </row>
    <row r="1026" ht="15.75" customHeight="1">
      <c r="D1026" s="101"/>
      <c r="H1026" s="101"/>
    </row>
    <row r="1027" ht="15.75" customHeight="1">
      <c r="D1027" s="101"/>
      <c r="H1027" s="101"/>
    </row>
    <row r="1028" ht="15.75" customHeight="1">
      <c r="D1028" s="101"/>
      <c r="H1028" s="101"/>
    </row>
    <row r="1029" ht="15.75" customHeight="1">
      <c r="D1029" s="101"/>
      <c r="H1029" s="101"/>
    </row>
    <row r="1030" ht="15.75" customHeight="1">
      <c r="D1030" s="101"/>
      <c r="H1030" s="101"/>
    </row>
    <row r="1031" ht="15.75" customHeight="1">
      <c r="D1031" s="101"/>
      <c r="H1031" s="101"/>
    </row>
    <row r="1032" ht="15.75" customHeight="1">
      <c r="D1032" s="101"/>
      <c r="H1032" s="101"/>
    </row>
    <row r="1033" ht="15.75" customHeight="1">
      <c r="D1033" s="101"/>
      <c r="H1033" s="101"/>
    </row>
    <row r="1034" ht="15.75" customHeight="1">
      <c r="D1034" s="101"/>
      <c r="H1034" s="101"/>
    </row>
    <row r="1035" ht="15.75" customHeight="1">
      <c r="D1035" s="101"/>
      <c r="H1035" s="101"/>
    </row>
    <row r="1036" ht="15.75" customHeight="1">
      <c r="D1036" s="101"/>
      <c r="H1036" s="101"/>
    </row>
    <row r="1037" ht="15.75" customHeight="1">
      <c r="D1037" s="101"/>
      <c r="H1037" s="101"/>
    </row>
    <row r="1038" ht="15.75" customHeight="1">
      <c r="D1038" s="101"/>
      <c r="H1038" s="101"/>
    </row>
    <row r="1039" ht="15.75" customHeight="1">
      <c r="D1039" s="101"/>
      <c r="H1039" s="101"/>
    </row>
    <row r="1040" ht="15.75" customHeight="1">
      <c r="D1040" s="101"/>
      <c r="H1040" s="101"/>
    </row>
    <row r="1041" ht="15.75" customHeight="1">
      <c r="D1041" s="101"/>
      <c r="H1041" s="101"/>
    </row>
    <row r="1042" ht="15.75" customHeight="1">
      <c r="D1042" s="101"/>
      <c r="H1042" s="101"/>
    </row>
    <row r="1043" ht="15.75" customHeight="1">
      <c r="D1043" s="101"/>
      <c r="H1043" s="101"/>
    </row>
    <row r="1044" ht="15.75" customHeight="1">
      <c r="D1044" s="101"/>
      <c r="H1044" s="101"/>
    </row>
    <row r="1045" ht="15.75" customHeight="1">
      <c r="D1045" s="101"/>
      <c r="H1045" s="101"/>
    </row>
    <row r="1046" ht="15.75" customHeight="1">
      <c r="D1046" s="101"/>
      <c r="H1046" s="101"/>
    </row>
    <row r="1047" ht="15.75" customHeight="1">
      <c r="D1047" s="101"/>
      <c r="H1047" s="101"/>
    </row>
    <row r="1048" ht="15.75" customHeight="1">
      <c r="D1048" s="101"/>
      <c r="H1048" s="101"/>
    </row>
    <row r="1049" ht="15.75" customHeight="1">
      <c r="D1049" s="101"/>
      <c r="H1049" s="101"/>
    </row>
    <row r="1050" ht="15.75" customHeight="1">
      <c r="D1050" s="101"/>
      <c r="H1050" s="101"/>
    </row>
    <row r="1051" ht="15.75" customHeight="1">
      <c r="D1051" s="101"/>
      <c r="H1051" s="101"/>
    </row>
    <row r="1052" ht="15.75" customHeight="1">
      <c r="D1052" s="101"/>
      <c r="H1052" s="101"/>
    </row>
    <row r="1053" ht="15.75" customHeight="1">
      <c r="D1053" s="101"/>
      <c r="H1053" s="101"/>
    </row>
    <row r="1054" ht="15.75" customHeight="1">
      <c r="D1054" s="101"/>
      <c r="H1054" s="101"/>
    </row>
    <row r="1055" ht="15.75" customHeight="1">
      <c r="D1055" s="101"/>
      <c r="H1055" s="101"/>
    </row>
    <row r="1056" ht="15.75" customHeight="1">
      <c r="D1056" s="101"/>
      <c r="H1056" s="101"/>
    </row>
    <row r="1057" ht="15.75" customHeight="1">
      <c r="D1057" s="101"/>
      <c r="H1057" s="101"/>
    </row>
    <row r="1058" ht="15.75" customHeight="1">
      <c r="D1058" s="101"/>
      <c r="H1058" s="101"/>
    </row>
    <row r="1059" ht="15.75" customHeight="1">
      <c r="D1059" s="101"/>
      <c r="H1059" s="101"/>
    </row>
    <row r="1060" ht="15.75" customHeight="1">
      <c r="D1060" s="101"/>
      <c r="H1060" s="101"/>
    </row>
    <row r="1061" ht="15.75" customHeight="1">
      <c r="D1061" s="101"/>
      <c r="H1061" s="101"/>
    </row>
    <row r="1062" ht="15.75" customHeight="1">
      <c r="D1062" s="101"/>
      <c r="H1062" s="101"/>
    </row>
    <row r="1063" ht="15.75" customHeight="1">
      <c r="D1063" s="101"/>
      <c r="H1063" s="101"/>
    </row>
    <row r="1064" ht="15.75" customHeight="1">
      <c r="D1064" s="101"/>
      <c r="H1064" s="101"/>
    </row>
    <row r="1065" ht="15.75" customHeight="1">
      <c r="D1065" s="101"/>
      <c r="H1065" s="101"/>
    </row>
    <row r="1066" ht="15.75" customHeight="1">
      <c r="D1066" s="101"/>
      <c r="H1066" s="101"/>
    </row>
    <row r="1067" ht="15.75" customHeight="1">
      <c r="D1067" s="101"/>
      <c r="H1067" s="101"/>
    </row>
    <row r="1068" ht="15.75" customHeight="1">
      <c r="D1068" s="101"/>
      <c r="H1068" s="101"/>
    </row>
    <row r="1069" ht="15.75" customHeight="1">
      <c r="D1069" s="101"/>
      <c r="H1069" s="101"/>
    </row>
    <row r="1070" ht="15.75" customHeight="1">
      <c r="D1070" s="101"/>
      <c r="H1070" s="101"/>
    </row>
    <row r="1071" ht="15.75" customHeight="1">
      <c r="D1071" s="101"/>
      <c r="H1071" s="101"/>
    </row>
    <row r="1072" ht="15.75" customHeight="1">
      <c r="D1072" s="101"/>
      <c r="H1072" s="101"/>
    </row>
    <row r="1073" ht="15.75" customHeight="1">
      <c r="D1073" s="101"/>
      <c r="H1073" s="101"/>
    </row>
    <row r="1074" ht="15.75" customHeight="1">
      <c r="D1074" s="101"/>
      <c r="H1074" s="101"/>
    </row>
    <row r="1075" ht="15.75" customHeight="1">
      <c r="D1075" s="101"/>
      <c r="H1075" s="101"/>
    </row>
    <row r="1076" ht="15.75" customHeight="1">
      <c r="D1076" s="101"/>
      <c r="H1076" s="101"/>
    </row>
    <row r="1077" ht="15.75" customHeight="1">
      <c r="D1077" s="101"/>
      <c r="H1077" s="101"/>
    </row>
    <row r="1078" ht="15.75" customHeight="1">
      <c r="D1078" s="101"/>
      <c r="H1078" s="101"/>
    </row>
    <row r="1079" ht="15.75" customHeight="1">
      <c r="D1079" s="101"/>
      <c r="H1079" s="101"/>
    </row>
    <row r="1080" ht="15.75" customHeight="1">
      <c r="D1080" s="101"/>
      <c r="H1080" s="101"/>
    </row>
    <row r="1081" ht="15.75" customHeight="1">
      <c r="D1081" s="101"/>
      <c r="H1081" s="101"/>
    </row>
    <row r="1082" ht="15.75" customHeight="1">
      <c r="D1082" s="101"/>
      <c r="H1082" s="101"/>
    </row>
    <row r="1083" ht="15.75" customHeight="1">
      <c r="D1083" s="101"/>
      <c r="H1083" s="101"/>
    </row>
    <row r="1084" ht="15.75" customHeight="1">
      <c r="D1084" s="101"/>
      <c r="H1084" s="101"/>
    </row>
    <row r="1085" ht="15.75" customHeight="1">
      <c r="D1085" s="101"/>
      <c r="H1085" s="101"/>
    </row>
    <row r="1086" ht="15.75" customHeight="1">
      <c r="D1086" s="101"/>
      <c r="H1086" s="101"/>
    </row>
    <row r="1087" ht="15.75" customHeight="1">
      <c r="D1087" s="101"/>
      <c r="H1087" s="101"/>
    </row>
    <row r="1088" ht="15.75" customHeight="1">
      <c r="D1088" s="101"/>
      <c r="H1088" s="101"/>
    </row>
    <row r="1089" ht="15.75" customHeight="1">
      <c r="D1089" s="101"/>
      <c r="H1089" s="101"/>
    </row>
    <row r="1090" ht="15.75" customHeight="1">
      <c r="D1090" s="101"/>
      <c r="H1090" s="101"/>
    </row>
    <row r="1091" ht="15.75" customHeight="1">
      <c r="D1091" s="101"/>
      <c r="H1091" s="101"/>
    </row>
    <row r="1092" ht="15.75" customHeight="1">
      <c r="D1092" s="101"/>
      <c r="H1092" s="101"/>
    </row>
    <row r="1093" ht="15.75" customHeight="1">
      <c r="D1093" s="101"/>
      <c r="H1093" s="101"/>
    </row>
    <row r="1094" ht="15.75" customHeight="1">
      <c r="D1094" s="101"/>
      <c r="H1094" s="101"/>
    </row>
    <row r="1095" ht="15.75" customHeight="1">
      <c r="D1095" s="101"/>
      <c r="H1095" s="101"/>
    </row>
    <row r="1096" ht="15.75" customHeight="1">
      <c r="D1096" s="101"/>
      <c r="H1096" s="101"/>
    </row>
    <row r="1097" ht="15.75" customHeight="1">
      <c r="D1097" s="101"/>
      <c r="H1097" s="101"/>
    </row>
    <row r="1098" ht="15.75" customHeight="1">
      <c r="D1098" s="101"/>
      <c r="H1098" s="101"/>
    </row>
    <row r="1099" ht="15.75" customHeight="1">
      <c r="D1099" s="101"/>
      <c r="H1099" s="101"/>
    </row>
    <row r="1100" ht="15.75" customHeight="1">
      <c r="D1100" s="101"/>
      <c r="H1100" s="101"/>
    </row>
    <row r="1101" ht="15.75" customHeight="1">
      <c r="D1101" s="101"/>
      <c r="H1101" s="101"/>
    </row>
    <row r="1102" ht="15.75" customHeight="1">
      <c r="D1102" s="101"/>
      <c r="H1102" s="101"/>
    </row>
    <row r="1103" ht="15.75" customHeight="1">
      <c r="D1103" s="101"/>
      <c r="H1103" s="101"/>
    </row>
    <row r="1104" ht="15.75" customHeight="1">
      <c r="D1104" s="101"/>
      <c r="H1104" s="101"/>
    </row>
    <row r="1105" ht="15.75" customHeight="1">
      <c r="D1105" s="101"/>
      <c r="H1105" s="101"/>
    </row>
    <row r="1106" ht="15.75" customHeight="1">
      <c r="D1106" s="101"/>
      <c r="H1106" s="101"/>
    </row>
    <row r="1107" ht="15.75" customHeight="1">
      <c r="D1107" s="101"/>
      <c r="H1107" s="101"/>
    </row>
    <row r="1108" ht="15.75" customHeight="1">
      <c r="D1108" s="101"/>
      <c r="H1108" s="101"/>
    </row>
    <row r="1109" ht="15.75" customHeight="1">
      <c r="D1109" s="101"/>
      <c r="H1109" s="101"/>
    </row>
    <row r="1110" ht="15.75" customHeight="1">
      <c r="D1110" s="101"/>
      <c r="H1110" s="101"/>
    </row>
    <row r="1111" ht="15.75" customHeight="1">
      <c r="D1111" s="101"/>
      <c r="H1111" s="101"/>
    </row>
    <row r="1112" ht="15.75" customHeight="1">
      <c r="D1112" s="101"/>
      <c r="H1112" s="101"/>
    </row>
    <row r="1113" ht="15.75" customHeight="1">
      <c r="D1113" s="101"/>
      <c r="H1113" s="101"/>
    </row>
    <row r="1114" ht="15.75" customHeight="1">
      <c r="D1114" s="101"/>
      <c r="H1114" s="101"/>
    </row>
    <row r="1115" ht="15.75" customHeight="1">
      <c r="D1115" s="101"/>
      <c r="H1115" s="101"/>
    </row>
    <row r="1116" ht="15.75" customHeight="1">
      <c r="D1116" s="101"/>
      <c r="H1116" s="101"/>
    </row>
    <row r="1117" ht="15.75" customHeight="1">
      <c r="D1117" s="101"/>
      <c r="H1117" s="101"/>
    </row>
    <row r="1118" ht="15.75" customHeight="1">
      <c r="D1118" s="101"/>
      <c r="H1118" s="101"/>
    </row>
    <row r="1119" ht="15.75" customHeight="1">
      <c r="D1119" s="101"/>
      <c r="H1119" s="101"/>
    </row>
    <row r="1120" ht="15.75" customHeight="1">
      <c r="D1120" s="101"/>
      <c r="H1120" s="101"/>
    </row>
    <row r="1121" ht="15.75" customHeight="1">
      <c r="D1121" s="101"/>
      <c r="H1121" s="101"/>
    </row>
    <row r="1122" ht="15.75" customHeight="1">
      <c r="D1122" s="101"/>
      <c r="H1122" s="101"/>
    </row>
    <row r="1123" ht="15.75" customHeight="1">
      <c r="D1123" s="101"/>
      <c r="H1123" s="101"/>
    </row>
    <row r="1124" ht="15.75" customHeight="1">
      <c r="D1124" s="101"/>
      <c r="H1124" s="101"/>
    </row>
    <row r="1125" ht="15.75" customHeight="1">
      <c r="D1125" s="101"/>
      <c r="H1125" s="101"/>
    </row>
    <row r="1126" ht="15.75" customHeight="1">
      <c r="D1126" s="101"/>
      <c r="H1126" s="101"/>
    </row>
    <row r="1127" ht="15.75" customHeight="1">
      <c r="D1127" s="101"/>
      <c r="H1127" s="101"/>
    </row>
    <row r="1128" ht="15.75" customHeight="1">
      <c r="D1128" s="101"/>
      <c r="H1128" s="101"/>
    </row>
    <row r="1129" ht="15.75" customHeight="1">
      <c r="D1129" s="101"/>
      <c r="H1129" s="101"/>
    </row>
    <row r="1130" ht="15.75" customHeight="1">
      <c r="D1130" s="101"/>
      <c r="H1130" s="101"/>
    </row>
    <row r="1131" ht="15.75" customHeight="1">
      <c r="D1131" s="101"/>
      <c r="H1131" s="101"/>
    </row>
    <row r="1132" ht="15.75" customHeight="1">
      <c r="D1132" s="101"/>
      <c r="H1132" s="101"/>
    </row>
    <row r="1133" ht="15.75" customHeight="1">
      <c r="D1133" s="101"/>
      <c r="H1133" s="101"/>
    </row>
    <row r="1134" ht="15.75" customHeight="1">
      <c r="D1134" s="101"/>
      <c r="H1134" s="101"/>
    </row>
    <row r="1135" ht="15.75" customHeight="1">
      <c r="D1135" s="101"/>
      <c r="H1135" s="101"/>
    </row>
    <row r="1136" ht="15.75" customHeight="1">
      <c r="D1136" s="101"/>
      <c r="H1136" s="101"/>
    </row>
    <row r="1137" ht="15.75" customHeight="1">
      <c r="D1137" s="101"/>
      <c r="H1137" s="101"/>
    </row>
    <row r="1138" ht="15.75" customHeight="1">
      <c r="D1138" s="101"/>
      <c r="H1138" s="101"/>
    </row>
    <row r="1139" ht="15.75" customHeight="1">
      <c r="D1139" s="101"/>
      <c r="H1139" s="101"/>
    </row>
    <row r="1140" ht="15.75" customHeight="1">
      <c r="D1140" s="101"/>
      <c r="H1140" s="101"/>
    </row>
    <row r="1141" ht="15.75" customHeight="1">
      <c r="D1141" s="101"/>
      <c r="H1141" s="101"/>
    </row>
    <row r="1142" ht="15.75" customHeight="1">
      <c r="D1142" s="101"/>
      <c r="H1142" s="101"/>
    </row>
    <row r="1143" ht="15.75" customHeight="1">
      <c r="D1143" s="101"/>
      <c r="H1143" s="101"/>
    </row>
    <row r="1144" ht="15.75" customHeight="1">
      <c r="D1144" s="101"/>
      <c r="H1144" s="101"/>
    </row>
    <row r="1145" ht="15.75" customHeight="1">
      <c r="D1145" s="101"/>
      <c r="H1145" s="101"/>
    </row>
    <row r="1146" ht="15.75" customHeight="1">
      <c r="D1146" s="101"/>
      <c r="H1146" s="101"/>
    </row>
    <row r="1147" ht="15.75" customHeight="1">
      <c r="D1147" s="101"/>
      <c r="H1147" s="101"/>
    </row>
    <row r="1148" ht="15.75" customHeight="1">
      <c r="D1148" s="101"/>
      <c r="H1148" s="101"/>
    </row>
    <row r="1149" ht="15.75" customHeight="1">
      <c r="D1149" s="101"/>
      <c r="H1149" s="101"/>
    </row>
    <row r="1150" ht="15.75" customHeight="1">
      <c r="D1150" s="101"/>
      <c r="H1150" s="101"/>
    </row>
    <row r="1151" ht="15.75" customHeight="1">
      <c r="D1151" s="101"/>
      <c r="H1151" s="101"/>
    </row>
    <row r="1152" ht="15.75" customHeight="1">
      <c r="D1152" s="101"/>
      <c r="H1152" s="101"/>
    </row>
    <row r="1153" ht="15.75" customHeight="1">
      <c r="D1153" s="101"/>
      <c r="H1153" s="101"/>
    </row>
    <row r="1154" ht="15.75" customHeight="1">
      <c r="D1154" s="101"/>
      <c r="H1154" s="101"/>
    </row>
    <row r="1155" ht="15.75" customHeight="1">
      <c r="D1155" s="101"/>
      <c r="H1155" s="101"/>
    </row>
    <row r="1156" ht="15.75" customHeight="1">
      <c r="D1156" s="101"/>
      <c r="H1156" s="101"/>
    </row>
    <row r="1157" ht="15.75" customHeight="1">
      <c r="D1157" s="101"/>
      <c r="H1157" s="101"/>
    </row>
    <row r="1158" ht="15.75" customHeight="1">
      <c r="D1158" s="101"/>
      <c r="H1158" s="101"/>
    </row>
    <row r="1159" ht="15.75" customHeight="1">
      <c r="D1159" s="101"/>
      <c r="H1159" s="101"/>
    </row>
    <row r="1160" ht="15.75" customHeight="1">
      <c r="D1160" s="101"/>
      <c r="H1160" s="101"/>
    </row>
    <row r="1161" ht="15.75" customHeight="1">
      <c r="D1161" s="101"/>
      <c r="H1161" s="101"/>
    </row>
    <row r="1162" ht="15.75" customHeight="1">
      <c r="D1162" s="101"/>
      <c r="H1162" s="101"/>
    </row>
    <row r="1163" ht="15.75" customHeight="1">
      <c r="D1163" s="101"/>
      <c r="H1163" s="101"/>
    </row>
    <row r="1164" ht="15.75" customHeight="1">
      <c r="D1164" s="101"/>
      <c r="H1164" s="101"/>
    </row>
    <row r="1165" ht="15.75" customHeight="1">
      <c r="D1165" s="101"/>
      <c r="H1165" s="101"/>
    </row>
    <row r="1166" ht="15.75" customHeight="1">
      <c r="D1166" s="101"/>
      <c r="H1166" s="101"/>
    </row>
    <row r="1167" ht="15.75" customHeight="1">
      <c r="D1167" s="101"/>
      <c r="H1167" s="101"/>
    </row>
    <row r="1168" ht="15.75" customHeight="1">
      <c r="D1168" s="101"/>
      <c r="H1168" s="101"/>
    </row>
    <row r="1169" ht="15.75" customHeight="1">
      <c r="D1169" s="101"/>
      <c r="H1169" s="101"/>
    </row>
    <row r="1170" ht="15.75" customHeight="1">
      <c r="D1170" s="101"/>
      <c r="H1170" s="101"/>
    </row>
    <row r="1171" ht="15.75" customHeight="1">
      <c r="D1171" s="101"/>
      <c r="H1171" s="101"/>
    </row>
    <row r="1172" ht="15.75" customHeight="1">
      <c r="D1172" s="101"/>
      <c r="H1172" s="101"/>
    </row>
    <row r="1173" ht="15.75" customHeight="1">
      <c r="D1173" s="101"/>
      <c r="H1173" s="101"/>
    </row>
    <row r="1174" ht="15.75" customHeight="1">
      <c r="D1174" s="101"/>
      <c r="H1174" s="101"/>
    </row>
    <row r="1175" ht="15.75" customHeight="1">
      <c r="D1175" s="101"/>
      <c r="H1175" s="101"/>
    </row>
    <row r="1176" ht="15.75" customHeight="1">
      <c r="D1176" s="101"/>
      <c r="H1176" s="101"/>
    </row>
    <row r="1177" ht="15.75" customHeight="1">
      <c r="D1177" s="101"/>
      <c r="H1177" s="101"/>
    </row>
    <row r="1178" ht="15.75" customHeight="1">
      <c r="D1178" s="101"/>
      <c r="H1178" s="101"/>
    </row>
    <row r="1179" ht="15.75" customHeight="1">
      <c r="D1179" s="101"/>
      <c r="H1179" s="101"/>
    </row>
    <row r="1180" ht="15.75" customHeight="1">
      <c r="D1180" s="101"/>
      <c r="H1180" s="101"/>
    </row>
    <row r="1181" ht="15.75" customHeight="1">
      <c r="D1181" s="101"/>
      <c r="H1181" s="101"/>
    </row>
    <row r="1182" ht="15.75" customHeight="1">
      <c r="D1182" s="101"/>
      <c r="H1182" s="101"/>
    </row>
    <row r="1183" ht="15.75" customHeight="1">
      <c r="D1183" s="101"/>
      <c r="H1183" s="101"/>
    </row>
    <row r="1184" ht="15.75" customHeight="1">
      <c r="D1184" s="101"/>
      <c r="H1184" s="101"/>
    </row>
    <row r="1185" ht="15.75" customHeight="1">
      <c r="D1185" s="101"/>
      <c r="H1185" s="101"/>
    </row>
    <row r="1186" ht="15.75" customHeight="1">
      <c r="D1186" s="101"/>
      <c r="H1186" s="101"/>
    </row>
    <row r="1187" ht="15.75" customHeight="1">
      <c r="D1187" s="101"/>
      <c r="H1187" s="101"/>
    </row>
    <row r="1188" ht="15.75" customHeight="1">
      <c r="D1188" s="101"/>
      <c r="H1188" s="101"/>
    </row>
    <row r="1189" ht="15.75" customHeight="1">
      <c r="D1189" s="101"/>
      <c r="H1189" s="101"/>
    </row>
    <row r="1190" ht="15.75" customHeight="1">
      <c r="D1190" s="101"/>
      <c r="H1190" s="101"/>
    </row>
    <row r="1191" ht="15.75" customHeight="1">
      <c r="D1191" s="101"/>
      <c r="H1191" s="101"/>
    </row>
    <row r="1192" ht="15.75" customHeight="1">
      <c r="D1192" s="101"/>
      <c r="H1192" s="101"/>
    </row>
    <row r="1193" ht="15.75" customHeight="1">
      <c r="D1193" s="101"/>
      <c r="H1193" s="101"/>
    </row>
    <row r="1194" ht="15.75" customHeight="1">
      <c r="D1194" s="101"/>
      <c r="H1194" s="101"/>
    </row>
    <row r="1195" ht="15.75" customHeight="1">
      <c r="D1195" s="101"/>
      <c r="H1195" s="101"/>
    </row>
    <row r="1196" ht="15.75" customHeight="1">
      <c r="D1196" s="101"/>
      <c r="H1196" s="101"/>
    </row>
    <row r="1197" ht="15.75" customHeight="1">
      <c r="D1197" s="101"/>
      <c r="H1197" s="101"/>
    </row>
    <row r="1198" ht="15.75" customHeight="1">
      <c r="D1198" s="101"/>
      <c r="H1198" s="101"/>
    </row>
    <row r="1199" ht="15.75" customHeight="1">
      <c r="D1199" s="101"/>
      <c r="H1199" s="101"/>
    </row>
    <row r="1200" ht="15.75" customHeight="1">
      <c r="D1200" s="101"/>
      <c r="H1200" s="101"/>
    </row>
    <row r="1201" ht="15.75" customHeight="1">
      <c r="D1201" s="101"/>
      <c r="H1201" s="101"/>
    </row>
    <row r="1202" ht="15.75" customHeight="1">
      <c r="D1202" s="101"/>
      <c r="H1202" s="101"/>
    </row>
    <row r="1203" ht="15.75" customHeight="1">
      <c r="D1203" s="101"/>
      <c r="H1203" s="101"/>
    </row>
    <row r="1204" ht="15.75" customHeight="1">
      <c r="D1204" s="101"/>
      <c r="H1204" s="101"/>
    </row>
    <row r="1205" ht="15.75" customHeight="1">
      <c r="D1205" s="101"/>
      <c r="H1205" s="101"/>
    </row>
    <row r="1206" ht="15.75" customHeight="1">
      <c r="D1206" s="101"/>
      <c r="H1206" s="101"/>
    </row>
    <row r="1207" ht="15.75" customHeight="1">
      <c r="D1207" s="101"/>
      <c r="H1207" s="101"/>
    </row>
    <row r="1208" ht="15.75" customHeight="1">
      <c r="D1208" s="101"/>
      <c r="H1208" s="101"/>
    </row>
    <row r="1209" ht="15.75" customHeight="1">
      <c r="D1209" s="101"/>
      <c r="H1209" s="101"/>
    </row>
    <row r="1210" ht="15.75" customHeight="1">
      <c r="D1210" s="101"/>
      <c r="H1210" s="101"/>
    </row>
    <row r="1211" ht="15.75" customHeight="1">
      <c r="D1211" s="101"/>
      <c r="H1211" s="101"/>
    </row>
    <row r="1212" ht="15.75" customHeight="1">
      <c r="D1212" s="101"/>
      <c r="H1212" s="101"/>
    </row>
    <row r="1213" ht="15.75" customHeight="1">
      <c r="D1213" s="101"/>
      <c r="H1213" s="101"/>
    </row>
    <row r="1214" ht="15.75" customHeight="1">
      <c r="D1214" s="101"/>
      <c r="H1214" s="101"/>
    </row>
    <row r="1215" ht="15.75" customHeight="1">
      <c r="D1215" s="101"/>
      <c r="H1215" s="101"/>
    </row>
    <row r="1216" ht="15.75" customHeight="1">
      <c r="D1216" s="101"/>
      <c r="H1216" s="101"/>
    </row>
    <row r="1217" ht="15.75" customHeight="1">
      <c r="D1217" s="101"/>
      <c r="H1217" s="101"/>
    </row>
    <row r="1218" ht="15.75" customHeight="1">
      <c r="D1218" s="101"/>
      <c r="H1218" s="101"/>
    </row>
    <row r="1219" ht="15.75" customHeight="1">
      <c r="D1219" s="101"/>
      <c r="H1219" s="101"/>
    </row>
    <row r="1220" ht="15.75" customHeight="1">
      <c r="D1220" s="101"/>
      <c r="H1220" s="101"/>
    </row>
    <row r="1221" ht="15.75" customHeight="1">
      <c r="D1221" s="101"/>
      <c r="H1221" s="101"/>
    </row>
    <row r="1222" ht="15.75" customHeight="1">
      <c r="D1222" s="101"/>
      <c r="H1222" s="101"/>
    </row>
    <row r="1223" ht="15.75" customHeight="1">
      <c r="D1223" s="101"/>
      <c r="H1223" s="101"/>
    </row>
    <row r="1224" ht="15.75" customHeight="1">
      <c r="D1224" s="101"/>
      <c r="H1224" s="101"/>
    </row>
    <row r="1225" ht="15.75" customHeight="1">
      <c r="D1225" s="101"/>
      <c r="H1225" s="101"/>
    </row>
    <row r="1226" ht="15.75" customHeight="1">
      <c r="D1226" s="101"/>
      <c r="H1226" s="101"/>
    </row>
    <row r="1227" ht="15.75" customHeight="1">
      <c r="D1227" s="101"/>
      <c r="H1227" s="101"/>
    </row>
    <row r="1228" ht="15.75" customHeight="1">
      <c r="D1228" s="101"/>
      <c r="H1228" s="101"/>
    </row>
    <row r="1229" ht="15.75" customHeight="1">
      <c r="D1229" s="101"/>
      <c r="H1229" s="101"/>
    </row>
    <row r="1230" ht="15.75" customHeight="1">
      <c r="D1230" s="101"/>
      <c r="H1230" s="101"/>
    </row>
    <row r="1231" ht="15.75" customHeight="1">
      <c r="D1231" s="101"/>
      <c r="H1231" s="101"/>
    </row>
    <row r="1232" ht="15.75" customHeight="1">
      <c r="D1232" s="101"/>
      <c r="H1232" s="101"/>
    </row>
    <row r="1233" ht="15.75" customHeight="1">
      <c r="D1233" s="101"/>
      <c r="H1233" s="101"/>
    </row>
    <row r="1234" ht="15.75" customHeight="1">
      <c r="D1234" s="101"/>
      <c r="H1234" s="101"/>
    </row>
    <row r="1235" ht="15.75" customHeight="1">
      <c r="D1235" s="101"/>
      <c r="H1235" s="101"/>
    </row>
    <row r="1236" ht="15.75" customHeight="1">
      <c r="D1236" s="101"/>
      <c r="H1236" s="101"/>
    </row>
    <row r="1237" ht="15.75" customHeight="1">
      <c r="D1237" s="101"/>
      <c r="H1237" s="101"/>
    </row>
    <row r="1238" ht="15.75" customHeight="1">
      <c r="D1238" s="101"/>
      <c r="H1238" s="101"/>
    </row>
    <row r="1239" ht="15.75" customHeight="1">
      <c r="D1239" s="101"/>
      <c r="H1239" s="101"/>
    </row>
    <row r="1240" ht="15.75" customHeight="1">
      <c r="D1240" s="101"/>
      <c r="H1240" s="101"/>
    </row>
    <row r="1241" ht="15.75" customHeight="1">
      <c r="D1241" s="101"/>
      <c r="H1241" s="101"/>
    </row>
    <row r="1242" ht="15.75" customHeight="1">
      <c r="D1242" s="101"/>
      <c r="H1242" s="101"/>
    </row>
    <row r="1243" ht="15.75" customHeight="1">
      <c r="D1243" s="101"/>
      <c r="H1243" s="101"/>
    </row>
    <row r="1244" ht="15.75" customHeight="1">
      <c r="D1244" s="101"/>
      <c r="H1244" s="101"/>
    </row>
    <row r="1245" ht="15.75" customHeight="1">
      <c r="D1245" s="101"/>
      <c r="H1245" s="101"/>
    </row>
    <row r="1246" ht="15.75" customHeight="1">
      <c r="D1246" s="101"/>
      <c r="H1246" s="101"/>
    </row>
    <row r="1247" ht="15.75" customHeight="1">
      <c r="D1247" s="101"/>
      <c r="H1247" s="101"/>
    </row>
    <row r="1248" ht="15.75" customHeight="1">
      <c r="D1248" s="101"/>
      <c r="H1248" s="101"/>
    </row>
    <row r="1249" ht="15.75" customHeight="1">
      <c r="D1249" s="101"/>
      <c r="H1249" s="101"/>
    </row>
    <row r="1250" ht="15.75" customHeight="1">
      <c r="D1250" s="101"/>
      <c r="H1250" s="101"/>
    </row>
    <row r="1251" ht="15.75" customHeight="1">
      <c r="D1251" s="101"/>
      <c r="H1251" s="101"/>
    </row>
    <row r="1252" ht="15.75" customHeight="1">
      <c r="D1252" s="101"/>
      <c r="H1252" s="101"/>
    </row>
    <row r="1253" ht="15.75" customHeight="1">
      <c r="D1253" s="101"/>
      <c r="H1253" s="101"/>
    </row>
    <row r="1254" ht="15.75" customHeight="1">
      <c r="D1254" s="101"/>
      <c r="H1254" s="101"/>
    </row>
    <row r="1255" ht="15.75" customHeight="1">
      <c r="D1255" s="101"/>
      <c r="H1255" s="101"/>
    </row>
    <row r="1256" ht="15.75" customHeight="1">
      <c r="D1256" s="101"/>
      <c r="H1256" s="101"/>
    </row>
    <row r="1257" ht="15.75" customHeight="1">
      <c r="D1257" s="101"/>
      <c r="H1257" s="101"/>
    </row>
    <row r="1258" ht="15.75" customHeight="1">
      <c r="D1258" s="101"/>
      <c r="H1258" s="101"/>
    </row>
    <row r="1259" ht="15.75" customHeight="1">
      <c r="D1259" s="101"/>
      <c r="H1259" s="101"/>
    </row>
    <row r="1260" ht="15.75" customHeight="1">
      <c r="D1260" s="101"/>
      <c r="H1260" s="101"/>
    </row>
    <row r="1261" ht="15.75" customHeight="1">
      <c r="D1261" s="101"/>
      <c r="H1261" s="101"/>
    </row>
    <row r="1262" ht="15.75" customHeight="1">
      <c r="D1262" s="101"/>
      <c r="H1262" s="101"/>
    </row>
    <row r="1263" ht="15.75" customHeight="1">
      <c r="D1263" s="101"/>
      <c r="H1263" s="101"/>
    </row>
    <row r="1264" ht="15.75" customHeight="1">
      <c r="D1264" s="101"/>
      <c r="H1264" s="101"/>
    </row>
    <row r="1265" ht="15.75" customHeight="1">
      <c r="D1265" s="101"/>
      <c r="H1265" s="101"/>
    </row>
    <row r="1266" ht="15.75" customHeight="1">
      <c r="D1266" s="101"/>
      <c r="H1266" s="101"/>
    </row>
    <row r="1267" ht="15.75" customHeight="1">
      <c r="D1267" s="101"/>
      <c r="H1267" s="101"/>
    </row>
    <row r="1268" ht="15.75" customHeight="1">
      <c r="D1268" s="101"/>
      <c r="H1268" s="101"/>
    </row>
    <row r="1269" ht="15.75" customHeight="1">
      <c r="D1269" s="101"/>
      <c r="H1269" s="101"/>
    </row>
    <row r="1270" ht="15.75" customHeight="1">
      <c r="D1270" s="101"/>
      <c r="H1270" s="101"/>
    </row>
    <row r="1271" ht="15.75" customHeight="1">
      <c r="D1271" s="101"/>
      <c r="H1271" s="101"/>
    </row>
    <row r="1272" ht="15.75" customHeight="1">
      <c r="D1272" s="101"/>
      <c r="H1272" s="101"/>
    </row>
    <row r="1273" ht="15.75" customHeight="1">
      <c r="D1273" s="101"/>
      <c r="H1273" s="101"/>
    </row>
    <row r="1274" ht="15.75" customHeight="1">
      <c r="D1274" s="101"/>
      <c r="H1274" s="101"/>
    </row>
    <row r="1275" ht="15.75" customHeight="1">
      <c r="D1275" s="101"/>
      <c r="H1275" s="101"/>
    </row>
    <row r="1276" ht="15.75" customHeight="1">
      <c r="D1276" s="101"/>
      <c r="H1276" s="101"/>
    </row>
    <row r="1277" ht="15.75" customHeight="1">
      <c r="D1277" s="101"/>
      <c r="H1277" s="101"/>
    </row>
    <row r="1278" ht="15.75" customHeight="1">
      <c r="D1278" s="101"/>
      <c r="H1278" s="101"/>
    </row>
    <row r="1279" ht="15.75" customHeight="1">
      <c r="D1279" s="101"/>
      <c r="H1279" s="101"/>
    </row>
    <row r="1280" ht="15.75" customHeight="1">
      <c r="D1280" s="101"/>
      <c r="H1280" s="101"/>
    </row>
    <row r="1281" ht="15.75" customHeight="1">
      <c r="D1281" s="101"/>
      <c r="H1281" s="101"/>
    </row>
    <row r="1282" ht="15.75" customHeight="1">
      <c r="D1282" s="101"/>
      <c r="H1282" s="101"/>
    </row>
    <row r="1283" ht="15.75" customHeight="1">
      <c r="D1283" s="101"/>
      <c r="H1283" s="101"/>
    </row>
    <row r="1284" ht="15.75" customHeight="1">
      <c r="D1284" s="101"/>
      <c r="H1284" s="101"/>
    </row>
    <row r="1285" ht="15.75" customHeight="1">
      <c r="D1285" s="101"/>
      <c r="H1285" s="101"/>
    </row>
    <row r="1286" ht="15.75" customHeight="1">
      <c r="D1286" s="101"/>
      <c r="H1286" s="101"/>
    </row>
    <row r="1287" ht="15.75" customHeight="1">
      <c r="D1287" s="101"/>
      <c r="H1287" s="101"/>
    </row>
    <row r="1288" ht="15.75" customHeight="1">
      <c r="D1288" s="101"/>
      <c r="H1288" s="101"/>
    </row>
    <row r="1289" ht="15.75" customHeight="1">
      <c r="D1289" s="101"/>
      <c r="H1289" s="101"/>
    </row>
    <row r="1290" ht="15.75" customHeight="1">
      <c r="D1290" s="101"/>
      <c r="H1290" s="101"/>
    </row>
    <row r="1291" ht="15.75" customHeight="1">
      <c r="D1291" s="101"/>
      <c r="H1291" s="101"/>
    </row>
    <row r="1292" ht="15.75" customHeight="1">
      <c r="D1292" s="101"/>
      <c r="H1292" s="101"/>
    </row>
    <row r="1293" ht="15.75" customHeight="1">
      <c r="D1293" s="101"/>
      <c r="H1293" s="101"/>
    </row>
    <row r="1294" ht="15.75" customHeight="1">
      <c r="D1294" s="101"/>
      <c r="H1294" s="101"/>
    </row>
    <row r="1295" ht="15.75" customHeight="1">
      <c r="D1295" s="101"/>
      <c r="H1295" s="101"/>
    </row>
    <row r="1296" ht="15.75" customHeight="1">
      <c r="D1296" s="101"/>
      <c r="H1296" s="101"/>
    </row>
    <row r="1297" ht="15.75" customHeight="1">
      <c r="D1297" s="101"/>
      <c r="H1297" s="101"/>
    </row>
    <row r="1298" ht="15.75" customHeight="1">
      <c r="D1298" s="101"/>
      <c r="H1298" s="101"/>
    </row>
    <row r="1299" ht="15.75" customHeight="1">
      <c r="D1299" s="101"/>
      <c r="H1299" s="101"/>
    </row>
    <row r="1300" ht="15.75" customHeight="1">
      <c r="D1300" s="101"/>
      <c r="H1300" s="101"/>
    </row>
    <row r="1301" ht="15.75" customHeight="1">
      <c r="D1301" s="101"/>
      <c r="H1301" s="101"/>
    </row>
    <row r="1302" ht="15.75" customHeight="1">
      <c r="D1302" s="101"/>
      <c r="H1302" s="101"/>
    </row>
    <row r="1303" ht="15.75" customHeight="1">
      <c r="D1303" s="101"/>
      <c r="H1303" s="101"/>
    </row>
    <row r="1304" ht="15.75" customHeight="1">
      <c r="D1304" s="101"/>
      <c r="H1304" s="101"/>
    </row>
    <row r="1305" ht="15.75" customHeight="1">
      <c r="D1305" s="101"/>
      <c r="H1305" s="101"/>
    </row>
    <row r="1306" ht="15.75" customHeight="1">
      <c r="D1306" s="101"/>
      <c r="H1306" s="101"/>
    </row>
    <row r="1307" ht="15.75" customHeight="1">
      <c r="D1307" s="101"/>
      <c r="H1307" s="101"/>
    </row>
    <row r="1308" ht="15.75" customHeight="1">
      <c r="D1308" s="101"/>
      <c r="H1308" s="101"/>
    </row>
    <row r="1309" ht="15.75" customHeight="1">
      <c r="D1309" s="101"/>
      <c r="H1309" s="101"/>
    </row>
    <row r="1310" ht="15.75" customHeight="1">
      <c r="D1310" s="101"/>
      <c r="H1310" s="101"/>
    </row>
    <row r="1311" ht="15.75" customHeight="1">
      <c r="D1311" s="101"/>
      <c r="H1311" s="101"/>
    </row>
    <row r="1312" ht="15.75" customHeight="1">
      <c r="D1312" s="101"/>
      <c r="H1312" s="101"/>
    </row>
    <row r="1313" ht="15.75" customHeight="1">
      <c r="D1313" s="101"/>
      <c r="H1313" s="101"/>
    </row>
    <row r="1314" ht="15.75" customHeight="1">
      <c r="D1314" s="101"/>
      <c r="H1314" s="101"/>
    </row>
    <row r="1315" ht="15.75" customHeight="1">
      <c r="D1315" s="101"/>
      <c r="H1315" s="101"/>
    </row>
    <row r="1316" ht="15.75" customHeight="1">
      <c r="D1316" s="101"/>
      <c r="H1316" s="101"/>
    </row>
    <row r="1317" ht="15.75" customHeight="1">
      <c r="D1317" s="101"/>
      <c r="H1317" s="101"/>
    </row>
    <row r="1318" ht="15.75" customHeight="1">
      <c r="D1318" s="101"/>
      <c r="H1318" s="101"/>
    </row>
    <row r="1319" ht="15.75" customHeight="1">
      <c r="D1319" s="101"/>
      <c r="H1319" s="101"/>
    </row>
    <row r="1320" ht="15.75" customHeight="1">
      <c r="D1320" s="101"/>
      <c r="H1320" s="101"/>
    </row>
    <row r="1321" ht="15.75" customHeight="1">
      <c r="D1321" s="101"/>
      <c r="H1321" s="101"/>
    </row>
    <row r="1322" ht="15.75" customHeight="1">
      <c r="D1322" s="101"/>
      <c r="H1322" s="101"/>
    </row>
    <row r="1323" ht="15.75" customHeight="1">
      <c r="D1323" s="101"/>
      <c r="H1323" s="101"/>
    </row>
    <row r="1324" ht="15.75" customHeight="1">
      <c r="D1324" s="101"/>
      <c r="H1324" s="101"/>
    </row>
    <row r="1325" ht="15.75" customHeight="1">
      <c r="D1325" s="101"/>
      <c r="H1325" s="101"/>
    </row>
    <row r="1326" ht="15.75" customHeight="1">
      <c r="D1326" s="101"/>
      <c r="H1326" s="101"/>
    </row>
    <row r="1327" ht="15.75" customHeight="1">
      <c r="D1327" s="101"/>
      <c r="H1327" s="101"/>
    </row>
    <row r="1328" ht="15.75" customHeight="1">
      <c r="D1328" s="101"/>
      <c r="H1328" s="101"/>
    </row>
    <row r="1329" ht="15.75" customHeight="1">
      <c r="D1329" s="101"/>
      <c r="H1329" s="101"/>
    </row>
    <row r="1330" ht="15.75" customHeight="1">
      <c r="D1330" s="101"/>
      <c r="H1330" s="101"/>
    </row>
    <row r="1331" ht="15.75" customHeight="1">
      <c r="D1331" s="101"/>
      <c r="H1331" s="101"/>
    </row>
    <row r="1332" ht="15.75" customHeight="1">
      <c r="D1332" s="101"/>
      <c r="H1332" s="101"/>
    </row>
    <row r="1333" ht="15.75" customHeight="1">
      <c r="D1333" s="101"/>
      <c r="H1333" s="101"/>
    </row>
    <row r="1334" ht="15.75" customHeight="1">
      <c r="D1334" s="101"/>
      <c r="H1334" s="101"/>
    </row>
    <row r="1335" ht="15.75" customHeight="1">
      <c r="D1335" s="101"/>
      <c r="H1335" s="101"/>
    </row>
    <row r="1336" ht="15.75" customHeight="1">
      <c r="D1336" s="101"/>
      <c r="H1336" s="101"/>
    </row>
    <row r="1337" ht="15.75" customHeight="1">
      <c r="D1337" s="101"/>
      <c r="H1337" s="101"/>
    </row>
    <row r="1338" ht="15.75" customHeight="1">
      <c r="D1338" s="101"/>
      <c r="H1338" s="101"/>
    </row>
    <row r="1339" ht="15.75" customHeight="1">
      <c r="D1339" s="101"/>
      <c r="H1339" s="101"/>
    </row>
    <row r="1340" ht="15.75" customHeight="1">
      <c r="D1340" s="101"/>
      <c r="H1340" s="101"/>
    </row>
    <row r="1341" ht="15.75" customHeight="1">
      <c r="D1341" s="101"/>
      <c r="H1341" s="101"/>
    </row>
    <row r="1342" ht="15.75" customHeight="1">
      <c r="D1342" s="101"/>
      <c r="H1342" s="101"/>
    </row>
    <row r="1343" ht="15.75" customHeight="1">
      <c r="D1343" s="101"/>
      <c r="H1343" s="101"/>
    </row>
    <row r="1344" ht="15.75" customHeight="1">
      <c r="D1344" s="101"/>
      <c r="H1344" s="101"/>
    </row>
    <row r="1345" ht="15.75" customHeight="1">
      <c r="D1345" s="101"/>
      <c r="H1345" s="101"/>
    </row>
    <row r="1346" ht="15.75" customHeight="1">
      <c r="D1346" s="101"/>
      <c r="H1346" s="101"/>
    </row>
    <row r="1347" ht="15.75" customHeight="1">
      <c r="D1347" s="101"/>
      <c r="H1347" s="101"/>
    </row>
    <row r="1348" ht="15.75" customHeight="1">
      <c r="D1348" s="101"/>
      <c r="H1348" s="101"/>
    </row>
    <row r="1349" ht="15.75" customHeight="1">
      <c r="D1349" s="101"/>
      <c r="H1349" s="101"/>
    </row>
    <row r="1350" ht="15.75" customHeight="1">
      <c r="D1350" s="101"/>
      <c r="H1350" s="101"/>
    </row>
    <row r="1351" ht="15.75" customHeight="1">
      <c r="D1351" s="101"/>
      <c r="H1351" s="101"/>
    </row>
    <row r="1352" ht="15.75" customHeight="1">
      <c r="D1352" s="101"/>
      <c r="H1352" s="101"/>
    </row>
    <row r="1353" ht="15.75" customHeight="1">
      <c r="D1353" s="101"/>
      <c r="H1353" s="101"/>
    </row>
    <row r="1354" ht="15.75" customHeight="1">
      <c r="D1354" s="101"/>
      <c r="H1354" s="101"/>
    </row>
    <row r="1355" ht="15.75" customHeight="1">
      <c r="D1355" s="101"/>
      <c r="H1355" s="101"/>
    </row>
    <row r="1356" ht="15.75" customHeight="1">
      <c r="D1356" s="101"/>
      <c r="H1356" s="101"/>
    </row>
    <row r="1357" ht="15.75" customHeight="1">
      <c r="D1357" s="101"/>
      <c r="H1357" s="101"/>
    </row>
    <row r="1358" ht="15.75" customHeight="1">
      <c r="D1358" s="101"/>
      <c r="H1358" s="101"/>
    </row>
    <row r="1359" ht="15.75" customHeight="1">
      <c r="D1359" s="101"/>
      <c r="H1359" s="101"/>
    </row>
    <row r="1360" ht="15.75" customHeight="1">
      <c r="D1360" s="101"/>
      <c r="H1360" s="101"/>
    </row>
    <row r="1361" ht="15.75" customHeight="1">
      <c r="D1361" s="101"/>
      <c r="H1361" s="101"/>
    </row>
    <row r="1362" ht="15.75" customHeight="1">
      <c r="D1362" s="101"/>
      <c r="H1362" s="101"/>
    </row>
    <row r="1363" ht="15.75" customHeight="1">
      <c r="D1363" s="101"/>
      <c r="H1363" s="101"/>
    </row>
    <row r="1364" ht="15.75" customHeight="1">
      <c r="D1364" s="101"/>
      <c r="H1364" s="101"/>
    </row>
    <row r="1365" ht="15.75" customHeight="1">
      <c r="D1365" s="101"/>
      <c r="H1365" s="101"/>
    </row>
    <row r="1366" ht="15.75" customHeight="1">
      <c r="D1366" s="101"/>
      <c r="H1366" s="101"/>
    </row>
    <row r="1367" ht="15.75" customHeight="1">
      <c r="D1367" s="101"/>
      <c r="H1367" s="101"/>
    </row>
    <row r="1368" ht="15.75" customHeight="1">
      <c r="D1368" s="101"/>
      <c r="H1368" s="101"/>
    </row>
    <row r="1369" ht="15.75" customHeight="1">
      <c r="D1369" s="101"/>
      <c r="H1369" s="101"/>
    </row>
    <row r="1370" ht="15.75" customHeight="1">
      <c r="D1370" s="101"/>
      <c r="H1370" s="101"/>
    </row>
    <row r="1371" ht="15.75" customHeight="1">
      <c r="D1371" s="101"/>
      <c r="H1371" s="101"/>
    </row>
    <row r="1372" ht="15.75" customHeight="1">
      <c r="D1372" s="101"/>
      <c r="H1372" s="101"/>
    </row>
    <row r="1373" ht="15.75" customHeight="1">
      <c r="D1373" s="101"/>
      <c r="H1373" s="101"/>
    </row>
    <row r="1374" ht="15.75" customHeight="1">
      <c r="D1374" s="101"/>
      <c r="H1374" s="101"/>
    </row>
    <row r="1375" ht="15.75" customHeight="1">
      <c r="D1375" s="101"/>
      <c r="H1375" s="101"/>
    </row>
    <row r="1376" ht="15.75" customHeight="1">
      <c r="D1376" s="101"/>
      <c r="H1376" s="101"/>
    </row>
    <row r="1377" ht="15.75" customHeight="1">
      <c r="D1377" s="101"/>
      <c r="H1377" s="101"/>
    </row>
    <row r="1378" ht="15.75" customHeight="1">
      <c r="D1378" s="101"/>
      <c r="H1378" s="101"/>
    </row>
    <row r="1379" ht="15.75" customHeight="1">
      <c r="D1379" s="101"/>
      <c r="H1379" s="101"/>
    </row>
    <row r="1380" ht="15.75" customHeight="1">
      <c r="D1380" s="101"/>
      <c r="H1380" s="101"/>
    </row>
    <row r="1381" ht="15.75" customHeight="1">
      <c r="D1381" s="101"/>
      <c r="H1381" s="101"/>
    </row>
    <row r="1382" ht="15.75" customHeight="1">
      <c r="D1382" s="101"/>
      <c r="H1382" s="101"/>
    </row>
    <row r="1383" ht="15.75" customHeight="1">
      <c r="D1383" s="101"/>
      <c r="H1383" s="101"/>
    </row>
    <row r="1384" ht="15.75" customHeight="1">
      <c r="D1384" s="101"/>
      <c r="H1384" s="101"/>
    </row>
    <row r="1385" ht="15.75" customHeight="1">
      <c r="D1385" s="101"/>
      <c r="H1385" s="101"/>
    </row>
    <row r="1386" ht="15.75" customHeight="1">
      <c r="D1386" s="101"/>
      <c r="H1386" s="101"/>
    </row>
    <row r="1387" ht="15.75" customHeight="1">
      <c r="D1387" s="101"/>
      <c r="H1387" s="101"/>
    </row>
    <row r="1388" ht="15.75" customHeight="1">
      <c r="D1388" s="101"/>
      <c r="H1388" s="101"/>
    </row>
    <row r="1389" ht="15.75" customHeight="1">
      <c r="D1389" s="101"/>
      <c r="H1389" s="101"/>
    </row>
    <row r="1390" ht="15.75" customHeight="1">
      <c r="D1390" s="101"/>
      <c r="H1390" s="101"/>
    </row>
    <row r="1391" ht="15.75" customHeight="1">
      <c r="D1391" s="101"/>
      <c r="H1391" s="101"/>
    </row>
    <row r="1392" ht="15.75" customHeight="1">
      <c r="D1392" s="101"/>
      <c r="H1392" s="101"/>
    </row>
    <row r="1393" ht="15.75" customHeight="1">
      <c r="D1393" s="101"/>
      <c r="H1393" s="101"/>
    </row>
    <row r="1394" ht="15.75" customHeight="1">
      <c r="D1394" s="101"/>
      <c r="H1394" s="101"/>
    </row>
    <row r="1395" ht="15.75" customHeight="1">
      <c r="D1395" s="101"/>
      <c r="H1395" s="101"/>
    </row>
    <row r="1396" ht="15.75" customHeight="1">
      <c r="D1396" s="101"/>
      <c r="H1396" s="101"/>
    </row>
    <row r="1397" ht="15.75" customHeight="1">
      <c r="D1397" s="101"/>
      <c r="H1397" s="101"/>
    </row>
    <row r="1398" ht="15.75" customHeight="1">
      <c r="D1398" s="101"/>
      <c r="H1398" s="101"/>
    </row>
    <row r="1399" ht="15.75" customHeight="1">
      <c r="D1399" s="101"/>
      <c r="H1399" s="101"/>
    </row>
    <row r="1400" ht="15.75" customHeight="1">
      <c r="D1400" s="101"/>
      <c r="H1400" s="101"/>
    </row>
    <row r="1401" ht="15.75" customHeight="1">
      <c r="D1401" s="101"/>
      <c r="H1401" s="101"/>
    </row>
    <row r="1402" ht="15.75" customHeight="1">
      <c r="D1402" s="101"/>
      <c r="H1402" s="101"/>
    </row>
    <row r="1403" ht="15.75" customHeight="1">
      <c r="D1403" s="101"/>
      <c r="H1403" s="101"/>
    </row>
    <row r="1404" ht="15.75" customHeight="1">
      <c r="D1404" s="101"/>
      <c r="H1404" s="101"/>
    </row>
    <row r="1405" ht="15.75" customHeight="1">
      <c r="D1405" s="101"/>
      <c r="H1405" s="101"/>
    </row>
    <row r="1406" ht="15.75" customHeight="1">
      <c r="D1406" s="101"/>
      <c r="H1406" s="101"/>
    </row>
    <row r="1407" ht="15.75" customHeight="1">
      <c r="D1407" s="101"/>
      <c r="H1407" s="101"/>
    </row>
    <row r="1408" ht="15.75" customHeight="1">
      <c r="D1408" s="101"/>
      <c r="H1408" s="101"/>
    </row>
    <row r="1409" ht="15.75" customHeight="1">
      <c r="D1409" s="101"/>
      <c r="H1409" s="101"/>
    </row>
    <row r="1410" ht="15.75" customHeight="1">
      <c r="D1410" s="101"/>
      <c r="H1410" s="101"/>
    </row>
    <row r="1411" ht="15.75" customHeight="1">
      <c r="D1411" s="101"/>
      <c r="H1411" s="101"/>
    </row>
    <row r="1412" ht="15.75" customHeight="1">
      <c r="D1412" s="101"/>
      <c r="H1412" s="101"/>
    </row>
    <row r="1413" ht="15.75" customHeight="1">
      <c r="D1413" s="101"/>
      <c r="H1413" s="101"/>
    </row>
    <row r="1414" ht="15.75" customHeight="1">
      <c r="D1414" s="101"/>
      <c r="H1414" s="101"/>
    </row>
    <row r="1415" ht="15.75" customHeight="1">
      <c r="D1415" s="101"/>
      <c r="H1415" s="101"/>
    </row>
    <row r="1416" ht="15.75" customHeight="1">
      <c r="D1416" s="101"/>
      <c r="H1416" s="101"/>
    </row>
    <row r="1417" ht="15.75" customHeight="1">
      <c r="D1417" s="101"/>
      <c r="H1417" s="101"/>
    </row>
    <row r="1418" ht="15.75" customHeight="1">
      <c r="D1418" s="101"/>
      <c r="H1418" s="101"/>
    </row>
    <row r="1419" ht="15.75" customHeight="1">
      <c r="D1419" s="101"/>
      <c r="H1419" s="101"/>
    </row>
    <row r="1420" ht="15.75" customHeight="1">
      <c r="D1420" s="101"/>
      <c r="H1420" s="101"/>
    </row>
    <row r="1421" ht="15.75" customHeight="1">
      <c r="D1421" s="101"/>
      <c r="H1421" s="101"/>
    </row>
    <row r="1422" ht="15.75" customHeight="1">
      <c r="D1422" s="101"/>
      <c r="H1422" s="101"/>
    </row>
    <row r="1423" ht="15.75" customHeight="1">
      <c r="D1423" s="101"/>
      <c r="H1423" s="101"/>
    </row>
    <row r="1424" ht="15.75" customHeight="1">
      <c r="D1424" s="101"/>
      <c r="H1424" s="101"/>
    </row>
    <row r="1425" ht="15.75" customHeight="1">
      <c r="D1425" s="101"/>
      <c r="H1425" s="101"/>
    </row>
    <row r="1426" ht="15.75" customHeight="1">
      <c r="D1426" s="101"/>
      <c r="H1426" s="101"/>
    </row>
    <row r="1427" ht="15.75" customHeight="1">
      <c r="D1427" s="101"/>
      <c r="H1427" s="101"/>
    </row>
    <row r="1428" ht="15.75" customHeight="1">
      <c r="D1428" s="101"/>
      <c r="H1428" s="101"/>
    </row>
    <row r="1429" ht="15.75" customHeight="1">
      <c r="D1429" s="101"/>
      <c r="H1429" s="101"/>
    </row>
    <row r="1430" ht="15.75" customHeight="1">
      <c r="D1430" s="101"/>
      <c r="H1430" s="101"/>
    </row>
    <row r="1431" ht="15.75" customHeight="1">
      <c r="D1431" s="101"/>
      <c r="H1431" s="101"/>
    </row>
    <row r="1432" ht="15.75" customHeight="1">
      <c r="D1432" s="101"/>
      <c r="H1432" s="101"/>
    </row>
    <row r="1433" ht="15.75" customHeight="1">
      <c r="D1433" s="101"/>
      <c r="H1433" s="101"/>
    </row>
    <row r="1434" ht="15.75" customHeight="1">
      <c r="D1434" s="101"/>
      <c r="H1434" s="101"/>
    </row>
    <row r="1435" ht="15.75" customHeight="1">
      <c r="D1435" s="101"/>
      <c r="H1435" s="101"/>
    </row>
    <row r="1436" ht="15.75" customHeight="1">
      <c r="D1436" s="101"/>
      <c r="H1436" s="101"/>
    </row>
    <row r="1437" ht="15.75" customHeight="1">
      <c r="D1437" s="101"/>
      <c r="H1437" s="101"/>
    </row>
    <row r="1438" ht="15.75" customHeight="1">
      <c r="D1438" s="101"/>
      <c r="H1438" s="101"/>
    </row>
    <row r="1439" ht="15.75" customHeight="1">
      <c r="D1439" s="101"/>
      <c r="H1439" s="101"/>
    </row>
    <row r="1440" ht="15.75" customHeight="1">
      <c r="D1440" s="101"/>
      <c r="H1440" s="101"/>
    </row>
    <row r="1441" ht="15.75" customHeight="1">
      <c r="D1441" s="101"/>
      <c r="H1441" s="101"/>
    </row>
    <row r="1442" ht="15.75" customHeight="1">
      <c r="D1442" s="101"/>
      <c r="H1442" s="101"/>
    </row>
    <row r="1443" ht="15.75" customHeight="1">
      <c r="D1443" s="101"/>
      <c r="H1443" s="101"/>
    </row>
    <row r="1444" ht="15.75" customHeight="1">
      <c r="D1444" s="101"/>
      <c r="H1444" s="101"/>
    </row>
    <row r="1445" ht="15.75" customHeight="1">
      <c r="D1445" s="101"/>
      <c r="H1445" s="101"/>
    </row>
    <row r="1446" ht="15.75" customHeight="1">
      <c r="D1446" s="101"/>
      <c r="H1446" s="101"/>
    </row>
    <row r="1447" ht="15.75" customHeight="1">
      <c r="D1447" s="101"/>
      <c r="H1447" s="101"/>
    </row>
    <row r="1448" ht="15.75" customHeight="1">
      <c r="D1448" s="101"/>
      <c r="H1448" s="101"/>
    </row>
    <row r="1449" ht="15.75" customHeight="1">
      <c r="D1449" s="101"/>
      <c r="H1449" s="101"/>
    </row>
    <row r="1450" ht="15.75" customHeight="1">
      <c r="D1450" s="101"/>
      <c r="H1450" s="101"/>
    </row>
    <row r="1451" ht="15.75" customHeight="1">
      <c r="D1451" s="101"/>
      <c r="H1451" s="101"/>
    </row>
    <row r="1452" ht="15.75" customHeight="1">
      <c r="D1452" s="101"/>
      <c r="H1452" s="101"/>
    </row>
    <row r="1453" ht="15.75" customHeight="1">
      <c r="D1453" s="101"/>
      <c r="H1453" s="101"/>
    </row>
    <row r="1454" ht="15.75" customHeight="1">
      <c r="D1454" s="101"/>
      <c r="H1454" s="101"/>
    </row>
    <row r="1455" ht="15.75" customHeight="1">
      <c r="D1455" s="101"/>
      <c r="H1455" s="101"/>
    </row>
    <row r="1456" ht="15.75" customHeight="1">
      <c r="D1456" s="101"/>
      <c r="H1456" s="101"/>
    </row>
    <row r="1457" ht="15.75" customHeight="1">
      <c r="D1457" s="101"/>
      <c r="H1457" s="101"/>
    </row>
    <row r="1458" ht="15.75" customHeight="1">
      <c r="D1458" s="101"/>
      <c r="H1458" s="101"/>
    </row>
    <row r="1459" ht="15.75" customHeight="1">
      <c r="D1459" s="101"/>
      <c r="H1459" s="101"/>
    </row>
    <row r="1460" ht="15.75" customHeight="1">
      <c r="D1460" s="101"/>
      <c r="H1460" s="101"/>
    </row>
    <row r="1461" ht="15.75" customHeight="1">
      <c r="D1461" s="101"/>
      <c r="H1461" s="101"/>
    </row>
    <row r="1462" ht="15.75" customHeight="1">
      <c r="D1462" s="101"/>
      <c r="H1462" s="101"/>
    </row>
    <row r="1463" ht="15.75" customHeight="1">
      <c r="D1463" s="101"/>
      <c r="H1463" s="101"/>
    </row>
    <row r="1464" ht="15.75" customHeight="1">
      <c r="D1464" s="101"/>
      <c r="H1464" s="101"/>
    </row>
    <row r="1465" ht="15.75" customHeight="1">
      <c r="D1465" s="101"/>
      <c r="H1465" s="101"/>
    </row>
    <row r="1466" ht="15.75" customHeight="1">
      <c r="D1466" s="101"/>
      <c r="H1466" s="101"/>
    </row>
    <row r="1467" ht="15.75" customHeight="1">
      <c r="D1467" s="101"/>
      <c r="H1467" s="101"/>
    </row>
    <row r="1468" ht="15.75" customHeight="1">
      <c r="D1468" s="101"/>
      <c r="H1468" s="101"/>
    </row>
    <row r="1469" ht="15.75" customHeight="1">
      <c r="D1469" s="101"/>
      <c r="H1469" s="101"/>
    </row>
    <row r="1470" ht="15.75" customHeight="1">
      <c r="D1470" s="101"/>
      <c r="H1470" s="101"/>
    </row>
    <row r="1471" ht="15.75" customHeight="1">
      <c r="D1471" s="101"/>
      <c r="H1471" s="101"/>
    </row>
    <row r="1472" ht="15.75" customHeight="1">
      <c r="D1472" s="101"/>
      <c r="H1472" s="101"/>
    </row>
    <row r="1473" ht="15.75" customHeight="1">
      <c r="D1473" s="101"/>
      <c r="H1473" s="101"/>
    </row>
    <row r="1474" ht="15.75" customHeight="1">
      <c r="D1474" s="101"/>
      <c r="H1474" s="101"/>
    </row>
    <row r="1475" ht="15.75" customHeight="1">
      <c r="D1475" s="101"/>
      <c r="H1475" s="101"/>
    </row>
    <row r="1476" ht="15.75" customHeight="1">
      <c r="D1476" s="101"/>
      <c r="H1476" s="101"/>
    </row>
    <row r="1477" ht="15.75" customHeight="1">
      <c r="D1477" s="101"/>
      <c r="H1477" s="101"/>
    </row>
    <row r="1478" ht="15.75" customHeight="1">
      <c r="D1478" s="101"/>
      <c r="H1478" s="101"/>
    </row>
    <row r="1479" ht="15.75" customHeight="1">
      <c r="D1479" s="101"/>
      <c r="H1479" s="101"/>
    </row>
    <row r="1480" ht="15.75" customHeight="1">
      <c r="D1480" s="101"/>
      <c r="H1480" s="101"/>
    </row>
    <row r="1481" ht="15.75" customHeight="1">
      <c r="D1481" s="101"/>
      <c r="H1481" s="101"/>
    </row>
    <row r="1482" ht="15.75" customHeight="1">
      <c r="D1482" s="101"/>
      <c r="H1482" s="101"/>
    </row>
    <row r="1483" ht="15.75" customHeight="1">
      <c r="D1483" s="101"/>
      <c r="H1483" s="101"/>
    </row>
    <row r="1484" ht="15.75" customHeight="1">
      <c r="D1484" s="101"/>
      <c r="H1484" s="101"/>
    </row>
    <row r="1485" ht="15.75" customHeight="1">
      <c r="D1485" s="101"/>
      <c r="H1485" s="101"/>
    </row>
    <row r="1486" ht="15.75" customHeight="1">
      <c r="D1486" s="101"/>
      <c r="H1486" s="101"/>
    </row>
    <row r="1487" ht="15.75" customHeight="1">
      <c r="D1487" s="101"/>
      <c r="H1487" s="101"/>
    </row>
    <row r="1488" ht="15.75" customHeight="1">
      <c r="D1488" s="101"/>
      <c r="H1488" s="101"/>
    </row>
    <row r="1489" ht="15.75" customHeight="1">
      <c r="D1489" s="101"/>
      <c r="H1489" s="101"/>
    </row>
    <row r="1490" ht="15.75" customHeight="1">
      <c r="D1490" s="101"/>
      <c r="H1490" s="101"/>
    </row>
    <row r="1491" ht="15.75" customHeight="1">
      <c r="D1491" s="101"/>
      <c r="H1491" s="101"/>
    </row>
    <row r="1492" ht="15.75" customHeight="1">
      <c r="D1492" s="101"/>
      <c r="H1492" s="101"/>
    </row>
    <row r="1493" ht="15.75" customHeight="1">
      <c r="D1493" s="101"/>
      <c r="H1493" s="101"/>
    </row>
    <row r="1494" ht="15.75" customHeight="1">
      <c r="D1494" s="101"/>
      <c r="H1494" s="101"/>
    </row>
    <row r="1495" ht="15.75" customHeight="1">
      <c r="D1495" s="101"/>
      <c r="H1495" s="101"/>
    </row>
    <row r="1496" ht="15.75" customHeight="1">
      <c r="D1496" s="101"/>
      <c r="H1496" s="101"/>
    </row>
    <row r="1497" ht="15.75" customHeight="1">
      <c r="D1497" s="101"/>
      <c r="H1497" s="101"/>
    </row>
    <row r="1498" ht="15.75" customHeight="1">
      <c r="D1498" s="101"/>
      <c r="H1498" s="101"/>
    </row>
    <row r="1499" ht="15.75" customHeight="1">
      <c r="D1499" s="101"/>
      <c r="H1499" s="101"/>
    </row>
    <row r="1500" ht="15.75" customHeight="1">
      <c r="D1500" s="101"/>
      <c r="H1500" s="101"/>
    </row>
    <row r="1501" ht="15.75" customHeight="1">
      <c r="D1501" s="101"/>
      <c r="H1501" s="101"/>
    </row>
    <row r="1502" ht="15.75" customHeight="1">
      <c r="D1502" s="101"/>
      <c r="H1502" s="101"/>
    </row>
    <row r="1503" ht="15.75" customHeight="1">
      <c r="D1503" s="101"/>
      <c r="H1503" s="101"/>
    </row>
    <row r="1504" ht="15.75" customHeight="1">
      <c r="D1504" s="101"/>
      <c r="H1504" s="101"/>
    </row>
    <row r="1505" ht="15.75" customHeight="1">
      <c r="D1505" s="101"/>
      <c r="H1505" s="101"/>
    </row>
    <row r="1506" ht="15.75" customHeight="1">
      <c r="D1506" s="101"/>
      <c r="H1506" s="101"/>
    </row>
    <row r="1507" ht="15.75" customHeight="1">
      <c r="D1507" s="101"/>
      <c r="H1507" s="101"/>
    </row>
    <row r="1508" ht="15.75" customHeight="1">
      <c r="D1508" s="101"/>
      <c r="H1508" s="101"/>
    </row>
    <row r="1509" ht="15.75" customHeight="1">
      <c r="D1509" s="101"/>
      <c r="H1509" s="101"/>
    </row>
    <row r="1510" ht="15.75" customHeight="1">
      <c r="D1510" s="101"/>
      <c r="H1510" s="101"/>
    </row>
    <row r="1511" ht="15.75" customHeight="1">
      <c r="D1511" s="101"/>
      <c r="H1511" s="101"/>
    </row>
    <row r="1512" ht="15.75" customHeight="1">
      <c r="D1512" s="101"/>
      <c r="H1512" s="101"/>
    </row>
    <row r="1513" ht="15.75" customHeight="1">
      <c r="D1513" s="101"/>
      <c r="H1513" s="101"/>
    </row>
    <row r="1514" ht="15.75" customHeight="1">
      <c r="D1514" s="101"/>
      <c r="H1514" s="101"/>
    </row>
    <row r="1515" ht="15.75" customHeight="1">
      <c r="D1515" s="101"/>
      <c r="H1515" s="101"/>
    </row>
    <row r="1516" ht="15.75" customHeight="1">
      <c r="D1516" s="101"/>
      <c r="H1516" s="101"/>
    </row>
    <row r="1517" ht="15.75" customHeight="1">
      <c r="D1517" s="101"/>
      <c r="H1517" s="101"/>
    </row>
    <row r="1518" ht="15.75" customHeight="1">
      <c r="D1518" s="101"/>
      <c r="H1518" s="101"/>
    </row>
    <row r="1519" ht="15.75" customHeight="1">
      <c r="D1519" s="101"/>
      <c r="H1519" s="101"/>
    </row>
    <row r="1520" ht="15.75" customHeight="1">
      <c r="D1520" s="101"/>
      <c r="H1520" s="101"/>
    </row>
    <row r="1521" ht="15.75" customHeight="1">
      <c r="D1521" s="101"/>
      <c r="H1521" s="101"/>
    </row>
    <row r="1522" ht="15.75" customHeight="1">
      <c r="D1522" s="101"/>
      <c r="H1522" s="101"/>
    </row>
    <row r="1523" ht="15.75" customHeight="1">
      <c r="D1523" s="101"/>
      <c r="H1523" s="101"/>
    </row>
    <row r="1524" ht="15.75" customHeight="1">
      <c r="D1524" s="101"/>
      <c r="H1524" s="101"/>
    </row>
    <row r="1525" ht="15.75" customHeight="1">
      <c r="D1525" s="101"/>
      <c r="H1525" s="101"/>
    </row>
    <row r="1526" ht="15.75" customHeight="1">
      <c r="D1526" s="101"/>
      <c r="H1526" s="101"/>
    </row>
    <row r="1527" ht="15.75" customHeight="1">
      <c r="D1527" s="101"/>
      <c r="H1527" s="101"/>
    </row>
    <row r="1528" ht="15.75" customHeight="1">
      <c r="D1528" s="101"/>
      <c r="H1528" s="101"/>
    </row>
    <row r="1529" ht="15.75" customHeight="1">
      <c r="D1529" s="101"/>
      <c r="H1529" s="101"/>
    </row>
    <row r="1530" ht="15.75" customHeight="1">
      <c r="D1530" s="101"/>
      <c r="H1530" s="101"/>
    </row>
    <row r="1531" ht="15.75" customHeight="1">
      <c r="D1531" s="101"/>
      <c r="H1531" s="101"/>
    </row>
    <row r="1532" ht="15.75" customHeight="1">
      <c r="D1532" s="101"/>
      <c r="H1532" s="101"/>
    </row>
    <row r="1533" ht="15.75" customHeight="1">
      <c r="D1533" s="101"/>
      <c r="H1533" s="101"/>
    </row>
    <row r="1534" ht="15.75" customHeight="1">
      <c r="D1534" s="101"/>
      <c r="H1534" s="101"/>
    </row>
    <row r="1535" ht="15.75" customHeight="1">
      <c r="D1535" s="101"/>
      <c r="H1535" s="101"/>
    </row>
    <row r="1536" ht="15.75" customHeight="1">
      <c r="D1536" s="101"/>
      <c r="H1536" s="101"/>
    </row>
    <row r="1537" ht="15.75" customHeight="1">
      <c r="D1537" s="101"/>
      <c r="H1537" s="101"/>
    </row>
    <row r="1538" ht="15.75" customHeight="1">
      <c r="D1538" s="101"/>
      <c r="H1538" s="101"/>
    </row>
    <row r="1539" ht="15.75" customHeight="1">
      <c r="D1539" s="101"/>
      <c r="H1539" s="101"/>
    </row>
    <row r="1540" ht="15.75" customHeight="1">
      <c r="D1540" s="101"/>
      <c r="H1540" s="101"/>
    </row>
    <row r="1541" ht="15.75" customHeight="1">
      <c r="D1541" s="101"/>
      <c r="H1541" s="101"/>
    </row>
    <row r="1542" ht="15.75" customHeight="1">
      <c r="D1542" s="101"/>
      <c r="H1542" s="101"/>
    </row>
    <row r="1543" ht="15.75" customHeight="1">
      <c r="D1543" s="101"/>
      <c r="H1543" s="101"/>
    </row>
    <row r="1544" ht="15.75" customHeight="1">
      <c r="D1544" s="101"/>
      <c r="H1544" s="101"/>
    </row>
    <row r="1545" ht="15.75" customHeight="1">
      <c r="D1545" s="101"/>
      <c r="H1545" s="101"/>
    </row>
    <row r="1546" ht="15.75" customHeight="1">
      <c r="D1546" s="101"/>
      <c r="H1546" s="101"/>
    </row>
    <row r="1547" ht="15.75" customHeight="1">
      <c r="D1547" s="101"/>
      <c r="H1547" s="101"/>
    </row>
    <row r="1548" ht="15.75" customHeight="1">
      <c r="D1548" s="101"/>
      <c r="H1548" s="101"/>
    </row>
    <row r="1549" ht="15.75" customHeight="1">
      <c r="D1549" s="101"/>
      <c r="H1549" s="101"/>
    </row>
    <row r="1550" ht="15.75" customHeight="1">
      <c r="D1550" s="101"/>
      <c r="H1550" s="101"/>
    </row>
    <row r="1551" ht="15.75" customHeight="1">
      <c r="D1551" s="101"/>
      <c r="H1551" s="101"/>
    </row>
    <row r="1552" ht="15.75" customHeight="1">
      <c r="D1552" s="101"/>
      <c r="H1552" s="101"/>
    </row>
    <row r="1553" ht="15.75" customHeight="1">
      <c r="D1553" s="101"/>
      <c r="H1553" s="101"/>
    </row>
    <row r="1554" ht="15.75" customHeight="1">
      <c r="D1554" s="101"/>
      <c r="H1554" s="101"/>
    </row>
    <row r="1555" ht="15.75" customHeight="1">
      <c r="D1555" s="101"/>
      <c r="H1555" s="101"/>
    </row>
    <row r="1556" ht="15.75" customHeight="1">
      <c r="D1556" s="101"/>
      <c r="H1556" s="101"/>
    </row>
    <row r="1557" ht="15.75" customHeight="1">
      <c r="D1557" s="101"/>
      <c r="H1557" s="101"/>
    </row>
    <row r="1558" ht="15.75" customHeight="1">
      <c r="D1558" s="101"/>
      <c r="H1558" s="101"/>
    </row>
    <row r="1559" ht="15.75" customHeight="1">
      <c r="D1559" s="101"/>
      <c r="H1559" s="101"/>
    </row>
    <row r="1560" ht="15.75" customHeight="1">
      <c r="D1560" s="101"/>
      <c r="H1560" s="101"/>
    </row>
    <row r="1561" ht="15.75" customHeight="1">
      <c r="D1561" s="101"/>
      <c r="H1561" s="101"/>
    </row>
    <row r="1562" ht="15.75" customHeight="1">
      <c r="D1562" s="101"/>
      <c r="H1562" s="101"/>
    </row>
    <row r="1563" ht="15.75" customHeight="1">
      <c r="D1563" s="101"/>
      <c r="H1563" s="101"/>
    </row>
    <row r="1564" ht="15.75" customHeight="1">
      <c r="D1564" s="101"/>
      <c r="H1564" s="101"/>
    </row>
    <row r="1565" ht="15.75" customHeight="1">
      <c r="D1565" s="101"/>
      <c r="H1565" s="101"/>
    </row>
    <row r="1566" ht="15.75" customHeight="1">
      <c r="D1566" s="101"/>
      <c r="H1566" s="101"/>
    </row>
    <row r="1567" ht="15.75" customHeight="1">
      <c r="D1567" s="101"/>
      <c r="H1567" s="101"/>
    </row>
    <row r="1568" ht="15.75" customHeight="1">
      <c r="D1568" s="101"/>
      <c r="H1568" s="101"/>
    </row>
    <row r="1569" ht="15.75" customHeight="1">
      <c r="D1569" s="101"/>
      <c r="H1569" s="101"/>
    </row>
    <row r="1570" ht="15.75" customHeight="1">
      <c r="D1570" s="101"/>
      <c r="H1570" s="101"/>
    </row>
    <row r="1571" ht="15.75" customHeight="1">
      <c r="D1571" s="101"/>
      <c r="H1571" s="101"/>
    </row>
    <row r="1572" ht="15.75" customHeight="1">
      <c r="D1572" s="101"/>
      <c r="H1572" s="101"/>
    </row>
    <row r="1573" ht="15.75" customHeight="1">
      <c r="D1573" s="101"/>
      <c r="H1573" s="101"/>
    </row>
    <row r="1574" ht="15.75" customHeight="1">
      <c r="D1574" s="101"/>
      <c r="H1574" s="101"/>
    </row>
    <row r="1575" ht="15.75" customHeight="1">
      <c r="D1575" s="101"/>
      <c r="H1575" s="101"/>
    </row>
    <row r="1576" ht="15.75" customHeight="1">
      <c r="D1576" s="101"/>
      <c r="H1576" s="101"/>
    </row>
    <row r="1577" ht="15.75" customHeight="1">
      <c r="D1577" s="101"/>
      <c r="H1577" s="101"/>
    </row>
    <row r="1578" ht="15.75" customHeight="1">
      <c r="D1578" s="101"/>
      <c r="H1578" s="101"/>
    </row>
    <row r="1579" ht="15.75" customHeight="1">
      <c r="D1579" s="101"/>
      <c r="H1579" s="101"/>
    </row>
    <row r="1580" ht="15.75" customHeight="1">
      <c r="D1580" s="101"/>
      <c r="H1580" s="101"/>
    </row>
    <row r="1581" ht="15.75" customHeight="1">
      <c r="D1581" s="101"/>
      <c r="H1581" s="101"/>
    </row>
    <row r="1582" ht="15.75" customHeight="1">
      <c r="D1582" s="101"/>
      <c r="H1582" s="101"/>
    </row>
    <row r="1583" ht="15.75" customHeight="1">
      <c r="D1583" s="101"/>
      <c r="H1583" s="101"/>
    </row>
    <row r="1584" ht="15.75" customHeight="1">
      <c r="D1584" s="101"/>
      <c r="H1584" s="101"/>
    </row>
    <row r="1585" ht="15.75" customHeight="1">
      <c r="D1585" s="101"/>
      <c r="H1585" s="101"/>
    </row>
    <row r="1586" ht="15.75" customHeight="1">
      <c r="D1586" s="101"/>
      <c r="H1586" s="101"/>
    </row>
    <row r="1587" ht="15.75" customHeight="1">
      <c r="D1587" s="101"/>
      <c r="H1587" s="101"/>
    </row>
    <row r="1588" ht="15.75" customHeight="1">
      <c r="D1588" s="101"/>
      <c r="H1588" s="101"/>
    </row>
    <row r="1589" ht="15.75" customHeight="1">
      <c r="D1589" s="101"/>
      <c r="H1589" s="101"/>
    </row>
    <row r="1590" ht="15.75" customHeight="1">
      <c r="D1590" s="101"/>
      <c r="H1590" s="101"/>
    </row>
    <row r="1591" ht="15.75" customHeight="1">
      <c r="D1591" s="101"/>
      <c r="H1591" s="101"/>
    </row>
    <row r="1592" ht="15.75" customHeight="1">
      <c r="D1592" s="101"/>
      <c r="H1592" s="101"/>
    </row>
    <row r="1593" ht="15.75" customHeight="1">
      <c r="D1593" s="101"/>
      <c r="H1593" s="101"/>
    </row>
    <row r="1594" ht="15.75" customHeight="1">
      <c r="D1594" s="101"/>
      <c r="H1594" s="101"/>
    </row>
    <row r="1595" ht="15.75" customHeight="1">
      <c r="D1595" s="101"/>
      <c r="H1595" s="101"/>
    </row>
    <row r="1596" ht="15.75" customHeight="1">
      <c r="D1596" s="101"/>
      <c r="H1596" s="101"/>
    </row>
    <row r="1597" ht="15.75" customHeight="1">
      <c r="D1597" s="101"/>
      <c r="H1597" s="101"/>
    </row>
    <row r="1598" ht="15.75" customHeight="1">
      <c r="D1598" s="101"/>
      <c r="H1598" s="101"/>
    </row>
    <row r="1599" ht="15.75" customHeight="1">
      <c r="D1599" s="101"/>
      <c r="H1599" s="101"/>
    </row>
    <row r="1600" ht="15.75" customHeight="1">
      <c r="D1600" s="101"/>
      <c r="H1600" s="101"/>
    </row>
    <row r="1601" ht="15.75" customHeight="1">
      <c r="D1601" s="101"/>
      <c r="H1601" s="101"/>
    </row>
    <row r="1602" ht="15.75" customHeight="1">
      <c r="D1602" s="101"/>
      <c r="H1602" s="101"/>
    </row>
    <row r="1603" ht="15.75" customHeight="1">
      <c r="D1603" s="101"/>
      <c r="H1603" s="101"/>
    </row>
    <row r="1604" ht="15.75" customHeight="1">
      <c r="D1604" s="101"/>
      <c r="H1604" s="101"/>
    </row>
    <row r="1605" ht="15.75" customHeight="1">
      <c r="D1605" s="101"/>
      <c r="H1605" s="101"/>
    </row>
    <row r="1606" ht="15.75" customHeight="1">
      <c r="D1606" s="101"/>
      <c r="H1606" s="101"/>
    </row>
    <row r="1607" ht="15.75" customHeight="1">
      <c r="D1607" s="101"/>
      <c r="H1607" s="101"/>
    </row>
    <row r="1608" ht="15.75" customHeight="1">
      <c r="D1608" s="101"/>
      <c r="H1608" s="101"/>
    </row>
    <row r="1609" ht="15.75" customHeight="1">
      <c r="D1609" s="101"/>
      <c r="H1609" s="101"/>
    </row>
    <row r="1610" ht="15.75" customHeight="1">
      <c r="D1610" s="101"/>
      <c r="H1610" s="101"/>
    </row>
    <row r="1611" ht="15.75" customHeight="1">
      <c r="D1611" s="101"/>
      <c r="H1611" s="101"/>
    </row>
    <row r="1612" ht="15.75" customHeight="1">
      <c r="D1612" s="101"/>
      <c r="H1612" s="101"/>
    </row>
    <row r="1613" ht="15.75" customHeight="1">
      <c r="D1613" s="101"/>
      <c r="H1613" s="101"/>
    </row>
    <row r="1614" ht="15.75" customHeight="1">
      <c r="D1614" s="101"/>
      <c r="H1614" s="101"/>
    </row>
    <row r="1615" ht="15.75" customHeight="1">
      <c r="D1615" s="101"/>
      <c r="H1615" s="101"/>
    </row>
    <row r="1616" ht="15.75" customHeight="1">
      <c r="D1616" s="101"/>
      <c r="H1616" s="101"/>
    </row>
    <row r="1617" ht="15.75" customHeight="1">
      <c r="D1617" s="101"/>
      <c r="H1617" s="101"/>
    </row>
    <row r="1618" ht="15.75" customHeight="1">
      <c r="D1618" s="101"/>
      <c r="H1618" s="101"/>
    </row>
    <row r="1619" ht="15.75" customHeight="1">
      <c r="D1619" s="101"/>
      <c r="H1619" s="101"/>
    </row>
    <row r="1620" ht="15.75" customHeight="1">
      <c r="D1620" s="101"/>
      <c r="H1620" s="101"/>
    </row>
    <row r="1621" ht="15.75" customHeight="1">
      <c r="D1621" s="101"/>
      <c r="H1621" s="101"/>
    </row>
    <row r="1622" ht="15.75" customHeight="1">
      <c r="D1622" s="101"/>
      <c r="H1622" s="101"/>
    </row>
    <row r="1623" ht="15.75" customHeight="1">
      <c r="D1623" s="101"/>
      <c r="H1623" s="101"/>
    </row>
    <row r="1624" ht="15.75" customHeight="1">
      <c r="D1624" s="101"/>
      <c r="H1624" s="101"/>
    </row>
    <row r="1625" ht="15.75" customHeight="1">
      <c r="D1625" s="101"/>
      <c r="H1625" s="101"/>
    </row>
    <row r="1626" ht="15.75" customHeight="1">
      <c r="D1626" s="101"/>
      <c r="H1626" s="101"/>
    </row>
    <row r="1627" ht="15.75" customHeight="1">
      <c r="D1627" s="101"/>
      <c r="H1627" s="101"/>
    </row>
    <row r="1628" ht="15.75" customHeight="1">
      <c r="D1628" s="101"/>
      <c r="H1628" s="101"/>
    </row>
    <row r="1629" ht="15.75" customHeight="1">
      <c r="D1629" s="101"/>
      <c r="H1629" s="101"/>
    </row>
    <row r="1630" ht="15.75" customHeight="1">
      <c r="D1630" s="101"/>
      <c r="H1630" s="101"/>
    </row>
    <row r="1631" ht="15.75" customHeight="1">
      <c r="D1631" s="101"/>
      <c r="H1631" s="101"/>
    </row>
    <row r="1632" ht="15.75" customHeight="1">
      <c r="D1632" s="101"/>
      <c r="H1632" s="101"/>
    </row>
    <row r="1633" ht="15.75" customHeight="1">
      <c r="D1633" s="101"/>
      <c r="H1633" s="101"/>
    </row>
    <row r="1634" ht="15.75" customHeight="1">
      <c r="D1634" s="101"/>
      <c r="H1634" s="101"/>
    </row>
    <row r="1635" ht="15.75" customHeight="1">
      <c r="D1635" s="101"/>
      <c r="H1635" s="101"/>
    </row>
    <row r="1636" ht="15.75" customHeight="1">
      <c r="D1636" s="101"/>
      <c r="H1636" s="101"/>
    </row>
    <row r="1637" ht="15.75" customHeight="1">
      <c r="D1637" s="101"/>
      <c r="H1637" s="101"/>
    </row>
    <row r="1638" ht="15.75" customHeight="1">
      <c r="D1638" s="101"/>
      <c r="H1638" s="101"/>
    </row>
    <row r="1639" ht="15.75" customHeight="1">
      <c r="D1639" s="101"/>
      <c r="H1639" s="101"/>
    </row>
    <row r="1640" ht="15.75" customHeight="1">
      <c r="D1640" s="101"/>
      <c r="H1640" s="101"/>
    </row>
    <row r="1641" ht="15.75" customHeight="1">
      <c r="D1641" s="101"/>
      <c r="H1641" s="101"/>
    </row>
    <row r="1642" ht="15.75" customHeight="1">
      <c r="D1642" s="101"/>
      <c r="H1642" s="101"/>
    </row>
    <row r="1643" ht="15.75" customHeight="1">
      <c r="D1643" s="101"/>
      <c r="H1643" s="101"/>
    </row>
    <row r="1644" ht="15.75" customHeight="1">
      <c r="D1644" s="101"/>
      <c r="H1644" s="101"/>
    </row>
    <row r="1645" ht="15.75" customHeight="1">
      <c r="D1645" s="101"/>
      <c r="H1645" s="101"/>
    </row>
    <row r="1646" ht="15.75" customHeight="1">
      <c r="D1646" s="101"/>
      <c r="H1646" s="101"/>
    </row>
    <row r="1647" ht="15.75" customHeight="1">
      <c r="D1647" s="101"/>
      <c r="H1647" s="101"/>
    </row>
    <row r="1648" ht="15.75" customHeight="1">
      <c r="D1648" s="101"/>
      <c r="H1648" s="101"/>
    </row>
    <row r="1649" ht="15.75" customHeight="1">
      <c r="D1649" s="101"/>
      <c r="H1649" s="101"/>
    </row>
    <row r="1650" ht="15.75" customHeight="1">
      <c r="D1650" s="101"/>
      <c r="H1650" s="101"/>
    </row>
    <row r="1651" ht="15.75" customHeight="1">
      <c r="D1651" s="101"/>
      <c r="H1651" s="101"/>
    </row>
    <row r="1652" ht="15.75" customHeight="1">
      <c r="D1652" s="101"/>
      <c r="H1652" s="101"/>
    </row>
    <row r="1653" ht="15.75" customHeight="1">
      <c r="D1653" s="101"/>
      <c r="H1653" s="101"/>
    </row>
    <row r="1654" ht="15.75" customHeight="1">
      <c r="D1654" s="101"/>
      <c r="H1654" s="101"/>
    </row>
    <row r="1655" ht="15.75" customHeight="1">
      <c r="D1655" s="101"/>
      <c r="H1655" s="101"/>
    </row>
    <row r="1656" ht="15.75" customHeight="1">
      <c r="D1656" s="101"/>
      <c r="H1656" s="101"/>
    </row>
    <row r="1657" ht="15.75" customHeight="1">
      <c r="D1657" s="101"/>
      <c r="H1657" s="101"/>
    </row>
    <row r="1658" ht="15.75" customHeight="1">
      <c r="D1658" s="101"/>
      <c r="H1658" s="101"/>
    </row>
    <row r="1659" ht="15.75" customHeight="1">
      <c r="D1659" s="101"/>
      <c r="H1659" s="101"/>
    </row>
    <row r="1660" ht="15.75" customHeight="1">
      <c r="D1660" s="101"/>
      <c r="H1660" s="101"/>
    </row>
    <row r="1661" ht="15.75" customHeight="1">
      <c r="D1661" s="101"/>
      <c r="H1661" s="101"/>
    </row>
    <row r="1662" ht="15.75" customHeight="1">
      <c r="D1662" s="101"/>
      <c r="H1662" s="101"/>
    </row>
    <row r="1663" ht="15.75" customHeight="1">
      <c r="D1663" s="101"/>
      <c r="H1663" s="101"/>
    </row>
    <row r="1664" ht="15.75" customHeight="1">
      <c r="D1664" s="101"/>
      <c r="H1664" s="101"/>
    </row>
    <row r="1665" ht="15.75" customHeight="1">
      <c r="D1665" s="101"/>
      <c r="H1665" s="101"/>
    </row>
    <row r="1666" ht="15.75" customHeight="1">
      <c r="D1666" s="101"/>
      <c r="H1666" s="101"/>
    </row>
    <row r="1667" ht="15.75" customHeight="1">
      <c r="D1667" s="101"/>
      <c r="H1667" s="101"/>
    </row>
    <row r="1668" ht="15.75" customHeight="1">
      <c r="D1668" s="101"/>
      <c r="H1668" s="101"/>
    </row>
    <row r="1669" ht="15.75" customHeight="1">
      <c r="D1669" s="101"/>
      <c r="H1669" s="101"/>
    </row>
    <row r="1670" ht="15.75" customHeight="1">
      <c r="D1670" s="101"/>
      <c r="H1670" s="101"/>
    </row>
    <row r="1671" ht="15.75" customHeight="1">
      <c r="D1671" s="101"/>
      <c r="H1671" s="101"/>
    </row>
    <row r="1672" ht="15.75" customHeight="1">
      <c r="D1672" s="101"/>
      <c r="H1672" s="101"/>
    </row>
    <row r="1673" ht="15.75" customHeight="1">
      <c r="D1673" s="101"/>
      <c r="H1673" s="101"/>
    </row>
    <row r="1674" ht="15.75" customHeight="1">
      <c r="D1674" s="101"/>
      <c r="H1674" s="101"/>
    </row>
    <row r="1675" ht="15.75" customHeight="1">
      <c r="D1675" s="101"/>
      <c r="H1675" s="101"/>
    </row>
    <row r="1676" ht="15.75" customHeight="1">
      <c r="D1676" s="101"/>
      <c r="H1676" s="101"/>
    </row>
    <row r="1677" ht="15.75" customHeight="1">
      <c r="D1677" s="101"/>
      <c r="H1677" s="101"/>
    </row>
    <row r="1678" ht="15.75" customHeight="1">
      <c r="D1678" s="101"/>
      <c r="H1678" s="101"/>
    </row>
    <row r="1679" ht="15.75" customHeight="1">
      <c r="D1679" s="101"/>
      <c r="H1679" s="101"/>
    </row>
    <row r="1680" ht="15.75" customHeight="1">
      <c r="D1680" s="101"/>
      <c r="H1680" s="101"/>
    </row>
    <row r="1681" ht="15.75" customHeight="1">
      <c r="D1681" s="101"/>
      <c r="H1681" s="101"/>
    </row>
    <row r="1682" ht="15.75" customHeight="1">
      <c r="D1682" s="101"/>
      <c r="H1682" s="101"/>
    </row>
    <row r="1683" ht="15.75" customHeight="1">
      <c r="D1683" s="101"/>
      <c r="H1683" s="101"/>
    </row>
    <row r="1684" ht="15.75" customHeight="1">
      <c r="D1684" s="101"/>
      <c r="H1684" s="101"/>
    </row>
    <row r="1685" ht="15.75" customHeight="1">
      <c r="D1685" s="101"/>
      <c r="H1685" s="101"/>
    </row>
    <row r="1686" ht="15.75" customHeight="1">
      <c r="D1686" s="101"/>
      <c r="H1686" s="101"/>
    </row>
    <row r="1687" ht="15.75" customHeight="1">
      <c r="D1687" s="101"/>
      <c r="H1687" s="101"/>
    </row>
    <row r="1688" ht="15.75" customHeight="1">
      <c r="D1688" s="101"/>
      <c r="H1688" s="101"/>
    </row>
    <row r="1689" ht="15.75" customHeight="1">
      <c r="D1689" s="101"/>
      <c r="H1689" s="101"/>
    </row>
    <row r="1690" ht="15.75" customHeight="1">
      <c r="D1690" s="101"/>
      <c r="H1690" s="101"/>
    </row>
    <row r="1691" ht="15.75" customHeight="1">
      <c r="D1691" s="101"/>
      <c r="H1691" s="101"/>
    </row>
    <row r="1692" ht="15.75" customHeight="1">
      <c r="D1692" s="101"/>
      <c r="H1692" s="101"/>
    </row>
    <row r="1693" ht="15.75" customHeight="1">
      <c r="D1693" s="101"/>
      <c r="H1693" s="101"/>
    </row>
    <row r="1694" ht="15.75" customHeight="1">
      <c r="D1694" s="101"/>
      <c r="H1694" s="101"/>
    </row>
    <row r="1695" ht="15.75" customHeight="1">
      <c r="D1695" s="101"/>
      <c r="H1695" s="101"/>
    </row>
    <row r="1696" ht="15.75" customHeight="1">
      <c r="D1696" s="101"/>
      <c r="H1696" s="101"/>
    </row>
    <row r="1697" ht="15.75" customHeight="1">
      <c r="D1697" s="101"/>
      <c r="H1697" s="101"/>
    </row>
    <row r="1698" ht="15.75" customHeight="1">
      <c r="D1698" s="101"/>
      <c r="H1698" s="101"/>
    </row>
    <row r="1699" ht="15.75" customHeight="1">
      <c r="D1699" s="101"/>
      <c r="H1699" s="101"/>
    </row>
    <row r="1700" ht="15.75" customHeight="1">
      <c r="D1700" s="101"/>
      <c r="H1700" s="101"/>
    </row>
    <row r="1701" ht="15.75" customHeight="1">
      <c r="D1701" s="101"/>
      <c r="H1701" s="101"/>
    </row>
    <row r="1702" ht="15.75" customHeight="1">
      <c r="D1702" s="101"/>
      <c r="H1702" s="101"/>
    </row>
    <row r="1703" ht="15.75" customHeight="1">
      <c r="D1703" s="101"/>
      <c r="H1703" s="101"/>
    </row>
    <row r="1704" ht="15.75" customHeight="1">
      <c r="D1704" s="101"/>
      <c r="H1704" s="101"/>
    </row>
    <row r="1705" ht="15.75" customHeight="1">
      <c r="D1705" s="101"/>
      <c r="H1705" s="101"/>
    </row>
    <row r="1706" ht="15.75" customHeight="1">
      <c r="D1706" s="101"/>
      <c r="H1706" s="101"/>
    </row>
    <row r="1707" ht="15.75" customHeight="1">
      <c r="D1707" s="101"/>
      <c r="H1707" s="101"/>
    </row>
    <row r="1708" ht="15.75" customHeight="1">
      <c r="D1708" s="101"/>
      <c r="H1708" s="101"/>
    </row>
    <row r="1709" ht="15.75" customHeight="1">
      <c r="D1709" s="101"/>
      <c r="H1709" s="101"/>
    </row>
    <row r="1710" ht="15.75" customHeight="1">
      <c r="D1710" s="101"/>
      <c r="H1710" s="101"/>
    </row>
    <row r="1711" ht="15.75" customHeight="1">
      <c r="D1711" s="101"/>
      <c r="H1711" s="101"/>
    </row>
    <row r="1712" ht="15.75" customHeight="1">
      <c r="D1712" s="101"/>
      <c r="H1712" s="101"/>
    </row>
    <row r="1713" ht="15.75" customHeight="1">
      <c r="D1713" s="101"/>
      <c r="H1713" s="101"/>
    </row>
    <row r="1714" ht="15.75" customHeight="1">
      <c r="D1714" s="101"/>
      <c r="H1714" s="101"/>
    </row>
    <row r="1715" ht="15.75" customHeight="1">
      <c r="D1715" s="101"/>
      <c r="H1715" s="101"/>
    </row>
    <row r="1716" ht="15.75" customHeight="1">
      <c r="D1716" s="101"/>
      <c r="H1716" s="101"/>
    </row>
    <row r="1717" ht="15.75" customHeight="1">
      <c r="D1717" s="101"/>
      <c r="H1717" s="101"/>
    </row>
    <row r="1718" ht="15.75" customHeight="1">
      <c r="D1718" s="101"/>
      <c r="H1718" s="101"/>
    </row>
    <row r="1719" ht="15.75" customHeight="1">
      <c r="D1719" s="101"/>
      <c r="H1719" s="101"/>
    </row>
    <row r="1720" ht="15.75" customHeight="1">
      <c r="D1720" s="101"/>
      <c r="H1720" s="101"/>
    </row>
    <row r="1721" ht="15.75" customHeight="1">
      <c r="D1721" s="101"/>
      <c r="H1721" s="101"/>
    </row>
    <row r="1722" ht="15.75" customHeight="1">
      <c r="D1722" s="101"/>
      <c r="H1722" s="101"/>
    </row>
    <row r="1723" ht="15.75" customHeight="1">
      <c r="D1723" s="101"/>
      <c r="H1723" s="101"/>
    </row>
    <row r="1724" ht="15.75" customHeight="1">
      <c r="D1724" s="101"/>
      <c r="H1724" s="101"/>
    </row>
    <row r="1725" ht="15.75" customHeight="1">
      <c r="D1725" s="101"/>
      <c r="H1725" s="101"/>
    </row>
    <row r="1726" ht="15.75" customHeight="1">
      <c r="D1726" s="101"/>
      <c r="H1726" s="101"/>
    </row>
    <row r="1727" ht="15.75" customHeight="1">
      <c r="D1727" s="101"/>
      <c r="H1727" s="101"/>
    </row>
    <row r="1728" ht="15.75" customHeight="1">
      <c r="D1728" s="101"/>
      <c r="H1728" s="101"/>
    </row>
    <row r="1729" ht="15.75" customHeight="1">
      <c r="D1729" s="101"/>
      <c r="H1729" s="101"/>
    </row>
    <row r="1730" ht="15.75" customHeight="1">
      <c r="D1730" s="101"/>
      <c r="H1730" s="101"/>
    </row>
    <row r="1731" ht="15.75" customHeight="1">
      <c r="D1731" s="101"/>
      <c r="H1731" s="101"/>
    </row>
    <row r="1732" ht="15.75" customHeight="1">
      <c r="D1732" s="101"/>
      <c r="H1732" s="101"/>
    </row>
    <row r="1733" ht="15.75" customHeight="1">
      <c r="D1733" s="101"/>
      <c r="H1733" s="101"/>
    </row>
    <row r="1734" ht="15.75" customHeight="1">
      <c r="D1734" s="101"/>
      <c r="H1734" s="101"/>
    </row>
    <row r="1735" ht="15.75" customHeight="1">
      <c r="D1735" s="101"/>
      <c r="H1735" s="101"/>
    </row>
    <row r="1736" ht="15.75" customHeight="1">
      <c r="D1736" s="101"/>
      <c r="H1736" s="101"/>
    </row>
    <row r="1737" ht="15.75" customHeight="1">
      <c r="D1737" s="101"/>
      <c r="H1737" s="101"/>
    </row>
    <row r="1738" ht="15.75" customHeight="1">
      <c r="D1738" s="101"/>
      <c r="H1738" s="101"/>
    </row>
    <row r="1739" ht="15.75" customHeight="1">
      <c r="D1739" s="101"/>
      <c r="H1739" s="101"/>
    </row>
    <row r="1740" ht="15.75" customHeight="1">
      <c r="D1740" s="101"/>
      <c r="H1740" s="101"/>
    </row>
    <row r="1741" ht="15.75" customHeight="1">
      <c r="D1741" s="101"/>
      <c r="H1741" s="101"/>
    </row>
    <row r="1742" ht="15.75" customHeight="1">
      <c r="D1742" s="101"/>
      <c r="H1742" s="101"/>
    </row>
    <row r="1743" ht="15.75" customHeight="1">
      <c r="D1743" s="101"/>
      <c r="H1743" s="101"/>
    </row>
    <row r="1744" ht="15.75" customHeight="1">
      <c r="D1744" s="101"/>
      <c r="H1744" s="101"/>
    </row>
    <row r="1745" ht="15.75" customHeight="1">
      <c r="D1745" s="101"/>
      <c r="H1745" s="101"/>
    </row>
    <row r="1746" ht="15.75" customHeight="1">
      <c r="D1746" s="101"/>
      <c r="H1746" s="101"/>
    </row>
    <row r="1747" ht="15.75" customHeight="1">
      <c r="D1747" s="101"/>
      <c r="H1747" s="101"/>
    </row>
    <row r="1748" ht="15.75" customHeight="1">
      <c r="D1748" s="101"/>
      <c r="H1748" s="101"/>
    </row>
    <row r="1749" ht="15.75" customHeight="1">
      <c r="D1749" s="101"/>
      <c r="H1749" s="101"/>
    </row>
    <row r="1750" ht="15.75" customHeight="1">
      <c r="D1750" s="101"/>
      <c r="H1750" s="101"/>
    </row>
    <row r="1751" ht="15.75" customHeight="1">
      <c r="D1751" s="101"/>
      <c r="H1751" s="101"/>
    </row>
    <row r="1752" ht="15.75" customHeight="1">
      <c r="D1752" s="101"/>
      <c r="H1752" s="101"/>
    </row>
    <row r="1753" ht="15.75" customHeight="1">
      <c r="D1753" s="101"/>
      <c r="H1753" s="101"/>
    </row>
    <row r="1754" ht="15.75" customHeight="1">
      <c r="D1754" s="101"/>
      <c r="H1754" s="101"/>
    </row>
    <row r="1755" ht="15.75" customHeight="1">
      <c r="D1755" s="101"/>
      <c r="H1755" s="101"/>
    </row>
    <row r="1756" ht="15.75" customHeight="1">
      <c r="D1756" s="101"/>
      <c r="H1756" s="101"/>
    </row>
    <row r="1757" ht="15.75" customHeight="1">
      <c r="D1757" s="101"/>
      <c r="H1757" s="101"/>
    </row>
    <row r="1758" ht="15.75" customHeight="1">
      <c r="D1758" s="101"/>
      <c r="H1758" s="101"/>
    </row>
    <row r="1759" ht="15.75" customHeight="1">
      <c r="D1759" s="101"/>
      <c r="H1759" s="101"/>
    </row>
    <row r="1760" ht="15.75" customHeight="1">
      <c r="D1760" s="101"/>
      <c r="H1760" s="101"/>
    </row>
    <row r="1761" ht="15.75" customHeight="1">
      <c r="D1761" s="101"/>
      <c r="H1761" s="101"/>
    </row>
    <row r="1762" ht="15.75" customHeight="1">
      <c r="D1762" s="101"/>
      <c r="H1762" s="101"/>
    </row>
    <row r="1763" ht="15.75" customHeight="1">
      <c r="D1763" s="101"/>
      <c r="H1763" s="101"/>
    </row>
    <row r="1764" ht="15.75" customHeight="1">
      <c r="D1764" s="101"/>
      <c r="H1764" s="101"/>
    </row>
    <row r="1765" ht="15.75" customHeight="1">
      <c r="D1765" s="101"/>
      <c r="H1765" s="101"/>
    </row>
    <row r="1766" ht="15.75" customHeight="1">
      <c r="D1766" s="101"/>
      <c r="H1766" s="101"/>
    </row>
    <row r="1767" ht="15.75" customHeight="1">
      <c r="D1767" s="101"/>
      <c r="H1767" s="101"/>
    </row>
    <row r="1768" ht="15.75" customHeight="1">
      <c r="D1768" s="101"/>
      <c r="H1768" s="101"/>
    </row>
    <row r="1769" ht="15.75" customHeight="1">
      <c r="D1769" s="101"/>
      <c r="H1769" s="101"/>
    </row>
    <row r="1770" ht="15.75" customHeight="1">
      <c r="D1770" s="101"/>
      <c r="H1770" s="101"/>
    </row>
    <row r="1771" ht="15.75" customHeight="1">
      <c r="D1771" s="101"/>
      <c r="H1771" s="101"/>
    </row>
    <row r="1772" ht="15.75" customHeight="1">
      <c r="D1772" s="101"/>
      <c r="H1772" s="101"/>
    </row>
    <row r="1773" ht="15.75" customHeight="1">
      <c r="D1773" s="101"/>
      <c r="H1773" s="101"/>
    </row>
    <row r="1774" ht="15.75" customHeight="1">
      <c r="D1774" s="101"/>
      <c r="H1774" s="101"/>
    </row>
    <row r="1775" ht="15.75" customHeight="1">
      <c r="D1775" s="101"/>
      <c r="H1775" s="101"/>
    </row>
    <row r="1776" ht="15.75" customHeight="1">
      <c r="D1776" s="101"/>
      <c r="H1776" s="101"/>
    </row>
    <row r="1777" ht="15.75" customHeight="1">
      <c r="D1777" s="101"/>
      <c r="H1777" s="101"/>
    </row>
    <row r="1778" ht="15.75" customHeight="1">
      <c r="D1778" s="101"/>
      <c r="H1778" s="101"/>
    </row>
    <row r="1779" ht="15.75" customHeight="1">
      <c r="D1779" s="101"/>
      <c r="H1779" s="101"/>
    </row>
    <row r="1780" ht="15.75" customHeight="1">
      <c r="D1780" s="101"/>
      <c r="H1780" s="101"/>
    </row>
    <row r="1781" ht="15.75" customHeight="1">
      <c r="D1781" s="101"/>
      <c r="H1781" s="101"/>
    </row>
    <row r="1782" ht="15.75" customHeight="1">
      <c r="D1782" s="101"/>
      <c r="H1782" s="101"/>
    </row>
    <row r="1783" ht="15.75" customHeight="1">
      <c r="D1783" s="101"/>
      <c r="H1783" s="101"/>
    </row>
    <row r="1784" ht="15.75" customHeight="1">
      <c r="D1784" s="101"/>
      <c r="H1784" s="101"/>
    </row>
    <row r="1785" ht="15.75" customHeight="1">
      <c r="D1785" s="101"/>
      <c r="H1785" s="101"/>
    </row>
    <row r="1786" ht="15.75" customHeight="1">
      <c r="D1786" s="101"/>
      <c r="H1786" s="101"/>
    </row>
    <row r="1787" ht="15.75" customHeight="1">
      <c r="D1787" s="101"/>
      <c r="H1787" s="101"/>
    </row>
    <row r="1788" ht="15.75" customHeight="1">
      <c r="D1788" s="101"/>
      <c r="H1788" s="101"/>
    </row>
    <row r="1789" ht="15.75" customHeight="1">
      <c r="D1789" s="101"/>
      <c r="H1789" s="101"/>
    </row>
    <row r="1790" ht="15.75" customHeight="1">
      <c r="D1790" s="101"/>
      <c r="H1790" s="101"/>
    </row>
    <row r="1791" ht="15.75" customHeight="1">
      <c r="D1791" s="101"/>
      <c r="H1791" s="101"/>
    </row>
    <row r="1792" ht="15.75" customHeight="1">
      <c r="D1792" s="101"/>
      <c r="H1792" s="101"/>
    </row>
    <row r="1793" ht="15.75" customHeight="1">
      <c r="D1793" s="101"/>
      <c r="H1793" s="101"/>
    </row>
    <row r="1794" ht="15.75" customHeight="1">
      <c r="D1794" s="101"/>
      <c r="H1794" s="101"/>
    </row>
    <row r="1795" ht="15.75" customHeight="1">
      <c r="D1795" s="101"/>
      <c r="H1795" s="101"/>
    </row>
    <row r="1796" ht="15.75" customHeight="1">
      <c r="D1796" s="101"/>
      <c r="H1796" s="101"/>
    </row>
    <row r="1797" ht="15.75" customHeight="1">
      <c r="D1797" s="101"/>
      <c r="H1797" s="101"/>
    </row>
    <row r="1798" ht="15.75" customHeight="1">
      <c r="D1798" s="101"/>
      <c r="H1798" s="101"/>
    </row>
    <row r="1799" ht="15.75" customHeight="1">
      <c r="D1799" s="101"/>
      <c r="H1799" s="101"/>
    </row>
    <row r="1800" ht="15.75" customHeight="1">
      <c r="D1800" s="101"/>
      <c r="H1800" s="101"/>
    </row>
    <row r="1801" ht="15.75" customHeight="1">
      <c r="D1801" s="101"/>
      <c r="H1801" s="101"/>
    </row>
    <row r="1802" ht="15.75" customHeight="1">
      <c r="D1802" s="101"/>
      <c r="H1802" s="101"/>
    </row>
    <row r="1803" ht="15.75" customHeight="1">
      <c r="D1803" s="101"/>
      <c r="H1803" s="101"/>
    </row>
    <row r="1804" ht="15.75" customHeight="1">
      <c r="D1804" s="101"/>
      <c r="H1804" s="101"/>
    </row>
    <row r="1805" ht="15.75" customHeight="1">
      <c r="D1805" s="101"/>
      <c r="H1805" s="101"/>
    </row>
    <row r="1806" ht="15.75" customHeight="1">
      <c r="D1806" s="101"/>
      <c r="H1806" s="101"/>
    </row>
    <row r="1807" ht="15.75" customHeight="1">
      <c r="D1807" s="101"/>
      <c r="H1807" s="101"/>
    </row>
    <row r="1808" ht="15.75" customHeight="1">
      <c r="D1808" s="101"/>
      <c r="H1808" s="101"/>
    </row>
    <row r="1809" ht="15.75" customHeight="1">
      <c r="D1809" s="101"/>
      <c r="H1809" s="101"/>
    </row>
    <row r="1810" ht="15.75" customHeight="1">
      <c r="D1810" s="101"/>
      <c r="H1810" s="101"/>
    </row>
    <row r="1811" ht="15.75" customHeight="1">
      <c r="D1811" s="101"/>
      <c r="H1811" s="101"/>
    </row>
    <row r="1812" ht="15.75" customHeight="1">
      <c r="D1812" s="101"/>
      <c r="H1812" s="101"/>
    </row>
    <row r="1813" ht="15.75" customHeight="1">
      <c r="D1813" s="101"/>
      <c r="H1813" s="101"/>
    </row>
    <row r="1814" ht="15.75" customHeight="1">
      <c r="D1814" s="101"/>
      <c r="H1814" s="101"/>
    </row>
    <row r="1815" ht="15.75" customHeight="1">
      <c r="D1815" s="101"/>
      <c r="H1815" s="101"/>
    </row>
    <row r="1816" ht="15.75" customHeight="1">
      <c r="D1816" s="101"/>
      <c r="H1816" s="101"/>
    </row>
    <row r="1817" ht="15.75" customHeight="1">
      <c r="D1817" s="101"/>
      <c r="H1817" s="101"/>
    </row>
    <row r="1818" ht="15.75" customHeight="1">
      <c r="D1818" s="101"/>
      <c r="H1818" s="101"/>
    </row>
    <row r="1819" ht="15.75" customHeight="1">
      <c r="D1819" s="101"/>
      <c r="H1819" s="101"/>
    </row>
    <row r="1820" ht="15.75" customHeight="1">
      <c r="D1820" s="101"/>
      <c r="H1820" s="101"/>
    </row>
    <row r="1821" ht="15.75" customHeight="1">
      <c r="D1821" s="101"/>
      <c r="H1821" s="101"/>
    </row>
    <row r="1822" ht="15.75" customHeight="1">
      <c r="D1822" s="101"/>
      <c r="H1822" s="101"/>
    </row>
    <row r="1823" ht="15.75" customHeight="1">
      <c r="D1823" s="101"/>
      <c r="H1823" s="101"/>
    </row>
    <row r="1824" ht="15.75" customHeight="1">
      <c r="D1824" s="101"/>
      <c r="H1824" s="101"/>
    </row>
    <row r="1825" ht="15.75" customHeight="1">
      <c r="D1825" s="101"/>
      <c r="H1825" s="101"/>
    </row>
    <row r="1826" ht="15.75" customHeight="1">
      <c r="D1826" s="101"/>
      <c r="H1826" s="101"/>
    </row>
    <row r="1827" ht="15.75" customHeight="1">
      <c r="D1827" s="101"/>
      <c r="H1827" s="101"/>
    </row>
    <row r="1828" ht="15.75" customHeight="1">
      <c r="D1828" s="101"/>
      <c r="H1828" s="101"/>
    </row>
    <row r="1829" ht="15.75" customHeight="1">
      <c r="D1829" s="101"/>
      <c r="H1829" s="101"/>
    </row>
    <row r="1830" ht="15.75" customHeight="1">
      <c r="D1830" s="101"/>
      <c r="H1830" s="101"/>
    </row>
    <row r="1831" ht="15.75" customHeight="1">
      <c r="D1831" s="101"/>
      <c r="H1831" s="101"/>
    </row>
    <row r="1832" ht="15.75" customHeight="1">
      <c r="D1832" s="101"/>
      <c r="H1832" s="101"/>
    </row>
    <row r="1833" ht="15.75" customHeight="1">
      <c r="D1833" s="101"/>
      <c r="H1833" s="101"/>
    </row>
    <row r="1834" ht="15.75" customHeight="1">
      <c r="D1834" s="101"/>
      <c r="H1834" s="101"/>
    </row>
    <row r="1835" ht="15.75" customHeight="1">
      <c r="D1835" s="101"/>
      <c r="H1835" s="101"/>
    </row>
    <row r="1836" ht="15.75" customHeight="1">
      <c r="D1836" s="101"/>
      <c r="H1836" s="101"/>
    </row>
    <row r="1837" ht="15.75" customHeight="1">
      <c r="D1837" s="101"/>
      <c r="H1837" s="101"/>
    </row>
    <row r="1838" ht="15.75" customHeight="1">
      <c r="D1838" s="101"/>
      <c r="H1838" s="101"/>
    </row>
    <row r="1839" ht="15.75" customHeight="1">
      <c r="D1839" s="101"/>
      <c r="H1839" s="101"/>
    </row>
    <row r="1840" ht="15.75" customHeight="1">
      <c r="D1840" s="101"/>
      <c r="H1840" s="101"/>
    </row>
    <row r="1841" ht="15.75" customHeight="1">
      <c r="D1841" s="101"/>
      <c r="H1841" s="101"/>
    </row>
    <row r="1842" ht="15.75" customHeight="1">
      <c r="D1842" s="101"/>
      <c r="H1842" s="101"/>
    </row>
    <row r="1843" ht="15.75" customHeight="1">
      <c r="D1843" s="101"/>
      <c r="H1843" s="101"/>
    </row>
    <row r="1844" ht="15.75" customHeight="1">
      <c r="D1844" s="101"/>
      <c r="H1844" s="101"/>
    </row>
    <row r="1845" ht="15.75" customHeight="1">
      <c r="D1845" s="101"/>
      <c r="H1845" s="101"/>
    </row>
    <row r="1846" ht="15.75" customHeight="1">
      <c r="D1846" s="101"/>
      <c r="H1846" s="101"/>
    </row>
    <row r="1847" ht="15.75" customHeight="1">
      <c r="D1847" s="101"/>
      <c r="H1847" s="101"/>
    </row>
    <row r="1848" ht="15.75" customHeight="1">
      <c r="D1848" s="101"/>
      <c r="H1848" s="101"/>
    </row>
    <row r="1849" ht="15.75" customHeight="1">
      <c r="D1849" s="101"/>
      <c r="H1849" s="101"/>
    </row>
    <row r="1850" ht="15.75" customHeight="1">
      <c r="D1850" s="101"/>
      <c r="H1850" s="101"/>
    </row>
    <row r="1851" ht="15.75" customHeight="1">
      <c r="D1851" s="101"/>
      <c r="H1851" s="101"/>
    </row>
    <row r="1852" ht="15.75" customHeight="1">
      <c r="D1852" s="101"/>
      <c r="H1852" s="101"/>
    </row>
    <row r="1853" ht="15.75" customHeight="1">
      <c r="D1853" s="101"/>
      <c r="H1853" s="101"/>
    </row>
    <row r="1854" ht="15.75" customHeight="1">
      <c r="D1854" s="101"/>
      <c r="H1854" s="101"/>
    </row>
    <row r="1855" ht="15.75" customHeight="1">
      <c r="D1855" s="101"/>
      <c r="H1855" s="101"/>
    </row>
    <row r="1856" ht="15.75" customHeight="1">
      <c r="D1856" s="101"/>
      <c r="H1856" s="101"/>
    </row>
    <row r="1857" ht="15.75" customHeight="1">
      <c r="D1857" s="101"/>
      <c r="H1857" s="101"/>
    </row>
    <row r="1858" ht="15.75" customHeight="1">
      <c r="D1858" s="101"/>
      <c r="H1858" s="101"/>
    </row>
    <row r="1859" ht="15.75" customHeight="1">
      <c r="D1859" s="101"/>
      <c r="H1859" s="101"/>
    </row>
    <row r="1860" ht="15.75" customHeight="1">
      <c r="D1860" s="101"/>
      <c r="H1860" s="101"/>
    </row>
    <row r="1861" ht="15.75" customHeight="1">
      <c r="D1861" s="101"/>
      <c r="H1861" s="101"/>
    </row>
    <row r="1862" ht="15.75" customHeight="1">
      <c r="D1862" s="101"/>
      <c r="H1862" s="101"/>
    </row>
    <row r="1863" ht="15.75" customHeight="1">
      <c r="D1863" s="101"/>
      <c r="H1863" s="101"/>
    </row>
    <row r="1864" ht="15.75" customHeight="1">
      <c r="D1864" s="101"/>
      <c r="H1864" s="101"/>
    </row>
    <row r="1865" ht="15.75" customHeight="1">
      <c r="D1865" s="101"/>
      <c r="H1865" s="101"/>
    </row>
    <row r="1866" ht="15.75" customHeight="1">
      <c r="D1866" s="101"/>
      <c r="H1866" s="101"/>
    </row>
    <row r="1867" ht="15.75" customHeight="1">
      <c r="D1867" s="101"/>
      <c r="H1867" s="101"/>
    </row>
    <row r="1868" ht="15.75" customHeight="1">
      <c r="D1868" s="101"/>
      <c r="H1868" s="101"/>
    </row>
    <row r="1869" ht="15.75" customHeight="1">
      <c r="D1869" s="101"/>
      <c r="H1869" s="101"/>
    </row>
    <row r="1870" ht="15.75" customHeight="1">
      <c r="D1870" s="101"/>
      <c r="H1870" s="101"/>
    </row>
    <row r="1871" ht="15.75" customHeight="1">
      <c r="D1871" s="101"/>
      <c r="H1871" s="101"/>
    </row>
    <row r="1872" ht="15.75" customHeight="1">
      <c r="D1872" s="101"/>
      <c r="H1872" s="101"/>
    </row>
    <row r="1873" ht="15.75" customHeight="1">
      <c r="D1873" s="101"/>
      <c r="H1873" s="101"/>
    </row>
    <row r="1874" ht="15.75" customHeight="1">
      <c r="D1874" s="101"/>
      <c r="H1874" s="101"/>
    </row>
    <row r="1875" ht="15.75" customHeight="1">
      <c r="D1875" s="101"/>
      <c r="H1875" s="101"/>
    </row>
    <row r="1876" ht="15.75" customHeight="1">
      <c r="D1876" s="101"/>
      <c r="H1876" s="101"/>
    </row>
    <row r="1877" ht="15.75" customHeight="1">
      <c r="D1877" s="101"/>
      <c r="H1877" s="101"/>
    </row>
    <row r="1878" ht="15.75" customHeight="1">
      <c r="D1878" s="101"/>
      <c r="H1878" s="101"/>
    </row>
    <row r="1879" ht="15.75" customHeight="1">
      <c r="D1879" s="101"/>
      <c r="H1879" s="101"/>
    </row>
    <row r="1880" ht="15.75" customHeight="1">
      <c r="D1880" s="101"/>
      <c r="H1880" s="101"/>
    </row>
    <row r="1881" ht="15.75" customHeight="1">
      <c r="D1881" s="101"/>
      <c r="H1881" s="101"/>
    </row>
    <row r="1882" ht="15.75" customHeight="1">
      <c r="D1882" s="101"/>
      <c r="H1882" s="101"/>
    </row>
    <row r="1883" ht="15.75" customHeight="1">
      <c r="D1883" s="101"/>
      <c r="H1883" s="101"/>
    </row>
    <row r="1884" ht="15.75" customHeight="1">
      <c r="D1884" s="101"/>
      <c r="H1884" s="101"/>
    </row>
    <row r="1885" ht="15.75" customHeight="1">
      <c r="D1885" s="101"/>
      <c r="H1885" s="101"/>
    </row>
    <row r="1886" ht="15.75" customHeight="1">
      <c r="D1886" s="101"/>
      <c r="H1886" s="101"/>
    </row>
    <row r="1887" ht="15.75" customHeight="1">
      <c r="D1887" s="101"/>
      <c r="H1887" s="101"/>
    </row>
    <row r="1888" ht="15.75" customHeight="1">
      <c r="D1888" s="101"/>
      <c r="H1888" s="101"/>
    </row>
    <row r="1889" ht="15.75" customHeight="1">
      <c r="D1889" s="101"/>
      <c r="H1889" s="101"/>
    </row>
    <row r="1890" ht="15.75" customHeight="1">
      <c r="D1890" s="101"/>
      <c r="H1890" s="101"/>
    </row>
    <row r="1891" ht="15.75" customHeight="1">
      <c r="D1891" s="101"/>
      <c r="H1891" s="101"/>
    </row>
    <row r="1892" ht="15.75" customHeight="1">
      <c r="D1892" s="101"/>
      <c r="H1892" s="101"/>
    </row>
    <row r="1893" ht="15.75" customHeight="1">
      <c r="D1893" s="101"/>
      <c r="H1893" s="101"/>
    </row>
    <row r="1894" ht="15.75" customHeight="1">
      <c r="D1894" s="101"/>
      <c r="H1894" s="101"/>
    </row>
    <row r="1895" ht="15.75" customHeight="1">
      <c r="D1895" s="101"/>
      <c r="H1895" s="101"/>
    </row>
    <row r="1896" ht="15.75" customHeight="1">
      <c r="D1896" s="101"/>
      <c r="H1896" s="101"/>
    </row>
    <row r="1897" ht="15.75" customHeight="1">
      <c r="D1897" s="101"/>
      <c r="H1897" s="101"/>
    </row>
    <row r="1898" ht="15.75" customHeight="1">
      <c r="D1898" s="101"/>
      <c r="H1898" s="101"/>
    </row>
    <row r="1899" ht="15.75" customHeight="1">
      <c r="D1899" s="101"/>
      <c r="H1899" s="101"/>
    </row>
    <row r="1900" ht="15.75" customHeight="1">
      <c r="D1900" s="101"/>
      <c r="H1900" s="101"/>
    </row>
    <row r="1901" ht="15.75" customHeight="1">
      <c r="D1901" s="101"/>
      <c r="H1901" s="101"/>
    </row>
    <row r="1902" ht="15.75" customHeight="1">
      <c r="D1902" s="101"/>
      <c r="H1902" s="101"/>
    </row>
    <row r="1903" ht="15.75" customHeight="1">
      <c r="D1903" s="101"/>
      <c r="H1903" s="101"/>
    </row>
    <row r="1904" ht="15.75" customHeight="1">
      <c r="D1904" s="101"/>
      <c r="H1904" s="101"/>
    </row>
    <row r="1905" ht="15.75" customHeight="1">
      <c r="D1905" s="101"/>
      <c r="H1905" s="101"/>
    </row>
    <row r="1906" ht="15.75" customHeight="1">
      <c r="D1906" s="101"/>
      <c r="H1906" s="101"/>
    </row>
    <row r="1907" ht="15.75" customHeight="1">
      <c r="D1907" s="101"/>
      <c r="H1907" s="101"/>
    </row>
    <row r="1908" ht="15.75" customHeight="1">
      <c r="D1908" s="101"/>
      <c r="H1908" s="101"/>
    </row>
    <row r="1909" ht="15.75" customHeight="1">
      <c r="D1909" s="101"/>
      <c r="H1909" s="101"/>
    </row>
    <row r="1910" ht="15.75" customHeight="1">
      <c r="D1910" s="101"/>
      <c r="H1910" s="101"/>
    </row>
    <row r="1911" ht="15.75" customHeight="1">
      <c r="D1911" s="101"/>
      <c r="H1911" s="101"/>
    </row>
    <row r="1912" ht="15.75" customHeight="1">
      <c r="D1912" s="101"/>
      <c r="H1912" s="101"/>
    </row>
    <row r="1913" ht="15.75" customHeight="1">
      <c r="D1913" s="101"/>
      <c r="H1913" s="101"/>
    </row>
    <row r="1914" ht="15.75" customHeight="1">
      <c r="D1914" s="101"/>
      <c r="H1914" s="101"/>
    </row>
    <row r="1915" ht="15.75" customHeight="1">
      <c r="D1915" s="101"/>
      <c r="H1915" s="101"/>
    </row>
    <row r="1916" ht="15.75" customHeight="1">
      <c r="D1916" s="101"/>
      <c r="H1916" s="101"/>
    </row>
    <row r="1917" ht="15.75" customHeight="1">
      <c r="D1917" s="101"/>
      <c r="H1917" s="101"/>
    </row>
    <row r="1918" ht="15.75" customHeight="1">
      <c r="D1918" s="101"/>
      <c r="H1918" s="101"/>
    </row>
    <row r="1919" ht="15.75" customHeight="1">
      <c r="D1919" s="101"/>
      <c r="H1919" s="101"/>
    </row>
    <row r="1920" ht="15.75" customHeight="1">
      <c r="D1920" s="101"/>
      <c r="H1920" s="101"/>
    </row>
    <row r="1921" ht="15.75" customHeight="1">
      <c r="D1921" s="101"/>
      <c r="H1921" s="101"/>
    </row>
    <row r="1922" ht="15.75" customHeight="1">
      <c r="D1922" s="101"/>
      <c r="H1922" s="101"/>
    </row>
    <row r="1923" ht="15.75" customHeight="1">
      <c r="D1923" s="101"/>
      <c r="H1923" s="101"/>
    </row>
    <row r="1924" ht="15.75" customHeight="1">
      <c r="D1924" s="101"/>
      <c r="H1924" s="101"/>
    </row>
    <row r="1925" ht="15.75" customHeight="1">
      <c r="D1925" s="101"/>
      <c r="H1925" s="101"/>
    </row>
    <row r="1926" ht="15.75" customHeight="1">
      <c r="D1926" s="101"/>
      <c r="H1926" s="101"/>
    </row>
    <row r="1927" ht="15.75" customHeight="1">
      <c r="D1927" s="101"/>
      <c r="H1927" s="101"/>
    </row>
    <row r="1928" ht="15.75" customHeight="1">
      <c r="D1928" s="101"/>
      <c r="H1928" s="101"/>
    </row>
    <row r="1929" ht="15.75" customHeight="1">
      <c r="D1929" s="101"/>
      <c r="H1929" s="101"/>
    </row>
    <row r="1930" ht="15.75" customHeight="1">
      <c r="D1930" s="101"/>
      <c r="H1930" s="101"/>
    </row>
    <row r="1931" ht="15.75" customHeight="1">
      <c r="D1931" s="101"/>
      <c r="H1931" s="101"/>
    </row>
    <row r="1932" ht="15.75" customHeight="1">
      <c r="D1932" s="101"/>
      <c r="H1932" s="101"/>
    </row>
    <row r="1933" ht="15.75" customHeight="1">
      <c r="D1933" s="101"/>
      <c r="H1933" s="101"/>
    </row>
    <row r="1934" ht="15.75" customHeight="1">
      <c r="D1934" s="101"/>
      <c r="H1934" s="101"/>
    </row>
    <row r="1935" ht="15.75" customHeight="1">
      <c r="D1935" s="101"/>
      <c r="H1935" s="101"/>
    </row>
    <row r="1936" ht="15.75" customHeight="1">
      <c r="D1936" s="101"/>
      <c r="H1936" s="101"/>
    </row>
    <row r="1937" ht="15.75" customHeight="1">
      <c r="D1937" s="101"/>
      <c r="H1937" s="101"/>
    </row>
    <row r="1938" ht="15.75" customHeight="1">
      <c r="D1938" s="101"/>
      <c r="H1938" s="101"/>
    </row>
    <row r="1939" ht="15.75" customHeight="1">
      <c r="D1939" s="101"/>
      <c r="H1939" s="101"/>
    </row>
    <row r="1940" ht="15.75" customHeight="1">
      <c r="D1940" s="101"/>
      <c r="H1940" s="101"/>
    </row>
    <row r="1941" ht="15.75" customHeight="1">
      <c r="D1941" s="101"/>
      <c r="H1941" s="101"/>
    </row>
    <row r="1942" ht="15.75" customHeight="1">
      <c r="D1942" s="101"/>
      <c r="H1942" s="101"/>
    </row>
    <row r="1943" ht="15.75" customHeight="1">
      <c r="D1943" s="101"/>
      <c r="H1943" s="101"/>
    </row>
    <row r="1944" ht="15.75" customHeight="1">
      <c r="D1944" s="101"/>
      <c r="H1944" s="101"/>
    </row>
    <row r="1945" ht="15.75" customHeight="1">
      <c r="D1945" s="101"/>
      <c r="H1945" s="101"/>
    </row>
    <row r="1946" ht="15.75" customHeight="1">
      <c r="D1946" s="101"/>
      <c r="H1946" s="101"/>
    </row>
    <row r="1947" ht="15.75" customHeight="1">
      <c r="D1947" s="101"/>
      <c r="H1947" s="101"/>
    </row>
    <row r="1948" ht="15.75" customHeight="1">
      <c r="D1948" s="101"/>
      <c r="H1948" s="101"/>
    </row>
    <row r="1949" ht="15.75" customHeight="1">
      <c r="D1949" s="101"/>
      <c r="H1949" s="101"/>
    </row>
    <row r="1950" ht="15.75" customHeight="1">
      <c r="D1950" s="101"/>
      <c r="H1950" s="101"/>
    </row>
    <row r="1951" ht="15.75" customHeight="1">
      <c r="D1951" s="101"/>
      <c r="H1951" s="101"/>
    </row>
    <row r="1952" ht="15.75" customHeight="1">
      <c r="D1952" s="101"/>
      <c r="H1952" s="101"/>
    </row>
    <row r="1953" ht="15.75" customHeight="1">
      <c r="D1953" s="101"/>
      <c r="H1953" s="101"/>
    </row>
    <row r="1954" ht="15.75" customHeight="1">
      <c r="D1954" s="101"/>
      <c r="H1954" s="101"/>
    </row>
    <row r="1955" ht="15.75" customHeight="1">
      <c r="D1955" s="101"/>
      <c r="H1955" s="101"/>
    </row>
    <row r="1956" ht="15.75" customHeight="1">
      <c r="D1956" s="101"/>
      <c r="H1956" s="101"/>
    </row>
    <row r="1957" ht="15.75" customHeight="1">
      <c r="D1957" s="101"/>
      <c r="H1957" s="101"/>
    </row>
    <row r="1958" ht="15.75" customHeight="1">
      <c r="D1958" s="101"/>
      <c r="H1958" s="101"/>
    </row>
    <row r="1959" ht="15.75" customHeight="1">
      <c r="D1959" s="101"/>
      <c r="H1959" s="101"/>
    </row>
    <row r="1960" ht="15.75" customHeight="1">
      <c r="D1960" s="101"/>
      <c r="H1960" s="101"/>
    </row>
    <row r="1961" ht="15.75" customHeight="1">
      <c r="D1961" s="101"/>
      <c r="H1961" s="101"/>
    </row>
    <row r="1962" ht="15.75" customHeight="1">
      <c r="D1962" s="101"/>
      <c r="H1962" s="101"/>
    </row>
    <row r="1963" ht="15.75" customHeight="1">
      <c r="D1963" s="101"/>
      <c r="H1963" s="101"/>
    </row>
    <row r="1964" ht="15.75" customHeight="1">
      <c r="D1964" s="101"/>
      <c r="H1964" s="101"/>
    </row>
    <row r="1965" ht="15.75" customHeight="1">
      <c r="D1965" s="101"/>
      <c r="H1965" s="101"/>
    </row>
    <row r="1966" ht="15.75" customHeight="1">
      <c r="D1966" s="101"/>
      <c r="H1966" s="101"/>
    </row>
    <row r="1967" ht="15.75" customHeight="1">
      <c r="D1967" s="101"/>
      <c r="H1967" s="101"/>
    </row>
    <row r="1968" ht="15.75" customHeight="1">
      <c r="D1968" s="101"/>
      <c r="H1968" s="101"/>
    </row>
    <row r="1969" ht="15.75" customHeight="1">
      <c r="D1969" s="101"/>
      <c r="H1969" s="101"/>
    </row>
    <row r="1970" ht="15.75" customHeight="1">
      <c r="D1970" s="101"/>
      <c r="H1970" s="101"/>
    </row>
    <row r="1971" ht="15.75" customHeight="1">
      <c r="D1971" s="101"/>
      <c r="H1971" s="101"/>
    </row>
    <row r="1972" ht="15.75" customHeight="1">
      <c r="D1972" s="101"/>
      <c r="H1972" s="101"/>
    </row>
    <row r="1973" ht="15.75" customHeight="1">
      <c r="D1973" s="101"/>
      <c r="H1973" s="101"/>
    </row>
    <row r="1974" ht="15.75" customHeight="1">
      <c r="D1974" s="101"/>
      <c r="H1974" s="101"/>
    </row>
    <row r="1975" ht="15.75" customHeight="1">
      <c r="D1975" s="101"/>
      <c r="H1975" s="101"/>
    </row>
    <row r="1976" ht="15.75" customHeight="1">
      <c r="D1976" s="101"/>
      <c r="H1976" s="101"/>
    </row>
    <row r="1977" ht="15.75" customHeight="1">
      <c r="D1977" s="101"/>
      <c r="H1977" s="101"/>
    </row>
    <row r="1978" ht="15.75" customHeight="1">
      <c r="D1978" s="101"/>
      <c r="H1978" s="101"/>
    </row>
    <row r="1979" ht="15.75" customHeight="1">
      <c r="D1979" s="101"/>
      <c r="H1979" s="101"/>
    </row>
    <row r="1980" ht="15.75" customHeight="1">
      <c r="D1980" s="101"/>
      <c r="H1980" s="101"/>
    </row>
    <row r="1981" ht="15.75" customHeight="1">
      <c r="D1981" s="101"/>
      <c r="H1981" s="101"/>
    </row>
    <row r="1982" ht="15.75" customHeight="1">
      <c r="D1982" s="101"/>
      <c r="H1982" s="101"/>
    </row>
    <row r="1983" ht="15.75" customHeight="1">
      <c r="D1983" s="101"/>
      <c r="H1983" s="101"/>
    </row>
    <row r="1984" ht="15.75" customHeight="1">
      <c r="D1984" s="101"/>
      <c r="H1984" s="101"/>
    </row>
    <row r="1985" ht="15.75" customHeight="1">
      <c r="D1985" s="101"/>
      <c r="H1985" s="101"/>
    </row>
    <row r="1986" ht="15.75" customHeight="1">
      <c r="D1986" s="101"/>
      <c r="H1986" s="101"/>
    </row>
    <row r="1987" ht="15.75" customHeight="1">
      <c r="D1987" s="101"/>
      <c r="H1987" s="101"/>
    </row>
    <row r="1988" ht="15.75" customHeight="1">
      <c r="D1988" s="101"/>
      <c r="H1988" s="101"/>
    </row>
    <row r="1989" ht="15.75" customHeight="1">
      <c r="D1989" s="101"/>
      <c r="H1989" s="101"/>
    </row>
    <row r="1990" ht="15.75" customHeight="1">
      <c r="D1990" s="101"/>
      <c r="H1990" s="101"/>
    </row>
    <row r="1991" ht="15.75" customHeight="1">
      <c r="D1991" s="101"/>
      <c r="H1991" s="101"/>
    </row>
    <row r="1992" ht="15.75" customHeight="1">
      <c r="D1992" s="101"/>
      <c r="H1992" s="101"/>
    </row>
    <row r="1993" ht="15.75" customHeight="1">
      <c r="D1993" s="101"/>
      <c r="H1993" s="101"/>
    </row>
    <row r="1994" ht="15.75" customHeight="1">
      <c r="D1994" s="101"/>
      <c r="H1994" s="101"/>
    </row>
    <row r="1995" ht="15.75" customHeight="1">
      <c r="D1995" s="101"/>
      <c r="H1995" s="101"/>
    </row>
    <row r="1996" ht="15.75" customHeight="1">
      <c r="D1996" s="101"/>
      <c r="H1996" s="101"/>
    </row>
    <row r="1997" ht="15.75" customHeight="1">
      <c r="D1997" s="101"/>
      <c r="H1997" s="101"/>
    </row>
    <row r="1998" ht="15.75" customHeight="1">
      <c r="D1998" s="101"/>
      <c r="H1998" s="101"/>
    </row>
    <row r="1999" ht="15.75" customHeight="1">
      <c r="D1999" s="101"/>
      <c r="H1999" s="101"/>
    </row>
    <row r="2000" ht="15.75" customHeight="1">
      <c r="D2000" s="101"/>
      <c r="H2000" s="101"/>
    </row>
    <row r="2001" ht="15.75" customHeight="1">
      <c r="D2001" s="101"/>
      <c r="H2001" s="101"/>
    </row>
    <row r="2002" ht="15.75" customHeight="1">
      <c r="D2002" s="101"/>
      <c r="H2002" s="101"/>
    </row>
    <row r="2003" ht="15.75" customHeight="1">
      <c r="D2003" s="101"/>
      <c r="H2003" s="101"/>
    </row>
    <row r="2004" ht="15.75" customHeight="1">
      <c r="D2004" s="101"/>
      <c r="H2004" s="101"/>
    </row>
    <row r="2005" ht="15.75" customHeight="1">
      <c r="D2005" s="101"/>
      <c r="H2005" s="101"/>
    </row>
    <row r="2006" ht="15.75" customHeight="1">
      <c r="D2006" s="101"/>
      <c r="H2006" s="101"/>
    </row>
    <row r="2007" ht="15.75" customHeight="1">
      <c r="D2007" s="101"/>
      <c r="H2007" s="101"/>
    </row>
    <row r="2008" ht="15.75" customHeight="1">
      <c r="D2008" s="101"/>
      <c r="H2008" s="101"/>
    </row>
    <row r="2009" ht="15.75" customHeight="1">
      <c r="D2009" s="101"/>
      <c r="H2009" s="101"/>
    </row>
    <row r="2010" ht="15.75" customHeight="1">
      <c r="D2010" s="101"/>
      <c r="H2010" s="101"/>
    </row>
    <row r="2011" ht="15.75" customHeight="1">
      <c r="D2011" s="101"/>
      <c r="H2011" s="101"/>
    </row>
    <row r="2012" ht="15.75" customHeight="1">
      <c r="D2012" s="101"/>
      <c r="H2012" s="101"/>
    </row>
    <row r="2013" ht="15.75" customHeight="1">
      <c r="D2013" s="101"/>
      <c r="H2013" s="101"/>
    </row>
    <row r="2014" ht="15.75" customHeight="1">
      <c r="D2014" s="101"/>
      <c r="H2014" s="101"/>
    </row>
    <row r="2015" ht="15.75" customHeight="1">
      <c r="D2015" s="101"/>
      <c r="H2015" s="101"/>
    </row>
    <row r="2016" ht="15.75" customHeight="1">
      <c r="D2016" s="101"/>
      <c r="H2016" s="101"/>
    </row>
    <row r="2017" ht="15.75" customHeight="1">
      <c r="D2017" s="101"/>
      <c r="H2017" s="101"/>
    </row>
    <row r="2018" ht="15.75" customHeight="1">
      <c r="D2018" s="101"/>
      <c r="H2018" s="101"/>
    </row>
    <row r="2019" ht="15.75" customHeight="1">
      <c r="D2019" s="101"/>
      <c r="H2019" s="101"/>
    </row>
    <row r="2020" ht="15.75" customHeight="1">
      <c r="D2020" s="101"/>
      <c r="H2020" s="101"/>
    </row>
    <row r="2021" ht="15.75" customHeight="1">
      <c r="D2021" s="101"/>
      <c r="H2021" s="101"/>
    </row>
    <row r="2022" ht="15.75" customHeight="1">
      <c r="D2022" s="101"/>
      <c r="H2022" s="101"/>
    </row>
    <row r="2023" ht="15.75" customHeight="1">
      <c r="D2023" s="101"/>
      <c r="H2023" s="101"/>
    </row>
    <row r="2024" ht="15.75" customHeight="1">
      <c r="D2024" s="101"/>
      <c r="H2024" s="101"/>
    </row>
    <row r="2025" ht="15.75" customHeight="1">
      <c r="D2025" s="101"/>
      <c r="H2025" s="101"/>
    </row>
    <row r="2026" ht="15.75" customHeight="1">
      <c r="D2026" s="101"/>
      <c r="H2026" s="101"/>
    </row>
    <row r="2027" ht="15.75" customHeight="1">
      <c r="D2027" s="101"/>
      <c r="H2027" s="101"/>
    </row>
    <row r="2028" ht="15.75" customHeight="1">
      <c r="D2028" s="101"/>
      <c r="H2028" s="101"/>
    </row>
    <row r="2029" ht="15.75" customHeight="1">
      <c r="D2029" s="101"/>
      <c r="H2029" s="101"/>
    </row>
    <row r="2030" ht="15.75" customHeight="1">
      <c r="D2030" s="101"/>
      <c r="H2030" s="101"/>
    </row>
    <row r="2031" ht="15.75" customHeight="1">
      <c r="D2031" s="101"/>
      <c r="H2031" s="101"/>
    </row>
    <row r="2032" ht="15.75" customHeight="1">
      <c r="D2032" s="101"/>
      <c r="H2032" s="101"/>
    </row>
    <row r="2033" ht="15.75" customHeight="1">
      <c r="D2033" s="101"/>
      <c r="H2033" s="101"/>
    </row>
    <row r="2034" ht="15.75" customHeight="1">
      <c r="D2034" s="101"/>
      <c r="H2034" s="101"/>
    </row>
    <row r="2035" ht="15.75" customHeight="1">
      <c r="D2035" s="101"/>
      <c r="H2035" s="101"/>
    </row>
    <row r="2036" ht="15.75" customHeight="1">
      <c r="D2036" s="101"/>
      <c r="H2036" s="101"/>
    </row>
    <row r="2037" ht="15.75" customHeight="1">
      <c r="D2037" s="101"/>
      <c r="H2037" s="101"/>
    </row>
    <row r="2038" ht="15.75" customHeight="1">
      <c r="D2038" s="101"/>
      <c r="H2038" s="101"/>
    </row>
    <row r="2039" ht="15.75" customHeight="1">
      <c r="D2039" s="101"/>
      <c r="H2039" s="101"/>
    </row>
    <row r="2040" ht="15.75" customHeight="1">
      <c r="D2040" s="101"/>
      <c r="H2040" s="101"/>
    </row>
    <row r="2041" ht="15.75" customHeight="1">
      <c r="D2041" s="101"/>
      <c r="H2041" s="101"/>
    </row>
    <row r="2042" ht="15.75" customHeight="1">
      <c r="D2042" s="101"/>
      <c r="H2042" s="101"/>
    </row>
    <row r="2043" ht="15.75" customHeight="1">
      <c r="D2043" s="101"/>
      <c r="H2043" s="101"/>
    </row>
    <row r="2044" ht="15.75" customHeight="1">
      <c r="D2044" s="101"/>
      <c r="H2044" s="101"/>
    </row>
    <row r="2045" ht="15.75" customHeight="1">
      <c r="D2045" s="101"/>
      <c r="H2045" s="101"/>
    </row>
    <row r="2046" ht="15.75" customHeight="1">
      <c r="D2046" s="101"/>
      <c r="H2046" s="101"/>
    </row>
    <row r="2047" ht="15.75" customHeight="1">
      <c r="D2047" s="101"/>
      <c r="H2047" s="101"/>
    </row>
    <row r="2048" ht="15.75" customHeight="1">
      <c r="D2048" s="101"/>
      <c r="H2048" s="101"/>
    </row>
    <row r="2049" ht="15.75" customHeight="1">
      <c r="D2049" s="101"/>
      <c r="H2049" s="101"/>
    </row>
    <row r="2050" ht="15.75" customHeight="1">
      <c r="D2050" s="101"/>
      <c r="H2050" s="101"/>
    </row>
    <row r="2051" ht="15.75" customHeight="1">
      <c r="D2051" s="101"/>
      <c r="H2051" s="101"/>
    </row>
    <row r="2052" ht="15.75" customHeight="1">
      <c r="D2052" s="101"/>
      <c r="H2052" s="101"/>
    </row>
    <row r="2053" ht="15.75" customHeight="1">
      <c r="D2053" s="101"/>
      <c r="H2053" s="101"/>
    </row>
    <row r="2054" ht="15.75" customHeight="1">
      <c r="D2054" s="101"/>
      <c r="H2054" s="101"/>
    </row>
    <row r="2055" ht="15.75" customHeight="1">
      <c r="D2055" s="101"/>
      <c r="H2055" s="101"/>
    </row>
    <row r="2056" ht="15.75" customHeight="1">
      <c r="D2056" s="101"/>
      <c r="H2056" s="101"/>
    </row>
    <row r="2057" ht="15.75" customHeight="1">
      <c r="D2057" s="101"/>
      <c r="H2057" s="101"/>
    </row>
    <row r="2058" ht="15.75" customHeight="1">
      <c r="D2058" s="101"/>
      <c r="H2058" s="101"/>
    </row>
    <row r="2059" ht="15.75" customHeight="1">
      <c r="D2059" s="101"/>
      <c r="H2059" s="101"/>
    </row>
    <row r="2060" ht="15.75" customHeight="1">
      <c r="D2060" s="101"/>
      <c r="H2060" s="101"/>
    </row>
    <row r="2061" ht="15.75" customHeight="1">
      <c r="D2061" s="101"/>
      <c r="H2061" s="101"/>
    </row>
    <row r="2062" ht="15.75" customHeight="1">
      <c r="D2062" s="101"/>
      <c r="H2062" s="101"/>
    </row>
    <row r="2063" ht="15.75" customHeight="1">
      <c r="D2063" s="101"/>
      <c r="H2063" s="101"/>
    </row>
    <row r="2064" ht="15.75" customHeight="1">
      <c r="D2064" s="101"/>
      <c r="H2064" s="101"/>
    </row>
    <row r="2065" ht="15.75" customHeight="1">
      <c r="D2065" s="101"/>
      <c r="H2065" s="101"/>
    </row>
    <row r="2066" ht="15.75" customHeight="1">
      <c r="D2066" s="101"/>
      <c r="H2066" s="101"/>
    </row>
    <row r="2067" ht="15.75" customHeight="1">
      <c r="D2067" s="101"/>
      <c r="H2067" s="101"/>
    </row>
    <row r="2068" ht="15.75" customHeight="1">
      <c r="D2068" s="101"/>
      <c r="H2068" s="101"/>
    </row>
    <row r="2069" ht="15.75" customHeight="1">
      <c r="D2069" s="101"/>
      <c r="H2069" s="101"/>
    </row>
    <row r="2070" ht="15.75" customHeight="1">
      <c r="D2070" s="101"/>
      <c r="H2070" s="101"/>
    </row>
    <row r="2071" ht="15.75" customHeight="1">
      <c r="D2071" s="101"/>
      <c r="H2071" s="101"/>
    </row>
    <row r="2072" ht="15.75" customHeight="1">
      <c r="D2072" s="101"/>
      <c r="H2072" s="101"/>
    </row>
    <row r="2073" ht="15.75" customHeight="1">
      <c r="D2073" s="101"/>
      <c r="H2073" s="101"/>
    </row>
    <row r="2074" ht="15.75" customHeight="1">
      <c r="D2074" s="101"/>
      <c r="H2074" s="101"/>
    </row>
    <row r="2075" ht="15.75" customHeight="1">
      <c r="D2075" s="101"/>
      <c r="H2075" s="101"/>
    </row>
    <row r="2076" ht="15.75" customHeight="1">
      <c r="D2076" s="101"/>
      <c r="H2076" s="101"/>
    </row>
    <row r="2077" ht="15.75" customHeight="1">
      <c r="D2077" s="101"/>
      <c r="H2077" s="101"/>
    </row>
    <row r="2078" ht="15.75" customHeight="1">
      <c r="D2078" s="101"/>
      <c r="H2078" s="101"/>
    </row>
    <row r="2079" ht="15.75" customHeight="1">
      <c r="D2079" s="101"/>
      <c r="H2079" s="101"/>
    </row>
    <row r="2080" ht="15.75" customHeight="1">
      <c r="D2080" s="101"/>
      <c r="H2080" s="101"/>
    </row>
    <row r="2081" ht="15.75" customHeight="1">
      <c r="D2081" s="101"/>
      <c r="H2081" s="101"/>
    </row>
    <row r="2082" ht="15.75" customHeight="1">
      <c r="D2082" s="101"/>
      <c r="H2082" s="101"/>
    </row>
    <row r="2083" ht="15.75" customHeight="1">
      <c r="D2083" s="101"/>
      <c r="H2083" s="101"/>
    </row>
    <row r="2084" ht="15.75" customHeight="1">
      <c r="D2084" s="101"/>
      <c r="H2084" s="101"/>
    </row>
    <row r="2085" ht="15.75" customHeight="1">
      <c r="D2085" s="101"/>
      <c r="H2085" s="101"/>
    </row>
    <row r="2086" ht="15.75" customHeight="1">
      <c r="D2086" s="101"/>
      <c r="H2086" s="101"/>
    </row>
    <row r="2087" ht="15.75" customHeight="1">
      <c r="D2087" s="101"/>
      <c r="H2087" s="101"/>
    </row>
    <row r="2088" ht="15.75" customHeight="1">
      <c r="D2088" s="101"/>
      <c r="H2088" s="101"/>
    </row>
    <row r="2089" ht="15.75" customHeight="1">
      <c r="D2089" s="101"/>
      <c r="H2089" s="101"/>
    </row>
    <row r="2090" ht="15.75" customHeight="1">
      <c r="D2090" s="101"/>
      <c r="H2090" s="101"/>
    </row>
    <row r="2091" ht="15.75" customHeight="1">
      <c r="D2091" s="101"/>
      <c r="H2091" s="101"/>
    </row>
    <row r="2092" ht="15.75" customHeight="1">
      <c r="D2092" s="101"/>
      <c r="H2092" s="101"/>
    </row>
    <row r="2093" ht="15.75" customHeight="1">
      <c r="D2093" s="101"/>
      <c r="H2093" s="101"/>
    </row>
    <row r="2094" ht="15.75" customHeight="1">
      <c r="D2094" s="101"/>
      <c r="H2094" s="101"/>
    </row>
    <row r="2095" ht="15.75" customHeight="1">
      <c r="D2095" s="101"/>
      <c r="H2095" s="101"/>
    </row>
    <row r="2096" ht="15.75" customHeight="1">
      <c r="D2096" s="101"/>
      <c r="H2096" s="101"/>
    </row>
    <row r="2097" ht="15.75" customHeight="1">
      <c r="D2097" s="101"/>
      <c r="H2097" s="101"/>
    </row>
    <row r="2098" ht="15.75" customHeight="1">
      <c r="D2098" s="101"/>
      <c r="H2098" s="101"/>
    </row>
    <row r="2099" ht="15.75" customHeight="1">
      <c r="D2099" s="101"/>
      <c r="H2099" s="101"/>
    </row>
    <row r="2100" ht="15.75" customHeight="1">
      <c r="D2100" s="101"/>
      <c r="H2100" s="101"/>
    </row>
    <row r="2101" ht="15.75" customHeight="1">
      <c r="D2101" s="101"/>
      <c r="H2101" s="101"/>
    </row>
    <row r="2102" ht="15.75" customHeight="1">
      <c r="D2102" s="101"/>
      <c r="H2102" s="101"/>
    </row>
    <row r="2103" ht="15.75" customHeight="1">
      <c r="D2103" s="101"/>
      <c r="H2103" s="101"/>
    </row>
    <row r="2104" ht="15.75" customHeight="1">
      <c r="D2104" s="101"/>
      <c r="H2104" s="101"/>
    </row>
    <row r="2105" ht="15.75" customHeight="1">
      <c r="D2105" s="101"/>
      <c r="H2105" s="101"/>
    </row>
    <row r="2106" ht="15.75" customHeight="1">
      <c r="D2106" s="101"/>
      <c r="H2106" s="101"/>
    </row>
    <row r="2107" ht="15.75" customHeight="1">
      <c r="D2107" s="101"/>
      <c r="H2107" s="101"/>
    </row>
    <row r="2108" ht="15.75" customHeight="1">
      <c r="D2108" s="101"/>
      <c r="H2108" s="101"/>
    </row>
    <row r="2109" ht="15.75" customHeight="1">
      <c r="D2109" s="101"/>
      <c r="H2109" s="101"/>
    </row>
    <row r="2110" ht="15.75" customHeight="1">
      <c r="D2110" s="101"/>
      <c r="H2110" s="101"/>
    </row>
    <row r="2111" ht="15.75" customHeight="1">
      <c r="D2111" s="101"/>
      <c r="H2111" s="101"/>
    </row>
    <row r="2112" ht="15.75" customHeight="1">
      <c r="D2112" s="101"/>
      <c r="H2112" s="101"/>
    </row>
    <row r="2113" ht="15.75" customHeight="1">
      <c r="D2113" s="101"/>
      <c r="H2113" s="101"/>
    </row>
    <row r="2114" ht="15.75" customHeight="1">
      <c r="D2114" s="101"/>
      <c r="H2114" s="101"/>
    </row>
    <row r="2115" ht="15.75" customHeight="1">
      <c r="D2115" s="101"/>
      <c r="H2115" s="101"/>
    </row>
    <row r="2116" ht="15.75" customHeight="1">
      <c r="D2116" s="101"/>
      <c r="H2116" s="101"/>
    </row>
    <row r="2117" ht="15.75" customHeight="1">
      <c r="D2117" s="101"/>
      <c r="H2117" s="101"/>
    </row>
    <row r="2118" ht="15.75" customHeight="1">
      <c r="D2118" s="101"/>
      <c r="H2118" s="101"/>
    </row>
    <row r="2119" ht="15.75" customHeight="1">
      <c r="D2119" s="101"/>
      <c r="H2119" s="101"/>
    </row>
    <row r="2120" ht="15.75" customHeight="1">
      <c r="D2120" s="101"/>
      <c r="H2120" s="101"/>
    </row>
    <row r="2121" ht="15.75" customHeight="1">
      <c r="D2121" s="101"/>
      <c r="H2121" s="101"/>
    </row>
    <row r="2122" ht="15.75" customHeight="1">
      <c r="D2122" s="101"/>
      <c r="H2122" s="101"/>
    </row>
    <row r="2123" ht="15.75" customHeight="1">
      <c r="D2123" s="101"/>
      <c r="H2123" s="101"/>
    </row>
    <row r="2124" ht="15.75" customHeight="1">
      <c r="D2124" s="101"/>
      <c r="H2124" s="101"/>
    </row>
    <row r="2125" ht="15.75" customHeight="1">
      <c r="D2125" s="101"/>
      <c r="H2125" s="101"/>
    </row>
    <row r="2126" ht="15.75" customHeight="1">
      <c r="D2126" s="101"/>
      <c r="H2126" s="101"/>
    </row>
    <row r="2127" ht="15.75" customHeight="1">
      <c r="D2127" s="101"/>
      <c r="H2127" s="101"/>
    </row>
    <row r="2128" ht="15.75" customHeight="1">
      <c r="D2128" s="101"/>
      <c r="H2128" s="101"/>
    </row>
    <row r="2129" ht="15.75" customHeight="1">
      <c r="D2129" s="101"/>
      <c r="H2129" s="101"/>
    </row>
    <row r="2130" ht="15.75" customHeight="1">
      <c r="D2130" s="101"/>
      <c r="H2130" s="101"/>
    </row>
    <row r="2131" ht="15.75" customHeight="1">
      <c r="D2131" s="101"/>
      <c r="H2131" s="101"/>
    </row>
    <row r="2132" ht="15.75" customHeight="1">
      <c r="D2132" s="101"/>
      <c r="H2132" s="101"/>
    </row>
    <row r="2133" ht="15.75" customHeight="1">
      <c r="D2133" s="101"/>
      <c r="H2133" s="101"/>
    </row>
    <row r="2134" ht="15.75" customHeight="1">
      <c r="D2134" s="101"/>
      <c r="H2134" s="101"/>
    </row>
    <row r="2135" ht="15.75" customHeight="1">
      <c r="D2135" s="101"/>
      <c r="H2135" s="101"/>
    </row>
    <row r="2136" ht="15.75" customHeight="1">
      <c r="D2136" s="101"/>
      <c r="H2136" s="101"/>
    </row>
    <row r="2137" ht="15.75" customHeight="1">
      <c r="D2137" s="101"/>
      <c r="H2137" s="101"/>
    </row>
    <row r="2138" ht="15.75" customHeight="1">
      <c r="D2138" s="101"/>
      <c r="H2138" s="101"/>
    </row>
    <row r="2139" ht="15.75" customHeight="1">
      <c r="D2139" s="101"/>
      <c r="H2139" s="101"/>
    </row>
    <row r="2140" ht="15.75" customHeight="1">
      <c r="D2140" s="101"/>
      <c r="H2140" s="101"/>
    </row>
    <row r="2141" ht="15.75" customHeight="1">
      <c r="D2141" s="101"/>
      <c r="H2141" s="101"/>
    </row>
    <row r="2142" ht="15.75" customHeight="1">
      <c r="D2142" s="101"/>
      <c r="H2142" s="101"/>
    </row>
    <row r="2143" ht="15.75" customHeight="1">
      <c r="D2143" s="101"/>
      <c r="H2143" s="101"/>
    </row>
    <row r="2144" ht="15.75" customHeight="1">
      <c r="D2144" s="101"/>
      <c r="H2144" s="101"/>
    </row>
    <row r="2145" ht="15.75" customHeight="1">
      <c r="D2145" s="101"/>
      <c r="H2145" s="101"/>
    </row>
    <row r="2146" ht="15.75" customHeight="1">
      <c r="D2146" s="101"/>
      <c r="H2146" s="101"/>
    </row>
    <row r="2147" ht="15.75" customHeight="1">
      <c r="D2147" s="101"/>
      <c r="H2147" s="101"/>
    </row>
    <row r="2148" ht="15.75" customHeight="1">
      <c r="D2148" s="101"/>
      <c r="H2148" s="101"/>
    </row>
    <row r="2149" ht="15.75" customHeight="1">
      <c r="D2149" s="101"/>
      <c r="H2149" s="101"/>
    </row>
    <row r="2150" ht="15.75" customHeight="1">
      <c r="D2150" s="101"/>
      <c r="H2150" s="101"/>
    </row>
    <row r="2151" ht="15.75" customHeight="1">
      <c r="D2151" s="101"/>
      <c r="H2151" s="101"/>
    </row>
    <row r="2152" ht="15.75" customHeight="1">
      <c r="D2152" s="101"/>
      <c r="H2152" s="101"/>
    </row>
    <row r="2153" ht="15.75" customHeight="1">
      <c r="D2153" s="101"/>
      <c r="H2153" s="101"/>
    </row>
    <row r="2154" ht="15.75" customHeight="1">
      <c r="D2154" s="101"/>
      <c r="H2154" s="101"/>
    </row>
    <row r="2155" ht="15.75" customHeight="1">
      <c r="D2155" s="101"/>
      <c r="H2155" s="101"/>
    </row>
    <row r="2156" ht="15.75" customHeight="1">
      <c r="D2156" s="101"/>
      <c r="H2156" s="101"/>
    </row>
    <row r="2157" ht="15.75" customHeight="1">
      <c r="D2157" s="101"/>
      <c r="H2157" s="101"/>
    </row>
    <row r="2158" ht="15.75" customHeight="1">
      <c r="D2158" s="101"/>
      <c r="H2158" s="101"/>
    </row>
    <row r="2159" ht="15.75" customHeight="1">
      <c r="D2159" s="101"/>
      <c r="H2159" s="101"/>
    </row>
    <row r="2160" ht="15.75" customHeight="1">
      <c r="D2160" s="101"/>
      <c r="H2160" s="101"/>
    </row>
    <row r="2161" ht="15.75" customHeight="1">
      <c r="D2161" s="101"/>
      <c r="H2161" s="101"/>
    </row>
    <row r="2162" ht="15.75" customHeight="1">
      <c r="D2162" s="101"/>
      <c r="H2162" s="101"/>
    </row>
    <row r="2163" ht="15.75" customHeight="1">
      <c r="D2163" s="101"/>
      <c r="H2163" s="101"/>
    </row>
    <row r="2164" ht="15.75" customHeight="1">
      <c r="D2164" s="101"/>
      <c r="H2164" s="101"/>
    </row>
    <row r="2165" ht="15.75" customHeight="1">
      <c r="D2165" s="101"/>
      <c r="H2165" s="101"/>
    </row>
    <row r="2166" ht="15.75" customHeight="1">
      <c r="D2166" s="101"/>
      <c r="H2166" s="101"/>
    </row>
    <row r="2167" ht="15.75" customHeight="1">
      <c r="D2167" s="101"/>
      <c r="H2167" s="101"/>
    </row>
    <row r="2168" ht="15.75" customHeight="1">
      <c r="D2168" s="101"/>
      <c r="H2168" s="101"/>
    </row>
    <row r="2169" ht="15.75" customHeight="1">
      <c r="D2169" s="101"/>
      <c r="H2169" s="101"/>
    </row>
    <row r="2170" ht="15.75" customHeight="1">
      <c r="D2170" s="101"/>
      <c r="H2170" s="101"/>
    </row>
    <row r="2171" ht="15.75" customHeight="1">
      <c r="D2171" s="101"/>
      <c r="H2171" s="101"/>
    </row>
    <row r="2172" ht="15.75" customHeight="1">
      <c r="D2172" s="101"/>
      <c r="H2172" s="101"/>
    </row>
    <row r="2173" ht="15.75" customHeight="1">
      <c r="D2173" s="101"/>
      <c r="H2173" s="101"/>
    </row>
    <row r="2174" ht="15.75" customHeight="1">
      <c r="D2174" s="101"/>
      <c r="H2174" s="101"/>
    </row>
    <row r="2175" ht="15.75" customHeight="1">
      <c r="D2175" s="101"/>
      <c r="H2175" s="101"/>
    </row>
    <row r="2176" ht="15.75" customHeight="1">
      <c r="D2176" s="101"/>
      <c r="H2176" s="101"/>
    </row>
    <row r="2177" ht="15.75" customHeight="1">
      <c r="D2177" s="101"/>
      <c r="H2177" s="101"/>
    </row>
    <row r="2178" ht="15.75" customHeight="1">
      <c r="D2178" s="101"/>
      <c r="H2178" s="101"/>
    </row>
    <row r="2179" ht="15.75" customHeight="1">
      <c r="D2179" s="101"/>
      <c r="H2179" s="101"/>
    </row>
    <row r="2180" ht="15.75" customHeight="1">
      <c r="D2180" s="101"/>
      <c r="H2180" s="101"/>
    </row>
    <row r="2181" ht="15.75" customHeight="1">
      <c r="D2181" s="101"/>
      <c r="H2181" s="101"/>
    </row>
    <row r="2182" ht="15.75" customHeight="1">
      <c r="D2182" s="101"/>
      <c r="H2182" s="101"/>
    </row>
    <row r="2183" ht="15.75" customHeight="1">
      <c r="D2183" s="101"/>
      <c r="H2183" s="101"/>
    </row>
    <row r="2184" ht="15.75" customHeight="1">
      <c r="D2184" s="101"/>
      <c r="H2184" s="101"/>
    </row>
    <row r="2185" ht="15.75" customHeight="1">
      <c r="D2185" s="101"/>
      <c r="H2185" s="101"/>
    </row>
    <row r="2186" ht="15.75" customHeight="1">
      <c r="D2186" s="101"/>
      <c r="H2186" s="101"/>
    </row>
    <row r="2187" ht="15.75" customHeight="1">
      <c r="D2187" s="101"/>
      <c r="H2187" s="101"/>
    </row>
    <row r="2188" ht="15.75" customHeight="1">
      <c r="D2188" s="101"/>
      <c r="H2188" s="101"/>
    </row>
    <row r="2189" ht="15.75" customHeight="1">
      <c r="D2189" s="101"/>
      <c r="H2189" s="101"/>
    </row>
    <row r="2190" ht="15.75" customHeight="1">
      <c r="D2190" s="101"/>
      <c r="H2190" s="101"/>
    </row>
    <row r="2191" ht="15.75" customHeight="1">
      <c r="D2191" s="101"/>
      <c r="H2191" s="101"/>
    </row>
    <row r="2192" ht="15.75" customHeight="1">
      <c r="D2192" s="101"/>
      <c r="H2192" s="101"/>
    </row>
    <row r="2193" ht="15.75" customHeight="1">
      <c r="D2193" s="101"/>
      <c r="H2193" s="101"/>
    </row>
    <row r="2194" ht="15.75" customHeight="1">
      <c r="D2194" s="101"/>
      <c r="H2194" s="101"/>
    </row>
    <row r="2195" ht="15.75" customHeight="1">
      <c r="D2195" s="101"/>
      <c r="H2195" s="101"/>
    </row>
    <row r="2196" ht="15.75" customHeight="1">
      <c r="D2196" s="101"/>
      <c r="H2196" s="101"/>
    </row>
    <row r="2197" ht="15.75" customHeight="1">
      <c r="D2197" s="101"/>
      <c r="H2197" s="101"/>
    </row>
    <row r="2198" ht="15.75" customHeight="1">
      <c r="D2198" s="101"/>
      <c r="H2198" s="101"/>
    </row>
    <row r="2199" ht="15.75" customHeight="1">
      <c r="D2199" s="101"/>
      <c r="H2199" s="101"/>
    </row>
    <row r="2200" ht="15.75" customHeight="1">
      <c r="D2200" s="101"/>
      <c r="H2200" s="101"/>
    </row>
    <row r="2201" ht="15.75" customHeight="1">
      <c r="D2201" s="101"/>
      <c r="H2201" s="101"/>
    </row>
    <row r="2202" ht="15.75" customHeight="1">
      <c r="D2202" s="101"/>
      <c r="H2202" s="101"/>
    </row>
    <row r="2203" ht="15.75" customHeight="1">
      <c r="D2203" s="101"/>
      <c r="H2203" s="101"/>
    </row>
    <row r="2204" ht="15.75" customHeight="1">
      <c r="D2204" s="101"/>
      <c r="H2204" s="101"/>
    </row>
    <row r="2205" ht="15.75" customHeight="1">
      <c r="D2205" s="101"/>
      <c r="H2205" s="101"/>
    </row>
    <row r="2206" ht="15.75" customHeight="1">
      <c r="D2206" s="101"/>
      <c r="H2206" s="101"/>
    </row>
    <row r="2207" ht="15.75" customHeight="1">
      <c r="D2207" s="101"/>
      <c r="H2207" s="101"/>
    </row>
    <row r="2208" ht="15.75" customHeight="1">
      <c r="D2208" s="101"/>
      <c r="H2208" s="101"/>
    </row>
    <row r="2209" ht="15.75" customHeight="1">
      <c r="D2209" s="101"/>
      <c r="H2209" s="101"/>
    </row>
    <row r="2210" ht="15.75" customHeight="1">
      <c r="D2210" s="101"/>
      <c r="H2210" s="101"/>
    </row>
    <row r="2211" ht="15.75" customHeight="1">
      <c r="D2211" s="101"/>
      <c r="H2211" s="101"/>
    </row>
    <row r="2212" ht="15.75" customHeight="1">
      <c r="D2212" s="101"/>
      <c r="H2212" s="101"/>
    </row>
    <row r="2213" ht="15.75" customHeight="1">
      <c r="D2213" s="101"/>
      <c r="H2213" s="101"/>
    </row>
    <row r="2214" ht="15.75" customHeight="1">
      <c r="D2214" s="101"/>
      <c r="H2214" s="101"/>
    </row>
    <row r="2215" ht="15.75" customHeight="1">
      <c r="D2215" s="101"/>
      <c r="H2215" s="101"/>
    </row>
    <row r="2216" ht="15.75" customHeight="1">
      <c r="D2216" s="101"/>
      <c r="H2216" s="101"/>
    </row>
    <row r="2217" ht="15.75" customHeight="1">
      <c r="D2217" s="101"/>
      <c r="H2217" s="101"/>
    </row>
    <row r="2218" ht="15.75" customHeight="1">
      <c r="D2218" s="101"/>
      <c r="H2218" s="101"/>
    </row>
    <row r="2219" ht="15.75" customHeight="1">
      <c r="D2219" s="101"/>
      <c r="H2219" s="101"/>
    </row>
    <row r="2220" ht="15.75" customHeight="1">
      <c r="D2220" s="101"/>
      <c r="H2220" s="101"/>
    </row>
    <row r="2221" ht="15.75" customHeight="1">
      <c r="D2221" s="101"/>
      <c r="H2221" s="101"/>
    </row>
    <row r="2222" ht="15.75" customHeight="1">
      <c r="D2222" s="101"/>
      <c r="H2222" s="101"/>
    </row>
    <row r="2223" ht="15.75" customHeight="1">
      <c r="D2223" s="101"/>
      <c r="H2223" s="101"/>
    </row>
    <row r="2224" ht="15.75" customHeight="1">
      <c r="D2224" s="101"/>
      <c r="H2224" s="101"/>
    </row>
    <row r="2225" ht="15.75" customHeight="1">
      <c r="D2225" s="101"/>
      <c r="H2225" s="101"/>
    </row>
    <row r="2226" ht="15.75" customHeight="1">
      <c r="D2226" s="101"/>
      <c r="H2226" s="101"/>
    </row>
    <row r="2227" ht="15.75" customHeight="1">
      <c r="D2227" s="101"/>
      <c r="H2227" s="101"/>
    </row>
    <row r="2228" ht="15.75" customHeight="1">
      <c r="D2228" s="101"/>
      <c r="H2228" s="101"/>
    </row>
    <row r="2229" ht="15.75" customHeight="1">
      <c r="D2229" s="101"/>
      <c r="H2229" s="101"/>
    </row>
    <row r="2230" ht="15.75" customHeight="1">
      <c r="D2230" s="101"/>
      <c r="H2230" s="101"/>
    </row>
    <row r="2231" ht="15.75" customHeight="1">
      <c r="D2231" s="101"/>
      <c r="H2231" s="101"/>
    </row>
    <row r="2232" ht="15.75" customHeight="1">
      <c r="D2232" s="101"/>
      <c r="H2232" s="101"/>
    </row>
    <row r="2233" ht="15.75" customHeight="1">
      <c r="D2233" s="101"/>
      <c r="H2233" s="101"/>
    </row>
    <row r="2234" ht="15.75" customHeight="1">
      <c r="D2234" s="101"/>
      <c r="H2234" s="101"/>
    </row>
    <row r="2235" ht="15.75" customHeight="1">
      <c r="D2235" s="101"/>
      <c r="H2235" s="101"/>
    </row>
    <row r="2236" ht="15.75" customHeight="1">
      <c r="D2236" s="101"/>
      <c r="H2236" s="101"/>
    </row>
    <row r="2237" ht="15.75" customHeight="1">
      <c r="D2237" s="101"/>
      <c r="H2237" s="101"/>
    </row>
    <row r="2238" ht="15.75" customHeight="1">
      <c r="D2238" s="101"/>
      <c r="H2238" s="101"/>
    </row>
    <row r="2239" ht="15.75" customHeight="1">
      <c r="D2239" s="101"/>
      <c r="H2239" s="101"/>
    </row>
    <row r="2240" ht="15.75" customHeight="1">
      <c r="D2240" s="101"/>
      <c r="H2240" s="101"/>
    </row>
    <row r="2241" ht="15.75" customHeight="1">
      <c r="D2241" s="101"/>
      <c r="H2241" s="101"/>
    </row>
    <row r="2242" ht="15.75" customHeight="1">
      <c r="D2242" s="101"/>
      <c r="H2242" s="101"/>
    </row>
    <row r="2243" ht="15.75" customHeight="1">
      <c r="D2243" s="101"/>
      <c r="H2243" s="101"/>
    </row>
    <row r="2244" ht="15.75" customHeight="1">
      <c r="D2244" s="101"/>
      <c r="H2244" s="101"/>
    </row>
    <row r="2245" ht="15.75" customHeight="1">
      <c r="D2245" s="101"/>
      <c r="H2245" s="101"/>
    </row>
    <row r="2246" ht="15.75" customHeight="1">
      <c r="D2246" s="101"/>
      <c r="H2246" s="101"/>
    </row>
    <row r="2247" ht="15.75" customHeight="1">
      <c r="D2247" s="101"/>
      <c r="H2247" s="101"/>
    </row>
    <row r="2248" ht="15.75" customHeight="1">
      <c r="D2248" s="101"/>
      <c r="H2248" s="101"/>
    </row>
    <row r="2249" ht="15.75" customHeight="1">
      <c r="D2249" s="101"/>
      <c r="H2249" s="101"/>
    </row>
    <row r="2250" ht="15.75" customHeight="1">
      <c r="D2250" s="101"/>
      <c r="H2250" s="101"/>
    </row>
    <row r="2251" ht="15.75" customHeight="1">
      <c r="D2251" s="101"/>
      <c r="H2251" s="101"/>
    </row>
    <row r="2252" ht="15.75" customHeight="1">
      <c r="D2252" s="101"/>
      <c r="H2252" s="101"/>
    </row>
    <row r="2253" ht="15.75" customHeight="1">
      <c r="D2253" s="101"/>
      <c r="H2253" s="101"/>
    </row>
    <row r="2254" ht="15.75" customHeight="1">
      <c r="D2254" s="101"/>
      <c r="H2254" s="101"/>
    </row>
    <row r="2255" ht="15.75" customHeight="1">
      <c r="D2255" s="101"/>
      <c r="H2255" s="101"/>
    </row>
    <row r="2256" ht="15.75" customHeight="1">
      <c r="D2256" s="101"/>
      <c r="H2256" s="101"/>
    </row>
    <row r="2257" ht="15.75" customHeight="1">
      <c r="D2257" s="101"/>
      <c r="H2257" s="101"/>
    </row>
    <row r="2258" ht="15.75" customHeight="1">
      <c r="D2258" s="101"/>
      <c r="H2258" s="101"/>
    </row>
    <row r="2259" ht="15.75" customHeight="1">
      <c r="D2259" s="101"/>
      <c r="H2259" s="101"/>
    </row>
    <row r="2260" ht="15.75" customHeight="1">
      <c r="D2260" s="101"/>
      <c r="H2260" s="101"/>
    </row>
    <row r="2261" ht="15.75" customHeight="1">
      <c r="D2261" s="101"/>
      <c r="H2261" s="101"/>
    </row>
    <row r="2262" ht="15.75" customHeight="1">
      <c r="D2262" s="101"/>
      <c r="H2262" s="101"/>
    </row>
    <row r="2263" ht="15.75" customHeight="1">
      <c r="D2263" s="101"/>
      <c r="H2263" s="101"/>
    </row>
    <row r="2264" ht="15.75" customHeight="1">
      <c r="D2264" s="101"/>
      <c r="H2264" s="101"/>
    </row>
    <row r="2265" ht="15.75" customHeight="1">
      <c r="D2265" s="101"/>
      <c r="H2265" s="101"/>
    </row>
    <row r="2266" ht="15.75" customHeight="1">
      <c r="D2266" s="101"/>
      <c r="H2266" s="101"/>
    </row>
    <row r="2267" ht="15.75" customHeight="1">
      <c r="D2267" s="101"/>
      <c r="H2267" s="101"/>
    </row>
    <row r="2268" ht="15.75" customHeight="1">
      <c r="D2268" s="101"/>
      <c r="H2268" s="101"/>
    </row>
    <row r="2269" ht="15.75" customHeight="1">
      <c r="D2269" s="101"/>
      <c r="H2269" s="101"/>
    </row>
    <row r="2270" ht="15.75" customHeight="1">
      <c r="D2270" s="101"/>
      <c r="H2270" s="101"/>
    </row>
    <row r="2271" ht="15.75" customHeight="1">
      <c r="D2271" s="101"/>
      <c r="H2271" s="101"/>
    </row>
    <row r="2272" ht="15.75" customHeight="1">
      <c r="D2272" s="101"/>
      <c r="H2272" s="101"/>
    </row>
    <row r="2273" ht="15.75" customHeight="1">
      <c r="D2273" s="101"/>
      <c r="H2273" s="101"/>
    </row>
    <row r="2274" ht="15.75" customHeight="1">
      <c r="D2274" s="101"/>
      <c r="H2274" s="101"/>
    </row>
    <row r="2275" ht="15.75" customHeight="1">
      <c r="D2275" s="101"/>
      <c r="H2275" s="101"/>
    </row>
    <row r="2276" ht="15.75" customHeight="1">
      <c r="D2276" s="101"/>
      <c r="H2276" s="101"/>
    </row>
    <row r="2277" ht="15.75" customHeight="1">
      <c r="D2277" s="101"/>
      <c r="H2277" s="101"/>
    </row>
    <row r="2278" ht="15.75" customHeight="1">
      <c r="D2278" s="101"/>
      <c r="H2278" s="101"/>
    </row>
    <row r="2279" ht="15.75" customHeight="1">
      <c r="D2279" s="101"/>
      <c r="H2279" s="101"/>
    </row>
    <row r="2280" ht="15.75" customHeight="1">
      <c r="D2280" s="101"/>
      <c r="H2280" s="101"/>
    </row>
    <row r="2281" ht="15.75" customHeight="1">
      <c r="D2281" s="101"/>
      <c r="H2281" s="101"/>
    </row>
    <row r="2282" ht="15.75" customHeight="1">
      <c r="D2282" s="101"/>
      <c r="H2282" s="101"/>
    </row>
    <row r="2283" ht="15.75" customHeight="1">
      <c r="D2283" s="101"/>
      <c r="H2283" s="101"/>
    </row>
    <row r="2284" ht="15.75" customHeight="1">
      <c r="D2284" s="101"/>
      <c r="H2284" s="101"/>
    </row>
    <row r="2285" ht="15.75" customHeight="1">
      <c r="D2285" s="101"/>
      <c r="H2285" s="101"/>
    </row>
    <row r="2286" ht="15.75" customHeight="1">
      <c r="D2286" s="101"/>
      <c r="H2286" s="101"/>
    </row>
    <row r="2287" ht="15.75" customHeight="1">
      <c r="D2287" s="101"/>
      <c r="H2287" s="101"/>
    </row>
    <row r="2288" ht="15.75" customHeight="1">
      <c r="D2288" s="101"/>
      <c r="H2288" s="101"/>
    </row>
    <row r="2289" ht="15.75" customHeight="1">
      <c r="D2289" s="101"/>
      <c r="H2289" s="101"/>
    </row>
    <row r="2290" ht="15.75" customHeight="1">
      <c r="D2290" s="101"/>
      <c r="H2290" s="101"/>
    </row>
    <row r="2291" ht="15.75" customHeight="1">
      <c r="D2291" s="101"/>
      <c r="H2291" s="101"/>
    </row>
    <row r="2292" ht="15.75" customHeight="1">
      <c r="D2292" s="101"/>
      <c r="H2292" s="101"/>
    </row>
    <row r="2293" ht="15.75" customHeight="1">
      <c r="D2293" s="101"/>
      <c r="H2293" s="101"/>
    </row>
    <row r="2294" ht="15.75" customHeight="1">
      <c r="D2294" s="101"/>
      <c r="H2294" s="101"/>
    </row>
    <row r="2295" ht="15.75" customHeight="1">
      <c r="D2295" s="101"/>
      <c r="H2295" s="101"/>
    </row>
    <row r="2296" ht="15.75" customHeight="1">
      <c r="D2296" s="101"/>
      <c r="H2296" s="101"/>
    </row>
    <row r="2297" ht="15.75" customHeight="1">
      <c r="D2297" s="101"/>
      <c r="H2297" s="101"/>
    </row>
    <row r="2298" ht="15.75" customHeight="1">
      <c r="D2298" s="101"/>
      <c r="H2298" s="101"/>
    </row>
    <row r="2299" ht="15.75" customHeight="1">
      <c r="D2299" s="101"/>
      <c r="H2299" s="101"/>
    </row>
    <row r="2300" ht="15.75" customHeight="1">
      <c r="D2300" s="101"/>
      <c r="H2300" s="101"/>
    </row>
    <row r="2301" ht="15.75" customHeight="1">
      <c r="D2301" s="101"/>
      <c r="H2301" s="101"/>
    </row>
    <row r="2302" ht="15.75" customHeight="1">
      <c r="D2302" s="101"/>
      <c r="H2302" s="101"/>
    </row>
    <row r="2303" ht="15.75" customHeight="1">
      <c r="D2303" s="101"/>
      <c r="H2303" s="101"/>
    </row>
    <row r="2304" ht="15.75" customHeight="1">
      <c r="D2304" s="101"/>
      <c r="H2304" s="101"/>
    </row>
    <row r="2305" ht="15.75" customHeight="1">
      <c r="D2305" s="101"/>
      <c r="H2305" s="101"/>
    </row>
    <row r="2306" ht="15.75" customHeight="1">
      <c r="D2306" s="101"/>
      <c r="H2306" s="101"/>
    </row>
    <row r="2307" ht="15.75" customHeight="1">
      <c r="D2307" s="101"/>
      <c r="H2307" s="101"/>
    </row>
    <row r="2308" ht="15.75" customHeight="1">
      <c r="D2308" s="101"/>
      <c r="H2308" s="101"/>
    </row>
    <row r="2309" ht="15.75" customHeight="1">
      <c r="D2309" s="101"/>
      <c r="H2309" s="101"/>
    </row>
    <row r="2310" ht="15.75" customHeight="1">
      <c r="D2310" s="101"/>
      <c r="H2310" s="101"/>
    </row>
    <row r="2311" ht="15.75" customHeight="1">
      <c r="D2311" s="101"/>
      <c r="H2311" s="101"/>
    </row>
    <row r="2312" ht="15.75" customHeight="1">
      <c r="D2312" s="101"/>
      <c r="H2312" s="101"/>
    </row>
    <row r="2313" ht="15.75" customHeight="1">
      <c r="D2313" s="101"/>
      <c r="H2313" s="101"/>
    </row>
    <row r="2314" ht="15.75" customHeight="1">
      <c r="D2314" s="101"/>
      <c r="H2314" s="101"/>
    </row>
    <row r="2315" ht="15.75" customHeight="1">
      <c r="D2315" s="101"/>
      <c r="H2315" s="101"/>
    </row>
    <row r="2316" ht="15.75" customHeight="1">
      <c r="D2316" s="101"/>
      <c r="H2316" s="101"/>
    </row>
    <row r="2317" ht="15.75" customHeight="1">
      <c r="D2317" s="101"/>
      <c r="H2317" s="101"/>
    </row>
    <row r="2318" ht="15.75" customHeight="1">
      <c r="D2318" s="101"/>
      <c r="H2318" s="101"/>
    </row>
    <row r="2319" ht="15.75" customHeight="1">
      <c r="D2319" s="101"/>
      <c r="H2319" s="101"/>
    </row>
    <row r="2320" ht="15.75" customHeight="1">
      <c r="D2320" s="101"/>
      <c r="H2320" s="101"/>
    </row>
    <row r="2321" ht="15.75" customHeight="1">
      <c r="D2321" s="101"/>
      <c r="H2321" s="101"/>
    </row>
    <row r="2322" ht="15.75" customHeight="1">
      <c r="D2322" s="101"/>
      <c r="H2322" s="101"/>
    </row>
    <row r="2323" ht="15.75" customHeight="1">
      <c r="D2323" s="101"/>
      <c r="H2323" s="101"/>
    </row>
    <row r="2324" ht="15.75" customHeight="1">
      <c r="D2324" s="101"/>
      <c r="H2324" s="101"/>
    </row>
    <row r="2325" ht="15.75" customHeight="1">
      <c r="D2325" s="101"/>
      <c r="H2325" s="101"/>
    </row>
    <row r="2326" ht="15.75" customHeight="1">
      <c r="D2326" s="101"/>
      <c r="H2326" s="101"/>
    </row>
    <row r="2327" ht="15.75" customHeight="1">
      <c r="D2327" s="101"/>
      <c r="H2327" s="101"/>
    </row>
    <row r="2328" ht="15.75" customHeight="1">
      <c r="D2328" s="101"/>
      <c r="H2328" s="101"/>
    </row>
    <row r="2329" ht="15.75" customHeight="1">
      <c r="D2329" s="101"/>
      <c r="H2329" s="101"/>
    </row>
    <row r="2330" ht="15.75" customHeight="1">
      <c r="D2330" s="101"/>
      <c r="H2330" s="101"/>
    </row>
    <row r="2331" ht="15.75" customHeight="1">
      <c r="D2331" s="101"/>
      <c r="H2331" s="101"/>
    </row>
    <row r="2332" ht="15.75" customHeight="1">
      <c r="D2332" s="101"/>
      <c r="H2332" s="101"/>
    </row>
    <row r="2333" ht="15.75" customHeight="1">
      <c r="D2333" s="101"/>
      <c r="H2333" s="101"/>
    </row>
    <row r="2334" ht="15.75" customHeight="1">
      <c r="D2334" s="101"/>
      <c r="H2334" s="101"/>
    </row>
    <row r="2335" ht="15.75" customHeight="1">
      <c r="D2335" s="101"/>
      <c r="H2335" s="101"/>
    </row>
    <row r="2336" ht="15.75" customHeight="1">
      <c r="D2336" s="101"/>
      <c r="H2336" s="101"/>
    </row>
    <row r="2337" ht="15.75" customHeight="1">
      <c r="D2337" s="101"/>
      <c r="H2337" s="101"/>
    </row>
    <row r="2338" ht="15.75" customHeight="1">
      <c r="D2338" s="101"/>
      <c r="H2338" s="101"/>
    </row>
    <row r="2339" ht="15.75" customHeight="1">
      <c r="D2339" s="101"/>
      <c r="H2339" s="101"/>
    </row>
    <row r="2340" ht="15.75" customHeight="1">
      <c r="D2340" s="101"/>
      <c r="H2340" s="101"/>
    </row>
    <row r="2341" ht="15.75" customHeight="1">
      <c r="D2341" s="101"/>
      <c r="H2341" s="101"/>
    </row>
    <row r="2342" ht="15.75" customHeight="1">
      <c r="D2342" s="101"/>
      <c r="H2342" s="101"/>
    </row>
    <row r="2343" ht="15.75" customHeight="1">
      <c r="D2343" s="101"/>
      <c r="H2343" s="101"/>
    </row>
    <row r="2344" ht="15.75" customHeight="1">
      <c r="D2344" s="101"/>
      <c r="H2344" s="101"/>
    </row>
    <row r="2345" ht="15.75" customHeight="1">
      <c r="D2345" s="101"/>
      <c r="H2345" s="101"/>
    </row>
    <row r="2346" ht="15.75" customHeight="1">
      <c r="D2346" s="101"/>
      <c r="H2346" s="101"/>
    </row>
    <row r="2347" ht="15.75" customHeight="1">
      <c r="D2347" s="101"/>
      <c r="H2347" s="101"/>
    </row>
    <row r="2348" ht="15.75" customHeight="1">
      <c r="D2348" s="101"/>
      <c r="H2348" s="101"/>
    </row>
    <row r="2349" ht="15.75" customHeight="1">
      <c r="D2349" s="101"/>
      <c r="H2349" s="101"/>
    </row>
    <row r="2350" ht="15.75" customHeight="1">
      <c r="D2350" s="101"/>
      <c r="H2350" s="101"/>
    </row>
    <row r="2351" ht="15.75" customHeight="1">
      <c r="D2351" s="101"/>
      <c r="H2351" s="101"/>
    </row>
    <row r="2352" ht="15.75" customHeight="1">
      <c r="D2352" s="101"/>
      <c r="H2352" s="101"/>
    </row>
    <row r="2353" ht="15.75" customHeight="1">
      <c r="D2353" s="101"/>
      <c r="H2353" s="101"/>
    </row>
    <row r="2354" ht="15.75" customHeight="1">
      <c r="D2354" s="101"/>
      <c r="H2354" s="101"/>
    </row>
    <row r="2355" ht="15.75" customHeight="1">
      <c r="D2355" s="101"/>
      <c r="H2355" s="101"/>
    </row>
    <row r="2356" ht="15.75" customHeight="1">
      <c r="D2356" s="101"/>
      <c r="H2356" s="101"/>
    </row>
    <row r="2357" ht="15.75" customHeight="1">
      <c r="D2357" s="101"/>
      <c r="H2357" s="101"/>
    </row>
    <row r="2358" ht="15.75" customHeight="1">
      <c r="D2358" s="101"/>
      <c r="H2358" s="101"/>
    </row>
    <row r="2359" ht="15.75" customHeight="1">
      <c r="D2359" s="101"/>
      <c r="H2359" s="101"/>
    </row>
    <row r="2360" ht="15.75" customHeight="1">
      <c r="D2360" s="101"/>
      <c r="H2360" s="101"/>
    </row>
    <row r="2361" ht="15.75" customHeight="1">
      <c r="D2361" s="101"/>
      <c r="H2361" s="101"/>
    </row>
    <row r="2362" ht="15.75" customHeight="1">
      <c r="D2362" s="101"/>
      <c r="H2362" s="101"/>
    </row>
    <row r="2363" ht="15.75" customHeight="1">
      <c r="D2363" s="101"/>
      <c r="H2363" s="101"/>
    </row>
    <row r="2364" ht="15.75" customHeight="1">
      <c r="D2364" s="101"/>
      <c r="H2364" s="101"/>
    </row>
    <row r="2365" ht="15.75" customHeight="1">
      <c r="D2365" s="101"/>
      <c r="H2365" s="101"/>
    </row>
    <row r="2366" ht="15.75" customHeight="1">
      <c r="D2366" s="101"/>
      <c r="H2366" s="101"/>
    </row>
    <row r="2367" ht="15.75" customHeight="1">
      <c r="D2367" s="101"/>
      <c r="H2367" s="101"/>
    </row>
    <row r="2368" ht="15.75" customHeight="1">
      <c r="D2368" s="101"/>
      <c r="H2368" s="101"/>
    </row>
    <row r="2369" ht="15.75" customHeight="1">
      <c r="D2369" s="101"/>
      <c r="H2369" s="101"/>
    </row>
    <row r="2370" ht="15.75" customHeight="1">
      <c r="D2370" s="101"/>
      <c r="H2370" s="101"/>
    </row>
    <row r="2371" ht="15.75" customHeight="1">
      <c r="D2371" s="101"/>
      <c r="H2371" s="101"/>
    </row>
    <row r="2372" ht="15.75" customHeight="1">
      <c r="D2372" s="101"/>
      <c r="H2372" s="101"/>
    </row>
    <row r="2373" ht="15.75" customHeight="1">
      <c r="D2373" s="101"/>
      <c r="H2373" s="101"/>
    </row>
    <row r="2374" ht="15.75" customHeight="1">
      <c r="D2374" s="101"/>
      <c r="H2374" s="101"/>
    </row>
    <row r="2375" ht="15.75" customHeight="1">
      <c r="D2375" s="101"/>
      <c r="H2375" s="101"/>
    </row>
    <row r="2376" ht="15.75" customHeight="1">
      <c r="D2376" s="101"/>
      <c r="H2376" s="101"/>
    </row>
    <row r="2377" ht="15.75" customHeight="1">
      <c r="D2377" s="101"/>
      <c r="H2377" s="101"/>
    </row>
    <row r="2378" ht="15.75" customHeight="1">
      <c r="D2378" s="101"/>
      <c r="H2378" s="101"/>
    </row>
    <row r="2379" ht="15.75" customHeight="1">
      <c r="D2379" s="101"/>
      <c r="H2379" s="101"/>
    </row>
    <row r="2380" ht="15.75" customHeight="1">
      <c r="D2380" s="101"/>
      <c r="H2380" s="101"/>
    </row>
    <row r="2381" ht="15.75" customHeight="1">
      <c r="D2381" s="101"/>
      <c r="H2381" s="101"/>
    </row>
    <row r="2382" ht="15.75" customHeight="1">
      <c r="D2382" s="101"/>
      <c r="H2382" s="101"/>
    </row>
    <row r="2383" ht="15.75" customHeight="1">
      <c r="D2383" s="101"/>
      <c r="H2383" s="101"/>
    </row>
    <row r="2384" ht="15.75" customHeight="1">
      <c r="D2384" s="101"/>
      <c r="H2384" s="101"/>
    </row>
    <row r="2385" ht="15.75" customHeight="1">
      <c r="D2385" s="101"/>
      <c r="H2385" s="101"/>
    </row>
    <row r="2386" ht="15.75" customHeight="1">
      <c r="D2386" s="101"/>
      <c r="H2386" s="101"/>
    </row>
    <row r="2387" ht="15.75" customHeight="1">
      <c r="D2387" s="101"/>
      <c r="H2387" s="101"/>
    </row>
    <row r="2388" ht="15.75" customHeight="1">
      <c r="D2388" s="101"/>
      <c r="H2388" s="101"/>
    </row>
    <row r="2389" ht="15.75" customHeight="1">
      <c r="D2389" s="101"/>
      <c r="H2389" s="101"/>
    </row>
    <row r="2390" ht="15.75" customHeight="1">
      <c r="D2390" s="101"/>
      <c r="H2390" s="101"/>
    </row>
    <row r="2391" ht="15.75" customHeight="1">
      <c r="D2391" s="101"/>
      <c r="H2391" s="101"/>
    </row>
    <row r="2392" ht="15.75" customHeight="1">
      <c r="D2392" s="101"/>
      <c r="H2392" s="101"/>
    </row>
    <row r="2393" ht="15.75" customHeight="1">
      <c r="D2393" s="101"/>
      <c r="H2393" s="101"/>
    </row>
    <row r="2394" ht="15.75" customHeight="1">
      <c r="D2394" s="101"/>
      <c r="H2394" s="101"/>
    </row>
    <row r="2395" ht="15.75" customHeight="1">
      <c r="D2395" s="101"/>
      <c r="H2395" s="101"/>
    </row>
    <row r="2396" ht="15.75" customHeight="1">
      <c r="D2396" s="101"/>
      <c r="H2396" s="101"/>
    </row>
    <row r="2397" ht="15.75" customHeight="1">
      <c r="D2397" s="101"/>
      <c r="H2397" s="101"/>
    </row>
    <row r="2398" ht="15.75" customHeight="1">
      <c r="D2398" s="101"/>
      <c r="H2398" s="101"/>
    </row>
    <row r="2399" ht="15.75" customHeight="1">
      <c r="D2399" s="101"/>
      <c r="H2399" s="101"/>
    </row>
    <row r="2400" ht="15.75" customHeight="1">
      <c r="D2400" s="101"/>
      <c r="H2400" s="101"/>
    </row>
    <row r="2401" ht="15.75" customHeight="1">
      <c r="D2401" s="101"/>
      <c r="H2401" s="101"/>
    </row>
    <row r="2402" ht="15.75" customHeight="1">
      <c r="D2402" s="101"/>
      <c r="H2402" s="101"/>
    </row>
    <row r="2403" ht="15.75" customHeight="1">
      <c r="D2403" s="101"/>
      <c r="H2403" s="101"/>
    </row>
    <row r="2404" ht="15.75" customHeight="1">
      <c r="D2404" s="101"/>
      <c r="H2404" s="101"/>
    </row>
    <row r="2405" ht="15.75" customHeight="1">
      <c r="D2405" s="101"/>
      <c r="H2405" s="101"/>
    </row>
    <row r="2406" ht="15.75" customHeight="1">
      <c r="D2406" s="101"/>
      <c r="H2406" s="101"/>
    </row>
    <row r="2407" ht="15.75" customHeight="1">
      <c r="D2407" s="101"/>
      <c r="H2407" s="101"/>
    </row>
    <row r="2408" ht="15.75" customHeight="1">
      <c r="D2408" s="101"/>
      <c r="H2408" s="101"/>
    </row>
    <row r="2409" ht="15.75" customHeight="1">
      <c r="D2409" s="101"/>
      <c r="H2409" s="101"/>
    </row>
    <row r="2410" ht="15.75" customHeight="1">
      <c r="D2410" s="101"/>
      <c r="H2410" s="101"/>
    </row>
    <row r="2411" ht="15.75" customHeight="1">
      <c r="D2411" s="101"/>
      <c r="H2411" s="101"/>
    </row>
    <row r="2412" ht="15.75" customHeight="1">
      <c r="D2412" s="101"/>
      <c r="H2412" s="101"/>
    </row>
    <row r="2413" ht="15.75" customHeight="1">
      <c r="D2413" s="101"/>
      <c r="H2413" s="101"/>
    </row>
    <row r="2414" ht="15.75" customHeight="1">
      <c r="D2414" s="101"/>
      <c r="H2414" s="101"/>
    </row>
    <row r="2415" ht="15.75" customHeight="1">
      <c r="D2415" s="101"/>
      <c r="H2415" s="101"/>
    </row>
    <row r="2416" ht="15.75" customHeight="1">
      <c r="D2416" s="101"/>
      <c r="H2416" s="101"/>
    </row>
    <row r="2417" ht="15.75" customHeight="1">
      <c r="D2417" s="101"/>
      <c r="H2417" s="101"/>
    </row>
    <row r="2418" ht="15.75" customHeight="1">
      <c r="D2418" s="101"/>
      <c r="H2418" s="101"/>
    </row>
    <row r="2419" ht="15.75" customHeight="1">
      <c r="D2419" s="101"/>
      <c r="H2419" s="101"/>
    </row>
    <row r="2420" ht="15.75" customHeight="1">
      <c r="D2420" s="101"/>
      <c r="H2420" s="101"/>
    </row>
    <row r="2421" ht="15.75" customHeight="1">
      <c r="D2421" s="101"/>
      <c r="H2421" s="101"/>
    </row>
    <row r="2422" ht="15.75" customHeight="1">
      <c r="D2422" s="101"/>
      <c r="H2422" s="101"/>
    </row>
    <row r="2423" ht="15.75" customHeight="1">
      <c r="D2423" s="101"/>
      <c r="H2423" s="101"/>
    </row>
    <row r="2424" ht="15.75" customHeight="1">
      <c r="D2424" s="101"/>
      <c r="H2424" s="101"/>
    </row>
    <row r="2425" ht="15.75" customHeight="1">
      <c r="D2425" s="101"/>
      <c r="H2425" s="101"/>
    </row>
    <row r="2426" ht="15.75" customHeight="1">
      <c r="D2426" s="101"/>
      <c r="H2426" s="101"/>
    </row>
    <row r="2427" ht="15.75" customHeight="1">
      <c r="D2427" s="101"/>
      <c r="H2427" s="101"/>
    </row>
    <row r="2428" ht="15.75" customHeight="1">
      <c r="D2428" s="101"/>
      <c r="H2428" s="101"/>
    </row>
    <row r="2429" ht="15.75" customHeight="1">
      <c r="D2429" s="101"/>
      <c r="H2429" s="101"/>
    </row>
    <row r="2430" ht="15.75" customHeight="1">
      <c r="D2430" s="101"/>
      <c r="H2430" s="101"/>
    </row>
    <row r="2431" ht="15.75" customHeight="1">
      <c r="D2431" s="101"/>
      <c r="H2431" s="101"/>
    </row>
    <row r="2432" ht="15.75" customHeight="1">
      <c r="D2432" s="101"/>
      <c r="H2432" s="101"/>
    </row>
    <row r="2433" ht="15.75" customHeight="1">
      <c r="D2433" s="101"/>
      <c r="H2433" s="101"/>
    </row>
    <row r="2434" ht="15.75" customHeight="1">
      <c r="D2434" s="101"/>
      <c r="H2434" s="101"/>
    </row>
    <row r="2435" ht="15.75" customHeight="1">
      <c r="D2435" s="101"/>
      <c r="H2435" s="101"/>
    </row>
    <row r="2436" ht="15.75" customHeight="1">
      <c r="D2436" s="101"/>
      <c r="H2436" s="101"/>
    </row>
    <row r="2437" ht="15.75" customHeight="1">
      <c r="D2437" s="101"/>
      <c r="H2437" s="101"/>
    </row>
    <row r="2438" ht="15.75" customHeight="1">
      <c r="D2438" s="101"/>
      <c r="H2438" s="101"/>
    </row>
    <row r="2439" ht="15.75" customHeight="1">
      <c r="D2439" s="101"/>
      <c r="H2439" s="101"/>
    </row>
    <row r="2440" ht="15.75" customHeight="1">
      <c r="D2440" s="101"/>
      <c r="H2440" s="101"/>
    </row>
    <row r="2441" ht="15.75" customHeight="1">
      <c r="D2441" s="101"/>
      <c r="H2441" s="101"/>
    </row>
    <row r="2442" ht="15.75" customHeight="1">
      <c r="D2442" s="101"/>
      <c r="H2442" s="101"/>
    </row>
    <row r="2443" ht="15.75" customHeight="1">
      <c r="D2443" s="101"/>
      <c r="H2443" s="101"/>
    </row>
    <row r="2444" ht="15.75" customHeight="1">
      <c r="D2444" s="101"/>
      <c r="H2444" s="101"/>
    </row>
    <row r="2445" ht="15.75" customHeight="1">
      <c r="D2445" s="101"/>
      <c r="H2445" s="101"/>
    </row>
    <row r="2446" ht="15.75" customHeight="1">
      <c r="D2446" s="101"/>
      <c r="H2446" s="101"/>
    </row>
    <row r="2447" ht="15.75" customHeight="1">
      <c r="D2447" s="101"/>
      <c r="H2447" s="101"/>
    </row>
    <row r="2448" ht="15.75" customHeight="1">
      <c r="D2448" s="101"/>
      <c r="H2448" s="101"/>
    </row>
    <row r="2449" ht="15.75" customHeight="1">
      <c r="D2449" s="101"/>
      <c r="H2449" s="101"/>
    </row>
    <row r="2450" ht="15.75" customHeight="1">
      <c r="D2450" s="101"/>
      <c r="H2450" s="101"/>
    </row>
    <row r="2451" ht="15.75" customHeight="1">
      <c r="D2451" s="101"/>
      <c r="H2451" s="101"/>
    </row>
    <row r="2452" ht="15.75" customHeight="1">
      <c r="D2452" s="101"/>
      <c r="H2452" s="101"/>
    </row>
    <row r="2453" ht="15.75" customHeight="1">
      <c r="D2453" s="101"/>
      <c r="H2453" s="101"/>
    </row>
    <row r="2454" ht="15.75" customHeight="1">
      <c r="D2454" s="101"/>
      <c r="H2454" s="101"/>
    </row>
    <row r="2455" ht="15.75" customHeight="1">
      <c r="D2455" s="101"/>
      <c r="H2455" s="101"/>
    </row>
    <row r="2456" ht="15.75" customHeight="1">
      <c r="D2456" s="101"/>
      <c r="H2456" s="101"/>
    </row>
    <row r="2457" ht="15.75" customHeight="1">
      <c r="D2457" s="101"/>
      <c r="H2457" s="101"/>
    </row>
    <row r="2458" ht="15.75" customHeight="1">
      <c r="D2458" s="101"/>
      <c r="H2458" s="101"/>
    </row>
    <row r="2459" ht="15.75" customHeight="1">
      <c r="D2459" s="101"/>
      <c r="H2459" s="101"/>
    </row>
    <row r="2460" ht="15.75" customHeight="1">
      <c r="D2460" s="101"/>
      <c r="H2460" s="101"/>
    </row>
    <row r="2461" ht="15.75" customHeight="1">
      <c r="D2461" s="101"/>
      <c r="H2461" s="101"/>
    </row>
    <row r="2462" ht="15.75" customHeight="1">
      <c r="D2462" s="101"/>
      <c r="H2462" s="101"/>
    </row>
    <row r="2463" ht="15.75" customHeight="1">
      <c r="D2463" s="101"/>
      <c r="H2463" s="101"/>
    </row>
    <row r="2464" ht="15.75" customHeight="1">
      <c r="D2464" s="101"/>
      <c r="H2464" s="101"/>
    </row>
    <row r="2465" ht="15.75" customHeight="1">
      <c r="D2465" s="101"/>
      <c r="H2465" s="101"/>
    </row>
    <row r="2466" ht="15.75" customHeight="1">
      <c r="D2466" s="101"/>
      <c r="H2466" s="101"/>
    </row>
    <row r="2467" ht="15.75" customHeight="1">
      <c r="D2467" s="101"/>
      <c r="H2467" s="101"/>
    </row>
    <row r="2468" ht="15.75" customHeight="1">
      <c r="D2468" s="101"/>
      <c r="H2468" s="101"/>
    </row>
    <row r="2469" ht="15.75" customHeight="1">
      <c r="D2469" s="101"/>
      <c r="H2469" s="101"/>
    </row>
    <row r="2470" ht="15.75" customHeight="1">
      <c r="D2470" s="101"/>
      <c r="H2470" s="101"/>
    </row>
    <row r="2471" ht="15.75" customHeight="1">
      <c r="D2471" s="101"/>
      <c r="H2471" s="101"/>
    </row>
    <row r="2472" ht="15.75" customHeight="1">
      <c r="D2472" s="101"/>
      <c r="H2472" s="101"/>
    </row>
    <row r="2473" ht="15.75" customHeight="1">
      <c r="D2473" s="101"/>
      <c r="H2473" s="101"/>
    </row>
    <row r="2474" ht="15.75" customHeight="1">
      <c r="D2474" s="101"/>
      <c r="H2474" s="101"/>
    </row>
    <row r="2475" ht="15.75" customHeight="1">
      <c r="D2475" s="101"/>
      <c r="H2475" s="101"/>
    </row>
    <row r="2476" ht="15.75" customHeight="1">
      <c r="D2476" s="101"/>
      <c r="H2476" s="101"/>
    </row>
    <row r="2477" ht="15.75" customHeight="1">
      <c r="D2477" s="101"/>
      <c r="H2477" s="101"/>
    </row>
    <row r="2478" ht="15.75" customHeight="1">
      <c r="D2478" s="101"/>
      <c r="H2478" s="101"/>
    </row>
    <row r="2479" ht="15.75" customHeight="1">
      <c r="D2479" s="101"/>
      <c r="H2479" s="101"/>
    </row>
    <row r="2480" ht="15.75" customHeight="1">
      <c r="D2480" s="101"/>
      <c r="H2480" s="101"/>
    </row>
    <row r="2481" ht="15.75" customHeight="1">
      <c r="D2481" s="101"/>
      <c r="H2481" s="101"/>
    </row>
    <row r="2482" ht="15.75" customHeight="1">
      <c r="D2482" s="101"/>
      <c r="H2482" s="101"/>
    </row>
    <row r="2483" ht="15.75" customHeight="1">
      <c r="D2483" s="101"/>
      <c r="H2483" s="101"/>
    </row>
    <row r="2484" ht="15.75" customHeight="1">
      <c r="D2484" s="101"/>
      <c r="H2484" s="101"/>
    </row>
    <row r="2485" ht="15.75" customHeight="1">
      <c r="D2485" s="101"/>
      <c r="H2485" s="101"/>
    </row>
    <row r="2486" ht="15.75" customHeight="1">
      <c r="D2486" s="101"/>
      <c r="H2486" s="101"/>
    </row>
    <row r="2487" ht="15.75" customHeight="1">
      <c r="D2487" s="101"/>
      <c r="H2487" s="101"/>
    </row>
    <row r="2488" ht="15.75" customHeight="1">
      <c r="D2488" s="101"/>
      <c r="H2488" s="101"/>
    </row>
    <row r="2489" ht="15.75" customHeight="1">
      <c r="D2489" s="101"/>
      <c r="H2489" s="101"/>
    </row>
    <row r="2490" ht="15.75" customHeight="1">
      <c r="D2490" s="101"/>
      <c r="H2490" s="101"/>
    </row>
    <row r="2491" ht="15.75" customHeight="1">
      <c r="D2491" s="101"/>
      <c r="H2491" s="101"/>
    </row>
    <row r="2492" ht="15.75" customHeight="1">
      <c r="D2492" s="101"/>
      <c r="H2492" s="101"/>
    </row>
    <row r="2493" ht="15.75" customHeight="1">
      <c r="D2493" s="101"/>
      <c r="H2493" s="101"/>
    </row>
    <row r="2494" ht="15.75" customHeight="1">
      <c r="D2494" s="101"/>
      <c r="H2494" s="101"/>
    </row>
    <row r="2495" ht="15.75" customHeight="1">
      <c r="D2495" s="101"/>
      <c r="H2495" s="101"/>
    </row>
    <row r="2496" ht="15.75" customHeight="1">
      <c r="D2496" s="101"/>
      <c r="H2496" s="101"/>
    </row>
    <row r="2497" ht="15.75" customHeight="1">
      <c r="D2497" s="101"/>
      <c r="H2497" s="101"/>
    </row>
    <row r="2498" ht="15.75" customHeight="1">
      <c r="D2498" s="101"/>
      <c r="H2498" s="101"/>
    </row>
    <row r="2499" ht="15.75" customHeight="1">
      <c r="D2499" s="101"/>
      <c r="H2499" s="101"/>
    </row>
    <row r="2500" ht="15.75" customHeight="1">
      <c r="D2500" s="101"/>
      <c r="H2500" s="101"/>
    </row>
    <row r="2501" ht="15.75" customHeight="1">
      <c r="D2501" s="101"/>
      <c r="H2501" s="101"/>
    </row>
    <row r="2502" ht="15.75" customHeight="1">
      <c r="D2502" s="101"/>
      <c r="H2502" s="101"/>
    </row>
    <row r="2503" ht="15.75" customHeight="1">
      <c r="D2503" s="101"/>
      <c r="H2503" s="101"/>
    </row>
    <row r="2504" ht="15.75" customHeight="1">
      <c r="D2504" s="101"/>
      <c r="H2504" s="101"/>
    </row>
    <row r="2505" ht="15.75" customHeight="1">
      <c r="D2505" s="101"/>
      <c r="H2505" s="101"/>
    </row>
    <row r="2506" ht="15.75" customHeight="1">
      <c r="D2506" s="101"/>
      <c r="H2506" s="101"/>
    </row>
    <row r="2507" ht="15.75" customHeight="1">
      <c r="D2507" s="101"/>
      <c r="H2507" s="101"/>
    </row>
    <row r="2508" ht="15.75" customHeight="1">
      <c r="D2508" s="101"/>
      <c r="H2508" s="101"/>
    </row>
    <row r="2509" ht="15.75" customHeight="1">
      <c r="D2509" s="101"/>
      <c r="H2509" s="101"/>
    </row>
    <row r="2510" ht="15.75" customHeight="1">
      <c r="D2510" s="101"/>
      <c r="H2510" s="101"/>
    </row>
    <row r="2511" ht="15.75" customHeight="1">
      <c r="D2511" s="101"/>
      <c r="H2511" s="101"/>
    </row>
    <row r="2512" ht="15.75" customHeight="1">
      <c r="D2512" s="101"/>
      <c r="H2512" s="101"/>
    </row>
    <row r="2513" ht="15.75" customHeight="1">
      <c r="D2513" s="101"/>
      <c r="H2513" s="101"/>
    </row>
    <row r="2514" ht="15.75" customHeight="1">
      <c r="D2514" s="101"/>
      <c r="H2514" s="101"/>
    </row>
    <row r="2515" ht="15.75" customHeight="1">
      <c r="D2515" s="101"/>
      <c r="H2515" s="101"/>
    </row>
    <row r="2516" ht="15.75" customHeight="1">
      <c r="D2516" s="101"/>
      <c r="H2516" s="101"/>
    </row>
    <row r="2517" ht="15.75" customHeight="1">
      <c r="D2517" s="101"/>
      <c r="H2517" s="101"/>
    </row>
    <row r="2518" ht="15.75" customHeight="1">
      <c r="D2518" s="101"/>
      <c r="H2518" s="101"/>
    </row>
    <row r="2519" ht="15.75" customHeight="1">
      <c r="D2519" s="101"/>
      <c r="H2519" s="101"/>
    </row>
    <row r="2520" ht="15.75" customHeight="1">
      <c r="D2520" s="101"/>
      <c r="H2520" s="101"/>
    </row>
    <row r="2521" ht="15.75" customHeight="1">
      <c r="D2521" s="101"/>
      <c r="H2521" s="101"/>
    </row>
    <row r="2522" ht="15.75" customHeight="1">
      <c r="D2522" s="101"/>
      <c r="H2522" s="101"/>
    </row>
    <row r="2523" ht="15.75" customHeight="1">
      <c r="D2523" s="101"/>
      <c r="H2523" s="101"/>
    </row>
    <row r="2524" ht="15.75" customHeight="1">
      <c r="D2524" s="101"/>
      <c r="H2524" s="101"/>
    </row>
    <row r="2525" ht="15.75" customHeight="1">
      <c r="D2525" s="101"/>
      <c r="H2525" s="101"/>
    </row>
    <row r="2526" ht="15.75" customHeight="1">
      <c r="D2526" s="101"/>
      <c r="H2526" s="101"/>
    </row>
    <row r="2527" ht="15.75" customHeight="1">
      <c r="D2527" s="101"/>
      <c r="H2527" s="101"/>
    </row>
    <row r="2528" ht="15.75" customHeight="1">
      <c r="D2528" s="101"/>
      <c r="H2528" s="101"/>
    </row>
    <row r="2529" ht="15.75" customHeight="1">
      <c r="D2529" s="101"/>
      <c r="H2529" s="101"/>
    </row>
    <row r="2530" ht="15.75" customHeight="1">
      <c r="D2530" s="101"/>
      <c r="H2530" s="101"/>
    </row>
    <row r="2531" ht="15.75" customHeight="1">
      <c r="D2531" s="101"/>
      <c r="H2531" s="101"/>
    </row>
    <row r="2532" ht="15.75" customHeight="1">
      <c r="D2532" s="101"/>
      <c r="H2532" s="101"/>
    </row>
    <row r="2533" ht="15.75" customHeight="1">
      <c r="D2533" s="101"/>
      <c r="H2533" s="101"/>
    </row>
    <row r="2534" ht="15.75" customHeight="1">
      <c r="D2534" s="101"/>
      <c r="H2534" s="101"/>
    </row>
    <row r="2535" ht="15.75" customHeight="1">
      <c r="D2535" s="101"/>
      <c r="H2535" s="101"/>
    </row>
    <row r="2536" ht="15.75" customHeight="1">
      <c r="D2536" s="101"/>
      <c r="H2536" s="101"/>
    </row>
    <row r="2537" ht="15.75" customHeight="1">
      <c r="D2537" s="101"/>
      <c r="H2537" s="101"/>
    </row>
    <row r="2538" ht="15.75" customHeight="1">
      <c r="D2538" s="101"/>
      <c r="H2538" s="101"/>
    </row>
    <row r="2539" ht="15.75" customHeight="1">
      <c r="D2539" s="101"/>
      <c r="H2539" s="101"/>
    </row>
    <row r="2540" ht="15.75" customHeight="1">
      <c r="D2540" s="101"/>
      <c r="H2540" s="101"/>
    </row>
    <row r="2541" ht="15.75" customHeight="1">
      <c r="D2541" s="101"/>
      <c r="H2541" s="101"/>
    </row>
    <row r="2542" ht="15.75" customHeight="1">
      <c r="D2542" s="101"/>
      <c r="H2542" s="101"/>
    </row>
    <row r="2543" ht="15.75" customHeight="1">
      <c r="D2543" s="101"/>
      <c r="H2543" s="101"/>
    </row>
    <row r="2544" ht="15.75" customHeight="1">
      <c r="D2544" s="101"/>
      <c r="H2544" s="101"/>
    </row>
    <row r="2545" ht="15.75" customHeight="1">
      <c r="D2545" s="101"/>
      <c r="H2545" s="101"/>
    </row>
    <row r="2546" ht="15.75" customHeight="1">
      <c r="D2546" s="101"/>
      <c r="H2546" s="101"/>
    </row>
    <row r="2547" ht="15.75" customHeight="1">
      <c r="D2547" s="101"/>
      <c r="H2547" s="101"/>
    </row>
    <row r="2548" ht="15.75" customHeight="1">
      <c r="D2548" s="101"/>
      <c r="H2548" s="101"/>
    </row>
    <row r="2549" ht="15.75" customHeight="1">
      <c r="D2549" s="101"/>
      <c r="H2549" s="101"/>
    </row>
    <row r="2550" ht="15.75" customHeight="1">
      <c r="D2550" s="101"/>
      <c r="H2550" s="101"/>
    </row>
    <row r="2551" ht="15.75" customHeight="1">
      <c r="D2551" s="101"/>
      <c r="H2551" s="101"/>
    </row>
    <row r="2552" ht="15.75" customHeight="1">
      <c r="D2552" s="101"/>
      <c r="H2552" s="101"/>
    </row>
    <row r="2553" ht="15.75" customHeight="1">
      <c r="D2553" s="101"/>
      <c r="H2553" s="101"/>
    </row>
    <row r="2554" ht="15.75" customHeight="1">
      <c r="D2554" s="101"/>
      <c r="H2554" s="101"/>
    </row>
    <row r="2555" ht="15.75" customHeight="1">
      <c r="D2555" s="101"/>
      <c r="H2555" s="101"/>
    </row>
    <row r="2556" ht="15.75" customHeight="1">
      <c r="D2556" s="101"/>
      <c r="H2556" s="101"/>
    </row>
    <row r="2557" ht="15.75" customHeight="1">
      <c r="D2557" s="101"/>
      <c r="H2557" s="101"/>
    </row>
    <row r="2558" ht="15.75" customHeight="1">
      <c r="D2558" s="101"/>
      <c r="H2558" s="101"/>
    </row>
    <row r="2559" ht="15.75" customHeight="1">
      <c r="D2559" s="101"/>
      <c r="H2559" s="101"/>
    </row>
    <row r="2560" ht="15.75" customHeight="1">
      <c r="D2560" s="101"/>
      <c r="H2560" s="101"/>
    </row>
    <row r="2561" ht="15.75" customHeight="1">
      <c r="D2561" s="101"/>
      <c r="H2561" s="101"/>
    </row>
    <row r="2562" ht="15.75" customHeight="1">
      <c r="D2562" s="101"/>
      <c r="H2562" s="101"/>
    </row>
    <row r="2563" ht="15.75" customHeight="1">
      <c r="D2563" s="101"/>
      <c r="H2563" s="101"/>
    </row>
    <row r="2564" ht="15.75" customHeight="1">
      <c r="D2564" s="101"/>
      <c r="H2564" s="101"/>
    </row>
    <row r="2565" ht="15.75" customHeight="1">
      <c r="D2565" s="101"/>
      <c r="H2565" s="101"/>
    </row>
    <row r="2566" ht="15.75" customHeight="1">
      <c r="D2566" s="101"/>
      <c r="H2566" s="101"/>
    </row>
    <row r="2567" ht="15.75" customHeight="1">
      <c r="D2567" s="101"/>
      <c r="H2567" s="101"/>
    </row>
    <row r="2568" ht="15.75" customHeight="1">
      <c r="D2568" s="101"/>
      <c r="H2568" s="101"/>
    </row>
    <row r="2569" ht="15.75" customHeight="1">
      <c r="D2569" s="101"/>
      <c r="H2569" s="101"/>
    </row>
    <row r="2570" ht="15.75" customHeight="1">
      <c r="D2570" s="101"/>
      <c r="H2570" s="101"/>
    </row>
    <row r="2571" ht="15.75" customHeight="1">
      <c r="D2571" s="101"/>
      <c r="H2571" s="101"/>
    </row>
    <row r="2572" ht="15.75" customHeight="1">
      <c r="D2572" s="101"/>
      <c r="H2572" s="101"/>
    </row>
    <row r="2573" ht="15.75" customHeight="1">
      <c r="D2573" s="101"/>
      <c r="H2573" s="101"/>
    </row>
    <row r="2574" ht="15.75" customHeight="1">
      <c r="D2574" s="101"/>
      <c r="H2574" s="101"/>
    </row>
    <row r="2575" ht="15.75" customHeight="1">
      <c r="D2575" s="101"/>
      <c r="H2575" s="101"/>
    </row>
    <row r="2576" ht="15.75" customHeight="1">
      <c r="D2576" s="101"/>
      <c r="H2576" s="101"/>
    </row>
    <row r="2577" ht="15.75" customHeight="1">
      <c r="D2577" s="101"/>
      <c r="H2577" s="101"/>
    </row>
    <row r="2578" ht="15.75" customHeight="1">
      <c r="D2578" s="101"/>
      <c r="H2578" s="101"/>
    </row>
    <row r="2579" ht="15.75" customHeight="1">
      <c r="D2579" s="101"/>
      <c r="H2579" s="101"/>
    </row>
    <row r="2580" ht="15.75" customHeight="1">
      <c r="D2580" s="101"/>
      <c r="H2580" s="101"/>
    </row>
    <row r="2581" ht="15.75" customHeight="1">
      <c r="D2581" s="101"/>
      <c r="H2581" s="101"/>
    </row>
    <row r="2582" ht="15.75" customHeight="1">
      <c r="D2582" s="101"/>
      <c r="H2582" s="101"/>
    </row>
    <row r="2583" ht="15.75" customHeight="1">
      <c r="D2583" s="101"/>
      <c r="H2583" s="101"/>
    </row>
    <row r="2584" ht="15.75" customHeight="1">
      <c r="D2584" s="101"/>
      <c r="H2584" s="101"/>
    </row>
    <row r="2585" ht="15.75" customHeight="1">
      <c r="D2585" s="101"/>
      <c r="H2585" s="101"/>
    </row>
    <row r="2586" ht="15.75" customHeight="1">
      <c r="D2586" s="101"/>
      <c r="H2586" s="101"/>
    </row>
    <row r="2587" ht="15.75" customHeight="1">
      <c r="D2587" s="101"/>
      <c r="H2587" s="101"/>
    </row>
    <row r="2588" ht="15.75" customHeight="1">
      <c r="D2588" s="101"/>
      <c r="H2588" s="101"/>
    </row>
    <row r="2589" ht="15.75" customHeight="1">
      <c r="D2589" s="101"/>
      <c r="H2589" s="101"/>
    </row>
    <row r="2590" ht="15.75" customHeight="1">
      <c r="D2590" s="101"/>
      <c r="H2590" s="101"/>
    </row>
    <row r="2591" ht="15.75" customHeight="1">
      <c r="D2591" s="101"/>
      <c r="H2591" s="101"/>
    </row>
    <row r="2592" ht="15.75" customHeight="1">
      <c r="D2592" s="101"/>
      <c r="H2592" s="101"/>
    </row>
    <row r="2593" ht="15.75" customHeight="1">
      <c r="D2593" s="101"/>
      <c r="H2593" s="101"/>
    </row>
    <row r="2594" ht="15.75" customHeight="1">
      <c r="D2594" s="101"/>
      <c r="H2594" s="101"/>
    </row>
    <row r="2595" ht="15.75" customHeight="1">
      <c r="D2595" s="101"/>
      <c r="H2595" s="101"/>
    </row>
    <row r="2596" ht="15.75" customHeight="1">
      <c r="D2596" s="101"/>
      <c r="H2596" s="101"/>
    </row>
    <row r="2597" ht="15.75" customHeight="1">
      <c r="D2597" s="101"/>
      <c r="H2597" s="101"/>
    </row>
    <row r="2598" ht="15.75" customHeight="1">
      <c r="D2598" s="101"/>
      <c r="H2598" s="101"/>
    </row>
    <row r="2599" ht="15.75" customHeight="1">
      <c r="D2599" s="101"/>
      <c r="H2599" s="101"/>
    </row>
    <row r="2600" ht="15.75" customHeight="1">
      <c r="D2600" s="101"/>
      <c r="H2600" s="101"/>
    </row>
    <row r="2601" ht="15.75" customHeight="1">
      <c r="D2601" s="101"/>
      <c r="H2601" s="101"/>
    </row>
    <row r="2602" ht="15.75" customHeight="1">
      <c r="D2602" s="101"/>
      <c r="H2602" s="101"/>
    </row>
    <row r="2603" ht="15.75" customHeight="1">
      <c r="D2603" s="101"/>
      <c r="H2603" s="101"/>
    </row>
    <row r="2604" ht="15.75" customHeight="1">
      <c r="D2604" s="101"/>
      <c r="H2604" s="101"/>
    </row>
    <row r="2605" ht="15.75" customHeight="1">
      <c r="D2605" s="101"/>
      <c r="H2605" s="101"/>
    </row>
    <row r="2606" ht="15.75" customHeight="1">
      <c r="D2606" s="101"/>
      <c r="H2606" s="101"/>
    </row>
    <row r="2607" ht="15.75" customHeight="1">
      <c r="D2607" s="101"/>
      <c r="H2607" s="101"/>
    </row>
    <row r="2608" ht="15.75" customHeight="1">
      <c r="D2608" s="101"/>
      <c r="H2608" s="101"/>
    </row>
    <row r="2609" ht="15.75" customHeight="1">
      <c r="D2609" s="101"/>
      <c r="H2609" s="101"/>
    </row>
    <row r="2610" ht="15.75" customHeight="1">
      <c r="D2610" s="101"/>
      <c r="H2610" s="101"/>
    </row>
    <row r="2611" ht="15.75" customHeight="1">
      <c r="D2611" s="101"/>
      <c r="H2611" s="101"/>
    </row>
    <row r="2612" ht="15.75" customHeight="1">
      <c r="D2612" s="101"/>
      <c r="H2612" s="101"/>
    </row>
    <row r="2613" ht="15.75" customHeight="1">
      <c r="D2613" s="101"/>
      <c r="H2613" s="101"/>
    </row>
    <row r="2614" ht="15.75" customHeight="1">
      <c r="D2614" s="101"/>
      <c r="H2614" s="101"/>
    </row>
    <row r="2615" ht="15.75" customHeight="1">
      <c r="D2615" s="101"/>
      <c r="H2615" s="101"/>
    </row>
    <row r="2616" ht="15.75" customHeight="1">
      <c r="D2616" s="101"/>
      <c r="H2616" s="101"/>
    </row>
    <row r="2617" ht="15.75" customHeight="1">
      <c r="D2617" s="101"/>
      <c r="H2617" s="101"/>
    </row>
    <row r="2618" ht="15.75" customHeight="1">
      <c r="D2618" s="101"/>
      <c r="H2618" s="101"/>
    </row>
    <row r="2619" ht="15.75" customHeight="1">
      <c r="D2619" s="101"/>
      <c r="H2619" s="101"/>
    </row>
    <row r="2620" ht="15.75" customHeight="1">
      <c r="D2620" s="101"/>
      <c r="H2620" s="101"/>
    </row>
    <row r="2621" ht="15.75" customHeight="1">
      <c r="D2621" s="101"/>
      <c r="H2621" s="101"/>
    </row>
    <row r="2622" ht="15.75" customHeight="1">
      <c r="D2622" s="101"/>
      <c r="H2622" s="101"/>
    </row>
    <row r="2623" ht="15.75" customHeight="1">
      <c r="D2623" s="101"/>
      <c r="H2623" s="101"/>
    </row>
    <row r="2624" ht="15.75" customHeight="1">
      <c r="D2624" s="101"/>
      <c r="H2624" s="101"/>
    </row>
    <row r="2625" ht="15.75" customHeight="1">
      <c r="D2625" s="101"/>
      <c r="H2625" s="101"/>
    </row>
    <row r="2626" ht="15.75" customHeight="1">
      <c r="D2626" s="101"/>
      <c r="H2626" s="101"/>
    </row>
    <row r="2627" ht="15.75" customHeight="1">
      <c r="D2627" s="101"/>
      <c r="H2627" s="101"/>
    </row>
    <row r="2628" ht="15.75" customHeight="1">
      <c r="D2628" s="101"/>
      <c r="H2628" s="101"/>
    </row>
    <row r="2629" ht="15.75" customHeight="1">
      <c r="D2629" s="101"/>
      <c r="H2629" s="101"/>
    </row>
    <row r="2630" ht="15.75" customHeight="1">
      <c r="D2630" s="101"/>
      <c r="H2630" s="101"/>
    </row>
    <row r="2631" ht="15.75" customHeight="1">
      <c r="D2631" s="101"/>
      <c r="H2631" s="101"/>
    </row>
    <row r="2632" ht="15.75" customHeight="1">
      <c r="D2632" s="101"/>
      <c r="H2632" s="101"/>
    </row>
    <row r="2633" ht="15.75" customHeight="1">
      <c r="D2633" s="101"/>
      <c r="H2633" s="101"/>
    </row>
    <row r="2634" ht="15.75" customHeight="1">
      <c r="D2634" s="101"/>
      <c r="H2634" s="101"/>
    </row>
    <row r="2635" ht="15.75" customHeight="1">
      <c r="D2635" s="101"/>
      <c r="H2635" s="101"/>
    </row>
    <row r="2636" ht="15.75" customHeight="1">
      <c r="D2636" s="101"/>
      <c r="H2636" s="101"/>
    </row>
    <row r="2637" ht="15.75" customHeight="1">
      <c r="D2637" s="101"/>
      <c r="H2637" s="101"/>
    </row>
    <row r="2638" ht="15.75" customHeight="1">
      <c r="D2638" s="101"/>
      <c r="H2638" s="101"/>
    </row>
    <row r="2639" ht="15.75" customHeight="1">
      <c r="D2639" s="101"/>
      <c r="H2639" s="101"/>
    </row>
    <row r="2640" ht="15.75" customHeight="1">
      <c r="D2640" s="101"/>
      <c r="H2640" s="101"/>
    </row>
    <row r="2641" ht="15.75" customHeight="1">
      <c r="D2641" s="101"/>
      <c r="H2641" s="101"/>
    </row>
    <row r="2642" ht="15.75" customHeight="1">
      <c r="D2642" s="101"/>
      <c r="H2642" s="101"/>
    </row>
    <row r="2643" ht="15.75" customHeight="1">
      <c r="D2643" s="101"/>
      <c r="H2643" s="101"/>
    </row>
    <row r="2644" ht="15.75" customHeight="1">
      <c r="D2644" s="101"/>
      <c r="H2644" s="101"/>
    </row>
    <row r="2645" ht="15.75" customHeight="1">
      <c r="D2645" s="101"/>
      <c r="H2645" s="101"/>
    </row>
    <row r="2646" ht="15.75" customHeight="1">
      <c r="D2646" s="101"/>
      <c r="H2646" s="101"/>
    </row>
    <row r="2647" ht="15.75" customHeight="1">
      <c r="D2647" s="101"/>
      <c r="H2647" s="101"/>
    </row>
    <row r="2648" ht="15.75" customHeight="1">
      <c r="D2648" s="101"/>
      <c r="H2648" s="101"/>
    </row>
    <row r="2649" ht="15.75" customHeight="1">
      <c r="D2649" s="101"/>
      <c r="H2649" s="101"/>
    </row>
    <row r="2650" ht="15.75" customHeight="1">
      <c r="D2650" s="101"/>
      <c r="H2650" s="101"/>
    </row>
    <row r="2651" ht="15.75" customHeight="1">
      <c r="D2651" s="101"/>
      <c r="H2651" s="101"/>
    </row>
    <row r="2652" ht="15.75" customHeight="1">
      <c r="D2652" s="101"/>
      <c r="H2652" s="101"/>
    </row>
    <row r="2653" ht="15.75" customHeight="1">
      <c r="D2653" s="101"/>
      <c r="H2653" s="101"/>
    </row>
    <row r="2654" ht="15.75" customHeight="1">
      <c r="D2654" s="101"/>
      <c r="H2654" s="101"/>
    </row>
    <row r="2655" ht="15.75" customHeight="1">
      <c r="D2655" s="101"/>
      <c r="H2655" s="101"/>
    </row>
    <row r="2656" ht="15.75" customHeight="1">
      <c r="D2656" s="101"/>
      <c r="H2656" s="101"/>
    </row>
    <row r="2657" ht="15.75" customHeight="1">
      <c r="D2657" s="101"/>
      <c r="H2657" s="101"/>
    </row>
    <row r="2658" ht="15.75" customHeight="1">
      <c r="D2658" s="101"/>
      <c r="H2658" s="101"/>
    </row>
    <row r="2659" ht="15.75" customHeight="1">
      <c r="D2659" s="101"/>
      <c r="H2659" s="101"/>
    </row>
    <row r="2660" ht="15.75" customHeight="1">
      <c r="D2660" s="101"/>
      <c r="H2660" s="101"/>
    </row>
    <row r="2661" ht="15.75" customHeight="1">
      <c r="D2661" s="101"/>
      <c r="H2661" s="101"/>
    </row>
    <row r="2662" ht="15.75" customHeight="1">
      <c r="D2662" s="101"/>
      <c r="H2662" s="101"/>
    </row>
    <row r="2663" ht="15.75" customHeight="1">
      <c r="D2663" s="101"/>
      <c r="H2663" s="101"/>
    </row>
    <row r="2664" ht="15.75" customHeight="1">
      <c r="D2664" s="101"/>
      <c r="H2664" s="101"/>
    </row>
    <row r="2665" ht="15.75" customHeight="1">
      <c r="D2665" s="101"/>
      <c r="H2665" s="101"/>
    </row>
    <row r="2666" ht="15.75" customHeight="1">
      <c r="D2666" s="101"/>
      <c r="H2666" s="101"/>
    </row>
    <row r="2667" ht="15.75" customHeight="1">
      <c r="D2667" s="101"/>
      <c r="H2667" s="101"/>
    </row>
    <row r="2668" ht="15.75" customHeight="1">
      <c r="D2668" s="101"/>
      <c r="H2668" s="101"/>
    </row>
    <row r="2669" ht="15.75" customHeight="1">
      <c r="D2669" s="101"/>
      <c r="H2669" s="101"/>
    </row>
    <row r="2670" ht="15.75" customHeight="1">
      <c r="D2670" s="101"/>
      <c r="H2670" s="101"/>
    </row>
    <row r="2671" ht="15.75" customHeight="1">
      <c r="D2671" s="101"/>
      <c r="H2671" s="101"/>
    </row>
    <row r="2672" ht="15.75" customHeight="1">
      <c r="D2672" s="101"/>
      <c r="H2672" s="101"/>
    </row>
    <row r="2673" ht="15.75" customHeight="1">
      <c r="D2673" s="101"/>
      <c r="H2673" s="101"/>
    </row>
    <row r="2674" ht="15.75" customHeight="1">
      <c r="D2674" s="101"/>
      <c r="H2674" s="101"/>
    </row>
    <row r="2675" ht="15.75" customHeight="1">
      <c r="D2675" s="101"/>
      <c r="H2675" s="101"/>
    </row>
    <row r="2676" ht="15.75" customHeight="1">
      <c r="D2676" s="101"/>
      <c r="H2676" s="101"/>
    </row>
    <row r="2677" ht="15.75" customHeight="1">
      <c r="D2677" s="101"/>
      <c r="H2677" s="101"/>
    </row>
    <row r="2678" ht="15.75" customHeight="1">
      <c r="D2678" s="101"/>
      <c r="H2678" s="101"/>
    </row>
    <row r="2679" ht="15.75" customHeight="1">
      <c r="D2679" s="101"/>
      <c r="H2679" s="101"/>
    </row>
    <row r="2680" ht="15.75" customHeight="1">
      <c r="D2680" s="101"/>
      <c r="H2680" s="101"/>
    </row>
    <row r="2681" ht="15.75" customHeight="1">
      <c r="D2681" s="101"/>
      <c r="H2681" s="101"/>
    </row>
    <row r="2682" ht="15.75" customHeight="1">
      <c r="D2682" s="101"/>
      <c r="H2682" s="101"/>
    </row>
    <row r="2683" ht="15.75" customHeight="1">
      <c r="D2683" s="101"/>
      <c r="H2683" s="101"/>
    </row>
    <row r="2684" ht="15.75" customHeight="1">
      <c r="D2684" s="101"/>
      <c r="H2684" s="101"/>
    </row>
    <row r="2685" ht="15.75" customHeight="1">
      <c r="D2685" s="101"/>
      <c r="H2685" s="101"/>
    </row>
    <row r="2686" ht="15.75" customHeight="1">
      <c r="D2686" s="101"/>
      <c r="H2686" s="101"/>
    </row>
    <row r="2687" ht="15.75" customHeight="1">
      <c r="D2687" s="101"/>
      <c r="H2687" s="101"/>
    </row>
    <row r="2688" ht="15.75" customHeight="1">
      <c r="D2688" s="101"/>
      <c r="H2688" s="101"/>
    </row>
    <row r="2689" ht="15.75" customHeight="1">
      <c r="D2689" s="101"/>
      <c r="H2689" s="101"/>
    </row>
    <row r="2690" ht="15.75" customHeight="1">
      <c r="D2690" s="101"/>
      <c r="H2690" s="101"/>
    </row>
    <row r="2691" ht="15.75" customHeight="1">
      <c r="D2691" s="101"/>
      <c r="H2691" s="101"/>
    </row>
    <row r="2692" ht="15.75" customHeight="1">
      <c r="D2692" s="101"/>
      <c r="H2692" s="101"/>
    </row>
    <row r="2693" ht="15.75" customHeight="1">
      <c r="D2693" s="101"/>
      <c r="H2693" s="101"/>
    </row>
    <row r="2694" ht="15.75" customHeight="1">
      <c r="D2694" s="101"/>
      <c r="H2694" s="101"/>
    </row>
    <row r="2695" ht="15.75" customHeight="1">
      <c r="D2695" s="101"/>
      <c r="H2695" s="101"/>
    </row>
    <row r="2696" ht="15.75" customHeight="1">
      <c r="D2696" s="101"/>
      <c r="H2696" s="101"/>
    </row>
    <row r="2697" ht="15.75" customHeight="1">
      <c r="D2697" s="101"/>
      <c r="H2697" s="101"/>
    </row>
    <row r="2698" ht="15.75" customHeight="1">
      <c r="D2698" s="101"/>
      <c r="H2698" s="101"/>
    </row>
    <row r="2699" ht="15.75" customHeight="1">
      <c r="D2699" s="101"/>
      <c r="H2699" s="101"/>
    </row>
    <row r="2700" ht="15.75" customHeight="1">
      <c r="D2700" s="101"/>
      <c r="H2700" s="101"/>
    </row>
    <row r="2701" ht="15.75" customHeight="1">
      <c r="D2701" s="101"/>
      <c r="H2701" s="101"/>
    </row>
    <row r="2702" ht="15.75" customHeight="1">
      <c r="D2702" s="101"/>
      <c r="H2702" s="101"/>
    </row>
    <row r="2703" ht="15.75" customHeight="1">
      <c r="D2703" s="101"/>
      <c r="H2703" s="101"/>
    </row>
    <row r="2704" ht="15.75" customHeight="1">
      <c r="D2704" s="101"/>
      <c r="H2704" s="101"/>
    </row>
    <row r="2705" ht="15.75" customHeight="1">
      <c r="D2705" s="101"/>
      <c r="H2705" s="101"/>
    </row>
    <row r="2706" ht="15.75" customHeight="1">
      <c r="D2706" s="101"/>
      <c r="H2706" s="101"/>
    </row>
    <row r="2707" ht="15.75" customHeight="1">
      <c r="D2707" s="101"/>
      <c r="H2707" s="101"/>
    </row>
    <row r="2708" ht="15.75" customHeight="1">
      <c r="D2708" s="101"/>
      <c r="H2708" s="101"/>
    </row>
    <row r="2709" ht="15.75" customHeight="1">
      <c r="D2709" s="101"/>
      <c r="H2709" s="101"/>
    </row>
    <row r="2710" ht="15.75" customHeight="1">
      <c r="D2710" s="101"/>
      <c r="H2710" s="101"/>
    </row>
    <row r="2711" ht="15.75" customHeight="1">
      <c r="D2711" s="101"/>
      <c r="H2711" s="101"/>
    </row>
    <row r="2712" ht="15.75" customHeight="1">
      <c r="D2712" s="101"/>
      <c r="H2712" s="101"/>
    </row>
    <row r="2713" ht="15.75" customHeight="1">
      <c r="D2713" s="101"/>
      <c r="H2713" s="101"/>
    </row>
    <row r="2714" ht="15.75" customHeight="1">
      <c r="D2714" s="101"/>
      <c r="H2714" s="101"/>
    </row>
    <row r="2715" ht="15.75" customHeight="1">
      <c r="D2715" s="101"/>
      <c r="H2715" s="101"/>
    </row>
    <row r="2716" ht="15.75" customHeight="1">
      <c r="D2716" s="101"/>
      <c r="H2716" s="101"/>
    </row>
    <row r="2717" ht="15.75" customHeight="1">
      <c r="D2717" s="101"/>
      <c r="H2717" s="101"/>
    </row>
    <row r="2718" ht="15.75" customHeight="1">
      <c r="D2718" s="101"/>
      <c r="H2718" s="101"/>
    </row>
    <row r="2719" ht="15.75" customHeight="1">
      <c r="D2719" s="101"/>
      <c r="H2719" s="101"/>
    </row>
    <row r="2720" ht="15.75" customHeight="1">
      <c r="D2720" s="101"/>
      <c r="H2720" s="101"/>
    </row>
    <row r="2721" ht="15.75" customHeight="1">
      <c r="D2721" s="101"/>
      <c r="H2721" s="101"/>
    </row>
    <row r="2722" ht="15.75" customHeight="1">
      <c r="D2722" s="101"/>
      <c r="H2722" s="101"/>
    </row>
    <row r="2723" ht="15.75" customHeight="1">
      <c r="D2723" s="101"/>
      <c r="H2723" s="101"/>
    </row>
    <row r="2724" ht="15.75" customHeight="1">
      <c r="D2724" s="101"/>
      <c r="H2724" s="101"/>
    </row>
    <row r="2725" ht="15.75" customHeight="1">
      <c r="D2725" s="101"/>
      <c r="H2725" s="101"/>
    </row>
    <row r="2726" ht="15.75" customHeight="1">
      <c r="D2726" s="101"/>
      <c r="H2726" s="101"/>
    </row>
    <row r="2727" ht="15.75" customHeight="1">
      <c r="D2727" s="101"/>
      <c r="H2727" s="101"/>
    </row>
    <row r="2728" ht="15.75" customHeight="1">
      <c r="D2728" s="101"/>
      <c r="H2728" s="101"/>
    </row>
    <row r="2729" ht="15.75" customHeight="1">
      <c r="D2729" s="101"/>
      <c r="H2729" s="101"/>
    </row>
    <row r="2730" ht="15.75" customHeight="1">
      <c r="D2730" s="101"/>
      <c r="H2730" s="101"/>
    </row>
    <row r="2731" ht="15.75" customHeight="1">
      <c r="D2731" s="101"/>
      <c r="H2731" s="101"/>
    </row>
    <row r="2732" ht="15.75" customHeight="1">
      <c r="D2732" s="101"/>
      <c r="H2732" s="101"/>
    </row>
    <row r="2733" ht="15.75" customHeight="1">
      <c r="D2733" s="101"/>
      <c r="H2733" s="101"/>
    </row>
    <row r="2734" ht="15.75" customHeight="1">
      <c r="D2734" s="101"/>
      <c r="H2734" s="101"/>
    </row>
    <row r="2735" ht="15.75" customHeight="1">
      <c r="D2735" s="101"/>
      <c r="H2735" s="101"/>
    </row>
    <row r="2736" ht="15.75" customHeight="1">
      <c r="D2736" s="101"/>
      <c r="H2736" s="101"/>
    </row>
    <row r="2737" ht="15.75" customHeight="1">
      <c r="D2737" s="101"/>
      <c r="H2737" s="101"/>
    </row>
    <row r="2738" ht="15.75" customHeight="1">
      <c r="D2738" s="101"/>
      <c r="H2738" s="101"/>
    </row>
    <row r="2739" ht="15.75" customHeight="1">
      <c r="D2739" s="101"/>
      <c r="H2739" s="101"/>
    </row>
    <row r="2740" ht="15.75" customHeight="1">
      <c r="D2740" s="101"/>
      <c r="H2740" s="101"/>
    </row>
    <row r="2741" ht="15.75" customHeight="1">
      <c r="D2741" s="101"/>
      <c r="H2741" s="101"/>
    </row>
    <row r="2742" ht="15.75" customHeight="1">
      <c r="D2742" s="101"/>
      <c r="H2742" s="101"/>
    </row>
    <row r="2743" ht="15.75" customHeight="1">
      <c r="D2743" s="101"/>
      <c r="H2743" s="101"/>
    </row>
    <row r="2744" ht="15.75" customHeight="1">
      <c r="D2744" s="101"/>
      <c r="H2744" s="101"/>
    </row>
    <row r="2745" ht="15.75" customHeight="1">
      <c r="D2745" s="101"/>
      <c r="H2745" s="101"/>
    </row>
    <row r="2746" ht="15.75" customHeight="1">
      <c r="D2746" s="101"/>
      <c r="H2746" s="101"/>
    </row>
    <row r="2747" ht="15.75" customHeight="1">
      <c r="D2747" s="101"/>
      <c r="H2747" s="101"/>
    </row>
    <row r="2748" ht="15.75" customHeight="1">
      <c r="D2748" s="101"/>
      <c r="H2748" s="101"/>
    </row>
    <row r="2749" ht="15.75" customHeight="1">
      <c r="D2749" s="101"/>
      <c r="H2749" s="101"/>
    </row>
    <row r="2750" ht="15.75" customHeight="1">
      <c r="D2750" s="101"/>
      <c r="H2750" s="101"/>
    </row>
    <row r="2751" ht="15.75" customHeight="1">
      <c r="D2751" s="101"/>
      <c r="H2751" s="101"/>
    </row>
    <row r="2752" ht="15.75" customHeight="1">
      <c r="D2752" s="101"/>
      <c r="H2752" s="101"/>
    </row>
    <row r="2753" ht="15.75" customHeight="1">
      <c r="D2753" s="101"/>
      <c r="H2753" s="101"/>
    </row>
    <row r="2754" ht="15.75" customHeight="1">
      <c r="D2754" s="101"/>
      <c r="H2754" s="101"/>
    </row>
    <row r="2755" ht="15.75" customHeight="1">
      <c r="D2755" s="101"/>
      <c r="H2755" s="101"/>
    </row>
    <row r="2756" ht="15.75" customHeight="1">
      <c r="D2756" s="101"/>
      <c r="H2756" s="101"/>
    </row>
    <row r="2757" ht="15.75" customHeight="1">
      <c r="D2757" s="101"/>
      <c r="H2757" s="101"/>
    </row>
    <row r="2758" ht="15.75" customHeight="1">
      <c r="D2758" s="101"/>
      <c r="H2758" s="101"/>
    </row>
    <row r="2759" ht="15.75" customHeight="1">
      <c r="D2759" s="101"/>
      <c r="H2759" s="101"/>
    </row>
    <row r="2760" ht="15.75" customHeight="1">
      <c r="D2760" s="101"/>
      <c r="H2760" s="101"/>
    </row>
    <row r="2761" ht="15.75" customHeight="1">
      <c r="D2761" s="101"/>
      <c r="H2761" s="101"/>
    </row>
    <row r="2762" ht="15.75" customHeight="1">
      <c r="D2762" s="101"/>
      <c r="H2762" s="101"/>
    </row>
    <row r="2763" ht="15.75" customHeight="1">
      <c r="D2763" s="101"/>
      <c r="H2763" s="101"/>
    </row>
    <row r="2764" ht="15.75" customHeight="1">
      <c r="D2764" s="101"/>
      <c r="H2764" s="101"/>
    </row>
    <row r="2765" ht="15.75" customHeight="1">
      <c r="D2765" s="101"/>
      <c r="H2765" s="101"/>
    </row>
    <row r="2766" ht="15.75" customHeight="1">
      <c r="D2766" s="101"/>
      <c r="H2766" s="101"/>
    </row>
    <row r="2767" ht="15.75" customHeight="1">
      <c r="D2767" s="101"/>
      <c r="H2767" s="101"/>
    </row>
    <row r="2768" ht="15.75" customHeight="1">
      <c r="H2768" s="101"/>
    </row>
    <row r="2769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8.71"/>
    <col customWidth="1" min="3" max="3" width="59.57"/>
    <col customWidth="1" min="4" max="4" width="11.57"/>
    <col customWidth="1" min="5" max="5" width="2.43"/>
    <col customWidth="1" min="6" max="26" width="8.71"/>
  </cols>
  <sheetData>
    <row r="1">
      <c r="A1" s="149"/>
      <c r="B1" s="157"/>
      <c r="C1" s="158" t="s">
        <v>141</v>
      </c>
      <c r="D1" s="157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B2" s="145" t="s">
        <v>6</v>
      </c>
      <c r="C2" s="146" t="s">
        <v>7</v>
      </c>
      <c r="D2" s="145" t="s">
        <v>8</v>
      </c>
    </row>
    <row r="3" ht="14.25" customHeight="1">
      <c r="B3" s="15">
        <v>108513.0</v>
      </c>
      <c r="C3" s="9" t="str">
        <f>VLOOKUP(B3,'FML March 2026'!E:F,2,false)</f>
        <v>BEEF PORTERHOUSE STEAK PRIME 60 DAY DRY AGED 32 OZ</v>
      </c>
      <c r="D3" s="9" t="str">
        <f>VLOOKUP(B3,'Unit of Measure ship March 2026'!A:C,3,false)</f>
        <v>LBS</v>
      </c>
    </row>
    <row r="4" ht="14.25" customHeight="1">
      <c r="B4" s="15">
        <v>108511.0</v>
      </c>
      <c r="C4" s="9" t="str">
        <f>VLOOKUP(B4,'FML March 2026'!E:F,2,false)</f>
        <v>BEEF RIB TOMAHAWK CHOP 32 OZ UPPER 2/3RD CHOICE  40 DAY AGED , NAMP-1103B (PSO 7-8 INCH BONE)</v>
      </c>
      <c r="D4" s="9" t="str">
        <f>VLOOKUP(B4,'Unit of Measure ship March 2026'!A:C,3,false)</f>
        <v>LBS</v>
      </c>
    </row>
    <row r="5" ht="14.25" customHeight="1">
      <c r="B5" s="174">
        <v>145537.0</v>
      </c>
      <c r="C5" s="9" t="str">
        <f>VLOOKUP(B5,'FML March 2026'!E:F,2,false)</f>
        <v>CAVIAR SIBERIAN STURGEON 3.5 OZ</v>
      </c>
      <c r="D5" s="9" t="str">
        <f>VLOOKUP(B5,'Unit of Measure ship March 2026'!A:C,3,false)</f>
        <v>JR3.5/OZ</v>
      </c>
    </row>
    <row r="6" ht="14.25" customHeight="1">
      <c r="B6" s="53">
        <v>11171.0</v>
      </c>
      <c r="C6" s="9" t="str">
        <f>VLOOKUP(B6,'FML March 2026'!E:F,2,false)</f>
        <v>CRAB CLAWS, SNOW COOKED FROZEN ORION/ MAZETTA</v>
      </c>
      <c r="D6" s="9" t="str">
        <f>VLOOKUP(B6,'Unit of Measure ship March 2026'!A:C,3,false)</f>
        <v>LBS</v>
      </c>
    </row>
    <row r="7" ht="14.25" customHeight="1">
      <c r="B7" s="175">
        <v>11172.0</v>
      </c>
      <c r="C7" s="9" t="str">
        <f>VLOOKUP(B7,'FML March 2026'!E:F,2,false)</f>
        <v>CRAB LEGS KING RED/GOLD ALASKA SPLIT COOKED 20/24 CT 20 LB CS TREASRURE OF THE SEAS</v>
      </c>
      <c r="D7" s="9" t="str">
        <f>VLOOKUP(B7,'Unit of Measure ship March 2026'!A:C,3,false)</f>
        <v>LBS</v>
      </c>
    </row>
    <row r="8" ht="14.25" customHeight="1">
      <c r="B8" s="8">
        <v>86609.0</v>
      </c>
      <c r="C8" s="9" t="str">
        <f>VLOOKUP(B8,'FML March 2026'!E:F,2,false)</f>
        <v>CRAWFISH WHOLE BLANCHED SEASONED CS10/2 LB</v>
      </c>
      <c r="D8" s="9" t="str">
        <f>VLOOKUP(B8,'Unit of Measure ship March 2026'!A:C,3,false)</f>
        <v>LBS</v>
      </c>
    </row>
    <row r="9" ht="14.25" customHeight="1">
      <c r="B9" s="15">
        <v>35163.0</v>
      </c>
      <c r="C9" s="9" t="str">
        <f>VLOOKUP(B9,'FML March 2026'!E:F,2,false)</f>
        <v>HALIBUT FILLET, FRESH/FRZN ALASKAN</v>
      </c>
      <c r="D9" s="9" t="str">
        <f>VLOOKUP(B9,'Unit of Measure ship March 2026'!A:C,3,false)</f>
        <v>LBS</v>
      </c>
    </row>
    <row r="10" ht="14.25" customHeight="1">
      <c r="B10" s="8">
        <v>19121.0</v>
      </c>
      <c r="C10" s="9" t="str">
        <f>VLOOKUP(B10,'FML March 2026'!E:F,2,false)</f>
        <v>LOBSTER-MAINE-COLD WATER,SPLIT,SHELL ON-CLAW MEAT IN 1.30-1.50 # COOKED FZ,DR/TOS (CANADA)</v>
      </c>
      <c r="D10" s="9" t="str">
        <f>VLOOKUP(B10,'Unit of Measure ship March 2026'!A:C,3,false)</f>
        <v>LBS</v>
      </c>
    </row>
    <row r="11" ht="14.25" customHeight="1">
      <c r="C11" s="9"/>
      <c r="D11" s="9"/>
    </row>
    <row r="12" ht="14.25" customHeight="1">
      <c r="C12" s="9"/>
      <c r="D12" s="9"/>
    </row>
    <row r="13" ht="14.25" customHeight="1">
      <c r="C13" s="9"/>
      <c r="D13" s="9"/>
    </row>
    <row r="14" ht="14.25" customHeight="1">
      <c r="C14" s="9"/>
      <c r="D14" s="9"/>
    </row>
    <row r="15" ht="14.25" customHeight="1">
      <c r="C15" s="9"/>
      <c r="D15" s="9"/>
    </row>
    <row r="16" ht="14.25" customHeight="1">
      <c r="C16" s="9"/>
      <c r="D16" s="9"/>
    </row>
    <row r="17" ht="14.25" customHeight="1">
      <c r="C17" s="9"/>
      <c r="D17" s="9"/>
    </row>
    <row r="18" ht="14.25" customHeight="1">
      <c r="C18" s="9"/>
      <c r="D18" s="9"/>
    </row>
    <row r="19" ht="14.25" customHeight="1">
      <c r="C19" s="9"/>
      <c r="D19" s="9"/>
    </row>
    <row r="20" ht="14.25" customHeight="1">
      <c r="C20" s="9"/>
      <c r="D20" s="9"/>
    </row>
    <row r="21" ht="14.25" customHeight="1">
      <c r="C21" s="9"/>
      <c r="D21" s="9"/>
    </row>
    <row r="22" ht="14.25" customHeight="1">
      <c r="C22" s="9"/>
      <c r="D22" s="9"/>
    </row>
    <row r="23" ht="14.25" customHeight="1">
      <c r="C23" s="9"/>
      <c r="D23" s="9"/>
    </row>
    <row r="24" ht="14.25" customHeight="1">
      <c r="C24" s="9"/>
      <c r="D24" s="9"/>
    </row>
    <row r="25" ht="14.25" customHeight="1">
      <c r="C25" s="9"/>
      <c r="D25" s="9"/>
    </row>
    <row r="26" ht="14.25" customHeight="1">
      <c r="C26" s="9"/>
      <c r="D26" s="9"/>
    </row>
    <row r="27" ht="14.25" customHeight="1">
      <c r="C27" s="9"/>
      <c r="D27" s="9"/>
    </row>
    <row r="28" ht="14.25" customHeight="1">
      <c r="C28" s="9"/>
      <c r="D28" s="9"/>
    </row>
    <row r="29" ht="14.25" customHeight="1">
      <c r="C29" s="9"/>
      <c r="D29" s="9"/>
    </row>
    <row r="30" ht="14.25" customHeight="1">
      <c r="C30" s="9"/>
      <c r="D30" s="9"/>
    </row>
    <row r="31" ht="14.25" customHeight="1">
      <c r="C31" s="9"/>
      <c r="D31" s="9"/>
    </row>
    <row r="32" ht="14.25" customHeight="1">
      <c r="C32" s="9"/>
      <c r="D32" s="9"/>
    </row>
    <row r="33" ht="14.25" customHeight="1">
      <c r="C33" s="9"/>
      <c r="D33" s="9"/>
    </row>
    <row r="34" ht="14.25" customHeight="1">
      <c r="C34" s="9"/>
      <c r="D34" s="9"/>
    </row>
    <row r="35" ht="14.25" customHeight="1">
      <c r="C35" s="9"/>
      <c r="D35" s="9"/>
    </row>
    <row r="36" ht="14.25" customHeight="1">
      <c r="C36" s="9"/>
      <c r="D36" s="9"/>
    </row>
    <row r="37" ht="14.25" customHeight="1">
      <c r="C37" s="9"/>
      <c r="D37" s="9"/>
    </row>
    <row r="38" ht="14.25" customHeight="1">
      <c r="C38" s="9"/>
      <c r="D38" s="9"/>
    </row>
    <row r="39" ht="14.25" customHeight="1">
      <c r="C39" s="9"/>
      <c r="D39" s="9"/>
    </row>
    <row r="40" ht="14.25" customHeight="1">
      <c r="C40" s="9"/>
      <c r="D40" s="9"/>
    </row>
    <row r="41" ht="14.25" customHeight="1">
      <c r="C41" s="9"/>
      <c r="D41" s="9"/>
    </row>
    <row r="42" ht="14.25" customHeight="1">
      <c r="C42" s="9"/>
      <c r="D42" s="9"/>
    </row>
    <row r="43" ht="14.25" customHeight="1">
      <c r="C43" s="9"/>
      <c r="D43" s="9"/>
    </row>
    <row r="44" ht="14.25" customHeight="1">
      <c r="C44" s="9"/>
      <c r="D44" s="9"/>
    </row>
    <row r="45" ht="14.25" customHeight="1">
      <c r="C45" s="9"/>
      <c r="D45" s="9"/>
    </row>
    <row r="46" ht="14.25" customHeight="1">
      <c r="C46" s="9"/>
      <c r="D46" s="9"/>
    </row>
    <row r="47" ht="14.25" customHeight="1">
      <c r="C47" s="9"/>
      <c r="D47" s="9"/>
    </row>
    <row r="48" ht="14.25" customHeight="1">
      <c r="C48" s="9"/>
      <c r="D48" s="9"/>
    </row>
    <row r="49" ht="14.25" customHeight="1">
      <c r="C49" s="9"/>
      <c r="D49" s="9"/>
    </row>
    <row r="50" ht="14.25" customHeight="1">
      <c r="C50" s="9"/>
      <c r="D50" s="9"/>
    </row>
    <row r="51" ht="14.25" customHeight="1">
      <c r="C51" s="9"/>
      <c r="D51" s="9"/>
    </row>
    <row r="52" ht="14.25" customHeight="1">
      <c r="C52" s="9"/>
      <c r="D52" s="9"/>
    </row>
    <row r="53" ht="14.25" customHeight="1">
      <c r="C53" s="9"/>
      <c r="D53" s="9"/>
    </row>
    <row r="54" ht="14.25" customHeight="1">
      <c r="C54" s="9"/>
      <c r="D54" s="9"/>
    </row>
    <row r="55" ht="14.25" customHeight="1">
      <c r="C55" s="9"/>
      <c r="D55" s="9"/>
    </row>
    <row r="56" ht="14.25" customHeight="1">
      <c r="C56" s="9"/>
      <c r="D56" s="9"/>
    </row>
    <row r="57" ht="14.25" customHeight="1">
      <c r="C57" s="9"/>
      <c r="D57" s="9"/>
    </row>
    <row r="58" ht="14.25" customHeight="1">
      <c r="C58" s="9"/>
      <c r="D58" s="9"/>
    </row>
    <row r="59" ht="14.25" customHeight="1">
      <c r="C59" s="9"/>
      <c r="D59" s="9"/>
    </row>
    <row r="60" ht="14.25" customHeight="1">
      <c r="C60" s="9"/>
      <c r="D60" s="9"/>
    </row>
    <row r="61" ht="14.25" customHeight="1">
      <c r="C61" s="9"/>
      <c r="D61" s="9"/>
    </row>
    <row r="62" ht="14.25" customHeight="1">
      <c r="C62" s="9"/>
      <c r="D62" s="9"/>
    </row>
    <row r="63" ht="14.25" customHeight="1">
      <c r="C63" s="9"/>
      <c r="D63" s="9"/>
    </row>
    <row r="64" ht="14.25" customHeight="1">
      <c r="C64" s="9"/>
      <c r="D64" s="9"/>
    </row>
    <row r="65" ht="14.25" customHeight="1">
      <c r="C65" s="9"/>
      <c r="D65" s="9"/>
    </row>
    <row r="66" ht="14.25" customHeight="1">
      <c r="C66" s="9"/>
      <c r="D66" s="9"/>
    </row>
    <row r="67" ht="14.25" customHeight="1">
      <c r="C67" s="9"/>
      <c r="D67" s="9"/>
    </row>
    <row r="68" ht="14.25" customHeight="1">
      <c r="C68" s="9"/>
      <c r="D68" s="9"/>
    </row>
    <row r="69" ht="14.25" customHeight="1">
      <c r="C69" s="9"/>
      <c r="D69" s="9"/>
    </row>
    <row r="70" ht="14.25" customHeight="1">
      <c r="C70" s="9"/>
      <c r="D70" s="9"/>
    </row>
    <row r="71" ht="14.25" customHeight="1">
      <c r="C71" s="9"/>
      <c r="D71" s="9"/>
    </row>
    <row r="72" ht="14.25" customHeight="1">
      <c r="C72" s="9"/>
      <c r="D72" s="9"/>
    </row>
    <row r="73" ht="14.25" customHeight="1">
      <c r="C73" s="9"/>
      <c r="D73" s="9"/>
    </row>
    <row r="74" ht="14.25" customHeight="1">
      <c r="C74" s="9"/>
      <c r="D74" s="9"/>
    </row>
    <row r="75" ht="14.25" customHeight="1">
      <c r="C75" s="9"/>
      <c r="D75" s="9"/>
    </row>
    <row r="76" ht="14.25" customHeight="1">
      <c r="C76" s="9"/>
      <c r="D76" s="9"/>
    </row>
    <row r="77" ht="14.25" customHeight="1">
      <c r="C77" s="9"/>
      <c r="D77" s="9"/>
    </row>
    <row r="78" ht="14.25" customHeight="1">
      <c r="C78" s="9"/>
      <c r="D78" s="9"/>
    </row>
    <row r="79" ht="14.25" customHeight="1">
      <c r="C79" s="9"/>
      <c r="D79" s="9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14"/>
    <col customWidth="1" min="3" max="3" width="11.57"/>
    <col customWidth="1" min="4" max="4" width="2.29"/>
    <col customWidth="1" min="5" max="5" width="8.71"/>
    <col customWidth="1" min="6" max="6" width="59.57"/>
    <col customWidth="1" min="7" max="7" width="11.57"/>
    <col customWidth="1" min="8" max="8" width="2.29"/>
    <col customWidth="1" min="9" max="9" width="8.71"/>
    <col customWidth="1" min="10" max="10" width="59.57"/>
    <col customWidth="1" min="11" max="11" width="11.57"/>
    <col customWidth="1" min="12" max="12" width="2.43"/>
    <col customWidth="1" min="13" max="13" width="8.71"/>
    <col customWidth="1" min="14" max="14" width="59.57"/>
    <col customWidth="1" min="15" max="15" width="11.57"/>
    <col customWidth="1" min="16" max="16" width="2.43"/>
    <col customWidth="1" min="17" max="17" width="8.71"/>
    <col customWidth="1" min="18" max="18" width="59.57"/>
    <col customWidth="1" min="19" max="19" width="11.57"/>
  </cols>
  <sheetData>
    <row r="1">
      <c r="A1" s="1" t="s">
        <v>142</v>
      </c>
      <c r="B1" s="2"/>
      <c r="C1" s="3"/>
      <c r="E1" s="1" t="s">
        <v>143</v>
      </c>
      <c r="F1" s="2"/>
      <c r="G1" s="3"/>
      <c r="I1" s="1" t="s">
        <v>144</v>
      </c>
      <c r="J1" s="2"/>
      <c r="K1" s="3"/>
      <c r="M1" s="1" t="s">
        <v>145</v>
      </c>
      <c r="N1" s="2"/>
      <c r="O1" s="3"/>
      <c r="Q1" s="1" t="s">
        <v>146</v>
      </c>
      <c r="R1" s="2"/>
      <c r="S1" s="3"/>
    </row>
    <row r="2">
      <c r="A2" s="96" t="s">
        <v>6</v>
      </c>
      <c r="B2" s="62" t="s">
        <v>7</v>
      </c>
      <c r="C2" s="4" t="s">
        <v>8</v>
      </c>
      <c r="E2" s="96" t="s">
        <v>6</v>
      </c>
      <c r="F2" s="62" t="s">
        <v>7</v>
      </c>
      <c r="G2" s="4" t="s">
        <v>8</v>
      </c>
      <c r="I2" s="4" t="s">
        <v>6</v>
      </c>
      <c r="J2" s="5" t="s">
        <v>7</v>
      </c>
      <c r="K2" s="4" t="s">
        <v>8</v>
      </c>
      <c r="M2" s="4" t="s">
        <v>6</v>
      </c>
      <c r="N2" s="5" t="s">
        <v>7</v>
      </c>
      <c r="O2" s="4" t="s">
        <v>8</v>
      </c>
      <c r="Q2" s="4" t="s">
        <v>6</v>
      </c>
      <c r="R2" s="5" t="s">
        <v>7</v>
      </c>
      <c r="S2" s="4" t="s">
        <v>8</v>
      </c>
    </row>
    <row r="3">
      <c r="A3" s="176">
        <v>110017.0</v>
      </c>
      <c r="B3" s="177" t="str">
        <f>VLOOKUP(A3,'FML March 2026'!E:F,2,false)</f>
        <v>ACAI FRUIT PUREE 60X3.5OZ SAMBAZON</v>
      </c>
      <c r="C3" s="177" t="str">
        <f>VLOOKUP(A24,'Unit of Measure ship March 2026'!A:C,3,false)</f>
        <v>LBS</v>
      </c>
      <c r="D3" s="177"/>
      <c r="E3" s="176">
        <v>111803.0</v>
      </c>
      <c r="F3" s="177" t="str">
        <f>VLOOKUP(E3,'FML March 2026'!E:F,2,false)</f>
        <v>A&amp;S SALT PRETZEL (A&amp;S USA &amp; A&amp;S 10607.02) (GERMANY )</v>
      </c>
      <c r="G3" s="177" t="str">
        <f>VLOOKUP(E3,'Unit of Measure ship March 2026'!A:C,3,false)</f>
        <v>LBS</v>
      </c>
      <c r="H3" s="177"/>
      <c r="I3" s="176">
        <v>54020.0</v>
      </c>
      <c r="J3" s="177" t="str">
        <f>VLOOKUP(I3,'FML March 2026'!E:F,2,false)</f>
        <v>ALMOND MILK DIAMOND/ ALMOND BREEZE</v>
      </c>
      <c r="K3" s="177" t="str">
        <f>VLOOKUP(I3,'Unit of Measure ship March 2026'!A:C,3,false)</f>
        <v>LT</v>
      </c>
      <c r="L3" s="177"/>
      <c r="M3" s="176">
        <v>15740.0</v>
      </c>
      <c r="N3" s="177" t="str">
        <f>VLOOKUP(M3,'FML March 2026'!E:F,2,false)</f>
        <v>A&amp;S BUCKWHEAT FLOUR (USA ) 60168.14</v>
      </c>
      <c r="O3" s="177" t="str">
        <f>VLOOKUP(M3,'Unit of Measure ship March 2026'!A:C,3,false)</f>
        <v>LBS</v>
      </c>
      <c r="P3" s="177"/>
      <c r="Q3" s="178">
        <v>110061.0</v>
      </c>
      <c r="R3" s="177" t="str">
        <f>VLOOKUP(Q3,'FML March 2026'!E:F,2,false)</f>
        <v>APPLES GALA  125 CI</v>
      </c>
      <c r="S3" s="177" t="str">
        <f>VLOOKUP(Q3,'Unit of Measure ship March 2026'!A:C,3,false)</f>
        <v>LBS</v>
      </c>
      <c r="T3" s="177"/>
      <c r="U3" s="177"/>
      <c r="V3" s="177"/>
      <c r="W3" s="76"/>
      <c r="X3" s="76"/>
      <c r="Y3" s="76"/>
      <c r="Z3" s="76"/>
    </row>
    <row r="4">
      <c r="A4" s="176">
        <v>51236.0</v>
      </c>
      <c r="B4" s="177" t="str">
        <f>VLOOKUP(A4,'FML March 2026'!E:F,2,false)</f>
        <v>ACID CITRIC  1 KG L. FRANCOIS CUISINE TECH</v>
      </c>
      <c r="C4" s="177" t="str">
        <f>VLOOKUP(A25,'Unit of Measure ship March 2026'!A:C,3,false)</f>
        <v>LBS</v>
      </c>
      <c r="D4" s="177"/>
      <c r="E4" s="176">
        <v>110017.0</v>
      </c>
      <c r="F4" s="177" t="str">
        <f>VLOOKUP(E4,'FML March 2026'!E:F,2,false)</f>
        <v>ACAI FRUIT PUREE 60X3.5OZ SAMBAZON</v>
      </c>
      <c r="G4" s="177" t="str">
        <f>VLOOKUP(E4,'Unit of Measure ship March 2026'!A:C,3,false)</f>
        <v>LBS</v>
      </c>
      <c r="H4" s="177"/>
      <c r="I4" s="176">
        <v>15798.0</v>
      </c>
      <c r="J4" s="177" t="str">
        <f>VLOOKUP(I4,'FML March 2026'!E:F,2,false)</f>
        <v>ALMONDS BLANCHED SLICED</v>
      </c>
      <c r="K4" s="177" t="str">
        <f>VLOOKUP(I4,'Unit of Measure ship March 2026'!A:C,3,false)</f>
        <v>LBS</v>
      </c>
      <c r="L4" s="177"/>
      <c r="M4" s="176">
        <v>111803.0</v>
      </c>
      <c r="N4" s="177" t="str">
        <f>VLOOKUP(M4,'FML March 2026'!E:F,2,false)</f>
        <v>A&amp;S SALT PRETZEL (A&amp;S USA &amp; A&amp;S 10607.02) (GERMANY )</v>
      </c>
      <c r="O4" s="177" t="str">
        <f>VLOOKUP(M4,'Unit of Measure ship March 2026'!A:C,3,false)</f>
        <v>LBS</v>
      </c>
      <c r="P4" s="177"/>
      <c r="Q4" s="178">
        <v>15370.0</v>
      </c>
      <c r="R4" s="177" t="str">
        <f>VLOOKUP(Q4,'FML March 2026'!E:F,2,false)</f>
        <v>APPLES GOLDEN DELICIOUS 125CT WASHINGTON FANCY 40#/CS</v>
      </c>
      <c r="S4" s="177" t="str">
        <f>VLOOKUP(Q4,'Unit of Measure ship March 2026'!A:C,3,false)</f>
        <v>LBS</v>
      </c>
      <c r="T4" s="177"/>
      <c r="U4" s="177"/>
      <c r="V4" s="177"/>
      <c r="W4" s="76"/>
      <c r="X4" s="76"/>
      <c r="Y4" s="76"/>
      <c r="Z4" s="76"/>
    </row>
    <row r="5">
      <c r="A5" s="176">
        <v>16211.0</v>
      </c>
      <c r="B5" s="177" t="str">
        <f>VLOOKUP(A5,'FML March 2026'!E:F,2,false)</f>
        <v>AGAR AGAR POWDER CUISINE TECH</v>
      </c>
      <c r="C5" s="177" t="str">
        <f>VLOOKUP(A26,'Unit of Measure ship March 2026'!A:C,3,false)</f>
        <v>LBS</v>
      </c>
      <c r="D5" s="177"/>
      <c r="E5" s="176">
        <v>51236.0</v>
      </c>
      <c r="F5" s="177" t="str">
        <f>VLOOKUP(E5,'FML March 2026'!E:F,2,false)</f>
        <v>ACID CITRIC  1 KG L. FRANCOIS CUISINE TECH</v>
      </c>
      <c r="G5" s="177" t="str">
        <f>VLOOKUP(E5,'Unit of Measure ship March 2026'!A:C,3,false)</f>
        <v>LBS</v>
      </c>
      <c r="H5" s="177"/>
      <c r="I5" s="176">
        <v>18640.0</v>
      </c>
      <c r="J5" s="177" t="str">
        <f>VLOOKUP(I5,'FML March 2026'!E:F,2,false)</f>
        <v>BAGELS BLUEBERRY SLICED 48/4 OZ O`PELLE</v>
      </c>
      <c r="K5" s="177" t="str">
        <f>VLOOKUP(I5,'Unit of Measure ship March 2026'!A:C,3,false)</f>
        <v>EA</v>
      </c>
      <c r="L5" s="177"/>
      <c r="M5" s="176">
        <v>110017.0</v>
      </c>
      <c r="N5" s="177" t="str">
        <f>VLOOKUP(M5,'FML March 2026'!E:F,2,false)</f>
        <v>ACAI FRUIT PUREE 60X3.5OZ SAMBAZON</v>
      </c>
      <c r="O5" s="177" t="str">
        <f>VLOOKUP(M5,'Unit of Measure ship March 2026'!A:C,3,false)</f>
        <v>LBS</v>
      </c>
      <c r="P5" s="177"/>
      <c r="Q5" s="178">
        <v>23757.0</v>
      </c>
      <c r="R5" s="177" t="str">
        <f>VLOOKUP(Q5,'FML March 2026'!E:F,2,false)</f>
        <v>APPLES GRANNY SMITH 88CT 40#/CS</v>
      </c>
      <c r="S5" s="177" t="str">
        <f>VLOOKUP(Q5,'Unit of Measure ship March 2026'!A:C,3,false)</f>
        <v>LBS</v>
      </c>
      <c r="T5" s="177"/>
      <c r="U5" s="177"/>
      <c r="V5" s="177"/>
      <c r="W5" s="76"/>
      <c r="X5" s="76"/>
      <c r="Y5" s="76"/>
      <c r="Z5" s="76"/>
    </row>
    <row r="6">
      <c r="A6" s="176">
        <v>54020.0</v>
      </c>
      <c r="B6" s="177" t="str">
        <f>VLOOKUP(A6,'FML March 2026'!E:F,2,false)</f>
        <v>ALMOND MILK DIAMOND/ ALMOND BREEZE</v>
      </c>
      <c r="C6" s="177" t="str">
        <f>VLOOKUP(A27,'Unit of Measure ship March 2026'!A:C,3,false)</f>
        <v>QRT</v>
      </c>
      <c r="D6" s="177"/>
      <c r="E6" s="176">
        <v>16211.0</v>
      </c>
      <c r="F6" s="177" t="str">
        <f>VLOOKUP(E6,'FML March 2026'!E:F,2,false)</f>
        <v>AGAR AGAR POWDER CUISINE TECH</v>
      </c>
      <c r="G6" s="177" t="str">
        <f>VLOOKUP(E6,'Unit of Measure ship March 2026'!A:C,3,false)</f>
        <v>LBS</v>
      </c>
      <c r="H6" s="177"/>
      <c r="I6" s="176">
        <v>18641.0</v>
      </c>
      <c r="J6" s="177" t="str">
        <f>VLOOKUP(I6,'FML March 2026'!E:F,2,false)</f>
        <v>BAGELS MULTIGRAIN SLICED 48/4 OZ O`PELLE</v>
      </c>
      <c r="K6" s="177" t="str">
        <f>VLOOKUP(I6,'Unit of Measure ship March 2026'!A:C,3,false)</f>
        <v>EA</v>
      </c>
      <c r="L6" s="177"/>
      <c r="M6" s="176">
        <v>16211.0</v>
      </c>
      <c r="N6" s="177" t="str">
        <f>VLOOKUP(M6,'FML March 2026'!E:F,2,false)</f>
        <v>AGAR AGAR POWDER CUISINE TECH</v>
      </c>
      <c r="O6" s="177" t="str">
        <f>VLOOKUP(M6,'Unit of Measure ship March 2026'!A:C,3,false)</f>
        <v>LBS</v>
      </c>
      <c r="P6" s="177"/>
      <c r="Q6" s="178">
        <v>15375.0</v>
      </c>
      <c r="R6" s="177" t="str">
        <f>VLOOKUP(Q6,'FML March 2026'!E:F,2,false)</f>
        <v>APPLES RED DELICIOUS WASHINGTON EXTRA FANCY 125CT 40#/CS</v>
      </c>
      <c r="S6" s="177" t="str">
        <f>VLOOKUP(Q6,'Unit of Measure ship March 2026'!A:C,3,false)</f>
        <v>LBS</v>
      </c>
      <c r="T6" s="177"/>
      <c r="U6" s="177"/>
      <c r="V6" s="177"/>
      <c r="W6" s="76"/>
      <c r="X6" s="76"/>
      <c r="Y6" s="76"/>
      <c r="Z6" s="76"/>
    </row>
    <row r="7">
      <c r="A7" s="176">
        <v>15798.0</v>
      </c>
      <c r="B7" s="177" t="str">
        <f>VLOOKUP(A7,'FML March 2026'!E:F,2,false)</f>
        <v>ALMONDS BLANCHED SLICED</v>
      </c>
      <c r="C7" s="177" t="str">
        <f>VLOOKUP(A28,'Unit of Measure ship March 2026'!A:C,3,false)</f>
        <v>LBS</v>
      </c>
      <c r="D7" s="177"/>
      <c r="E7" s="176">
        <v>110102.0</v>
      </c>
      <c r="F7" s="177" t="str">
        <f>VLOOKUP(E7,'FML March 2026'!E:F,2,false)</f>
        <v>AGAVE RAW AMBER MADHAVA</v>
      </c>
      <c r="G7" s="177" t="str">
        <f>VLOOKUP(E7,'Unit of Measure ship March 2026'!A:C,3,false)</f>
        <v>LBS</v>
      </c>
      <c r="H7" s="177"/>
      <c r="I7" s="176">
        <v>15910.0</v>
      </c>
      <c r="J7" s="177" t="str">
        <f>VLOOKUP(I7,'FML March 2026'!E:F,2,false)</f>
        <v>BAGELS, PLAIN  SLICED 4 OZ SLICED O`PELLE (USA)</v>
      </c>
      <c r="K7" s="177" t="str">
        <f>VLOOKUP(I7,'Unit of Measure ship March 2026'!A:C,3,false)</f>
        <v>EA</v>
      </c>
      <c r="L7" s="177"/>
      <c r="M7" s="176">
        <v>110102.0</v>
      </c>
      <c r="N7" s="177" t="str">
        <f>VLOOKUP(M7,'FML March 2026'!E:F,2,false)</f>
        <v>AGAVE RAW AMBER MADHAVA</v>
      </c>
      <c r="O7" s="177" t="str">
        <f>VLOOKUP(M7,'Unit of Measure ship March 2026'!A:C,3,false)</f>
        <v>LBS</v>
      </c>
      <c r="P7" s="177"/>
      <c r="Q7" s="179">
        <v>24182.0</v>
      </c>
      <c r="R7" s="177" t="str">
        <f>VLOOKUP(Q7,'FML March 2026'!E:F,2,false)</f>
        <v>ARUGULA, BABY</v>
      </c>
      <c r="S7" s="177" t="str">
        <f>VLOOKUP(Q7,'Unit of Measure ship March 2026'!A:C,3,false)</f>
        <v>LBS</v>
      </c>
      <c r="T7" s="177"/>
      <c r="U7" s="177"/>
      <c r="V7" s="177"/>
      <c r="W7" s="76"/>
      <c r="X7" s="76"/>
      <c r="Y7" s="76"/>
      <c r="Z7" s="76"/>
    </row>
    <row r="8">
      <c r="A8" s="176">
        <v>110967.0</v>
      </c>
      <c r="B8" s="177" t="str">
        <f>VLOOKUP(A8,'FML March 2026'!E:F,2,false)</f>
        <v>ALMONDS HICKORY SMOKED CS9/9OZ BACK TO NATURE SMOKED</v>
      </c>
      <c r="C8" s="177" t="str">
        <f>VLOOKUP(A29,'Unit of Measure ship March 2026'!A:C,3,false)</f>
        <v>LBS</v>
      </c>
      <c r="D8" s="177"/>
      <c r="E8" s="176">
        <v>111083.0</v>
      </c>
      <c r="F8" s="177" t="str">
        <f>VLOOKUP(E8,'FML March 2026'!E:F,2,false)</f>
        <v>ALEPPO PEPPER  PKG 1/LB  LA BOITE</v>
      </c>
      <c r="G8" s="177" t="str">
        <f>VLOOKUP(E8,'Unit of Measure ship March 2026'!A:C,3,false)</f>
        <v>LBS</v>
      </c>
      <c r="H8" s="177"/>
      <c r="I8" s="176">
        <v>15651.0</v>
      </c>
      <c r="J8" s="177" t="str">
        <f>VLOOKUP(I8,'FML March 2026'!E:F,2,false)</f>
        <v>BAKING POWDER 50 LB</v>
      </c>
      <c r="K8" s="177" t="str">
        <f>VLOOKUP(I8,'Unit of Measure ship March 2026'!A:C,3,false)</f>
        <v>LBS</v>
      </c>
      <c r="L8" s="177"/>
      <c r="M8" s="176">
        <v>16262.0</v>
      </c>
      <c r="N8" s="177" t="str">
        <f>VLOOKUP(M8,'FML March 2026'!E:F,2,false)</f>
        <v>ALLSPICE BADIA</v>
      </c>
      <c r="O8" s="177" t="str">
        <f>VLOOKUP(M8,'Unit of Measure ship March 2026'!A:C,3,false)</f>
        <v>LBS</v>
      </c>
      <c r="P8" s="177"/>
      <c r="Q8" s="178">
        <v>15378.0</v>
      </c>
      <c r="R8" s="177" t="str">
        <f>VLOOKUP(Q8,'FML March 2026'!E:F,2,false)</f>
        <v>AVOCADOS HASS FRESH CA-48PC FL-12/14PC 20#</v>
      </c>
      <c r="S8" s="177" t="str">
        <f>VLOOKUP(Q8,'Unit of Measure ship March 2026'!A:C,3,false)</f>
        <v>LBS</v>
      </c>
      <c r="T8" s="177"/>
      <c r="U8" s="177"/>
      <c r="V8" s="177"/>
      <c r="W8" s="76"/>
      <c r="X8" s="76"/>
      <c r="Y8" s="76"/>
      <c r="Z8" s="76"/>
    </row>
    <row r="9">
      <c r="A9" s="176">
        <v>15799.0</v>
      </c>
      <c r="B9" s="177" t="str">
        <f>VLOOKUP(A9,'FML March 2026'!E:F,2,false)</f>
        <v>ALMONDS SHELLED WHOLE</v>
      </c>
      <c r="C9" s="177" t="str">
        <f>VLOOKUP(A30,'Unit of Measure ship March 2026'!A:C,3,false)</f>
        <v>LBS</v>
      </c>
      <c r="D9" s="177"/>
      <c r="E9" s="176">
        <v>16262.0</v>
      </c>
      <c r="F9" s="177" t="str">
        <f>VLOOKUP(E9,'FML March 2026'!E:F,2,false)</f>
        <v>ALLSPICE BADIA</v>
      </c>
      <c r="G9" s="177" t="str">
        <f>VLOOKUP(E9,'Unit of Measure ship March 2026'!A:C,3,false)</f>
        <v>LBS</v>
      </c>
      <c r="H9" s="177"/>
      <c r="I9" s="176">
        <v>15652.0</v>
      </c>
      <c r="J9" s="177" t="str">
        <f>VLOOKUP(I9,'FML March 2026'!E:F,2,false)</f>
        <v>BAKING SODA</v>
      </c>
      <c r="K9" s="177" t="str">
        <f>VLOOKUP(I9,'Unit of Measure ship March 2026'!A:C,3,false)</f>
        <v>LBS</v>
      </c>
      <c r="L9" s="177"/>
      <c r="M9" s="177">
        <v>40445.0</v>
      </c>
      <c r="N9" s="177" t="str">
        <f>VLOOKUP(M9,'FML March 2026'!E:F,2,false)</f>
        <v>ALMOND BLANCHED FLOUR (USA )</v>
      </c>
      <c r="O9" s="180" t="s">
        <v>42</v>
      </c>
      <c r="P9" s="177"/>
      <c r="Q9" s="178">
        <v>43516.0</v>
      </c>
      <c r="R9" s="177" t="str">
        <f>VLOOKUP(Q9,'FML March 2026'!E:F,2,false)</f>
        <v>BANANAS STAGE #3</v>
      </c>
      <c r="S9" s="177" t="str">
        <f>VLOOKUP(Q9,'Unit of Measure ship March 2026'!A:C,3,false)</f>
        <v>LBS</v>
      </c>
      <c r="T9" s="177"/>
      <c r="U9" s="177"/>
      <c r="V9" s="177"/>
      <c r="W9" s="76"/>
      <c r="X9" s="76"/>
      <c r="Y9" s="76"/>
      <c r="Z9" s="76"/>
    </row>
    <row r="10">
      <c r="A10" s="176">
        <v>16304.0</v>
      </c>
      <c r="B10" s="177" t="str">
        <f>VLOOKUP(A10,'FML March 2026'!E:F,2,false)</f>
        <v>ANISE STAR BADIA</v>
      </c>
      <c r="C10" s="177" t="str">
        <f>VLOOKUP(A31,'Unit of Measure ship March 2026'!A:C,3,false)</f>
        <v>PK/32OZ</v>
      </c>
      <c r="D10" s="177"/>
      <c r="E10" s="177">
        <v>40445.0</v>
      </c>
      <c r="F10" s="177" t="str">
        <f>VLOOKUP(E10,'FML March 2026'!E:F,2,false)</f>
        <v>ALMOND BLANCHED FLOUR (USA )</v>
      </c>
      <c r="G10" s="180" t="s">
        <v>42</v>
      </c>
      <c r="H10" s="177"/>
      <c r="I10" s="176">
        <v>40427.0</v>
      </c>
      <c r="J10" s="177" t="str">
        <f>VLOOKUP(I10,'FML March 2026'!E:F,2,false)</f>
        <v>BREAD IMPROVER 50 LB PURATOS S-500 VV</v>
      </c>
      <c r="K10" s="177" t="str">
        <f>VLOOKUP(I10,'Unit of Measure ship March 2026'!A:C,3,false)</f>
        <v>KG</v>
      </c>
      <c r="L10" s="177"/>
      <c r="M10" s="176">
        <v>109224.0</v>
      </c>
      <c r="N10" s="177" t="str">
        <f>VLOOKUP(M10,'FML March 2026'!E:F,2,false)</f>
        <v>ALMOND BUTTER VEGAN ONCE AGAIN CS6/12 OZ (USA)</v>
      </c>
      <c r="O10" s="177" t="str">
        <f>VLOOKUP(M10,'Unit of Measure ship March 2026'!A:C,3,false)</f>
        <v>PC 12/OZ</v>
      </c>
      <c r="P10" s="177"/>
      <c r="Q10" s="178">
        <v>43517.0</v>
      </c>
      <c r="R10" s="177" t="str">
        <f>VLOOKUP(Q10,'FML March 2026'!E:F,2,false)</f>
        <v>BANANAS STAGE #5</v>
      </c>
      <c r="S10" s="177" t="str">
        <f>VLOOKUP(Q10,'Unit of Measure ship March 2026'!A:C,3,false)</f>
        <v>LBS</v>
      </c>
      <c r="T10" s="177"/>
      <c r="U10" s="177"/>
      <c r="V10" s="177"/>
      <c r="W10" s="76"/>
      <c r="X10" s="76"/>
      <c r="Y10" s="76"/>
      <c r="Z10" s="76"/>
    </row>
    <row r="11">
      <c r="A11" s="176">
        <v>51159.0</v>
      </c>
      <c r="B11" s="177" t="str">
        <f>VLOOKUP(A11,'FML March 2026'!E:F,2,false)</f>
        <v>APRICOT GLAZING 14KG/CS</v>
      </c>
      <c r="C11" s="177" t="str">
        <f>VLOOKUP(A32,'Unit of Measure ship March 2026'!A:C,3,false)</f>
        <v>KG</v>
      </c>
      <c r="D11" s="177"/>
      <c r="E11" s="176">
        <v>109224.0</v>
      </c>
      <c r="F11" s="177" t="str">
        <f>VLOOKUP(E11,'FML March 2026'!E:F,2,false)</f>
        <v>ALMOND BUTTER VEGAN ONCE AGAIN CS6/12 OZ (USA)</v>
      </c>
      <c r="G11" s="177" t="str">
        <f>VLOOKUP(E11,'Unit of Measure ship March 2026'!A:C,3,false)</f>
        <v>PC 12/OZ</v>
      </c>
      <c r="H11" s="177"/>
      <c r="I11" s="176">
        <v>16981.0</v>
      </c>
      <c r="J11" s="177" t="str">
        <f>VLOOKUP(I11,'FML March 2026'!E:F,2,false)</f>
        <v>BRIE MON PERE 60% 3KG / DEXPA # 53726</v>
      </c>
      <c r="K11" s="177" t="str">
        <f>VLOOKUP(I11,'Unit of Measure ship March 2026'!A:C,3,false)</f>
        <v>LBS</v>
      </c>
      <c r="L11" s="177"/>
      <c r="M11" s="176">
        <v>54020.0</v>
      </c>
      <c r="N11" s="177" t="str">
        <f>VLOOKUP(M11,'FML March 2026'!E:F,2,false)</f>
        <v>ALMOND MILK DIAMOND/ ALMOND BREEZE</v>
      </c>
      <c r="O11" s="177" t="str">
        <f>VLOOKUP(M11,'Unit of Measure ship March 2026'!A:C,3,false)</f>
        <v>LT</v>
      </c>
      <c r="P11" s="177"/>
      <c r="Q11" s="179">
        <v>15429.0</v>
      </c>
      <c r="R11" s="177" t="str">
        <f>VLOOKUP(Q11,'FML March 2026'!E:F,2,false)</f>
        <v>BASIL (12 BUNCH) HYDROPONIC OR REGULAR 1 LB/CS</v>
      </c>
      <c r="S11" s="177" t="str">
        <f>VLOOKUP(Q11,'Unit of Measure ship March 2026'!A:C,3,false)</f>
        <v>LBS</v>
      </c>
      <c r="T11" s="177"/>
      <c r="U11" s="177"/>
      <c r="V11" s="177"/>
      <c r="W11" s="76"/>
      <c r="X11" s="76"/>
      <c r="Y11" s="76"/>
      <c r="Z11" s="76"/>
    </row>
    <row r="12">
      <c r="A12" s="176">
        <v>16508.0</v>
      </c>
      <c r="B12" s="177" t="str">
        <f>VLOOKUP(A12,'FML March 2026'!E:F,2,false)</f>
        <v>APRICOT HALVES, UNPEELED</v>
      </c>
      <c r="C12" s="177" t="str">
        <f>VLOOKUP(A33,'Unit of Measure ship March 2026'!A:C,3,false)</f>
        <v>LBS</v>
      </c>
      <c r="D12" s="177"/>
      <c r="E12" s="176">
        <v>54020.0</v>
      </c>
      <c r="F12" s="177" t="str">
        <f>VLOOKUP(E12,'FML March 2026'!E:F,2,false)</f>
        <v>ALMOND MILK DIAMOND/ ALMOND BREEZE</v>
      </c>
      <c r="G12" s="177" t="str">
        <f>VLOOKUP(E12,'Unit of Measure ship March 2026'!A:C,3,false)</f>
        <v>LT</v>
      </c>
      <c r="H12" s="177"/>
      <c r="I12" s="176">
        <v>15016.0</v>
      </c>
      <c r="J12" s="177" t="str">
        <f>VLOOKUP(I12,'FML March 2026'!E:F,2,false)</f>
        <v>BUTTER, UNSALTED, 82% FAT, FZN, 50/200 G</v>
      </c>
      <c r="K12" s="177" t="str">
        <f>VLOOKUP(I12,'Unit of Measure ship March 2026'!A:C,3,false)</f>
        <v>LBS</v>
      </c>
      <c r="L12" s="177"/>
      <c r="M12" s="176">
        <v>15798.0</v>
      </c>
      <c r="N12" s="177" t="str">
        <f>VLOOKUP(M12,'FML March 2026'!E:F,2,false)</f>
        <v>ALMONDS BLANCHED SLICED</v>
      </c>
      <c r="O12" s="177" t="str">
        <f>VLOOKUP(M12,'Unit of Measure ship March 2026'!A:C,3,false)</f>
        <v>LBS</v>
      </c>
      <c r="P12" s="177"/>
      <c r="Q12" s="178">
        <v>15333.0</v>
      </c>
      <c r="R12" s="177" t="str">
        <f>VLOOKUP(Q12,'FML March 2026'!E:F,2,false)</f>
        <v>BLACKBERRIES FRESH 12 1/2 PT 4.5#</v>
      </c>
      <c r="S12" s="177" t="str">
        <f>VLOOKUP(Q12,'Unit of Measure ship March 2026'!A:C,3,false)</f>
        <v>LBS</v>
      </c>
      <c r="T12" s="177"/>
      <c r="U12" s="177"/>
      <c r="V12" s="177"/>
      <c r="W12" s="76"/>
      <c r="X12" s="76"/>
      <c r="Y12" s="76"/>
      <c r="Z12" s="76"/>
    </row>
    <row r="13">
      <c r="A13" s="176">
        <v>19448.0</v>
      </c>
      <c r="B13" s="177" t="str">
        <f>VLOOKUP(A13,'FML March 2026'!E:F,2,false)</f>
        <v>AVOCADO, HALVES, PITLESS, IQF, FRZN</v>
      </c>
      <c r="C13" s="177" t="str">
        <f>VLOOKUP(A34,'Unit of Measure ship March 2026'!A:C,3,false)</f>
        <v>LBS</v>
      </c>
      <c r="D13" s="177"/>
      <c r="E13" s="176">
        <v>15798.0</v>
      </c>
      <c r="F13" s="177" t="str">
        <f>VLOOKUP(E13,'FML March 2026'!E:F,2,false)</f>
        <v>ALMONDS BLANCHED SLICED</v>
      </c>
      <c r="G13" s="177" t="str">
        <f>VLOOKUP(E13,'Unit of Measure ship March 2026'!A:C,3,false)</f>
        <v>LBS</v>
      </c>
      <c r="H13" s="177"/>
      <c r="I13" s="176">
        <v>43176.0</v>
      </c>
      <c r="J13" s="177" t="str">
        <f>VLOOKUP(I13,'FML March 2026'!E:F,2,false)</f>
        <v>BUTTER, UNSALTED, 84% FAT, EXTRA DRY, SHEETED, CROISSANT, FZN, 5/2 KG</v>
      </c>
      <c r="K13" s="177" t="str">
        <f>VLOOKUP(I13,'Unit of Measure ship March 2026'!A:C,3,false)</f>
        <v>KG</v>
      </c>
      <c r="L13" s="177"/>
      <c r="M13" s="176">
        <v>15799.0</v>
      </c>
      <c r="N13" s="177" t="str">
        <f>VLOOKUP(M13,'FML March 2026'!E:F,2,false)</f>
        <v>ALMONDS SHELLED WHOLE</v>
      </c>
      <c r="O13" s="177" t="str">
        <f>VLOOKUP(M13,'Unit of Measure ship March 2026'!A:C,3,false)</f>
        <v>LBS</v>
      </c>
      <c r="P13" s="177"/>
      <c r="Q13" s="178">
        <v>15335.0</v>
      </c>
      <c r="R13" s="177" t="str">
        <f>VLOOKUP(Q13,'FML March 2026'!E:F,2,false)</f>
        <v>BLUEBERRIES FRESH 12 1/2 PT 4.5#</v>
      </c>
      <c r="S13" s="177" t="str">
        <f>VLOOKUP(Q13,'Unit of Measure ship March 2026'!A:C,3,false)</f>
        <v>LBS</v>
      </c>
      <c r="T13" s="177"/>
      <c r="U13" s="177"/>
      <c r="V13" s="177"/>
      <c r="W13" s="76"/>
      <c r="X13" s="76"/>
      <c r="Y13" s="76"/>
      <c r="Z13" s="76"/>
    </row>
    <row r="14">
      <c r="A14" s="176">
        <v>15651.0</v>
      </c>
      <c r="B14" s="177" t="str">
        <f>VLOOKUP(A14,'FML March 2026'!E:F,2,false)</f>
        <v>BAKING POWDER 50 LB</v>
      </c>
      <c r="C14" s="177" t="str">
        <f>VLOOKUP(A35,'Unit of Measure ship March 2026'!A:C,3,false)</f>
        <v>LBS</v>
      </c>
      <c r="D14" s="177"/>
      <c r="E14" s="176">
        <v>110031.0</v>
      </c>
      <c r="F14" s="177" t="str">
        <f>VLOOKUP(E14,'FML March 2026'!E:F,2,false)</f>
        <v>ALMONDS MARCONA CS/11LBS SAVOR IMPORTS</v>
      </c>
      <c r="G14" s="177" t="str">
        <f>VLOOKUP(E14,'Unit of Measure ship March 2026'!A:C,3,false)</f>
        <v>LBS</v>
      </c>
      <c r="H14" s="177"/>
      <c r="I14" s="176">
        <v>14984.0</v>
      </c>
      <c r="J14" s="177" t="str">
        <f>VLOOKUP(I14,'FML March 2026'!E:F,2,false)</f>
        <v>CHEDDAR BLOCK YELLOW IMP.4/11</v>
      </c>
      <c r="K14" s="177" t="str">
        <f>VLOOKUP(I14,'Unit of Measure ship March 2026'!A:C,3,false)</f>
        <v>LBS</v>
      </c>
      <c r="L14" s="177"/>
      <c r="M14" s="176">
        <v>14978.0</v>
      </c>
      <c r="N14" s="177" t="str">
        <f>VLOOKUP(M14,'FML March 2026'!E:F,2,false)</f>
        <v>AMERICAN CHEESE, YELLOW, SLICED, STACK PACK</v>
      </c>
      <c r="O14" s="177" t="str">
        <f>VLOOKUP(M14,'Unit of Measure ship March 2026'!A:C,3,false)</f>
        <v>LBS</v>
      </c>
      <c r="P14" s="177"/>
      <c r="Q14" s="179">
        <v>110917.0</v>
      </c>
      <c r="R14" s="177" t="str">
        <f>VLOOKUP(Q14,'FML March 2026'!E:F,2,false)</f>
        <v>CAULIFLOWER ORANGE 12CT (28LB)</v>
      </c>
      <c r="S14" s="177" t="str">
        <f>VLOOKUP(Q14,'Unit of Measure ship March 2026'!A:C,3,false)</f>
        <v>LBS</v>
      </c>
      <c r="T14" s="177"/>
      <c r="U14" s="177"/>
      <c r="V14" s="177"/>
      <c r="W14" s="76"/>
      <c r="X14" s="76"/>
      <c r="Y14" s="76"/>
      <c r="Z14" s="76"/>
    </row>
    <row r="15">
      <c r="A15" s="176">
        <v>15652.0</v>
      </c>
      <c r="B15" s="177" t="str">
        <f>VLOOKUP(A15,'FML March 2026'!E:F,2,false)</f>
        <v>BAKING SODA</v>
      </c>
      <c r="C15" s="177" t="str">
        <f>VLOOKUP(A36,'Unit of Measure ship March 2026'!A:C,3,false)</f>
        <v>LBS</v>
      </c>
      <c r="D15" s="177"/>
      <c r="E15" s="176">
        <v>15799.0</v>
      </c>
      <c r="F15" s="177" t="str">
        <f>VLOOKUP(E15,'FML March 2026'!E:F,2,false)</f>
        <v>ALMONDS SHELLED WHOLE</v>
      </c>
      <c r="G15" s="177" t="str">
        <f>VLOOKUP(E15,'Unit of Measure ship March 2026'!A:C,3,false)</f>
        <v>LBS</v>
      </c>
      <c r="H15" s="177"/>
      <c r="I15" s="176">
        <v>111144.0</v>
      </c>
      <c r="J15" s="177" t="str">
        <f>VLOOKUP(I15,'FML March 2026'!E:F,2,false)</f>
        <v>CHEESE ASIAGO VECCHIO CS20/LB AVG AMBROSI</v>
      </c>
      <c r="K15" s="177" t="str">
        <f>VLOOKUP(I15,'Unit of Measure ship March 2026'!A:C,3,false)</f>
        <v>LBS</v>
      </c>
      <c r="L15" s="177"/>
      <c r="M15" s="176">
        <v>16304.0</v>
      </c>
      <c r="N15" s="177" t="str">
        <f>VLOOKUP(M15,'FML March 2026'!E:F,2,false)</f>
        <v>ANISE STAR BADIA</v>
      </c>
      <c r="O15" s="177" t="str">
        <f>VLOOKUP(M15,'Unit of Measure ship March 2026'!A:C,3,false)</f>
        <v>UNIT/8OZ</v>
      </c>
      <c r="P15" s="177"/>
      <c r="Q15" s="178">
        <v>15381.0</v>
      </c>
      <c r="R15" s="177" t="str">
        <f>VLOOKUP(Q15,'FML March 2026'!E:F,2,false)</f>
        <v>CHERRIES FRESH BING #1 18/20#</v>
      </c>
      <c r="S15" s="177" t="str">
        <f>VLOOKUP(Q15,'Unit of Measure ship March 2026'!A:C,3,false)</f>
        <v>LBS</v>
      </c>
      <c r="T15" s="177"/>
      <c r="U15" s="177"/>
      <c r="V15" s="177"/>
      <c r="W15" s="76"/>
      <c r="X15" s="76"/>
      <c r="Y15" s="76"/>
      <c r="Z15" s="76"/>
    </row>
    <row r="16">
      <c r="A16" s="176">
        <v>30023.0</v>
      </c>
      <c r="B16" s="177" t="str">
        <f>VLOOKUP(A16,'FML March 2026'!E:F,2,false)</f>
        <v>BANANA LEAVES, 30/1 LB, SUN VOI (THAILAND)</v>
      </c>
      <c r="C16" s="177" t="str">
        <f>VLOOKUP(A37,'Unit of Measure ship March 2026'!A:C,3,false)</f>
        <v>LBS</v>
      </c>
      <c r="D16" s="177"/>
      <c r="E16" s="176">
        <v>16304.0</v>
      </c>
      <c r="F16" s="177" t="str">
        <f>VLOOKUP(E16,'FML March 2026'!E:F,2,false)</f>
        <v>ANISE STAR BADIA</v>
      </c>
      <c r="G16" s="177" t="str">
        <f>VLOOKUP(E16,'Unit of Measure ship March 2026'!A:C,3,false)</f>
        <v>UNIT/8OZ</v>
      </c>
      <c r="H16" s="177"/>
      <c r="I16" s="176">
        <v>35441.0</v>
      </c>
      <c r="J16" s="177" t="str">
        <f>VLOOKUP(I16,'FML March 2026'!E:F,2,false)</f>
        <v>CHOCOLATE COUVERTURE DARK 70% CALLETS CALLEBAUT</v>
      </c>
      <c r="K16" s="177" t="str">
        <f>VLOOKUP(I16,'Unit of Measure ship March 2026'!A:C,3,false)</f>
        <v>LBS</v>
      </c>
      <c r="L16" s="177"/>
      <c r="M16" s="176">
        <v>51159.0</v>
      </c>
      <c r="N16" s="177" t="str">
        <f>VLOOKUP(M16,'FML March 2026'!E:F,2,false)</f>
        <v>APRICOT GLAZING 14KG/CS</v>
      </c>
      <c r="O16" s="177" t="str">
        <f>VLOOKUP(M16,'Unit of Measure ship March 2026'!A:C,3,false)</f>
        <v>LBS</v>
      </c>
      <c r="P16" s="177"/>
      <c r="Q16" s="178">
        <v>109753.0</v>
      </c>
      <c r="R16" s="177" t="str">
        <f>VLOOKUP(Q16,'FML March 2026'!E:F,2,false)</f>
        <v>CHILI FRESNO FRESH</v>
      </c>
      <c r="S16" s="177" t="str">
        <f>VLOOKUP(Q16,'Unit of Measure ship March 2026'!A:C,3,false)</f>
        <v>LBS</v>
      </c>
      <c r="T16" s="177"/>
      <c r="U16" s="177"/>
      <c r="V16" s="177"/>
      <c r="W16" s="76"/>
      <c r="X16" s="76"/>
      <c r="Y16" s="76"/>
      <c r="Z16" s="76"/>
    </row>
    <row r="17">
      <c r="A17" s="176">
        <v>15271.0</v>
      </c>
      <c r="B17" s="177" t="str">
        <f>VLOOKUP(A17,'FML March 2026'!E:F,2,false)</f>
        <v>BEV BASE, FRUIT PUNCH, NESTLE - VITALITY, 12560125, FZN, 12/32 OZ</v>
      </c>
      <c r="C17" s="177" t="str">
        <f>VLOOKUP(A38,'Unit of Measure ship March 2026'!A:C,3,false)</f>
        <v>LBS</v>
      </c>
      <c r="D17" s="177"/>
      <c r="E17" s="176">
        <v>51159.0</v>
      </c>
      <c r="F17" s="177" t="str">
        <f>VLOOKUP(E17,'FML March 2026'!E:F,2,false)</f>
        <v>APRICOT GLAZING 14KG/CS</v>
      </c>
      <c r="G17" s="177" t="str">
        <f>VLOOKUP(E17,'Unit of Measure ship March 2026'!A:C,3,false)</f>
        <v>LBS</v>
      </c>
      <c r="H17" s="177"/>
      <c r="I17" s="176">
        <v>16253.0</v>
      </c>
      <c r="J17" s="177" t="str">
        <f>VLOOKUP(I17,'FML March 2026'!E:F,2,false)</f>
        <v>CINNAMON GROUND</v>
      </c>
      <c r="K17" s="177" t="str">
        <f>VLOOKUP(I17,'Unit of Measure ship March 2026'!A:C,3,false)</f>
        <v>LBS</v>
      </c>
      <c r="L17" s="177"/>
      <c r="M17" s="176">
        <v>16508.0</v>
      </c>
      <c r="N17" s="177" t="str">
        <f>VLOOKUP(M17,'FML March 2026'!E:F,2,false)</f>
        <v>APRICOT HALVES, UNPEELED</v>
      </c>
      <c r="O17" s="177" t="str">
        <f>VLOOKUP(M17,'Unit of Measure ship March 2026'!A:C,3,false)</f>
        <v>CN/6.5LB</v>
      </c>
      <c r="P17" s="177"/>
      <c r="Q17" s="178">
        <v>35189.0</v>
      </c>
      <c r="R17" s="177" t="str">
        <f>VLOOKUP(Q17,'FML March 2026'!E:F,2,false)</f>
        <v>CHILI PEPPERS GREEN FRESH</v>
      </c>
      <c r="S17" s="177" t="str">
        <f>VLOOKUP(Q17,'Unit of Measure ship March 2026'!A:C,3,false)</f>
        <v>LBS</v>
      </c>
      <c r="T17" s="177"/>
      <c r="U17" s="177"/>
      <c r="V17" s="177"/>
      <c r="W17" s="76"/>
      <c r="X17" s="76"/>
      <c r="Y17" s="76"/>
      <c r="Z17" s="76"/>
    </row>
    <row r="18">
      <c r="A18" s="177">
        <v>15270.0</v>
      </c>
      <c r="B18" s="177" t="str">
        <f>VLOOKUP(A18,'FML March 2026'!E:F,2,false)</f>
        <v>BEV BASE, LEMONADE, NESTLE - VITALITY, 12560120, FZN, 12/32 OZ</v>
      </c>
      <c r="C18" s="177" t="str">
        <f>VLOOKUP(A39,'Unit of Measure ship March 2026'!A:C,3,false)</f>
        <v>KG</v>
      </c>
      <c r="D18" s="177"/>
      <c r="E18" s="176">
        <v>16508.0</v>
      </c>
      <c r="F18" s="177" t="str">
        <f>VLOOKUP(E18,'FML March 2026'!E:F,2,false)</f>
        <v>APRICOT HALVES, UNPEELED</v>
      </c>
      <c r="G18" s="177" t="str">
        <f>VLOOKUP(E18,'Unit of Measure ship March 2026'!A:C,3,false)</f>
        <v>CN/6.5LB</v>
      </c>
      <c r="H18" s="177"/>
      <c r="I18" s="176">
        <v>15697.0</v>
      </c>
      <c r="J18" s="177" t="str">
        <f>VLOOKUP(I18,'FML March 2026'!E:F,2,false)</f>
        <v>COCOA EXTRA BRUT 6/1 KG. RED COCOA POWDER CALLEBAUT/ COCOA BARRY</v>
      </c>
      <c r="K18" s="177" t="str">
        <f>VLOOKUP(I18,'Unit of Measure ship March 2026'!A:C,3,false)</f>
        <v>LBS</v>
      </c>
      <c r="L18" s="177"/>
      <c r="M18" s="176">
        <v>15700.0</v>
      </c>
      <c r="N18" s="177" t="str">
        <f>VLOOKUP(M18,'FML March 2026'!E:F,2,false)</f>
        <v>APRICOTS DRIED 27.5 LB HIALEAH</v>
      </c>
      <c r="O18" s="177" t="str">
        <f>VLOOKUP(M18,'Unit of Measure ship March 2026'!A:C,3,false)</f>
        <v>LBS</v>
      </c>
      <c r="P18" s="177"/>
      <c r="Q18" s="178">
        <v>35188.0</v>
      </c>
      <c r="R18" s="177" t="str">
        <f>VLOOKUP(Q18,'FML March 2026'!E:F,2,false)</f>
        <v>CHILI PEPPERS RED FRESH</v>
      </c>
      <c r="S18" s="177" t="str">
        <f>VLOOKUP(Q18,'Unit of Measure ship March 2026'!A:C,3,false)</f>
        <v>LBS</v>
      </c>
      <c r="T18" s="177"/>
      <c r="U18" s="177"/>
      <c r="V18" s="177"/>
      <c r="W18" s="76"/>
      <c r="X18" s="76"/>
      <c r="Y18" s="76"/>
      <c r="Z18" s="76"/>
    </row>
    <row r="19">
      <c r="A19" s="176">
        <v>34638.0</v>
      </c>
      <c r="B19" s="177" t="str">
        <f>VLOOKUP(A19,'FML March 2026'!E:F,2,false)</f>
        <v>BEV BASE, PASSION-ORANGE-GUAVA, NESTLE - VITALITY, 12560124, FZN, 12/32 OZ</v>
      </c>
      <c r="C19" s="177" t="str">
        <f>VLOOKUP(A40,'Unit of Measure ship March 2026'!A:C,3,false)</f>
        <v>LBS</v>
      </c>
      <c r="D19" s="177"/>
      <c r="E19" s="176">
        <v>19448.0</v>
      </c>
      <c r="F19" s="177" t="str">
        <f>VLOOKUP(E19,'FML March 2026'!E:F,2,false)</f>
        <v>AVOCADO, HALVES, PITLESS, IQF, FRZN</v>
      </c>
      <c r="G19" s="177" t="str">
        <f>VLOOKUP(E19,'Unit of Measure ship March 2026'!A:C,3,false)</f>
        <v>LBS</v>
      </c>
      <c r="H19" s="177"/>
      <c r="I19" s="176">
        <v>16184.0</v>
      </c>
      <c r="J19" s="177" t="str">
        <f>VLOOKUP(I19,'FML March 2026'!E:F,2,false)</f>
        <v>CORNSTARCH BULK</v>
      </c>
      <c r="K19" s="177" t="str">
        <f>VLOOKUP(I19,'Unit of Measure ship March 2026'!A:C,3,false)</f>
        <v>LBS</v>
      </c>
      <c r="L19" s="177"/>
      <c r="M19" s="176">
        <v>111121.0</v>
      </c>
      <c r="N19" s="177" t="str">
        <f>VLOOKUP(M19,'FML March 2026'!E:F,2,false)</f>
        <v>ARTICHOKE "ROMANA STYLE" CS2/3 KG</v>
      </c>
      <c r="O19" s="177" t="str">
        <f>VLOOKUP(M19,'Unit of Measure ship March 2026'!A:C,3,false)</f>
        <v>LBS</v>
      </c>
      <c r="P19" s="177"/>
      <c r="Q19" s="179">
        <v>15438.0</v>
      </c>
      <c r="R19" s="177" t="str">
        <f>VLOOKUP(Q19,'FML March 2026'!E:F,2,false)</f>
        <v>CHIVES (12 BUNCH), 1 LB/CS</v>
      </c>
      <c r="S19" s="177" t="str">
        <f>VLOOKUP(Q19,'Unit of Measure ship March 2026'!A:C,3,false)</f>
        <v>LBS</v>
      </c>
      <c r="T19" s="177"/>
      <c r="U19" s="177"/>
      <c r="V19" s="177"/>
      <c r="W19" s="76"/>
      <c r="X19" s="76"/>
      <c r="Y19" s="76"/>
      <c r="Z19" s="76"/>
    </row>
    <row r="20">
      <c r="A20" s="177">
        <v>15265.0</v>
      </c>
      <c r="B20" s="177" t="str">
        <f>VLOOKUP(A20,'FML March 2026'!E:F,2,false)</f>
        <v>BEV BASE, PINEAPPLE, NESTLE - VITALITY, 12560123, FZN, 12/32 OZ</v>
      </c>
      <c r="C20" s="177" t="str">
        <f>VLOOKUP(A41,'Unit of Measure ship March 2026'!A:C,3,false)</f>
        <v>LBS</v>
      </c>
      <c r="D20" s="177"/>
      <c r="E20" s="176">
        <v>15651.0</v>
      </c>
      <c r="F20" s="177" t="str">
        <f>VLOOKUP(E20,'FML March 2026'!E:F,2,false)</f>
        <v>BAKING POWDER 50 LB</v>
      </c>
      <c r="G20" s="177" t="str">
        <f>VLOOKUP(E20,'Unit of Measure ship March 2026'!A:C,3,false)</f>
        <v>LBS</v>
      </c>
      <c r="H20" s="177"/>
      <c r="I20" s="176">
        <v>15022.0</v>
      </c>
      <c r="J20" s="177" t="str">
        <f>VLOOKUP(I20,'FML March 2026'!E:F,2,false)</f>
        <v>EGGS-DATED, MEDIUM, REGULAR</v>
      </c>
      <c r="K20" s="177" t="str">
        <f>VLOOKUP(I20,'Unit of Measure ship March 2026'!A:C,3,false)</f>
        <v>PC</v>
      </c>
      <c r="L20" s="177"/>
      <c r="M20" s="176">
        <v>38172.0</v>
      </c>
      <c r="N20" s="177" t="str">
        <f>VLOOKUP(M20,'FML March 2026'!E:F,2,false)</f>
        <v>BACON STREAKY SMOKED SLICED #2 PACKER (USA)</v>
      </c>
      <c r="O20" s="177" t="str">
        <f>VLOOKUP(M20,'Unit of Measure ship March 2026'!A:C,3,false)</f>
        <v>LBS</v>
      </c>
      <c r="P20" s="177"/>
      <c r="Q20" s="179">
        <v>15431.0</v>
      </c>
      <c r="R20" s="177" t="str">
        <f>VLOOKUP(Q20,'FML March 2026'!E:F,2,false)</f>
        <v>CILANTRO (12 BUNCH) 1 LB/CS DOMESTIC</v>
      </c>
      <c r="S20" s="177" t="str">
        <f>VLOOKUP(Q20,'Unit of Measure ship March 2026'!A:C,3,false)</f>
        <v>LBS</v>
      </c>
      <c r="T20" s="177"/>
      <c r="U20" s="177"/>
      <c r="V20" s="177"/>
      <c r="W20" s="76"/>
      <c r="X20" s="76"/>
      <c r="Y20" s="76"/>
      <c r="Z20" s="76"/>
    </row>
    <row r="21">
      <c r="A21" s="176">
        <v>111849.0</v>
      </c>
      <c r="B21" s="177" t="str">
        <f>VLOOKUP(A21,'FML March 2026'!E:F,2,false)</f>
        <v>BLACK CURRANT WHOLE FROZEN CS5/1KG WHITE TOQUE</v>
      </c>
      <c r="C21" s="177" t="str">
        <f>VLOOKUP(A42,'Unit of Measure ship March 2026'!A:C,3,false)</f>
        <v>LBS</v>
      </c>
      <c r="D21" s="177"/>
      <c r="E21" s="176">
        <v>15652.0</v>
      </c>
      <c r="F21" s="177" t="str">
        <f>VLOOKUP(E21,'FML March 2026'!E:F,2,false)</f>
        <v>BAKING SODA</v>
      </c>
      <c r="G21" s="177" t="str">
        <f>VLOOKUP(E21,'Unit of Measure ship March 2026'!A:C,3,false)</f>
        <v>LBS</v>
      </c>
      <c r="H21" s="177"/>
      <c r="I21" s="176">
        <v>15026.0</v>
      </c>
      <c r="J21" s="177" t="str">
        <f>VLOOKUP(I21,'FML March 2026'!E:F,2,false)</f>
        <v>EGGS, WHOLE, LIQUID, W/ CITRIC ACID, NO SUGAR, 1-5 LB/1-5 LT, FZN, 6/5 LB</v>
      </c>
      <c r="K21" s="177" t="str">
        <f>VLOOKUP(I21,'Unit of Measure ship March 2026'!A:C,3,false)</f>
        <v>LBS</v>
      </c>
      <c r="L21" s="177"/>
      <c r="M21" s="176">
        <v>15651.0</v>
      </c>
      <c r="N21" s="177" t="str">
        <f>VLOOKUP(M21,'FML March 2026'!E:F,2,false)</f>
        <v>BAKING POWDER 50 LB</v>
      </c>
      <c r="O21" s="177" t="str">
        <f>VLOOKUP(M21,'Unit of Measure ship March 2026'!A:C,3,false)</f>
        <v>LBS</v>
      </c>
      <c r="P21" s="177"/>
      <c r="Q21" s="179">
        <v>15433.0</v>
      </c>
      <c r="R21" s="177" t="str">
        <f>VLOOKUP(Q21,'FML March 2026'!E:F,2,false)</f>
        <v>DILL</v>
      </c>
      <c r="S21" s="177" t="str">
        <f>VLOOKUP(Q21,'Unit of Measure ship March 2026'!A:C,3,false)</f>
        <v>LBS</v>
      </c>
      <c r="T21" s="177"/>
      <c r="U21" s="177"/>
      <c r="V21" s="177"/>
      <c r="W21" s="76"/>
      <c r="X21" s="76"/>
      <c r="Y21" s="76"/>
      <c r="Z21" s="76"/>
    </row>
    <row r="22">
      <c r="A22" s="176">
        <v>15178.0</v>
      </c>
      <c r="B22" s="177" t="str">
        <f>VLOOKUP(A22,'FML March 2026'!E:F,2,false)</f>
        <v>BLACKBERRIES, WHOLE, IQF, FRZN</v>
      </c>
      <c r="C22" s="177" t="str">
        <f>VLOOKUP(A43,'Unit of Measure ship March 2026'!A:C,3,false)</f>
        <v>LBS</v>
      </c>
      <c r="D22" s="177"/>
      <c r="E22" s="176">
        <v>30023.0</v>
      </c>
      <c r="F22" s="177" t="str">
        <f>VLOOKUP(E22,'FML March 2026'!E:F,2,false)</f>
        <v>BANANA LEAVES, 30/1 LB, SUN VOI (THAILAND)</v>
      </c>
      <c r="G22" s="177" t="str">
        <f>VLOOKUP(E22,'Unit of Measure ship March 2026'!A:C,3,false)</f>
        <v>LBS</v>
      </c>
      <c r="H22" s="177"/>
      <c r="I22" s="176">
        <v>111697.0</v>
      </c>
      <c r="J22" s="177" t="str">
        <f>VLOOKUP(I22,'FML March 2026'!E:F,2,false)</f>
        <v>FLOUR WHOLE WHEAT BAG50/LBS KING ARTHUR</v>
      </c>
      <c r="K22" s="177" t="str">
        <f>VLOOKUP(I22,'Unit of Measure ship March 2026'!A:C,3,false)</f>
        <v>KG</v>
      </c>
      <c r="L22" s="177"/>
      <c r="M22" s="176">
        <v>15652.0</v>
      </c>
      <c r="N22" s="177" t="str">
        <f>VLOOKUP(M22,'FML March 2026'!E:F,2,false)</f>
        <v>BAKING SODA</v>
      </c>
      <c r="O22" s="177" t="str">
        <f>VLOOKUP(M22,'Unit of Measure ship March 2026'!A:C,3,false)</f>
        <v>LBS</v>
      </c>
      <c r="P22" s="177"/>
      <c r="Q22" s="178">
        <v>30639.0</v>
      </c>
      <c r="R22" s="177" t="str">
        <f>VLOOKUP(Q22,'FML March 2026'!E:F,2,false)</f>
        <v>GARLIC PEELED</v>
      </c>
      <c r="S22" s="177" t="str">
        <f>VLOOKUP(Q22,'Unit of Measure ship March 2026'!A:C,3,false)</f>
        <v>LBS</v>
      </c>
      <c r="T22" s="177"/>
      <c r="U22" s="177"/>
      <c r="V22" s="177"/>
      <c r="W22" s="76"/>
      <c r="X22" s="76"/>
      <c r="Y22" s="76"/>
      <c r="Z22" s="76"/>
    </row>
    <row r="23">
      <c r="A23" s="176">
        <v>15158.0</v>
      </c>
      <c r="B23" s="177" t="str">
        <f>VLOOKUP(A23,'FML March 2026'!E:F,2,false)</f>
        <v>BLUEBERRIES, WHOLE, IQF, FRZN</v>
      </c>
      <c r="C23" s="177" t="str">
        <f>VLOOKUP(A44,'Unit of Measure ship March 2026'!A:C,3,false)</f>
        <v>LBS</v>
      </c>
      <c r="D23" s="177"/>
      <c r="E23" s="176">
        <v>110934.0</v>
      </c>
      <c r="F23" s="177" t="str">
        <f>VLOOKUP(E23,'FML March 2026'!E:F,2,false)</f>
        <v>BASIL SEEDS PKG 1 LB   KALUSTYANS</v>
      </c>
      <c r="G23" s="177" t="str">
        <f>VLOOKUP(E23,'Unit of Measure ship March 2026'!A:C,3,false)</f>
        <v>LBS</v>
      </c>
      <c r="H23" s="177"/>
      <c r="I23" s="176">
        <v>15670.0</v>
      </c>
      <c r="J23" s="177" t="str">
        <f>VLOOKUP(I23,'FML March 2026'!E:F,2,false)</f>
        <v>FOOD COLOR BLUE 1/ 10.5 OZ CHEFMASTER</v>
      </c>
      <c r="K23" s="177" t="str">
        <f>VLOOKUP(I23,'Unit of Measure ship March 2026'!A:C,3,false)</f>
        <v>QRT</v>
      </c>
      <c r="L23" s="177"/>
      <c r="M23" s="176">
        <v>16250.0</v>
      </c>
      <c r="N23" s="177" t="str">
        <f>VLOOKUP(M23,'FML March 2026'!E:F,2,false)</f>
        <v>BAY LEAVES WHOLE D`ALLESANDRO/ SPICECO</v>
      </c>
      <c r="O23" s="177" t="str">
        <f>VLOOKUP(M23,'Unit of Measure ship March 2026'!A:C,3,false)</f>
        <v>LBS</v>
      </c>
      <c r="P23" s="177"/>
      <c r="Q23" s="178">
        <v>38392.0</v>
      </c>
      <c r="R23" s="177" t="str">
        <f>VLOOKUP(Q23,'FML March 2026'!E:F,2,false)</f>
        <v>GINGER FRESH</v>
      </c>
      <c r="S23" s="177" t="str">
        <f>VLOOKUP(Q23,'Unit of Measure ship March 2026'!A:C,3,false)</f>
        <v>LBS</v>
      </c>
      <c r="T23" s="177"/>
      <c r="U23" s="177"/>
      <c r="V23" s="177"/>
      <c r="W23" s="76"/>
      <c r="X23" s="76"/>
      <c r="Y23" s="76"/>
      <c r="Z23" s="76"/>
    </row>
    <row r="24">
      <c r="A24" s="176">
        <v>20884.0</v>
      </c>
      <c r="B24" s="177" t="str">
        <f>VLOOKUP(A24,'FML March 2026'!E:F,2,false)</f>
        <v>BREAD CRUMBS PANKO 25 LB KIKKOMAN #05010 (USA)</v>
      </c>
      <c r="C24" s="177" t="str">
        <f>VLOOKUP(A45,'Unit of Measure ship March 2026'!A:C,3,false)</f>
        <v>CS300/PC</v>
      </c>
      <c r="D24" s="177"/>
      <c r="E24" s="176">
        <v>109688.0</v>
      </c>
      <c r="F24" s="177" t="str">
        <f>VLOOKUP(E24,'FML March 2026'!E:F,2,false)</f>
        <v>BEE POLLEN FRONTIER HERB</v>
      </c>
      <c r="G24" s="177" t="str">
        <f>VLOOKUP(E24,'Unit of Measure ship March 2026'!A:C,3,false)</f>
        <v>PEA1/OZ</v>
      </c>
      <c r="H24" s="177"/>
      <c r="I24" s="176">
        <v>15671.0</v>
      </c>
      <c r="J24" s="177" t="str">
        <f>VLOOKUP(I24,'FML March 2026'!E:F,2,false)</f>
        <v>FOOD COLOR GREEN 1/10.5 OZ CHEFMASTER</v>
      </c>
      <c r="K24" s="177" t="str">
        <f>VLOOKUP(I24,'Unit of Measure ship March 2026'!A:C,3,false)</f>
        <v>BTL/10OZ</v>
      </c>
      <c r="L24" s="177"/>
      <c r="M24" s="176">
        <v>48982.0</v>
      </c>
      <c r="N24" s="181" t="str">
        <f>VLOOKUP(M24,'FML March 2026'!E:F,2,false)</f>
        <v>BEANS LENTILS RED SPLIT, DHAL MASSOR 20 LB BOX C&amp;F/ D`ALLESANDRO</v>
      </c>
      <c r="O24" s="177" t="str">
        <f>VLOOKUP(M24,'Unit of Measure ship March 2026'!A:C,3,false)</f>
        <v>LBS</v>
      </c>
      <c r="P24" s="177"/>
      <c r="Q24" s="178">
        <v>15390.0</v>
      </c>
      <c r="R24" s="177" t="str">
        <f>VLOOKUP(Q24,'FML March 2026'!E:F,2,false)</f>
        <v>GRAPEFRUITS #1 CA. 32CT HI-BRIGHT, PINK 40#</v>
      </c>
      <c r="S24" s="177" t="str">
        <f>VLOOKUP(Q24,'Unit of Measure ship March 2026'!A:C,3,false)</f>
        <v>LBS</v>
      </c>
      <c r="T24" s="177"/>
      <c r="U24" s="177"/>
      <c r="V24" s="177"/>
      <c r="W24" s="76"/>
      <c r="X24" s="76"/>
      <c r="Y24" s="76"/>
      <c r="Z24" s="76"/>
    </row>
    <row r="25">
      <c r="A25" s="176">
        <v>109933.0</v>
      </c>
      <c r="B25" s="177" t="str">
        <f>VLOOKUP(A25,'FML March 2026'!E:F,2,false)</f>
        <v>BUTTER ALTERNATIVE VEGAN PLANT PERFECT (USA)</v>
      </c>
      <c r="C25" s="177" t="str">
        <f>VLOOKUP(A46,'Unit of Measure ship March 2026'!A:C,3,false)</f>
        <v>LBS</v>
      </c>
      <c r="D25" s="177"/>
      <c r="E25" s="176">
        <v>53694.0</v>
      </c>
      <c r="F25" s="177" t="str">
        <f>VLOOKUP(E25,'FML March 2026'!E:F,2,false)</f>
        <v>BEV BASE, APPLE, NESTLE - VITALITY, 12560101, FZN, 12/32 OZ</v>
      </c>
      <c r="G25" s="177" t="str">
        <f>VLOOKUP(E25,'Unit of Measure ship March 2026'!A:C,3,false)</f>
        <v>PC/64OZ</v>
      </c>
      <c r="H25" s="177"/>
      <c r="I25" s="176">
        <v>112860.0</v>
      </c>
      <c r="J25" s="177" t="str">
        <f>VLOOKUP(I25,'FML March 2026'!E:F,2,false)</f>
        <v>FOOD COLOR ORANGE  BTL 10.5/OZ CHEFMASTER</v>
      </c>
      <c r="K25" s="177" t="str">
        <f>VLOOKUP(I25,'Unit of Measure ship March 2026'!A:C,3,false)</f>
        <v>BT10.5OZ</v>
      </c>
      <c r="L25" s="177"/>
      <c r="M25" s="176">
        <v>109688.0</v>
      </c>
      <c r="N25" s="177" t="str">
        <f>VLOOKUP(M25,'FML March 2026'!E:F,2,false)</f>
        <v>BEE POLLEN FRONTIER HERB</v>
      </c>
      <c r="O25" s="177" t="str">
        <f>VLOOKUP(M25,'Unit of Measure ship March 2026'!A:C,3,false)</f>
        <v>PEA1/OZ</v>
      </c>
      <c r="P25" s="177"/>
      <c r="Q25" s="178">
        <v>15389.0</v>
      </c>
      <c r="R25" s="177" t="str">
        <f>VLOOKUP(Q25,'FML March 2026'!E:F,2,false)</f>
        <v>GRAPES RED LARGE SEEDLESS CHILE 18#</v>
      </c>
      <c r="S25" s="177" t="str">
        <f>VLOOKUP(Q25,'Unit of Measure ship March 2026'!A:C,3,false)</f>
        <v>LBS</v>
      </c>
      <c r="T25" s="177"/>
      <c r="U25" s="177"/>
      <c r="V25" s="177"/>
      <c r="W25" s="76"/>
      <c r="X25" s="76"/>
      <c r="Y25" s="76"/>
      <c r="Z25" s="76"/>
    </row>
    <row r="26">
      <c r="A26" s="176">
        <v>15016.0</v>
      </c>
      <c r="B26" s="177" t="str">
        <f>VLOOKUP(A26,'FML March 2026'!E:F,2,false)</f>
        <v>BUTTER, UNSALTED, 82% FAT, FZN, 50/200 G</v>
      </c>
      <c r="C26" s="177" t="str">
        <f>VLOOKUP(A47,'Unit of Measure ship March 2026'!A:C,3,false)</f>
        <v>LBS</v>
      </c>
      <c r="D26" s="177"/>
      <c r="E26" s="176">
        <v>111849.0</v>
      </c>
      <c r="F26" s="177" t="str">
        <f>VLOOKUP(E26,'FML March 2026'!E:F,2,false)</f>
        <v>BLACK CURRANT WHOLE FROZEN CS5/1KG WHITE TOQUE</v>
      </c>
      <c r="G26" s="177" t="str">
        <f>VLOOKUP(E26,'Unit of Measure ship March 2026'!A:C,3,false)</f>
        <v>LBS</v>
      </c>
      <c r="H26" s="177"/>
      <c r="I26" s="176">
        <v>111810.0</v>
      </c>
      <c r="J26" s="177" t="str">
        <f>VLOOKUP(I26,'FML March 2026'!E:F,2,false)</f>
        <v>FOOD COLOR WHITE 1/3.5 OZ CHEFMASTER</v>
      </c>
      <c r="K26" s="177" t="str">
        <f>VLOOKUP(I26,'Unit of Measure ship March 2026'!A:C,3,false)</f>
        <v>BT2.7/OZ</v>
      </c>
      <c r="L26" s="177"/>
      <c r="M26" s="176">
        <v>15158.0</v>
      </c>
      <c r="N26" s="177" t="str">
        <f>VLOOKUP(M26,'FML March 2026'!E:F,2,false)</f>
        <v>BLUEBERRIES, WHOLE, IQF, FRZN</v>
      </c>
      <c r="O26" s="177" t="str">
        <f>VLOOKUP(M26,'Unit of Measure ship March 2026'!A:C,3,false)</f>
        <v>LBS</v>
      </c>
      <c r="P26" s="177"/>
      <c r="Q26" s="178">
        <v>15387.0</v>
      </c>
      <c r="R26" s="177" t="str">
        <f>VLOOKUP(Q26,'FML March 2026'!E:F,2,false)</f>
        <v>GRAPES WHITE. LARGE CHILE SEEDLESS 18#</v>
      </c>
      <c r="S26" s="177" t="str">
        <f>VLOOKUP(Q26,'Unit of Measure ship March 2026'!A:C,3,false)</f>
        <v>LBS</v>
      </c>
      <c r="T26" s="177"/>
      <c r="U26" s="177"/>
      <c r="V26" s="177"/>
      <c r="W26" s="76"/>
      <c r="X26" s="76"/>
      <c r="Y26" s="76"/>
      <c r="Z26" s="76"/>
    </row>
    <row r="27">
      <c r="A27" s="176">
        <v>14893.0</v>
      </c>
      <c r="B27" s="177" t="str">
        <f>VLOOKUP(A27,'FML March 2026'!E:F,2,false)</f>
        <v>BUTTERMILK LOCAL 10 DAYS CS9/HGAL</v>
      </c>
      <c r="C27" s="177" t="str">
        <f>VLOOKUP(A48,'Unit of Measure ship March 2026'!A:C,3,false)</f>
        <v>LBS</v>
      </c>
      <c r="D27" s="177"/>
      <c r="E27" s="176">
        <v>15178.0</v>
      </c>
      <c r="F27" s="177" t="str">
        <f>VLOOKUP(E27,'FML March 2026'!E:F,2,false)</f>
        <v>BLACKBERRIES, WHOLE, IQF, FRZN</v>
      </c>
      <c r="G27" s="177" t="str">
        <f>VLOOKUP(E27,'Unit of Measure ship March 2026'!A:C,3,false)</f>
        <v>LBS</v>
      </c>
      <c r="H27" s="177"/>
      <c r="I27" s="176">
        <v>15673.0</v>
      </c>
      <c r="J27" s="177" t="str">
        <f>VLOOKUP(I27,'FML March 2026'!E:F,2,false)</f>
        <v>FOOD COLOR YELLOW 1/10.5 OZ CHEFMASTER</v>
      </c>
      <c r="K27" s="177" t="str">
        <f>VLOOKUP(I27,'Unit of Measure ship March 2026'!A:C,3,false)</f>
        <v>BTL/10OZ</v>
      </c>
      <c r="L27" s="177"/>
      <c r="M27" s="176">
        <v>111962.0</v>
      </c>
      <c r="N27" s="177" t="str">
        <f>VLOOKUP(M27,'FML March 2026'!E:F,2,false)</f>
        <v>BOQUERONE IN VINEGAR</v>
      </c>
      <c r="O27" s="177" t="str">
        <f>VLOOKUP(M27,'Unit of Measure ship March 2026'!A:C,3,false)</f>
        <v>LBS</v>
      </c>
      <c r="P27" s="177"/>
      <c r="Q27" s="178">
        <v>61703.0</v>
      </c>
      <c r="R27" s="177" t="str">
        <f>VLOOKUP(Q27,'FML March 2026'!E:F,2,false)</f>
        <v>HABANERO PEPPERS FRESH</v>
      </c>
      <c r="S27" s="177" t="str">
        <f>VLOOKUP(Q27,'Unit of Measure ship March 2026'!A:C,3,false)</f>
        <v>LBS</v>
      </c>
      <c r="T27" s="177"/>
      <c r="U27" s="177"/>
      <c r="V27" s="177"/>
      <c r="W27" s="76"/>
      <c r="X27" s="76"/>
      <c r="Y27" s="76"/>
      <c r="Z27" s="76"/>
    </row>
    <row r="28">
      <c r="A28" s="179">
        <v>15816.0</v>
      </c>
      <c r="B28" s="177" t="str">
        <f>VLOOKUP(A28,'FML March 2026'!E:F,2,false)</f>
        <v>CARAWAY SEEDS WHOLE 16 OZ D BADIA</v>
      </c>
      <c r="C28" s="177" t="str">
        <f>VLOOKUP(A49,'Unit of Measure ship March 2026'!A:C,3,false)</f>
        <v>LBS</v>
      </c>
      <c r="D28" s="177"/>
      <c r="E28" s="176">
        <v>15158.0</v>
      </c>
      <c r="F28" s="177" t="str">
        <f>VLOOKUP(E28,'FML March 2026'!E:F,2,false)</f>
        <v>BLUEBERRIES, WHOLE, IQF, FRZN</v>
      </c>
      <c r="G28" s="177" t="str">
        <f>VLOOKUP(E28,'Unit of Measure ship March 2026'!A:C,3,false)</f>
        <v>LBS</v>
      </c>
      <c r="H28" s="177"/>
      <c r="I28" s="176">
        <v>142009.0</v>
      </c>
      <c r="J28" s="177" t="str">
        <f>VLOOKUP(I28,'FML March 2026'!E:F,2,false)</f>
        <v>GLUTEN-FREE BAGEL TAPIOCA RICE PLAIN 6X12.1 OZ KINNIKINNICK</v>
      </c>
      <c r="K28" s="177" t="str">
        <f>VLOOKUP(I28,'Unit of Measure ship March 2026'!A:C,3,false)</f>
        <v>C6/12.1O</v>
      </c>
      <c r="L28" s="177"/>
      <c r="M28" s="176">
        <v>40427.0</v>
      </c>
      <c r="N28" s="177" t="str">
        <f>VLOOKUP(M28,'FML March 2026'!E:F,2,false)</f>
        <v>BREAD IMPROVER 50 LB PURATOS S-500 VV</v>
      </c>
      <c r="O28" s="177" t="str">
        <f>VLOOKUP(M28,'Unit of Measure ship March 2026'!A:C,3,false)</f>
        <v>KG</v>
      </c>
      <c r="P28" s="177"/>
      <c r="Q28" s="178">
        <v>15395.0</v>
      </c>
      <c r="R28" s="177" t="str">
        <f>VLOOKUP(Q28,'FML March 2026'!E:F,2,false)</f>
        <v>KIWI, NEW ZEALAND/CALIFORNIA, RIPE</v>
      </c>
      <c r="S28" s="177" t="str">
        <f>VLOOKUP(Q28,'Unit of Measure ship March 2026'!A:C,3,false)</f>
        <v>LBS</v>
      </c>
      <c r="T28" s="177"/>
      <c r="U28" s="177"/>
      <c r="V28" s="177"/>
      <c r="W28" s="76"/>
      <c r="X28" s="76"/>
      <c r="Y28" s="76"/>
      <c r="Z28" s="76"/>
    </row>
    <row r="29">
      <c r="A29" s="179">
        <v>16309.0</v>
      </c>
      <c r="B29" s="177" t="str">
        <f>VLOOKUP(A29,'FML March 2026'!E:F,2,false)</f>
        <v>CARDAMOM GROUND</v>
      </c>
      <c r="C29" s="177" t="str">
        <f>VLOOKUP(A50,'Unit of Measure ship March 2026'!A:C,3,false)</f>
        <v>LBS</v>
      </c>
      <c r="D29" s="177"/>
      <c r="E29" s="176">
        <v>20884.0</v>
      </c>
      <c r="F29" s="177" t="str">
        <f>VLOOKUP(E29,'FML March 2026'!E:F,2,false)</f>
        <v>BREAD CRUMBS PANKO 25 LB KIKKOMAN #05010 (USA)</v>
      </c>
      <c r="G29" s="177" t="str">
        <f>VLOOKUP(E29,'Unit of Measure ship March 2026'!A:C,3,false)</f>
        <v>LBS</v>
      </c>
      <c r="H29" s="177"/>
      <c r="I29" s="176">
        <v>14907.0</v>
      </c>
      <c r="J29" s="177" t="str">
        <f>VLOOKUP(I29,'FML March 2026'!E:F,2,false)</f>
        <v>HEAVY CREAM UHT LONG LIFE 38%-40% 12/1LT</v>
      </c>
      <c r="K29" s="177" t="str">
        <f>VLOOKUP(I29,'Unit of Measure ship March 2026'!A:C,3,false)</f>
        <v>LT</v>
      </c>
      <c r="L29" s="177"/>
      <c r="M29" s="176">
        <v>109712.0</v>
      </c>
      <c r="N29" s="181" t="str">
        <f>VLOOKUP(M29,'FML March 2026'!E:F,2,false)</f>
        <v>BREAD SOURDOUGH COUNTRY WHEAT BRD40B19  1KG LOAF  ZAK THE BAKER</v>
      </c>
      <c r="O29" s="177" t="str">
        <f>VLOOKUP(M29,'Unit of Measure ship March 2026'!A:C,3,false)</f>
        <v>LV</v>
      </c>
      <c r="P29" s="177"/>
      <c r="Q29" s="179">
        <v>15478.0</v>
      </c>
      <c r="R29" s="177" t="str">
        <f>VLOOKUP(Q29,'FML March 2026'!E:F,2,false)</f>
        <v>LEMONGRASS 12 STICKS/BUNCH 1#/BUNCH</v>
      </c>
      <c r="S29" s="177" t="str">
        <f>VLOOKUP(Q29,'Unit of Measure ship March 2026'!A:C,3,false)</f>
        <v>LBS</v>
      </c>
      <c r="T29" s="177"/>
      <c r="U29" s="177"/>
      <c r="V29" s="177"/>
      <c r="W29" s="76"/>
      <c r="X29" s="76"/>
      <c r="Y29" s="76"/>
      <c r="Z29" s="76"/>
    </row>
    <row r="30">
      <c r="A30" s="176">
        <v>15893.0</v>
      </c>
      <c r="B30" s="177" t="str">
        <f>VLOOKUP(A30,'FML March 2026'!E:F,2,false)</f>
        <v>CASHEWS, RAW, WHOLE, #320, DRY, 1/50 LB</v>
      </c>
      <c r="C30" s="177" t="str">
        <f>VLOOKUP(A51,'Unit of Measure ship March 2026'!A:C,3,false)</f>
        <v>PC/908GR</v>
      </c>
      <c r="D30" s="177"/>
      <c r="E30" s="176">
        <v>109933.0</v>
      </c>
      <c r="F30" s="177" t="str">
        <f>VLOOKUP(E30,'FML March 2026'!E:F,2,false)</f>
        <v>BUTTER ALTERNATIVE VEGAN PLANT PERFECT (USA)</v>
      </c>
      <c r="G30" s="177" t="str">
        <f>VLOOKUP(E30,'Unit of Measure ship March 2026'!A:C,3,false)</f>
        <v>LBS</v>
      </c>
      <c r="H30" s="177"/>
      <c r="I30" s="176">
        <v>15658.0</v>
      </c>
      <c r="J30" s="177" t="str">
        <f>VLOOKUP(I30,'FML March 2026'!E:F,2,false)</f>
        <v>HONEY 6/5 LB GROEB/MELONIA/SWEET HARVEST</v>
      </c>
      <c r="K30" s="177" t="str">
        <f>VLOOKUP(I30,'Unit of Measure ship March 2026'!A:C,3,false)</f>
        <v>KG</v>
      </c>
      <c r="L30" s="177"/>
      <c r="M30" s="176">
        <v>16981.0</v>
      </c>
      <c r="N30" s="177" t="str">
        <f>VLOOKUP(M30,'FML March 2026'!E:F,2,false)</f>
        <v>BRIE MON PERE 60% 3KG / DEXPA # 53726</v>
      </c>
      <c r="O30" s="177" t="str">
        <f>VLOOKUP(M30,'Unit of Measure ship March 2026'!A:C,3,false)</f>
        <v>LBS</v>
      </c>
      <c r="P30" s="177"/>
      <c r="Q30" s="178">
        <v>15397.0</v>
      </c>
      <c r="R30" s="177" t="str">
        <f>VLOOKUP(Q30,'FML March 2026'!E:F,2,false)</f>
        <v>LEMONS FRESH FIRM FANCY CALIF. SUNKIST #1 200CT 40#</v>
      </c>
      <c r="S30" s="177" t="str">
        <f>VLOOKUP(Q30,'Unit of Measure ship March 2026'!A:C,3,false)</f>
        <v>LBS</v>
      </c>
      <c r="T30" s="177"/>
      <c r="U30" s="177"/>
      <c r="V30" s="177"/>
      <c r="W30" s="76"/>
      <c r="X30" s="76"/>
      <c r="Y30" s="76"/>
      <c r="Z30" s="76"/>
    </row>
    <row r="31">
      <c r="A31" s="176">
        <v>78829.0</v>
      </c>
      <c r="B31" s="177" t="str">
        <f>VLOOKUP(A31,'FML March 2026'!E:F,2,false)</f>
        <v>CEREAL CREW RICE CRISPY 4/32 OZ MALT-O-MEAL</v>
      </c>
      <c r="C31" s="177" t="str">
        <f>VLOOKUP(A52,'Unit of Measure ship March 2026'!A:C,3,false)</f>
        <v>LBS</v>
      </c>
      <c r="D31" s="177"/>
      <c r="E31" s="176">
        <v>15016.0</v>
      </c>
      <c r="F31" s="177" t="str">
        <f>VLOOKUP(E31,'FML March 2026'!E:F,2,false)</f>
        <v>BUTTER, UNSALTED, 82% FAT, FZN, 50/200 G</v>
      </c>
      <c r="G31" s="177" t="str">
        <f>VLOOKUP(E31,'Unit of Measure ship March 2026'!A:C,3,false)</f>
        <v>LBS</v>
      </c>
      <c r="H31" s="177"/>
      <c r="I31" s="176">
        <v>37989.0</v>
      </c>
      <c r="J31" s="177" t="str">
        <f>VLOOKUP(I31,'FML March 2026'!E:F,2,false)</f>
        <v>LEAVENER YEAST INSTANT DRY (NETHERLANDS)</v>
      </c>
      <c r="K31" s="177" t="str">
        <f>VLOOKUP(I31,'Unit of Measure ship March 2026'!A:C,3,false)</f>
        <v>LBS</v>
      </c>
      <c r="L31" s="177"/>
      <c r="M31" s="176">
        <v>109933.0</v>
      </c>
      <c r="N31" s="177" t="str">
        <f>VLOOKUP(M31,'FML March 2026'!E:F,2,false)</f>
        <v>BUTTER ALTERNATIVE VEGAN PLANT PERFECT (USA)</v>
      </c>
      <c r="O31" s="177" t="str">
        <f>VLOOKUP(M31,'Unit of Measure ship March 2026'!A:C,3,false)</f>
        <v>LBS</v>
      </c>
      <c r="P31" s="177"/>
      <c r="Q31" s="178">
        <v>108947.0</v>
      </c>
      <c r="R31" s="177" t="str">
        <f>VLOOKUP(Q31,'FML March 2026'!E:F,2,false)</f>
        <v>LIMES, FRESH, CAVIAR (FINGER LIMES)</v>
      </c>
      <c r="S31" s="177" t="str">
        <f>VLOOKUP(Q31,'Unit of Measure ship March 2026'!A:C,3,false)</f>
        <v>LBS</v>
      </c>
      <c r="T31" s="177"/>
      <c r="U31" s="177"/>
      <c r="V31" s="177"/>
      <c r="W31" s="76"/>
      <c r="X31" s="76"/>
      <c r="Y31" s="76"/>
      <c r="Z31" s="76"/>
    </row>
    <row r="32">
      <c r="A32" s="176">
        <v>107133.0</v>
      </c>
      <c r="B32" s="177" t="str">
        <f>VLOOKUP(A32,'FML March 2026'!E:F,2,false)</f>
        <v>CEREAL, MUESLI MIX, CRUNCHY KELLOGGS /BOB'S RED MILL</v>
      </c>
      <c r="C32" s="177" t="str">
        <f>VLOOKUP(A53,'Unit of Measure ship March 2026'!A:C,3,false)</f>
        <v>LBS</v>
      </c>
      <c r="D32" s="177"/>
      <c r="E32" s="176">
        <v>14893.0</v>
      </c>
      <c r="F32" s="177" t="str">
        <f>VLOOKUP(E32,'FML March 2026'!E:F,2,false)</f>
        <v>BUTTERMILK LOCAL 10 DAYS CS9/HGAL</v>
      </c>
      <c r="G32" s="177" t="str">
        <f>VLOOKUP(E32,'Unit of Measure ship March 2026'!A:C,3,false)</f>
        <v>QRT</v>
      </c>
      <c r="H32" s="177"/>
      <c r="I32" s="176">
        <v>15020.0</v>
      </c>
      <c r="J32" s="177" t="str">
        <f>VLOOKUP(I32,'FML March 2026'!E:F,2,false)</f>
        <v>MARGARINE, BULK</v>
      </c>
      <c r="K32" s="177" t="str">
        <f>VLOOKUP(I32,'Unit of Measure ship March 2026'!A:C,3,false)</f>
        <v>LBS</v>
      </c>
      <c r="L32" s="177"/>
      <c r="M32" s="176">
        <v>15016.0</v>
      </c>
      <c r="N32" s="177" t="str">
        <f>VLOOKUP(M32,'FML March 2026'!E:F,2,false)</f>
        <v>BUTTER, UNSALTED, 82% FAT, FZN, 50/200 G</v>
      </c>
      <c r="O32" s="177" t="str">
        <f>VLOOKUP(M32,'Unit of Measure ship March 2026'!A:C,3,false)</f>
        <v>LBS</v>
      </c>
      <c r="P32" s="177"/>
      <c r="Q32" s="178">
        <v>15399.0</v>
      </c>
      <c r="R32" s="177" t="str">
        <f>VLOOKUP(Q32,'FML March 2026'!E:F,2,false)</f>
        <v>LIMES, FRESH, FIRM #1 200CT 40#</v>
      </c>
      <c r="S32" s="177" t="str">
        <f>VLOOKUP(Q32,'Unit of Measure ship March 2026'!A:C,3,false)</f>
        <v>LBS</v>
      </c>
      <c r="T32" s="177"/>
      <c r="U32" s="177"/>
      <c r="V32" s="177"/>
      <c r="W32" s="76"/>
      <c r="X32" s="76"/>
      <c r="Y32" s="76"/>
      <c r="Z32" s="76"/>
    </row>
    <row r="33">
      <c r="A33" s="176">
        <v>15203.0</v>
      </c>
      <c r="B33" s="177" t="str">
        <f>VLOOKUP(A33,'FML March 2026'!E:F,2,false)</f>
        <v>CHERRIES, DARK SWEET PITTED, WHOLE, IQF, FRZN</v>
      </c>
      <c r="C33" s="177" t="str">
        <f>VLOOKUP(A54,'Unit of Measure ship March 2026'!A:C,3,false)</f>
        <v>LBS</v>
      </c>
      <c r="D33" s="177"/>
      <c r="E33" s="176">
        <v>16309.0</v>
      </c>
      <c r="F33" s="177" t="str">
        <f>VLOOKUP(E33,'FML March 2026'!E:F,2,false)</f>
        <v>CARDAMOM GROUND</v>
      </c>
      <c r="G33" s="177" t="str">
        <f>VLOOKUP(E33,'Unit of Measure ship March 2026'!A:C,3,false)</f>
        <v>LBS</v>
      </c>
      <c r="H33" s="177"/>
      <c r="I33" s="176">
        <v>14869.0</v>
      </c>
      <c r="J33" s="177" t="str">
        <f>VLOOKUP(I33,'FML March 2026'!E:F,2,false)</f>
        <v>MILK, UHT, WHOLE, 3.5% FAT, DRY, 12/1 LT</v>
      </c>
      <c r="K33" s="177" t="str">
        <f>VLOOKUP(I33,'Unit of Measure ship March 2026'!A:C,3,false)</f>
        <v>LT</v>
      </c>
      <c r="L33" s="177"/>
      <c r="M33" s="176">
        <v>43176.0</v>
      </c>
      <c r="N33" s="177" t="str">
        <f>VLOOKUP(M33,'FML March 2026'!E:F,2,false)</f>
        <v>BUTTER, UNSALTED, 84% FAT, EXTRA DRY, SHEETED, CROISSANT, FZN, 5/2 KG</v>
      </c>
      <c r="O33" s="177" t="str">
        <f>VLOOKUP(M33,'Unit of Measure ship March 2026'!A:C,3,false)</f>
        <v>KG</v>
      </c>
      <c r="P33" s="177"/>
      <c r="Q33" s="178">
        <v>31631.0</v>
      </c>
      <c r="R33" s="177" t="str">
        <f>VLOOKUP(Q33,'FML March 2026'!E:F,2,false)</f>
        <v>MANDARINS FRESH</v>
      </c>
      <c r="S33" s="177" t="str">
        <f>VLOOKUP(Q33,'Unit of Measure ship March 2026'!A:C,3,false)</f>
        <v>LBS</v>
      </c>
      <c r="T33" s="177"/>
      <c r="U33" s="177"/>
      <c r="V33" s="177"/>
      <c r="W33" s="76"/>
      <c r="X33" s="76"/>
      <c r="Y33" s="76"/>
      <c r="Z33" s="76"/>
    </row>
    <row r="34">
      <c r="A34" s="176">
        <v>15701.0</v>
      </c>
      <c r="B34" s="177" t="str">
        <f>VLOOKUP(A34,'FML March 2026'!E:F,2,false)</f>
        <v>CHERRIES, RED DRIED SWEET (USA)</v>
      </c>
      <c r="C34" s="177" t="str">
        <f>VLOOKUP(A55,'Unit of Measure ship March 2026'!A:C,3,false)</f>
        <v>PC/13.5Z</v>
      </c>
      <c r="D34" s="177"/>
      <c r="E34" s="176">
        <v>15893.0</v>
      </c>
      <c r="F34" s="177" t="str">
        <f>VLOOKUP(E34,'FML March 2026'!E:F,2,false)</f>
        <v>CASHEWS, RAW, WHOLE, #320, DRY, 1/50 LB</v>
      </c>
      <c r="G34" s="177" t="str">
        <f>VLOOKUP(E34,'Unit of Measure ship March 2026'!A:C,3,false)</f>
        <v>LBS</v>
      </c>
      <c r="H34" s="177"/>
      <c r="I34" s="176">
        <v>111063.0</v>
      </c>
      <c r="J34" s="177" t="str">
        <f>VLOOKUP(I34,'FML March 2026'!E:F,2,false)</f>
        <v>MUFFIN BATTER BLUEBERRY 18  LB  PAIL MAUII FOODS - # 1800 (USA)</v>
      </c>
      <c r="K34" s="177" t="str">
        <f>VLOOKUP(I34,'Unit of Measure ship March 2026'!A:C,3,false)</f>
        <v>CS18/LBS</v>
      </c>
      <c r="L34" s="177"/>
      <c r="M34" s="176">
        <v>14893.0</v>
      </c>
      <c r="N34" s="177" t="str">
        <f>VLOOKUP(M34,'FML March 2026'!E:F,2,false)</f>
        <v>BUTTERMILK LOCAL 10 DAYS CS9/HGAL</v>
      </c>
      <c r="O34" s="177" t="str">
        <f>VLOOKUP(M34,'Unit of Measure ship March 2026'!A:C,3,false)</f>
        <v>QRT</v>
      </c>
      <c r="P34" s="177"/>
      <c r="Q34" s="178">
        <v>15400.0</v>
      </c>
      <c r="R34" s="177" t="str">
        <f>VLOOKUP(Q34,'FML March 2026'!E:F,2,false)</f>
        <v>MANGOS, RIPE 9/12 CT, 10#/CS</v>
      </c>
      <c r="S34" s="177" t="str">
        <f>VLOOKUP(Q34,'Unit of Measure ship March 2026'!A:C,3,false)</f>
        <v>LBS</v>
      </c>
      <c r="T34" s="177"/>
      <c r="U34" s="177"/>
      <c r="V34" s="177"/>
      <c r="W34" s="76"/>
      <c r="X34" s="76"/>
      <c r="Y34" s="76"/>
      <c r="Z34" s="76"/>
    </row>
    <row r="35">
      <c r="A35" s="176">
        <v>111134.0</v>
      </c>
      <c r="B35" s="177" t="str">
        <f>VLOOKUP(A35,'FML March 2026'!E:F,2,false)</f>
        <v>CHESTNUT PASTE WITH SUGAR CS24/500 GR CLEMENT FAUGIER</v>
      </c>
      <c r="C35" s="180" t="s">
        <v>42</v>
      </c>
      <c r="D35" s="177"/>
      <c r="E35" s="176">
        <v>78829.0</v>
      </c>
      <c r="F35" s="177" t="str">
        <f>VLOOKUP(E35,'FML March 2026'!E:F,2,false)</f>
        <v>CEREAL CREW RICE CRISPY 4/32 OZ MALT-O-MEAL</v>
      </c>
      <c r="G35" s="177" t="str">
        <f>VLOOKUP(E35,'Unit of Measure ship March 2026'!A:C,3,false)</f>
        <v>PK/32OZ</v>
      </c>
      <c r="H35" s="177"/>
      <c r="I35" s="176">
        <v>111064.0</v>
      </c>
      <c r="J35" s="177" t="str">
        <f>VLOOKUP(I35,'FML March 2026'!E:F,2,false)</f>
        <v>MUFFIN BATTER CHOCOLATE CHIP 18  LB  PAIL MAUII FOODS - # 1859 (USA)</v>
      </c>
      <c r="K35" s="177" t="str">
        <f>VLOOKUP(I35,'Unit of Measure ship March 2026'!A:C,3,false)</f>
        <v>CS18/LBS</v>
      </c>
      <c r="L35" s="177"/>
      <c r="M35" s="176">
        <v>11938.0</v>
      </c>
      <c r="N35" s="177" t="str">
        <f>VLOOKUP(M35,'FML March 2026'!E:F,2,false)</f>
        <v>CAPER BERRIES STEMMED 6/64 OZ DEL DESTINO/ ROLAND</v>
      </c>
      <c r="O35" s="177" t="str">
        <f>VLOOKUP(M35,'Unit of Measure ship March 2026'!A:C,3,false)</f>
        <v>CAN/64OZ</v>
      </c>
      <c r="P35" s="177"/>
      <c r="Q35" s="179">
        <v>110908.0</v>
      </c>
      <c r="R35" s="177" t="str">
        <f>VLOOKUP(Q35,'FML March 2026'!E:F,2,false)</f>
        <v>MARIGOLD FLOWERS FRESH 50 CT (4 OZ)</v>
      </c>
      <c r="S35" s="177" t="str">
        <f>VLOOKUP(Q35,'Unit of Measure ship March 2026'!A:C,3,false)</f>
        <v>EA</v>
      </c>
      <c r="T35" s="177"/>
      <c r="U35" s="177"/>
      <c r="V35" s="177"/>
      <c r="W35" s="76"/>
      <c r="X35" s="76"/>
      <c r="Y35" s="76"/>
      <c r="Z35" s="76"/>
    </row>
    <row r="36">
      <c r="A36" s="176">
        <v>108531.0</v>
      </c>
      <c r="B36" s="177" t="str">
        <f>VLOOKUP(A36,'FML March 2026'!E:F,2,false)</f>
        <v>CHOCOLATE ,PERLES CRAQUANTES (CRUNCH) DARK  CS3/3 KG VALRHONA</v>
      </c>
      <c r="C36" s="177" t="str">
        <f>VLOOKUP(A36,'Unit of Measure ship March 2026'!A:C,3,false)</f>
        <v>LBS</v>
      </c>
      <c r="D36" s="177"/>
      <c r="E36" s="176">
        <v>100708.0</v>
      </c>
      <c r="F36" s="177" t="str">
        <f>VLOOKUP(E36,'FML March 2026'!E:F,2,false)</f>
        <v>CEREAL FRUIT LOOPS</v>
      </c>
      <c r="G36" s="177" t="str">
        <f>VLOOKUP(E36,'Unit of Measure ship March 2026'!A:C,3,false)</f>
        <v>PK/43OZ</v>
      </c>
      <c r="H36" s="177"/>
      <c r="I36" s="176">
        <v>111060.0</v>
      </c>
      <c r="J36" s="177" t="str">
        <f>VLOOKUP(I36,'FML March 2026'!E:F,2,false)</f>
        <v>MUFFIN BATTER CRANBERRY 18  LB  PAIL MAUII FOODS - # 1801 (USA)</v>
      </c>
      <c r="K36" s="177" t="str">
        <f>VLOOKUP(I36,'Unit of Measure ship March 2026'!A:C,3,false)</f>
        <v>CS18/LBS</v>
      </c>
      <c r="L36" s="177"/>
      <c r="M36" s="176">
        <v>16015.0</v>
      </c>
      <c r="N36" s="177" t="str">
        <f>VLOOKUP(M36,'FML March 2026'!E:F,2,false)</f>
        <v>CAPERS, NON-PAREIL, IN VINEGAR, DRY, 6X850GR</v>
      </c>
      <c r="O36" s="177" t="str">
        <f>VLOOKUP(M36,'Unit of Measure ship March 2026'!A:C,3,false)</f>
        <v>CAN/32OZ</v>
      </c>
      <c r="P36" s="177"/>
      <c r="Q36" s="178">
        <v>15402.0</v>
      </c>
      <c r="R36" s="177" t="str">
        <f>VLOOKUP(Q36,'FML March 2026'!E:F,2,false)</f>
        <v>MELON CANTALOUPE 12 CT, 40#/CS</v>
      </c>
      <c r="S36" s="177" t="str">
        <f>VLOOKUP(Q36,'Unit of Measure ship March 2026'!A:C,3,false)</f>
        <v>LBS</v>
      </c>
      <c r="T36" s="177"/>
      <c r="U36" s="177"/>
      <c r="V36" s="177"/>
      <c r="W36" s="76"/>
      <c r="X36" s="76"/>
      <c r="Y36" s="76"/>
      <c r="Z36" s="76"/>
    </row>
    <row r="37">
      <c r="A37" s="176">
        <v>15688.0</v>
      </c>
      <c r="B37" s="177" t="str">
        <f>VLOOKUP(A37,'FML March 2026'!E:F,2,false)</f>
        <v>CHOCOLATE CHIP BITS 20KG CALLEBAUT/ COCOA BARRY</v>
      </c>
      <c r="C37" s="177" t="str">
        <f>VLOOKUP(A37,'Unit of Measure ship March 2026'!A:C,3,false)</f>
        <v>LBS</v>
      </c>
      <c r="D37" s="177"/>
      <c r="E37" s="176">
        <v>111684.0</v>
      </c>
      <c r="F37" s="177" t="str">
        <f>VLOOKUP(E37,'FML March 2026'!E:F,2,false)</f>
        <v>CEREAL FRUITY PEBBLES CS 4/40 OZ POST</v>
      </c>
      <c r="G37" s="177" t="str">
        <f>VLOOKUP(E37,'Unit of Measure ship March 2026'!A:C,3,false)</f>
        <v>LBS</v>
      </c>
      <c r="H37" s="177"/>
      <c r="I37" s="176">
        <v>111061.0</v>
      </c>
      <c r="J37" s="177" t="str">
        <f>VLOOKUP(I37,'FML March 2026'!E:F,2,false)</f>
        <v>MUFFIN BATTER MAUI MORNING 18  LB  PAIL MAUII FOODS - # 1808 (USA)</v>
      </c>
      <c r="K37" s="177" t="str">
        <f>VLOOKUP(I37,'Unit of Measure ship March 2026'!A:C,3,false)</f>
        <v>CS18/LBS</v>
      </c>
      <c r="L37" s="177"/>
      <c r="M37" s="176">
        <v>15816.0</v>
      </c>
      <c r="N37" s="177" t="str">
        <f>VLOOKUP(M37,'FML March 2026'!E:F,2,false)</f>
        <v>CARAWAY SEEDS WHOLE 16 OZ D BADIA</v>
      </c>
      <c r="O37" s="177" t="str">
        <f>VLOOKUP(M37,'Unit of Measure ship March 2026'!A:C,3,false)</f>
        <v>LBS</v>
      </c>
      <c r="P37" s="177"/>
      <c r="Q37" s="178">
        <v>15404.0</v>
      </c>
      <c r="R37" s="177" t="str">
        <f>VLOOKUP(Q37,'FML March 2026'!E:F,2,false)</f>
        <v>MELON HONEYDEW #1 6/8CT. 25#</v>
      </c>
      <c r="S37" s="177" t="str">
        <f>VLOOKUP(Q37,'Unit of Measure ship March 2026'!A:C,3,false)</f>
        <v>LBS</v>
      </c>
      <c r="T37" s="177"/>
      <c r="U37" s="177"/>
      <c r="V37" s="177"/>
      <c r="W37" s="76"/>
      <c r="X37" s="76"/>
      <c r="Y37" s="76"/>
      <c r="Z37" s="76"/>
    </row>
    <row r="38">
      <c r="A38" s="176">
        <v>35443.0</v>
      </c>
      <c r="B38" s="177" t="str">
        <f>VLOOKUP(A38,'FML March 2026'!E:F,2,false)</f>
        <v>CHOCOLATE COUVERTURE BLACK CALLETS 58.7% CALLEBAUT</v>
      </c>
      <c r="C38" s="177" t="str">
        <f>VLOOKUP(A38,'Unit of Measure ship March 2026'!A:C,3,false)</f>
        <v>LBS</v>
      </c>
      <c r="D38" s="177"/>
      <c r="E38" s="176">
        <v>107133.0</v>
      </c>
      <c r="F38" s="177" t="str">
        <f>VLOOKUP(E38,'FML March 2026'!E:F,2,false)</f>
        <v>CEREAL, MUESLI MIX, CRUNCHY KELLOGGS /BOB'S RED MILL</v>
      </c>
      <c r="G38" s="177" t="str">
        <f>VLOOKUP(E38,'Unit of Measure ship March 2026'!A:C,3,false)</f>
        <v>KG</v>
      </c>
      <c r="H38" s="177"/>
      <c r="I38" s="176">
        <v>111062.0</v>
      </c>
      <c r="J38" s="177" t="str">
        <f>VLOOKUP(I38,'FML March 2026'!E:F,2,false)</f>
        <v>MUFFIN BATTER NEW ENGLAND CORN 18  LB  PAIL MAUII FOODS - # 1853 (USA)</v>
      </c>
      <c r="K38" s="177" t="str">
        <f>VLOOKUP(I38,'Unit of Measure ship March 2026'!A:C,3,false)</f>
        <v>CS18/LBS</v>
      </c>
      <c r="L38" s="177"/>
      <c r="M38" s="176">
        <v>16309.0</v>
      </c>
      <c r="N38" s="177" t="str">
        <f>VLOOKUP(M38,'FML March 2026'!E:F,2,false)</f>
        <v>CARDAMOM GROUND</v>
      </c>
      <c r="O38" s="177" t="str">
        <f>VLOOKUP(M38,'Unit of Measure ship March 2026'!A:C,3,false)</f>
        <v>LBS</v>
      </c>
      <c r="P38" s="177"/>
      <c r="Q38" s="179">
        <v>110915.0</v>
      </c>
      <c r="R38" s="177" t="str">
        <f>VLOOKUP(Q38,'FML March 2026'!E:F,2,false)</f>
        <v>MICRO GREEN FLOWER BLEND PKG 8 OZ</v>
      </c>
      <c r="S38" s="177" t="str">
        <f>VLOOKUP(Q38,'Unit of Measure ship March 2026'!A:C,3,false)</f>
        <v>LBS</v>
      </c>
      <c r="T38" s="177"/>
      <c r="U38" s="177"/>
      <c r="V38" s="177"/>
      <c r="W38" s="76"/>
      <c r="X38" s="76"/>
      <c r="Y38" s="76"/>
      <c r="Z38" s="76"/>
    </row>
    <row r="39">
      <c r="A39" s="176">
        <v>110010.0</v>
      </c>
      <c r="B39" s="177" t="str">
        <f>VLOOKUP(A39,'FML March 2026'!E:F,2,false)</f>
        <v>CHOCOLATE COUVERTURE CARAMEL 36% CO38 FELCHLIN</v>
      </c>
      <c r="C39" s="177" t="str">
        <f>VLOOKUP(A39,'Unit of Measure ship March 2026'!A:C,3,false)</f>
        <v>KG</v>
      </c>
      <c r="D39" s="177"/>
      <c r="E39" s="176">
        <v>109631.0</v>
      </c>
      <c r="F39" s="177" t="str">
        <f>VLOOKUP(E39,'FML March 2026'!E:F,2,false)</f>
        <v>CHERRIES TART FREEZE DRIED</v>
      </c>
      <c r="G39" s="177" t="str">
        <f>VLOOKUP(E39,'Unit of Measure ship March 2026'!A:C,3,false)</f>
        <v>KG</v>
      </c>
      <c r="H39" s="177"/>
      <c r="I39" s="176">
        <v>111675.0</v>
      </c>
      <c r="J39" s="177" t="str">
        <f>VLOOKUP(I39,'FML March 2026'!E:F,2,false)</f>
        <v>MUFFIN BATTER VEGAN BLUEBERRY BANANA PAIL9/ LBS MAUI</v>
      </c>
      <c r="K39" s="177" t="str">
        <f>VLOOKUP(I39,'Unit of Measure ship March 2026'!A:C,3,false)</f>
        <v>LBS</v>
      </c>
      <c r="L39" s="177"/>
      <c r="M39" s="176">
        <v>111011.0</v>
      </c>
      <c r="N39" s="177" t="str">
        <f>VLOOKUP(M39,'FML March 2026'!E:F,2,false)</f>
        <v>CARDAMOM POD GREEN TERRA SPICE</v>
      </c>
      <c r="O39" s="177" t="str">
        <f>VLOOKUP(M39,'Unit of Measure ship March 2026'!A:C,3,false)</f>
        <v>JR32/OZ</v>
      </c>
      <c r="P39" s="177"/>
      <c r="Q39" s="179">
        <v>110916.0</v>
      </c>
      <c r="R39" s="177" t="str">
        <f>VLOOKUP(Q39,'FML March 2026'!E:F,2,false)</f>
        <v>MICRO GREEN MINT FRESH PKG/4OZ</v>
      </c>
      <c r="S39" s="177" t="str">
        <f>VLOOKUP(Q39,'Unit of Measure ship March 2026'!A:C,3,false)</f>
        <v>LBS</v>
      </c>
      <c r="T39" s="177"/>
      <c r="U39" s="177"/>
      <c r="V39" s="177"/>
      <c r="W39" s="76"/>
      <c r="X39" s="76"/>
      <c r="Y39" s="76"/>
      <c r="Z39" s="76"/>
    </row>
    <row r="40">
      <c r="A40" s="176">
        <v>35441.0</v>
      </c>
      <c r="B40" s="177" t="str">
        <f>VLOOKUP(A40,'FML March 2026'!E:F,2,false)</f>
        <v>CHOCOLATE COUVERTURE DARK 70% CALLETS CALLEBAUT</v>
      </c>
      <c r="C40" s="177" t="str">
        <f>VLOOKUP(A40,'Unit of Measure ship March 2026'!A:C,3,false)</f>
        <v>LBS</v>
      </c>
      <c r="D40" s="177"/>
      <c r="E40" s="176">
        <v>15203.0</v>
      </c>
      <c r="F40" s="177" t="str">
        <f>VLOOKUP(E40,'FML March 2026'!E:F,2,false)</f>
        <v>CHERRIES, DARK SWEET PITTED, WHOLE, IQF, FRZN</v>
      </c>
      <c r="G40" s="177" t="str">
        <f>VLOOKUP(E40,'Unit of Measure ship March 2026'!A:C,3,false)</f>
        <v>LBS</v>
      </c>
      <c r="H40" s="177"/>
      <c r="I40" s="176">
        <v>52602.0</v>
      </c>
      <c r="J40" s="177" t="str">
        <f>VLOOKUP(I40,'FML March 2026'!E:F,2,false)</f>
        <v>OIL, 100% OLIVE, EXTRA VIRGIN, DRY, 4/5 LT</v>
      </c>
      <c r="K40" s="177" t="str">
        <f>VLOOKUP(I40,'Unit of Measure ship March 2026'!A:C,3,false)</f>
        <v>LT</v>
      </c>
      <c r="L40" s="177"/>
      <c r="M40" s="176">
        <v>111705.0</v>
      </c>
      <c r="N40" s="181" t="str">
        <f>VLOOKUP(M40,'FML March 2026'!E:F,2,false)</f>
        <v>CARDAMOM PODS WHITE CHEFS WAREHOUSE PKG14OZ CHEFS WHSE</v>
      </c>
      <c r="O40" s="177" t="str">
        <f>VLOOKUP(M40,'Unit of Measure ship March 2026'!A:C,3,false)</f>
        <v>PKG/14OZ</v>
      </c>
      <c r="P40" s="177"/>
      <c r="Q40" s="179">
        <v>110919.0</v>
      </c>
      <c r="R40" s="177" t="str">
        <f>VLOOKUP(Q40,'FML March 2026'!E:F,2,false)</f>
        <v>MICRO GREEN NASTURDIUM  PKG/8OZ</v>
      </c>
      <c r="S40" s="177" t="str">
        <f>VLOOKUP(Q40,'Unit of Measure ship March 2026'!A:C,3,false)</f>
        <v>LBS</v>
      </c>
      <c r="T40" s="177"/>
      <c r="U40" s="177"/>
      <c r="V40" s="177"/>
      <c r="W40" s="76"/>
      <c r="X40" s="76"/>
      <c r="Y40" s="76"/>
      <c r="Z40" s="76"/>
    </row>
    <row r="41">
      <c r="A41" s="176">
        <v>30722.0</v>
      </c>
      <c r="B41" s="177" t="str">
        <f>VLOOKUP(A41,'FML March 2026'!E:F,2,false)</f>
        <v>CHOCOLATE GLAZE PATE A GLACER BRUNE (DARK) CS 20/ LB COCOA BARRY</v>
      </c>
      <c r="C41" s="177" t="str">
        <f>VLOOKUP(A41,'Unit of Measure ship March 2026'!A:C,3,false)</f>
        <v>LBS</v>
      </c>
      <c r="D41" s="177"/>
      <c r="E41" s="176">
        <v>15701.0</v>
      </c>
      <c r="F41" s="177" t="str">
        <f>VLOOKUP(E41,'FML March 2026'!E:F,2,false)</f>
        <v>CHERRIES, RED DRIED SWEET (USA)</v>
      </c>
      <c r="G41" s="177" t="str">
        <f>VLOOKUP(E41,'Unit of Measure ship March 2026'!A:C,3,false)</f>
        <v>LBS</v>
      </c>
      <c r="H41" s="177"/>
      <c r="I41" s="176">
        <v>10265.0</v>
      </c>
      <c r="J41" s="177" t="str">
        <f>VLOOKUP(I41,'FML March 2026'!E:F,2,false)</f>
        <v>OIL, FRYING, 100% SOYBEAN, TRANS FAT FREE, FLASHPOINT &gt;600F, DRY, 4/5 LT</v>
      </c>
      <c r="K41" s="177" t="str">
        <f>VLOOKUP(I41,'Unit of Measure ship March 2026'!A:C,3,false)</f>
        <v>CS4/5LT</v>
      </c>
      <c r="L41" s="177"/>
      <c r="M41" s="176">
        <v>15893.0</v>
      </c>
      <c r="N41" s="177" t="str">
        <f>VLOOKUP(M41,'FML March 2026'!E:F,2,false)</f>
        <v>CASHEWS, RAW, WHOLE, #320, DRY, 1/50 LB</v>
      </c>
      <c r="O41" s="177" t="str">
        <f>VLOOKUP(M41,'Unit of Measure ship March 2026'!A:C,3,false)</f>
        <v>LBS</v>
      </c>
      <c r="P41" s="177"/>
      <c r="Q41" s="179">
        <v>110911.0</v>
      </c>
      <c r="R41" s="177" t="str">
        <f>VLOOKUP(Q41,'FML March 2026'!E:F,2,false)</f>
        <v>MICRO GREEN PLUM SORREL PURPLR PKG 8 OZ</v>
      </c>
      <c r="S41" s="177" t="str">
        <f>VLOOKUP(Q41,'Unit of Measure ship March 2026'!A:C,3,false)</f>
        <v>PKG4/OZ</v>
      </c>
      <c r="T41" s="177"/>
      <c r="U41" s="177"/>
      <c r="V41" s="177"/>
      <c r="W41" s="76"/>
      <c r="X41" s="76"/>
      <c r="Y41" s="76"/>
      <c r="Z41" s="76"/>
    </row>
    <row r="42">
      <c r="A42" s="176">
        <v>111963.0</v>
      </c>
      <c r="B42" s="177" t="str">
        <f>VLOOKUP(A42,'FML March 2026'!E:F,2,false)</f>
        <v>CHOCOLATE GOLD CALLETS CS 4/2.5 KGCALLEBAULT</v>
      </c>
      <c r="C42" s="177" t="str">
        <f>VLOOKUP(A42,'Unit of Measure ship March 2026'!A:C,3,false)</f>
        <v>LBS</v>
      </c>
      <c r="D42" s="177"/>
      <c r="E42" s="176">
        <v>111134.0</v>
      </c>
      <c r="F42" s="177" t="str">
        <f>VLOOKUP(E42,'FML March 2026'!E:F,2,false)</f>
        <v>CHESTNUT PASTE WITH SUGAR CS24/500 GR CLEMENT FAUGIER</v>
      </c>
      <c r="G42" s="177" t="str">
        <f>VLOOKUP(E42,'Unit of Measure ship March 2026'!A:C,3,false)</f>
        <v>LBS</v>
      </c>
      <c r="H42" s="177"/>
      <c r="I42" s="176">
        <v>52603.0</v>
      </c>
      <c r="J42" s="177" t="str">
        <f>VLOOKUP(I42,'FML March 2026'!E:F,2,false)</f>
        <v>OLIVE/CANOLA BLEND OIL</v>
      </c>
      <c r="K42" s="177" t="str">
        <f>VLOOKUP(I42,'Unit of Measure ship March 2026'!A:C,3,false)</f>
        <v>LT</v>
      </c>
      <c r="L42" s="177"/>
      <c r="M42" s="176">
        <v>78829.0</v>
      </c>
      <c r="N42" s="177" t="str">
        <f>VLOOKUP(M42,'FML March 2026'!E:F,2,false)</f>
        <v>CEREAL CREW RICE CRISPY 4/32 OZ MALT-O-MEAL</v>
      </c>
      <c r="O42" s="177" t="str">
        <f>VLOOKUP(M42,'Unit of Measure ship March 2026'!A:C,3,false)</f>
        <v>PK/32OZ</v>
      </c>
      <c r="P42" s="177"/>
      <c r="Q42" s="179">
        <v>111180.0</v>
      </c>
      <c r="R42" s="177" t="str">
        <f>VLOOKUP(Q42,'FML March 2026'!E:F,2,false)</f>
        <v>MICRO GREENS BASIL FRESH HARPKE FAMILY FARMS - PK/5 OZ PACKED IN 60 OZ CLAM SHELL SIZE</v>
      </c>
      <c r="S42" s="177" t="str">
        <f>VLOOKUP(Q42,'Unit of Measure ship March 2026'!A:C,3,false)</f>
        <v>EA</v>
      </c>
      <c r="T42" s="177"/>
      <c r="U42" s="177"/>
      <c r="V42" s="177"/>
      <c r="W42" s="76"/>
      <c r="X42" s="76"/>
      <c r="Y42" s="76"/>
      <c r="Z42" s="76"/>
    </row>
    <row r="43">
      <c r="A43" s="176">
        <v>108532.0</v>
      </c>
      <c r="B43" s="177" t="str">
        <f>VLOOKUP(A43,'FML March 2026'!E:F,2,false)</f>
        <v>CHOCOLATE GRUE DE CACAO, 100% ROASTED COCOA NIBS CS 10/1 KG VALHRONA</v>
      </c>
      <c r="C43" s="177" t="str">
        <f>VLOOKUP(A43,'Unit of Measure ship March 2026'!A:C,3,false)</f>
        <v>LBS</v>
      </c>
      <c r="D43" s="177"/>
      <c r="E43" s="176">
        <v>102792.0</v>
      </c>
      <c r="F43" s="177" t="str">
        <f>VLOOKUP(E43,'FML March 2026'!E:F,2,false)</f>
        <v>CHIA SEEDS (MEXICO)</v>
      </c>
      <c r="G43" s="177" t="str">
        <f>VLOOKUP(E43,'Unit of Measure ship March 2026'!A:C,3,false)</f>
        <v>PC/200GR</v>
      </c>
      <c r="H43" s="177"/>
      <c r="I43" s="176">
        <v>16439.0</v>
      </c>
      <c r="J43" s="177" t="str">
        <f>VLOOKUP(I43,'FML March 2026'!E:F,2,false)</f>
        <v>PAN SPRAY NON STICK (USA)</v>
      </c>
      <c r="K43" s="177" t="str">
        <f>VLOOKUP(I43,'Unit of Measure ship March 2026'!A:C,3,false)</f>
        <v>CAN/14OZ</v>
      </c>
      <c r="L43" s="177"/>
      <c r="M43" s="176">
        <v>100708.0</v>
      </c>
      <c r="N43" s="177" t="str">
        <f>VLOOKUP(M43,'FML March 2026'!E:F,2,false)</f>
        <v>CEREAL FRUIT LOOPS</v>
      </c>
      <c r="O43" s="177" t="str">
        <f>VLOOKUP(M43,'Unit of Measure ship March 2026'!A:C,3,false)</f>
        <v>PK/43OZ</v>
      </c>
      <c r="P43" s="177"/>
      <c r="Q43" s="179">
        <v>110056.0</v>
      </c>
      <c r="R43" s="177" t="str">
        <f>VLOOKUP(Q43,'FML March 2026'!E:F,2,false)</f>
        <v>MICRO LEMON BALM</v>
      </c>
      <c r="S43" s="177" t="str">
        <f>VLOOKUP(Q43,'Unit of Measure ship March 2026'!A:C,3,false)</f>
        <v>LBS</v>
      </c>
      <c r="T43" s="177"/>
      <c r="U43" s="177"/>
      <c r="V43" s="177"/>
      <c r="W43" s="76"/>
      <c r="X43" s="76"/>
      <c r="Y43" s="76"/>
      <c r="Z43" s="76"/>
    </row>
    <row r="44">
      <c r="A44" s="176">
        <v>108523.0</v>
      </c>
      <c r="B44" s="177" t="str">
        <f>VLOOKUP(A44,'FML March 2026'!E:F,2,false)</f>
        <v>CHOCOLATE MEXIQUE 70% - ORIGINE DARK CHOCOLATE CS4/2.5 KG COCOA BARRY</v>
      </c>
      <c r="C44" s="177" t="str">
        <f>VLOOKUP(A44,'Unit of Measure ship March 2026'!A:C,3,false)</f>
        <v>LBS</v>
      </c>
      <c r="D44" s="177"/>
      <c r="E44" s="176">
        <v>108531.0</v>
      </c>
      <c r="F44" s="177" t="str">
        <f>VLOOKUP(E44,'FML March 2026'!E:F,2,false)</f>
        <v>CHOCOLATE ,PERLES CRAQUANTES (CRUNCH) DARK  CS3/3 KG VALRHONA</v>
      </c>
      <c r="G44" s="177" t="str">
        <f>VLOOKUP(E44,'Unit of Measure ship March 2026'!A:C,3,false)</f>
        <v>LBS</v>
      </c>
      <c r="H44" s="177"/>
      <c r="I44" s="176">
        <v>15808.0</v>
      </c>
      <c r="J44" s="177" t="str">
        <f>VLOOKUP(I44,'FML March 2026'!E:F,2,false)</f>
        <v>PASTE ALMOND 33% MINIMUM</v>
      </c>
      <c r="K44" s="177" t="str">
        <f>VLOOKUP(I44,'Unit of Measure ship March 2026'!A:C,3,false)</f>
        <v>LBS</v>
      </c>
      <c r="L44" s="177"/>
      <c r="M44" s="176">
        <v>107133.0</v>
      </c>
      <c r="N44" s="177" t="str">
        <f>VLOOKUP(M44,'FML March 2026'!E:F,2,false)</f>
        <v>CEREAL, MUESLI MIX, CRUNCHY KELLOGGS /BOB'S RED MILL</v>
      </c>
      <c r="O44" s="177" t="str">
        <f>VLOOKUP(M44,'Unit of Measure ship March 2026'!A:C,3,false)</f>
        <v>KG</v>
      </c>
      <c r="P44" s="177"/>
      <c r="Q44" s="179">
        <v>15436.0</v>
      </c>
      <c r="R44" s="177" t="str">
        <f>VLOOKUP(Q44,'FML March 2026'!E:F,2,false)</f>
        <v>MINT (12 BUNCH), 1 LB/CS</v>
      </c>
      <c r="S44" s="177" t="str">
        <f>VLOOKUP(Q44,'Unit of Measure ship March 2026'!A:C,3,false)</f>
        <v>LBS</v>
      </c>
      <c r="T44" s="177"/>
      <c r="U44" s="177"/>
      <c r="V44" s="177"/>
      <c r="W44" s="76"/>
      <c r="X44" s="76"/>
      <c r="Y44" s="76"/>
      <c r="Z44" s="76"/>
    </row>
    <row r="45">
      <c r="A45" s="176">
        <v>15829.0</v>
      </c>
      <c r="B45" s="177" t="str">
        <f>VLOOKUP(A45,'FML March 2026'!E:F,2,false)</f>
        <v>CHOCOLATE STIX 300 CT 1.6 KG CALLEBAUT (FRANCE)</v>
      </c>
      <c r="C45" s="177" t="str">
        <f>VLOOKUP(A45,'Unit of Measure ship March 2026'!A:C,3,false)</f>
        <v>CS300/PC</v>
      </c>
      <c r="D45" s="177"/>
      <c r="E45" s="176">
        <v>15688.0</v>
      </c>
      <c r="F45" s="177" t="str">
        <f>VLOOKUP(E45,'FML March 2026'!E:F,2,false)</f>
        <v>CHOCOLATE CHIP BITS 20KG CALLEBAUT/ COCOA BARRY</v>
      </c>
      <c r="G45" s="177" t="str">
        <f>VLOOKUP(E45,'Unit of Measure ship March 2026'!A:C,3,false)</f>
        <v>LBS</v>
      </c>
      <c r="H45" s="177"/>
      <c r="I45" s="176">
        <v>51211.0</v>
      </c>
      <c r="J45" s="177" t="str">
        <f>VLOOKUP(I45,'FML March 2026'!E:F,2,false)</f>
        <v>PASTE VANILLA FLAVOR 35 OZ PASTRY STAR #00057</v>
      </c>
      <c r="K45" s="177" t="str">
        <f>VLOOKUP(I45,'Unit of Measure ship March 2026'!A:C,3,false)</f>
        <v>BTL/35OZ</v>
      </c>
      <c r="L45" s="177"/>
      <c r="M45" s="176">
        <v>14984.0</v>
      </c>
      <c r="N45" s="177" t="str">
        <f>VLOOKUP(M45,'FML March 2026'!E:F,2,false)</f>
        <v>CHEDDAR BLOCK YELLOW IMP.4/11</v>
      </c>
      <c r="O45" s="177" t="str">
        <f>VLOOKUP(M45,'Unit of Measure ship March 2026'!A:C,3,false)</f>
        <v>LBS</v>
      </c>
      <c r="P45" s="177"/>
      <c r="Q45" s="178">
        <v>31638.0</v>
      </c>
      <c r="R45" s="177" t="str">
        <f>VLOOKUP(Q45,'FML March 2026'!E:F,2,false)</f>
        <v>MUSHROOMS, FRESH WHITE, 8 OZ CELLO PACK</v>
      </c>
      <c r="S45" s="177" t="str">
        <f>VLOOKUP(Q45,'Unit of Measure ship March 2026'!A:C,3,false)</f>
        <v>LBS</v>
      </c>
      <c r="T45" s="177"/>
      <c r="U45" s="177"/>
      <c r="V45" s="177"/>
      <c r="W45" s="76"/>
      <c r="X45" s="76"/>
      <c r="Y45" s="76"/>
      <c r="Z45" s="76"/>
    </row>
    <row r="46">
      <c r="A46" s="176">
        <v>35445.0</v>
      </c>
      <c r="B46" s="177" t="str">
        <f>VLOOKUP(A46,'FML March 2026'!E:F,2,false)</f>
        <v>CHOCOLATE WHITE COUVERTURE CALLETS CALLEBAUT</v>
      </c>
      <c r="C46" s="177" t="str">
        <f>VLOOKUP(A46,'Unit of Measure ship March 2026'!A:C,3,false)</f>
        <v>LBS</v>
      </c>
      <c r="D46" s="177"/>
      <c r="E46" s="176">
        <v>35443.0</v>
      </c>
      <c r="F46" s="177" t="str">
        <f>VLOOKUP(E46,'FML March 2026'!E:F,2,false)</f>
        <v>CHOCOLATE COUVERTURE BLACK CALLETS 58.7% CALLEBAUT</v>
      </c>
      <c r="G46" s="177" t="str">
        <f>VLOOKUP(E46,'Unit of Measure ship March 2026'!A:C,3,false)</f>
        <v>LBS</v>
      </c>
      <c r="H46" s="177"/>
      <c r="I46" s="176">
        <v>15897.0</v>
      </c>
      <c r="J46" s="177" t="str">
        <f>VLOOKUP(I46,'FML March 2026'!E:F,2,false)</f>
        <v>PUMPKIN SEEDS WHOLE SHELLED RAW 10 LB HIALEAH/ D`ALLESANDRO</v>
      </c>
      <c r="K46" s="177" t="str">
        <f>VLOOKUP(I46,'Unit of Measure ship March 2026'!A:C,3,false)</f>
        <v>LBS</v>
      </c>
      <c r="L46" s="177"/>
      <c r="M46" s="176">
        <v>110974.0</v>
      </c>
      <c r="N46" s="177" t="str">
        <f>VLOOKUP(M46,'FML March 2026'!E:F,2,false)</f>
        <v>CHEDDAR, SMOKED</v>
      </c>
      <c r="O46" s="177" t="str">
        <f>VLOOKUP(M46,'Unit of Measure ship March 2026'!A:C,3,false)</f>
        <v>LBS</v>
      </c>
      <c r="P46" s="177"/>
      <c r="Q46" s="178">
        <v>46179.0</v>
      </c>
      <c r="R46" s="177" t="str">
        <f>VLOOKUP(Q46,'FML March 2026'!E:F,2,false)</f>
        <v>ONION WHITE BIG FRESH</v>
      </c>
      <c r="S46" s="177" t="str">
        <f>VLOOKUP(Q46,'Unit of Measure ship March 2026'!A:C,3,false)</f>
        <v>LBS</v>
      </c>
      <c r="T46" s="177"/>
      <c r="U46" s="177"/>
      <c r="V46" s="177"/>
      <c r="W46" s="76"/>
      <c r="X46" s="76"/>
      <c r="Y46" s="76"/>
      <c r="Z46" s="76"/>
    </row>
    <row r="47">
      <c r="A47" s="176">
        <v>35444.0</v>
      </c>
      <c r="B47" s="177" t="str">
        <f>VLOOKUP(A47,'FML March 2026'!E:F,2,false)</f>
        <v>CHOCOLATE, MILK CHOCOLATE COUVERTURE CALLETS 35%, CALLEBAUT (FRANCE)</v>
      </c>
      <c r="C47" s="177" t="str">
        <f>VLOOKUP(A47,'Unit of Measure ship March 2026'!A:C,3,false)</f>
        <v>LBS</v>
      </c>
      <c r="D47" s="177"/>
      <c r="E47" s="176">
        <v>110010.0</v>
      </c>
      <c r="F47" s="177" t="str">
        <f>VLOOKUP(E47,'FML March 2026'!E:F,2,false)</f>
        <v>CHOCOLATE COUVERTURE CARAMEL 36% CO38 FELCHLIN</v>
      </c>
      <c r="G47" s="177" t="str">
        <f>VLOOKUP(E47,'Unit of Measure ship March 2026'!A:C,3,false)</f>
        <v>KG</v>
      </c>
      <c r="H47" s="177"/>
      <c r="I47" s="176">
        <v>15805.0</v>
      </c>
      <c r="J47" s="177" t="str">
        <f>VLOOKUP(I47,'FML March 2026'!E:F,2,false)</f>
        <v>RAISINS GOLDEN SEEDLESS</v>
      </c>
      <c r="K47" s="177" t="str">
        <f>VLOOKUP(I47,'Unit of Measure ship March 2026'!A:C,3,false)</f>
        <v>LBS</v>
      </c>
      <c r="L47" s="177"/>
      <c r="M47" s="176">
        <v>111144.0</v>
      </c>
      <c r="N47" s="177" t="str">
        <f>VLOOKUP(M47,'FML March 2026'!E:F,2,false)</f>
        <v>CHEESE ASIAGO VECCHIO CS20/LB AVG AMBROSI</v>
      </c>
      <c r="O47" s="177" t="str">
        <f>VLOOKUP(M47,'Unit of Measure ship March 2026'!A:C,3,false)</f>
        <v>LBS</v>
      </c>
      <c r="P47" s="177"/>
      <c r="Q47" s="178">
        <v>15408.0</v>
      </c>
      <c r="R47" s="177" t="str">
        <f>VLOOKUP(Q47,'FML March 2026'!E:F,2,false)</f>
        <v>ORANGES CAL. SUNKIST FANCY, VALENCIA NAVEL,88CT 40#</v>
      </c>
      <c r="S47" s="177" t="str">
        <f>VLOOKUP(Q47,'Unit of Measure ship March 2026'!A:C,3,false)</f>
        <v>LBS</v>
      </c>
      <c r="T47" s="177"/>
      <c r="U47" s="177"/>
      <c r="V47" s="177"/>
      <c r="W47" s="76"/>
      <c r="X47" s="76"/>
      <c r="Y47" s="76"/>
      <c r="Z47" s="76"/>
    </row>
    <row r="48">
      <c r="A48" s="176">
        <v>51253.0</v>
      </c>
      <c r="B48" s="177" t="str">
        <f>VLOOKUP(A48,'FML March 2026'!E:F,2,false)</f>
        <v>CHOCOLATE, SURFINE, SPRINKLER, 10GR PATISFRANCE #5760/ HARKINS</v>
      </c>
      <c r="C48" s="177" t="str">
        <f>VLOOKUP(A48,'Unit of Measure ship March 2026'!A:C,3,false)</f>
        <v>LBS</v>
      </c>
      <c r="D48" s="177"/>
      <c r="E48" s="176">
        <v>35441.0</v>
      </c>
      <c r="F48" s="177" t="str">
        <f>VLOOKUP(E48,'FML March 2026'!E:F,2,false)</f>
        <v>CHOCOLATE COUVERTURE DARK 70% CALLETS CALLEBAUT</v>
      </c>
      <c r="G48" s="177" t="str">
        <f>VLOOKUP(E48,'Unit of Measure ship March 2026'!A:C,3,false)</f>
        <v>LBS</v>
      </c>
      <c r="H48" s="177"/>
      <c r="I48" s="176">
        <v>15804.0</v>
      </c>
      <c r="J48" s="177" t="str">
        <f>VLOOKUP(I48,'FML March 2026'!E:F,2,false)</f>
        <v>RAISINS, THOMPSON, MEDIUM, SEEDLESS, BLACK, CHL, 1/30 LB</v>
      </c>
      <c r="K48" s="177" t="str">
        <f>VLOOKUP(I48,'Unit of Measure ship March 2026'!A:C,3,false)</f>
        <v>LBS</v>
      </c>
      <c r="L48" s="177"/>
      <c r="M48" s="176">
        <v>27418.0</v>
      </c>
      <c r="N48" s="181" t="str">
        <f>VLOOKUP(M48,'FML March 2026'!E:F,2,false)</f>
        <v>CHEESE, PARMIGIANO REGGIANO, DOP, QUARTERS, 18-20 LB EA, CHL, 2/1 EA</v>
      </c>
      <c r="O48" s="177" t="str">
        <f>VLOOKUP(M48,'Unit of Measure ship March 2026'!A:C,3,false)</f>
        <v>LBS</v>
      </c>
      <c r="P48" s="177"/>
      <c r="Q48" s="179">
        <v>15447.0</v>
      </c>
      <c r="R48" s="177" t="str">
        <f>VLOOKUP(Q48,'FML March 2026'!E:F,2,false)</f>
        <v>OREGANO FRESH</v>
      </c>
      <c r="S48" s="177" t="str">
        <f>VLOOKUP(Q48,'Unit of Measure ship March 2026'!A:C,3,false)</f>
        <v>LBS</v>
      </c>
      <c r="T48" s="177"/>
      <c r="U48" s="177"/>
      <c r="V48" s="177"/>
      <c r="W48" s="76"/>
      <c r="X48" s="76"/>
      <c r="Y48" s="76"/>
      <c r="Z48" s="76"/>
    </row>
    <row r="49">
      <c r="A49" s="176">
        <v>16253.0</v>
      </c>
      <c r="B49" s="177" t="str">
        <f>VLOOKUP(A49,'FML March 2026'!E:F,2,false)</f>
        <v>CINNAMON GROUND</v>
      </c>
      <c r="C49" s="177" t="str">
        <f>VLOOKUP(A49,'Unit of Measure ship March 2026'!A:C,3,false)</f>
        <v>LBS</v>
      </c>
      <c r="D49" s="177"/>
      <c r="E49" s="176">
        <v>30722.0</v>
      </c>
      <c r="F49" s="177" t="str">
        <f>VLOOKUP(E49,'FML March 2026'!E:F,2,false)</f>
        <v>CHOCOLATE GLAZE PATE A GLACER BRUNE (DARK) CS 20/ LB COCOA BARRY</v>
      </c>
      <c r="G49" s="177" t="str">
        <f>VLOOKUP(E49,'Unit of Measure ship March 2026'!A:C,3,false)</f>
        <v>LBS</v>
      </c>
      <c r="H49" s="177"/>
      <c r="I49" s="176">
        <v>16307.0</v>
      </c>
      <c r="J49" s="177" t="str">
        <f>VLOOKUP(I49,'FML March 2026'!E:F,2,false)</f>
        <v>SALT KOSHER GRANULATED</v>
      </c>
      <c r="K49" s="177" t="str">
        <f>VLOOKUP(I49,'Unit of Measure ship March 2026'!A:C,3,false)</f>
        <v>LBS</v>
      </c>
      <c r="L49" s="177"/>
      <c r="M49" s="176">
        <v>47179.0</v>
      </c>
      <c r="N49" s="177" t="str">
        <f>VLOOKUP(M49,'FML March 2026'!E:F,2,false)</f>
        <v>CHEESE, PECORINO ROMANO</v>
      </c>
      <c r="O49" s="177" t="str">
        <f>VLOOKUP(M49,'Unit of Measure ship March 2026'!A:C,3,false)</f>
        <v>LBS</v>
      </c>
      <c r="P49" s="177"/>
      <c r="Q49" s="178">
        <v>105768.0</v>
      </c>
      <c r="R49" s="177" t="str">
        <f>VLOOKUP(Q49,'FML March 2026'!E:F,2,false)</f>
        <v>PAPAYA (9-12CT), GREEN</v>
      </c>
      <c r="S49" s="180" t="s">
        <v>42</v>
      </c>
      <c r="T49" s="177"/>
      <c r="U49" s="177"/>
      <c r="V49" s="177"/>
      <c r="W49" s="76"/>
      <c r="X49" s="76"/>
      <c r="Y49" s="76"/>
      <c r="Z49" s="76"/>
    </row>
    <row r="50">
      <c r="A50" s="176">
        <v>16267.0</v>
      </c>
      <c r="B50" s="177" t="str">
        <f>VLOOKUP(A50,'FML March 2026'!E:F,2,false)</f>
        <v>CINNAMON STICKS BADIA (USA)</v>
      </c>
      <c r="C50" s="177" t="str">
        <f>VLOOKUP(A50,'Unit of Measure ship March 2026'!A:C,3,false)</f>
        <v>LBS</v>
      </c>
      <c r="D50" s="177"/>
      <c r="E50" s="176">
        <v>111963.0</v>
      </c>
      <c r="F50" s="177" t="str">
        <f>VLOOKUP(E50,'FML March 2026'!E:F,2,false)</f>
        <v>CHOCOLATE GOLD CALLETS CS 4/2.5 KGCALLEBAULT</v>
      </c>
      <c r="G50" s="177" t="str">
        <f>VLOOKUP(E50,'Unit of Measure ship March 2026'!A:C,3,false)</f>
        <v>LBS</v>
      </c>
      <c r="H50" s="177"/>
      <c r="I50" s="176">
        <v>16280.0</v>
      </c>
      <c r="J50" s="177" t="str">
        <f>VLOOKUP(I50,'FML March 2026'!E:F,2,false)</f>
        <v>SALT, GRANULATED, IODIZED, DRY, 12/26 OZ</v>
      </c>
      <c r="K50" s="177" t="str">
        <f>VLOOKUP(I50,'Unit of Measure ship March 2026'!A:C,3,false)</f>
        <v>LBS</v>
      </c>
      <c r="L50" s="177"/>
      <c r="M50" s="176">
        <v>15701.0</v>
      </c>
      <c r="N50" s="177" t="str">
        <f>VLOOKUP(M50,'FML March 2026'!E:F,2,false)</f>
        <v>CHERRIES, RED DRIED SWEET (USA)</v>
      </c>
      <c r="O50" s="177" t="str">
        <f>VLOOKUP(M50,'Unit of Measure ship March 2026'!A:C,3,false)</f>
        <v>LBS</v>
      </c>
      <c r="P50" s="177"/>
      <c r="Q50" s="178">
        <v>15305.0</v>
      </c>
      <c r="R50" s="177" t="str">
        <f>VLOOKUP(Q50,'FML March 2026'!E:F,2,false)</f>
        <v>PAPAYA (9-12CT), RIPE</v>
      </c>
      <c r="S50" s="180" t="s">
        <v>147</v>
      </c>
      <c r="T50" s="177"/>
      <c r="U50" s="177"/>
      <c r="V50" s="177"/>
      <c r="W50" s="76"/>
      <c r="X50" s="76"/>
      <c r="Y50" s="76"/>
      <c r="Z50" s="76"/>
    </row>
    <row r="51">
      <c r="A51" s="176">
        <v>30011.0</v>
      </c>
      <c r="B51" s="177" t="str">
        <f>VLOOKUP(A51,'FML March 2026'!E:F,2,false)</f>
        <v>CLOTTED CREAM DEVONSHIRE</v>
      </c>
      <c r="C51" s="177" t="str">
        <f>VLOOKUP(A51,'Unit of Measure ship March 2026'!A:C,3,false)</f>
        <v>PC/908GR</v>
      </c>
      <c r="D51" s="177"/>
      <c r="E51" s="176">
        <v>108532.0</v>
      </c>
      <c r="F51" s="177" t="str">
        <f>VLOOKUP(E51,'FML March 2026'!E:F,2,false)</f>
        <v>CHOCOLATE GRUE DE CACAO, 100% ROASTED COCOA NIBS CS 10/1 KG VALHRONA</v>
      </c>
      <c r="G51" s="177" t="str">
        <f>VLOOKUP(E51,'Unit of Measure ship March 2026'!A:C,3,false)</f>
        <v>LBS</v>
      </c>
      <c r="H51" s="177"/>
      <c r="I51" s="176">
        <v>11260.0</v>
      </c>
      <c r="J51" s="177" t="str">
        <f>VLOOKUP(I51,'FML March 2026'!E:F,2,false)</f>
        <v>SESAME SEED BLACK</v>
      </c>
      <c r="K51" s="177" t="str">
        <f>VLOOKUP(I51,'Unit of Measure ship March 2026'!A:C,3,false)</f>
        <v>LBS</v>
      </c>
      <c r="L51" s="177"/>
      <c r="M51" s="176">
        <v>102792.0</v>
      </c>
      <c r="N51" s="177" t="str">
        <f>VLOOKUP(M51,'FML March 2026'!E:F,2,false)</f>
        <v>CHIA SEEDS (MEXICO)</v>
      </c>
      <c r="O51" s="177" t="str">
        <f>VLOOKUP(M51,'Unit of Measure ship March 2026'!A:C,3,false)</f>
        <v>PC/200GR</v>
      </c>
      <c r="P51" s="177"/>
      <c r="Q51" s="179">
        <v>15500.0</v>
      </c>
      <c r="R51" s="177" t="str">
        <f>VLOOKUP(Q51,'FML March 2026'!E:F,2,false)</f>
        <v>PARSLEY ITALIAN,  20#/CS</v>
      </c>
      <c r="S51" s="177" t="str">
        <f>VLOOKUP(Q51,'Unit of Measure ship March 2026'!A:C,3,false)</f>
        <v>LBS</v>
      </c>
      <c r="T51" s="177"/>
      <c r="U51" s="177"/>
      <c r="V51" s="177"/>
      <c r="W51" s="76"/>
      <c r="X51" s="76"/>
      <c r="Y51" s="76"/>
      <c r="Z51" s="76"/>
    </row>
    <row r="52">
      <c r="A52" s="176">
        <v>35447.0</v>
      </c>
      <c r="B52" s="177" t="str">
        <f>VLOOKUP(A52,'FML March 2026'!E:F,2,false)</f>
        <v>COCOA BUTTER CALLEBAUT/ COCOA BARRY</v>
      </c>
      <c r="C52" s="177" t="str">
        <f>VLOOKUP(A52,'Unit of Measure ship March 2026'!A:C,3,false)</f>
        <v>LBS</v>
      </c>
      <c r="D52" s="177"/>
      <c r="E52" s="176">
        <v>108523.0</v>
      </c>
      <c r="F52" s="177" t="str">
        <f>VLOOKUP(E52,'FML March 2026'!E:F,2,false)</f>
        <v>CHOCOLATE MEXIQUE 70% - ORIGINE DARK CHOCOLATE CS4/2.5 KG COCOA BARRY</v>
      </c>
      <c r="G52" s="177" t="str">
        <f>VLOOKUP(E52,'Unit of Measure ship March 2026'!A:C,3,false)</f>
        <v>LBS</v>
      </c>
      <c r="H52" s="177"/>
      <c r="I52" s="176">
        <v>15818.0</v>
      </c>
      <c r="J52" s="177" t="str">
        <f>VLOOKUP(I52,'FML March 2026'!E:F,2,false)</f>
        <v>SESAME SEEDS WHITE BADIA (USA )</v>
      </c>
      <c r="K52" s="177" t="str">
        <f>VLOOKUP(I52,'Unit of Measure ship March 2026'!A:C,3,false)</f>
        <v>LBS</v>
      </c>
      <c r="L52" s="177"/>
      <c r="M52" s="176">
        <v>22328.0</v>
      </c>
      <c r="N52" s="177" t="str">
        <f>VLOOKUP(M52,'FML March 2026'!E:F,2,false)</f>
        <v>CHILI ANCHO  DRY CS5/LBS</v>
      </c>
      <c r="O52" s="177" t="str">
        <f>VLOOKUP(M52,'Unit of Measure ship March 2026'!A:C,3,false)</f>
        <v>KG</v>
      </c>
      <c r="P52" s="177"/>
      <c r="Q52" s="178">
        <v>15308.0</v>
      </c>
      <c r="R52" s="177" t="str">
        <f>VLOOKUP(Q52,'FML March 2026'!E:F,2,false)</f>
        <v>PASSION FRUIT 28-32 CT. 10#</v>
      </c>
      <c r="S52" s="177" t="str">
        <f>VLOOKUP(Q52,'Unit of Measure ship March 2026'!A:C,3,false)</f>
        <v>LBS</v>
      </c>
      <c r="T52" s="177"/>
      <c r="U52" s="177"/>
      <c r="V52" s="177"/>
      <c r="W52" s="76"/>
      <c r="X52" s="76"/>
      <c r="Y52" s="76"/>
      <c r="Z52" s="76"/>
    </row>
    <row r="53">
      <c r="A53" s="176">
        <v>15697.0</v>
      </c>
      <c r="B53" s="177" t="str">
        <f>VLOOKUP(A53,'FML March 2026'!E:F,2,false)</f>
        <v>COCOA EXTRA BRUT 6/1 KG. RED COCOA POWDER CALLEBAUT/ COCOA BARRY</v>
      </c>
      <c r="C53" s="177" t="str">
        <f>VLOOKUP(A53,'Unit of Measure ship March 2026'!A:C,3,false)</f>
        <v>LBS</v>
      </c>
      <c r="D53" s="177"/>
      <c r="E53" s="176">
        <v>110032.0</v>
      </c>
      <c r="F53" s="177" t="str">
        <f>VLOOKUP(E53,'FML March 2026'!E:F,2,false)</f>
        <v>CHOCOLATE TAHINI PASTE MACEDONIAN</v>
      </c>
      <c r="G53" s="177" t="str">
        <f>VLOOKUP(E53,'Unit of Measure ship March 2026'!A:C,3,false)</f>
        <v>LBS</v>
      </c>
      <c r="H53" s="177"/>
      <c r="I53" s="176">
        <v>15646.0</v>
      </c>
      <c r="J53" s="177" t="str">
        <f>VLOOKUP(I53,'FML March 2026'!E:F,2,false)</f>
        <v>SUGAR BROWN DARK  24/1LB  DOMINO (404310) (USA)</v>
      </c>
      <c r="K53" s="177" t="str">
        <f>VLOOKUP(I53,'Unit of Measure ship March 2026'!A:C,3,false)</f>
        <v>LBS</v>
      </c>
      <c r="L53" s="177"/>
      <c r="M53" s="176">
        <v>16308.0</v>
      </c>
      <c r="N53" s="177" t="str">
        <f>VLOOKUP(M53,'FML March 2026'!E:F,2,false)</f>
        <v>CHILI PEPPER RED CRUSHED D`ALLESANDRO/ SPICECO</v>
      </c>
      <c r="O53" s="177" t="str">
        <f>VLOOKUP(M53,'Unit of Measure ship March 2026'!A:C,3,false)</f>
        <v>LBS</v>
      </c>
      <c r="P53" s="177"/>
      <c r="Q53" s="178">
        <v>15318.0</v>
      </c>
      <c r="R53" s="177" t="str">
        <f>VLOOKUP(Q53,'FML March 2026'!E:F,2,false)</f>
        <v>PEACHES LAYERED #1 1 1/2-2" FREESTONE 85CT 10#</v>
      </c>
      <c r="S53" s="177" t="str">
        <f>VLOOKUP(Q53,'Unit of Measure ship March 2026'!A:C,3,false)</f>
        <v>LBS</v>
      </c>
      <c r="T53" s="177"/>
      <c r="U53" s="177"/>
      <c r="V53" s="177"/>
      <c r="W53" s="76"/>
      <c r="X53" s="76"/>
      <c r="Y53" s="76"/>
      <c r="Z53" s="76"/>
    </row>
    <row r="54">
      <c r="A54" s="182">
        <v>110020.0</v>
      </c>
      <c r="B54" s="177" t="str">
        <f>VLOOKUP(A54,'FML March 2026'!E:F,2,false)</f>
        <v>COCONUT FLAKES UNSWEETENED BOBS RED MILL CS4/24OZ</v>
      </c>
      <c r="C54" s="177" t="str">
        <f>VLOOKUP(A54,'Unit of Measure ship March 2026'!A:C,3,false)</f>
        <v>LBS</v>
      </c>
      <c r="D54" s="177"/>
      <c r="E54" s="176">
        <v>35445.0</v>
      </c>
      <c r="F54" s="177" t="str">
        <f>VLOOKUP(E54,'FML March 2026'!E:F,2,false)</f>
        <v>CHOCOLATE WHITE COUVERTURE CALLETS CALLEBAUT</v>
      </c>
      <c r="G54" s="177" t="str">
        <f>VLOOKUP(E54,'Unit of Measure ship March 2026'!A:C,3,false)</f>
        <v>LBS</v>
      </c>
      <c r="H54" s="177"/>
      <c r="I54" s="176">
        <v>100872.0</v>
      </c>
      <c r="J54" s="177" t="str">
        <f>VLOOKUP(I54,'FML March 2026'!E:F,2,false)</f>
        <v>SUGAR BROWN LIGHT 24LB  DOMINO (404309)</v>
      </c>
      <c r="K54" s="177" t="str">
        <f>VLOOKUP(I54,'Unit of Measure ship March 2026'!A:C,3,false)</f>
        <v>LBS</v>
      </c>
      <c r="L54" s="177"/>
      <c r="M54" s="176">
        <v>16343.0</v>
      </c>
      <c r="N54" s="177" t="str">
        <f>VLOOKUP(M54,'FML March 2026'!E:F,2,false)</f>
        <v>CHILI SAUCE, HEINZ, 6/10'S</v>
      </c>
      <c r="O54" s="177" t="str">
        <f>VLOOKUP(M54,'Unit of Measure ship March 2026'!A:C,3,false)</f>
        <v>CN/6.5LB</v>
      </c>
      <c r="P54" s="177"/>
      <c r="Q54" s="178">
        <v>15412.0</v>
      </c>
      <c r="R54" s="177" t="str">
        <f>VLOOKUP(Q54,'FML March 2026'!E:F,2,false)</f>
        <v>PEARS #1, BARTLETT, 120CT 40#</v>
      </c>
      <c r="S54" s="177" t="str">
        <f>VLOOKUP(Q54,'Unit of Measure ship March 2026'!A:C,3,false)</f>
        <v>LBS</v>
      </c>
      <c r="T54" s="177"/>
      <c r="U54" s="177"/>
      <c r="V54" s="177"/>
      <c r="W54" s="76"/>
      <c r="X54" s="76"/>
      <c r="Y54" s="76"/>
      <c r="Z54" s="76"/>
    </row>
    <row r="55">
      <c r="A55" s="177">
        <v>62920.0</v>
      </c>
      <c r="B55" s="177" t="str">
        <f>VLOOKUP(A55,'FML March 2026'!E:F,2,false)</f>
        <v>COCONUT MILK CS24/14OZ  17% TO 18%</v>
      </c>
      <c r="C55" s="177" t="str">
        <f>VLOOKUP(A55,'Unit of Measure ship March 2026'!A:C,3,false)</f>
        <v>PC/13.5Z</v>
      </c>
      <c r="D55" s="177"/>
      <c r="E55" s="177">
        <v>111686.0</v>
      </c>
      <c r="F55" s="177" t="str">
        <f>VLOOKUP(E55,'FML March 2026'!E:F,2,false)</f>
        <v>CHOCOLATE WHITE VEGAN CS10/2.82 OZ PASCHA</v>
      </c>
      <c r="G55" s="177" t="str">
        <f>VLOOKUP(E55,'Unit of Measure ship March 2026'!A:C,3,false)</f>
        <v>LBS</v>
      </c>
      <c r="H55" s="177"/>
      <c r="I55" s="176">
        <v>111178.0</v>
      </c>
      <c r="J55" s="177" t="str">
        <f>VLOOKUP(I55,'FML March 2026'!E:F,2,false)</f>
        <v>SUGAR LIGHT BROWN CS6/24 OZ WHOLESOME</v>
      </c>
      <c r="K55" s="177" t="str">
        <f>VLOOKUP(I55,'Unit of Measure ship March 2026'!A:C,3,false)</f>
        <v>LBS</v>
      </c>
      <c r="L55" s="177"/>
      <c r="M55" s="176">
        <v>108531.0</v>
      </c>
      <c r="N55" s="177" t="str">
        <f>VLOOKUP(M55,'FML March 2026'!E:F,2,false)</f>
        <v>CHOCOLATE ,PERLES CRAQUANTES (CRUNCH) DARK  CS3/3 KG VALRHONA</v>
      </c>
      <c r="O55" s="177" t="str">
        <f>VLOOKUP(M55,'Unit of Measure ship March 2026'!A:C,3,false)</f>
        <v>LBS</v>
      </c>
      <c r="P55" s="177"/>
      <c r="Q55" s="178">
        <v>110900.0</v>
      </c>
      <c r="R55" s="177" t="str">
        <f>VLOOKUP(Q55,'FML March 2026'!E:F,2,false)</f>
        <v>PEARS ASIAN FRESH 12/16 CT</v>
      </c>
      <c r="S55" s="177" t="str">
        <f>VLOOKUP(Q55,'Unit of Measure ship March 2026'!A:C,3,false)</f>
        <v>LBS</v>
      </c>
      <c r="T55" s="177"/>
      <c r="U55" s="177"/>
      <c r="V55" s="177"/>
      <c r="W55" s="76"/>
      <c r="X55" s="76"/>
      <c r="Y55" s="76"/>
      <c r="Z55" s="76"/>
    </row>
    <row r="56">
      <c r="A56" s="176">
        <v>109675.0</v>
      </c>
      <c r="B56" s="177" t="str">
        <f>VLOOKUP(A56,'FML March 2026'!E:F,2,false)</f>
        <v>COCONUT OIL LA TOURANGELLE</v>
      </c>
      <c r="C56" s="177" t="str">
        <f>VLOOKUP(A56,'Unit of Measure ship March 2026'!A:C,3,false)</f>
        <v>GAL</v>
      </c>
      <c r="D56" s="177"/>
      <c r="E56" s="176">
        <v>111686.0</v>
      </c>
      <c r="F56" s="177" t="str">
        <f>VLOOKUP(E56,'FML March 2026'!E:F,2,false)</f>
        <v>CHOCOLATE WHITE VEGAN CS10/2.82 OZ PASCHA</v>
      </c>
      <c r="G56" s="177" t="str">
        <f>VLOOKUP(E56,'Unit of Measure ship March 2026'!A:C,3,false)</f>
        <v>LBS</v>
      </c>
      <c r="H56" s="177"/>
      <c r="I56" s="176">
        <v>15642.0</v>
      </c>
      <c r="J56" s="177" t="str">
        <f>VLOOKUP(I56,'FML March 2026'!E:F,2,false)</f>
        <v>SUGAR, GRANULATED, ICUMSA 150, SUGARCANE, DRY, 1/50 LB</v>
      </c>
      <c r="K56" s="177" t="str">
        <f>VLOOKUP(I56,'Unit of Measure ship March 2026'!A:C,3,false)</f>
        <v>LBS</v>
      </c>
      <c r="L56" s="177"/>
      <c r="M56" s="176">
        <v>15688.0</v>
      </c>
      <c r="N56" s="177" t="str">
        <f>VLOOKUP(M56,'FML March 2026'!E:F,2,false)</f>
        <v>CHOCOLATE CHIP BITS 20KG CALLEBAUT/ COCOA BARRY</v>
      </c>
      <c r="O56" s="177" t="str">
        <f>VLOOKUP(M56,'Unit of Measure ship March 2026'!A:C,3,false)</f>
        <v>LBS</v>
      </c>
      <c r="P56" s="177"/>
      <c r="Q56" s="179">
        <v>112615.0</v>
      </c>
      <c r="R56" s="177" t="str">
        <f>VLOOKUP(Q56,'FML March 2026'!E:F,2,false)</f>
        <v>PEPPER JALAPENO RED FRESH</v>
      </c>
      <c r="S56" s="177" t="str">
        <f>VLOOKUP(Q56,'Unit of Measure ship March 2026'!A:C,3,false)</f>
        <v>LBS</v>
      </c>
      <c r="T56" s="177"/>
      <c r="U56" s="177"/>
      <c r="V56" s="177"/>
      <c r="W56" s="76"/>
      <c r="X56" s="76"/>
      <c r="Y56" s="76"/>
      <c r="Z56" s="76"/>
    </row>
    <row r="57">
      <c r="A57" s="176">
        <v>15792.0</v>
      </c>
      <c r="B57" s="177" t="str">
        <f>VLOOKUP(A57,'FML March 2026'!E:F,2,false)</f>
        <v>COCONUT SHREDDED MEDIUM</v>
      </c>
      <c r="C57" s="177" t="str">
        <f>VLOOKUP(A57,'Unit of Measure ship March 2026'!A:C,3,false)</f>
        <v>LBS</v>
      </c>
      <c r="D57" s="177"/>
      <c r="E57" s="176">
        <v>35444.0</v>
      </c>
      <c r="F57" s="177" t="str">
        <f>VLOOKUP(E57,'FML March 2026'!E:F,2,false)</f>
        <v>CHOCOLATE, MILK CHOCOLATE COUVERTURE CALLETS 35%, CALLEBAUT (FRANCE)</v>
      </c>
      <c r="G57" s="177" t="str">
        <f>VLOOKUP(E57,'Unit of Measure ship March 2026'!A:C,3,false)</f>
        <v>LBS</v>
      </c>
      <c r="H57" s="177"/>
      <c r="I57" s="176">
        <v>15644.0</v>
      </c>
      <c r="J57" s="177" t="str">
        <f>VLOOKUP(I57,'FML March 2026'!E:F,2,false)</f>
        <v>SUGAR, POWDERED, W/ CORNSTARCH, DRY, 24/1 LB</v>
      </c>
      <c r="K57" s="177" t="str">
        <f>VLOOKUP(I57,'Unit of Measure ship March 2026'!A:C,3,false)</f>
        <v>LBS</v>
      </c>
      <c r="L57" s="177"/>
      <c r="M57" s="176">
        <v>35443.0</v>
      </c>
      <c r="N57" s="177" t="str">
        <f>VLOOKUP(M57,'FML March 2026'!E:F,2,false)</f>
        <v>CHOCOLATE COUVERTURE BLACK CALLETS 58.7% CALLEBAUT</v>
      </c>
      <c r="O57" s="177" t="str">
        <f>VLOOKUP(M57,'Unit of Measure ship March 2026'!A:C,3,false)</f>
        <v>LBS</v>
      </c>
      <c r="P57" s="177"/>
      <c r="Q57" s="178">
        <v>15504.0</v>
      </c>
      <c r="R57" s="177" t="str">
        <f>VLOOKUP(Q57,'FML March 2026'!E:F,2,false)</f>
        <v>PEPPERS HOT, JALAPENOS 10#</v>
      </c>
      <c r="S57" s="177" t="str">
        <f>VLOOKUP(Q57,'Unit of Measure ship March 2026'!A:C,3,false)</f>
        <v>LBS</v>
      </c>
      <c r="T57" s="177"/>
      <c r="U57" s="177"/>
      <c r="V57" s="177"/>
      <c r="W57" s="76"/>
      <c r="X57" s="76"/>
      <c r="Y57" s="76"/>
      <c r="Z57" s="76"/>
    </row>
    <row r="58">
      <c r="A58" s="176">
        <v>51160.0</v>
      </c>
      <c r="B58" s="177" t="str">
        <f>VLOOKUP(A58,'FML March 2026'!E:F,2,false)</f>
        <v>COFFEE EXTRACT, TRABLIT  12/1 LT</v>
      </c>
      <c r="C58" s="177" t="str">
        <f>VLOOKUP(A58,'Unit of Measure ship March 2026'!A:C,3,false)</f>
        <v>LT</v>
      </c>
      <c r="D58" s="177"/>
      <c r="E58" s="176">
        <v>51253.0</v>
      </c>
      <c r="F58" s="177" t="str">
        <f>VLOOKUP(E58,'FML March 2026'!E:F,2,false)</f>
        <v>CHOCOLATE, SURFINE, SPRINKLER, 10GR PATISFRANCE #5760/ HARKINS</v>
      </c>
      <c r="G58" s="177" t="str">
        <f>VLOOKUP(E58,'Unit of Measure ship March 2026'!A:C,3,false)</f>
        <v>LBS</v>
      </c>
      <c r="H58" s="177"/>
      <c r="I58" s="176">
        <v>15732.0</v>
      </c>
      <c r="J58" s="177" t="str">
        <f>VLOOKUP(I58,'FML March 2026'!E:F,2,false)</f>
        <v>WHEAT, BULGUR WHEAT CS6/2LB INHARVEST</v>
      </c>
      <c r="K58" s="177" t="str">
        <f>VLOOKUP(I58,'Unit of Measure ship March 2026'!A:C,3,false)</f>
        <v>LBS</v>
      </c>
      <c r="L58" s="177"/>
      <c r="M58" s="176">
        <v>35441.0</v>
      </c>
      <c r="N58" s="177" t="str">
        <f>VLOOKUP(M58,'FML March 2026'!E:F,2,false)</f>
        <v>CHOCOLATE COUVERTURE DARK 70% CALLETS CALLEBAUT</v>
      </c>
      <c r="O58" s="177" t="str">
        <f>VLOOKUP(M58,'Unit of Measure ship March 2026'!A:C,3,false)</f>
        <v>LBS</v>
      </c>
      <c r="P58" s="177"/>
      <c r="Q58" s="178">
        <v>33604.0</v>
      </c>
      <c r="R58" s="177" t="str">
        <f>VLOOKUP(Q58,'FML March 2026'!E:F,2,false)</f>
        <v>PEPPERS, POBLANO CHILI #</v>
      </c>
      <c r="S58" s="177" t="str">
        <f>VLOOKUP(Q58,'Unit of Measure ship March 2026'!A:C,3,false)</f>
        <v>LBS</v>
      </c>
      <c r="T58" s="177"/>
      <c r="U58" s="177"/>
      <c r="V58" s="177"/>
      <c r="W58" s="76"/>
      <c r="X58" s="76"/>
      <c r="Y58" s="76"/>
      <c r="Z58" s="76"/>
    </row>
    <row r="59">
      <c r="A59" s="176">
        <v>111228.0</v>
      </c>
      <c r="B59" s="177" t="str">
        <f>VLOOKUP(A59,'FML March 2026'!E:F,2,false)</f>
        <v>COOKIE DOUGH  CHOCOLATE CHIP  CS144/1.5  OZ  MAUI FOODS V</v>
      </c>
      <c r="C59" s="177" t="str">
        <f>VLOOKUP(A59,'Unit of Measure ship March 2026'!A:C,3,false)</f>
        <v>CS144/PC</v>
      </c>
      <c r="D59" s="177"/>
      <c r="E59" s="176">
        <v>16253.0</v>
      </c>
      <c r="F59" s="177" t="str">
        <f>VLOOKUP(E59,'FML March 2026'!E:F,2,false)</f>
        <v>CINNAMON GROUND</v>
      </c>
      <c r="G59" s="177" t="str">
        <f>VLOOKUP(E59,'Unit of Measure ship March 2026'!A:C,3,false)</f>
        <v>LBS</v>
      </c>
      <c r="H59" s="177"/>
      <c r="I59" s="176">
        <v>15032.0</v>
      </c>
      <c r="J59" s="177" t="str">
        <f>VLOOKUP(I59,'FML March 2026'!E:F,2,false)</f>
        <v>YEAST ACTIVE 24/1# FRESH &amp; REFRIGERATED, FLEISCHMANS</v>
      </c>
      <c r="K59" s="177" t="str">
        <f>VLOOKUP(I59,'Unit of Measure ship March 2026'!A:C,3,false)</f>
        <v>LBS</v>
      </c>
      <c r="L59" s="177"/>
      <c r="M59" s="176">
        <v>30722.0</v>
      </c>
      <c r="N59" s="177" t="str">
        <f>VLOOKUP(M59,'FML March 2026'!E:F,2,false)</f>
        <v>CHOCOLATE GLAZE PATE A GLACER BRUNE (DARK) CS 20/ LB COCOA BARRY</v>
      </c>
      <c r="O59" s="177" t="str">
        <f>VLOOKUP(M59,'Unit of Measure ship March 2026'!A:C,3,false)</f>
        <v>LBS</v>
      </c>
      <c r="P59" s="177"/>
      <c r="Q59" s="178">
        <v>108577.0</v>
      </c>
      <c r="R59" s="177" t="str">
        <f>VLOOKUP(Q59,'FML March 2026'!E:F,2,false)</f>
        <v>PINEAPPLES, CROWNLESS, GOLD, FRESH</v>
      </c>
      <c r="S59" s="177" t="str">
        <f>VLOOKUP(Q59,'Unit of Measure ship March 2026'!A:C,3,false)</f>
        <v>LBS</v>
      </c>
      <c r="T59" s="177"/>
      <c r="U59" s="177"/>
      <c r="V59" s="177"/>
      <c r="W59" s="76"/>
      <c r="X59" s="76"/>
      <c r="Y59" s="76"/>
      <c r="Z59" s="76"/>
    </row>
    <row r="60">
      <c r="A60" s="176">
        <v>111227.0</v>
      </c>
      <c r="B60" s="177" t="str">
        <f>VLOOKUP(A60,'FML March 2026'!E:F,2,false)</f>
        <v>COOKIE DOUGH  CHOCOLATE CHIP MACADAMIA NUT  CS144/1.5  OZ  MAUI FOODS V</v>
      </c>
      <c r="C60" s="177" t="str">
        <f>VLOOKUP(A60,'Unit of Measure ship March 2026'!A:C,3,false)</f>
        <v>CS144/PC</v>
      </c>
      <c r="D60" s="177"/>
      <c r="E60" s="176">
        <v>16267.0</v>
      </c>
      <c r="F60" s="177" t="str">
        <f>VLOOKUP(E60,'FML March 2026'!E:F,2,false)</f>
        <v>CINNAMON STICKS BADIA (USA)</v>
      </c>
      <c r="G60" s="177" t="str">
        <f>VLOOKUP(E60,'Unit of Measure ship March 2026'!A:C,3,false)</f>
        <v>LBS</v>
      </c>
      <c r="H60" s="177"/>
      <c r="I60" s="176"/>
      <c r="J60" s="177"/>
      <c r="K60" s="177"/>
      <c r="L60" s="177"/>
      <c r="M60" s="176">
        <v>15829.0</v>
      </c>
      <c r="N60" s="177" t="str">
        <f>VLOOKUP(M60,'FML March 2026'!E:F,2,false)</f>
        <v>CHOCOLATE STIX 300 CT 1.6 KG CALLEBAUT (FRANCE)</v>
      </c>
      <c r="O60" s="177" t="str">
        <f>VLOOKUP(M60,'Unit of Measure ship March 2026'!A:C,3,false)</f>
        <v>CS300/PC</v>
      </c>
      <c r="P60" s="177"/>
      <c r="Q60" s="178">
        <v>15506.0</v>
      </c>
      <c r="R60" s="177" t="str">
        <f>VLOOKUP(Q60,'FML March 2026'!E:F,2,false)</f>
        <v>PLANTAINS, GREEN 50#</v>
      </c>
      <c r="S60" s="177" t="str">
        <f>VLOOKUP(Q60,'Unit of Measure ship March 2026'!A:C,3,false)</f>
        <v>KG</v>
      </c>
      <c r="T60" s="177"/>
      <c r="U60" s="177"/>
      <c r="V60" s="177"/>
      <c r="W60" s="76"/>
      <c r="X60" s="76"/>
      <c r="Y60" s="76"/>
      <c r="Z60" s="76"/>
    </row>
    <row r="61">
      <c r="A61" s="176">
        <v>111233.0</v>
      </c>
      <c r="B61" s="177" t="str">
        <f>VLOOKUP(A61,'FML March 2026'!E:F,2,false)</f>
        <v>COOKIE DOUGH  OATMEAL RAISIN  CS144/1.5 OZ  MAUI FOODS V</v>
      </c>
      <c r="C61" s="177" t="str">
        <f>VLOOKUP(A61,'Unit of Measure ship March 2026'!A:C,3,false)</f>
        <v>CS144/PC</v>
      </c>
      <c r="D61" s="177"/>
      <c r="E61" s="176">
        <v>30011.0</v>
      </c>
      <c r="F61" s="177" t="str">
        <f>VLOOKUP(E61,'FML March 2026'!E:F,2,false)</f>
        <v>CLOTTED CREAM DEVONSHIRE</v>
      </c>
      <c r="G61" s="177" t="str">
        <f>VLOOKUP(E61,'Unit of Measure ship March 2026'!A:C,3,false)</f>
        <v>PC/908GR</v>
      </c>
      <c r="H61" s="177"/>
      <c r="I61" s="176"/>
      <c r="J61" s="177"/>
      <c r="K61" s="177"/>
      <c r="L61" s="177"/>
      <c r="M61" s="176">
        <v>35445.0</v>
      </c>
      <c r="N61" s="177" t="str">
        <f>VLOOKUP(M61,'FML March 2026'!E:F,2,false)</f>
        <v>CHOCOLATE WHITE COUVERTURE CALLETS CALLEBAUT</v>
      </c>
      <c r="O61" s="177" t="str">
        <f>VLOOKUP(M61,'Unit of Measure ship March 2026'!A:C,3,false)</f>
        <v>LBS</v>
      </c>
      <c r="P61" s="177"/>
      <c r="Q61" s="178">
        <v>15319.0</v>
      </c>
      <c r="R61" s="177" t="str">
        <f>VLOOKUP(Q61,'FML March 2026'!E:F,2,false)</f>
        <v>PLUM #1 54 CT. 10#</v>
      </c>
      <c r="S61" s="177" t="str">
        <f>VLOOKUP(Q61,'Unit of Measure ship March 2026'!A:C,3,false)</f>
        <v>LBS</v>
      </c>
      <c r="T61" s="177"/>
      <c r="U61" s="177"/>
      <c r="V61" s="177"/>
      <c r="W61" s="76"/>
      <c r="X61" s="76"/>
      <c r="Y61" s="76"/>
      <c r="Z61" s="76"/>
    </row>
    <row r="62">
      <c r="A62" s="176">
        <v>111230.0</v>
      </c>
      <c r="B62" s="177" t="str">
        <f>VLOOKUP(A62,'FML March 2026'!E:F,2,false)</f>
        <v>COOKIE DOUGH  PEANUT BUTTER  CS144/1.5 OZ  MAUI FOODS V</v>
      </c>
      <c r="C62" s="177" t="str">
        <f>VLOOKUP(A62,'Unit of Measure ship March 2026'!A:C,3,false)</f>
        <v>CS144/PC</v>
      </c>
      <c r="D62" s="177"/>
      <c r="E62" s="176">
        <v>16254.0</v>
      </c>
      <c r="F62" s="177" t="str">
        <f>VLOOKUP(E62,'FML March 2026'!E:F,2,false)</f>
        <v>CLOVES WHOLE D`ALLESANDRO/ SPICECO</v>
      </c>
      <c r="G62" s="177" t="str">
        <f>VLOOKUP(E62,'Unit of Measure ship March 2026'!A:C,3,false)</f>
        <v>LBS</v>
      </c>
      <c r="H62" s="177"/>
      <c r="I62" s="182"/>
      <c r="J62" s="177"/>
      <c r="K62" s="177"/>
      <c r="L62" s="177"/>
      <c r="M62" s="177">
        <v>111686.0</v>
      </c>
      <c r="N62" s="177" t="str">
        <f>VLOOKUP(M62,'FML March 2026'!E:F,2,false)</f>
        <v>CHOCOLATE WHITE VEGAN CS10/2.82 OZ PASCHA</v>
      </c>
      <c r="O62" s="177" t="str">
        <f>VLOOKUP(M62,'Unit of Measure ship March 2026'!A:C,3,false)</f>
        <v>LBS</v>
      </c>
      <c r="P62" s="177"/>
      <c r="Q62" s="178">
        <v>15316.0</v>
      </c>
      <c r="R62" s="177" t="str">
        <f>VLOOKUP(Q62,'FML March 2026'!E:F,2,false)</f>
        <v>POMEGRANATE 20-35 CT. 22#</v>
      </c>
      <c r="S62" s="177" t="str">
        <f>VLOOKUP(Q62,'Unit of Measure ship March 2026'!A:C,3,false)</f>
        <v>LBS</v>
      </c>
      <c r="T62" s="177"/>
      <c r="U62" s="177"/>
      <c r="V62" s="177"/>
      <c r="W62" s="76"/>
      <c r="X62" s="76"/>
      <c r="Y62" s="76"/>
      <c r="Z62" s="76"/>
    </row>
    <row r="63">
      <c r="A63" s="176">
        <v>111226.0</v>
      </c>
      <c r="B63" s="177" t="str">
        <f>VLOOKUP(A63,'FML March 2026'!E:F,2,false)</f>
        <v>COOKIE DOUGH  S'MORES  CS144/1.5 OZ  MAUI FOODS V</v>
      </c>
      <c r="C63" s="177" t="str">
        <f>VLOOKUP(A63,'Unit of Measure ship March 2026'!A:C,3,false)</f>
        <v>CS144/PC</v>
      </c>
      <c r="D63" s="177"/>
      <c r="E63" s="176">
        <v>111665.0</v>
      </c>
      <c r="F63" s="177" t="str">
        <f>VLOOKUP(E63,'FML March 2026'!E:F,2,false)</f>
        <v>COATING CHOCOLATE  CORIANDOLINA CS 2/6.6 LB PREGEL</v>
      </c>
      <c r="G63" s="177" t="str">
        <f>VLOOKUP(E63,'Unit of Measure ship March 2026'!A:C,3,false)</f>
        <v>LBS</v>
      </c>
      <c r="H63" s="177"/>
      <c r="I63" s="176"/>
      <c r="J63" s="177"/>
      <c r="K63" s="177"/>
      <c r="L63" s="177"/>
      <c r="M63" s="176">
        <v>35444.0</v>
      </c>
      <c r="N63" s="177" t="str">
        <f>VLOOKUP(M63,'FML March 2026'!E:F,2,false)</f>
        <v>CHOCOLATE, MILK CHOCOLATE COUVERTURE CALLETS 35%, CALLEBAUT (FRANCE)</v>
      </c>
      <c r="O63" s="177" t="str">
        <f>VLOOKUP(M63,'Unit of Measure ship March 2026'!A:C,3,false)</f>
        <v>LBS</v>
      </c>
      <c r="P63" s="177"/>
      <c r="Q63" s="178">
        <v>32705.0</v>
      </c>
      <c r="R63" s="177" t="str">
        <f>VLOOKUP(Q63,'FML March 2026'!E:F,2,false)</f>
        <v>PUMPKIN/CALABASA, FRESH</v>
      </c>
      <c r="S63" s="177" t="str">
        <f>VLOOKUP(Q63,'Unit of Measure ship March 2026'!A:C,3,false)</f>
        <v>LBS</v>
      </c>
      <c r="T63" s="177"/>
      <c r="U63" s="177"/>
      <c r="V63" s="177"/>
      <c r="W63" s="76"/>
      <c r="X63" s="76"/>
      <c r="Y63" s="76"/>
      <c r="Z63" s="76"/>
    </row>
    <row r="64">
      <c r="A64" s="176">
        <v>111232.0</v>
      </c>
      <c r="B64" s="177" t="str">
        <f>VLOOKUP(A64,'FML March 2026'!E:F,2,false)</f>
        <v>COOKIE DOUGH  WHITE CHOCOLATE MACADAMIA  CS144/1.5 OZ  MAUI FOODS V</v>
      </c>
      <c r="C64" s="177" t="str">
        <f>VLOOKUP(A64,'Unit of Measure ship March 2026'!A:C,3,false)</f>
        <v>CS144/PC</v>
      </c>
      <c r="D64" s="177"/>
      <c r="E64" s="176">
        <v>35447.0</v>
      </c>
      <c r="F64" s="177" t="str">
        <f>VLOOKUP(E64,'FML March 2026'!E:F,2,false)</f>
        <v>COCOA BUTTER CALLEBAUT/ COCOA BARRY</v>
      </c>
      <c r="G64" s="177" t="str">
        <f>VLOOKUP(E64,'Unit of Measure ship March 2026'!A:C,3,false)</f>
        <v>LBS</v>
      </c>
      <c r="H64" s="177"/>
      <c r="I64" s="176"/>
      <c r="J64" s="177"/>
      <c r="K64" s="177"/>
      <c r="L64" s="177"/>
      <c r="M64" s="176">
        <v>51253.0</v>
      </c>
      <c r="N64" s="177" t="str">
        <f>VLOOKUP(M64,'FML March 2026'!E:F,2,false)</f>
        <v>CHOCOLATE, SURFINE, SPRINKLER, 10GR PATISFRANCE #5760/ HARKINS</v>
      </c>
      <c r="O64" s="177" t="str">
        <f>VLOOKUP(M64,'Unit of Measure ship March 2026'!A:C,3,false)</f>
        <v>LBS</v>
      </c>
      <c r="P64" s="177"/>
      <c r="Q64" s="178">
        <v>15334.0</v>
      </c>
      <c r="R64" s="177" t="str">
        <f>VLOOKUP(Q64,'FML March 2026'!E:F,2,false)</f>
        <v>RASPBERRIES FRESH 12 1/2 PT PINK 4.5#</v>
      </c>
      <c r="S64" s="177" t="str">
        <f>VLOOKUP(Q64,'Unit of Measure ship March 2026'!A:C,3,false)</f>
        <v>LBS</v>
      </c>
      <c r="T64" s="177"/>
      <c r="U64" s="177"/>
      <c r="V64" s="177"/>
      <c r="W64" s="76"/>
      <c r="X64" s="76"/>
      <c r="Y64" s="76"/>
      <c r="Z64" s="76"/>
    </row>
    <row r="65">
      <c r="A65" s="176">
        <v>109633.0</v>
      </c>
      <c r="B65" s="177" t="str">
        <f>VLOOKUP(A65,'FML March 2026'!E:F,2,false)</f>
        <v>CORN FLOUR 50  LB</v>
      </c>
      <c r="C65" s="177" t="str">
        <f>VLOOKUP(A65,'Unit of Measure ship March 2026'!A:C,3,false)</f>
        <v>KG</v>
      </c>
      <c r="D65" s="177"/>
      <c r="E65" s="176">
        <v>15697.0</v>
      </c>
      <c r="F65" s="177" t="str">
        <f>VLOOKUP(E65,'FML March 2026'!E:F,2,false)</f>
        <v>COCOA EXTRA BRUT 6/1 KG. RED COCOA POWDER CALLEBAUT/ COCOA BARRY</v>
      </c>
      <c r="G65" s="177" t="str">
        <f>VLOOKUP(E65,'Unit of Measure ship March 2026'!A:C,3,false)</f>
        <v>LBS</v>
      </c>
      <c r="H65" s="177"/>
      <c r="I65" s="176"/>
      <c r="J65" s="177"/>
      <c r="K65" s="177"/>
      <c r="L65" s="177"/>
      <c r="M65" s="176">
        <v>16253.0</v>
      </c>
      <c r="N65" s="177" t="str">
        <f>VLOOKUP(M65,'FML March 2026'!E:F,2,false)</f>
        <v>CINNAMON GROUND</v>
      </c>
      <c r="O65" s="177" t="str">
        <f>VLOOKUP(M65,'Unit of Measure ship March 2026'!A:C,3,false)</f>
        <v>LBS</v>
      </c>
      <c r="P65" s="177"/>
      <c r="Q65" s="179">
        <v>15444.0</v>
      </c>
      <c r="R65" s="177" t="str">
        <f>VLOOKUP(Q65,'FML March 2026'!E:F,2,false)</f>
        <v>SAGE FRESH</v>
      </c>
      <c r="S65" s="177" t="str">
        <f>VLOOKUP(Q65,'Unit of Measure ship March 2026'!A:C,3,false)</f>
        <v>LBS</v>
      </c>
      <c r="T65" s="177"/>
      <c r="U65" s="177"/>
      <c r="V65" s="177"/>
      <c r="W65" s="76"/>
      <c r="X65" s="76"/>
      <c r="Y65" s="76"/>
      <c r="Z65" s="76"/>
    </row>
    <row r="66">
      <c r="A66" s="176">
        <v>16184.0</v>
      </c>
      <c r="B66" s="177" t="str">
        <f>VLOOKUP(A66,'FML March 2026'!E:F,2,false)</f>
        <v>CORNSTARCH BULK</v>
      </c>
      <c r="C66" s="177" t="str">
        <f>VLOOKUP(A66,'Unit of Measure ship March 2026'!A:C,3,false)</f>
        <v>LBS</v>
      </c>
      <c r="D66" s="177"/>
      <c r="E66" s="176">
        <v>109627.0</v>
      </c>
      <c r="F66" s="177" t="str">
        <f>VLOOKUP(E66,'FML March 2026'!E:F,2,false)</f>
        <v>COCOA POWDER BLACK CACAO NOEL/  KING ARTHUR</v>
      </c>
      <c r="G66" s="177" t="str">
        <f>VLOOKUP(E66,'Unit of Measure ship March 2026'!A:C,3,false)</f>
        <v>KG</v>
      </c>
      <c r="H66" s="177"/>
      <c r="I66" s="176"/>
      <c r="J66" s="177"/>
      <c r="K66" s="177"/>
      <c r="L66" s="177"/>
      <c r="M66" s="176">
        <v>16267.0</v>
      </c>
      <c r="N66" s="177" t="str">
        <f>VLOOKUP(M66,'FML March 2026'!E:F,2,false)</f>
        <v>CINNAMON STICKS BADIA (USA)</v>
      </c>
      <c r="O66" s="177" t="str">
        <f>VLOOKUP(M66,'Unit of Measure ship March 2026'!A:C,3,false)</f>
        <v>LBS</v>
      </c>
      <c r="P66" s="177"/>
      <c r="Q66" s="178">
        <v>24185.0</v>
      </c>
      <c r="R66" s="177" t="str">
        <f>VLOOKUP(Q66,'FML March 2026'!E:F,2,false)</f>
        <v>SCALLIONS FRESH - ICELESS</v>
      </c>
      <c r="S66" s="177" t="str">
        <f>VLOOKUP(Q66,'Unit of Measure ship March 2026'!A:C,3,false)</f>
        <v>LBS</v>
      </c>
      <c r="T66" s="177"/>
      <c r="U66" s="177"/>
      <c r="V66" s="177"/>
      <c r="W66" s="76"/>
      <c r="X66" s="76"/>
      <c r="Y66" s="76"/>
      <c r="Z66" s="76"/>
    </row>
    <row r="67">
      <c r="A67" s="176">
        <v>14890.0</v>
      </c>
      <c r="B67" s="177" t="str">
        <f>VLOOKUP(A67,'FML March 2026'!E:F,2,false)</f>
        <v>COTTAGE CHEESE,4%, LARGE CURD, TUB</v>
      </c>
      <c r="C67" s="177" t="str">
        <f>VLOOKUP(A67,'Unit of Measure ship March 2026'!A:C,3,false)</f>
        <v>LBS</v>
      </c>
      <c r="D67" s="177"/>
      <c r="E67" s="182">
        <v>110020.0</v>
      </c>
      <c r="F67" s="177" t="str">
        <f>VLOOKUP(E67,'FML March 2026'!E:F,2,false)</f>
        <v>COCONUT FLAKES UNSWEETENED BOBS RED MILL CS4/24OZ</v>
      </c>
      <c r="G67" s="177" t="str">
        <f>VLOOKUP(E67,'Unit of Measure ship March 2026'!A:C,3,false)</f>
        <v>LBS</v>
      </c>
      <c r="H67" s="177"/>
      <c r="I67" s="176"/>
      <c r="J67" s="177"/>
      <c r="K67" s="177"/>
      <c r="L67" s="177"/>
      <c r="M67" s="176">
        <v>30011.0</v>
      </c>
      <c r="N67" s="177" t="str">
        <f>VLOOKUP(M67,'FML March 2026'!E:F,2,false)</f>
        <v>CLOTTED CREAM DEVONSHIRE</v>
      </c>
      <c r="O67" s="177" t="str">
        <f>VLOOKUP(M67,'Unit of Measure ship March 2026'!A:C,3,false)</f>
        <v>PC/908GR</v>
      </c>
      <c r="P67" s="177"/>
      <c r="Q67" s="178">
        <v>15525.0</v>
      </c>
      <c r="R67" s="177" t="str">
        <f>VLOOKUP(Q67,'FML March 2026'!E:F,2,false)</f>
        <v>SPINACH FLAT LEAF, FRESH, CRISP 4/2.5# 10#</v>
      </c>
      <c r="S67" s="177" t="str">
        <f>VLOOKUP(Q67,'Unit of Measure ship March 2026'!A:C,3,false)</f>
        <v>LBS</v>
      </c>
      <c r="T67" s="177"/>
      <c r="U67" s="177"/>
      <c r="V67" s="177"/>
      <c r="W67" s="76"/>
      <c r="X67" s="76"/>
      <c r="Y67" s="76"/>
      <c r="Z67" s="76"/>
    </row>
    <row r="68">
      <c r="A68" s="176">
        <v>15863.0</v>
      </c>
      <c r="B68" s="177" t="str">
        <f>VLOOKUP(A68,'FML March 2026'!E:F,2,false)</f>
        <v>CRACKER CRUMBS GRAHAM (USA)</v>
      </c>
      <c r="C68" s="177" t="str">
        <f>VLOOKUP(A68,'Unit of Measure ship March 2026'!A:C,3,false)</f>
        <v>LBS</v>
      </c>
      <c r="D68" s="177"/>
      <c r="E68" s="176">
        <v>110020.0</v>
      </c>
      <c r="F68" s="177" t="str">
        <f>VLOOKUP(E68,'FML March 2026'!E:F,2,false)</f>
        <v>COCONUT FLAKES UNSWEETENED BOBS RED MILL CS4/24OZ</v>
      </c>
      <c r="G68" s="177" t="str">
        <f>VLOOKUP(E68,'Unit of Measure ship March 2026'!A:C,3,false)</f>
        <v>LBS</v>
      </c>
      <c r="H68" s="177"/>
      <c r="I68" s="176"/>
      <c r="J68" s="177"/>
      <c r="K68" s="177"/>
      <c r="L68" s="177"/>
      <c r="M68" s="176">
        <v>40584.0</v>
      </c>
      <c r="N68" s="177" t="str">
        <f>VLOOKUP(M68,'FML March 2026'!E:F,2,false)</f>
        <v>CLOVES GROUND PKG 16 OZ BADIA (USA )</v>
      </c>
      <c r="O68" s="177" t="str">
        <f>VLOOKUP(M68,'Unit of Measure ship March 2026'!A:C,3,false)</f>
        <v>LBS</v>
      </c>
      <c r="P68" s="177"/>
      <c r="Q68" s="179">
        <v>110912.0</v>
      </c>
      <c r="R68" s="177" t="str">
        <f>VLOOKUP(Q68,'FML March 2026'!E:F,2,false)</f>
        <v>SPROUTS GREEN PEA TENDRIL</v>
      </c>
      <c r="S68" s="177" t="str">
        <f>VLOOKUP(Q68,'Unit of Measure ship March 2026'!A:C,3,false)</f>
        <v>LBS</v>
      </c>
      <c r="T68" s="177"/>
      <c r="U68" s="177"/>
      <c r="V68" s="177"/>
      <c r="W68" s="76"/>
      <c r="X68" s="76"/>
      <c r="Y68" s="76"/>
      <c r="Z68" s="76"/>
    </row>
    <row r="69">
      <c r="A69" s="176">
        <v>15707.0</v>
      </c>
      <c r="B69" s="177" t="str">
        <f>VLOOKUP(A69,'FML March 2026'!E:F,2,false)</f>
        <v>CRANBERRIES DRIED 10 LB OCEAN SPRAY (USA)</v>
      </c>
      <c r="C69" s="177" t="str">
        <f>VLOOKUP(A69,'Unit of Measure ship March 2026'!A:C,3,false)</f>
        <v>LBS</v>
      </c>
      <c r="D69" s="177"/>
      <c r="E69" s="177">
        <v>62920.0</v>
      </c>
      <c r="F69" s="177" t="str">
        <f>VLOOKUP(E69,'FML March 2026'!E:F,2,false)</f>
        <v>COCONUT MILK CS24/14OZ  17% TO 18%</v>
      </c>
      <c r="G69" s="177" t="str">
        <f>VLOOKUP(E69,'Unit of Measure ship March 2026'!A:C,3,false)</f>
        <v>PC/13.5Z</v>
      </c>
      <c r="H69" s="177"/>
      <c r="I69" s="176"/>
      <c r="J69" s="177"/>
      <c r="K69" s="177"/>
      <c r="L69" s="177"/>
      <c r="M69" s="176">
        <v>16254.0</v>
      </c>
      <c r="N69" s="177" t="str">
        <f>VLOOKUP(M69,'FML March 2026'!E:F,2,false)</f>
        <v>CLOVES WHOLE D`ALLESANDRO/ SPICECO</v>
      </c>
      <c r="O69" s="177" t="str">
        <f>VLOOKUP(M69,'Unit of Measure ship March 2026'!A:C,3,false)</f>
        <v>LBS</v>
      </c>
      <c r="P69" s="177"/>
      <c r="Q69" s="178">
        <v>15323.0</v>
      </c>
      <c r="R69" s="177" t="str">
        <f>VLOOKUP(Q69,'FML March 2026'!E:F,2,false)</f>
        <v>STAR FRUIT 16-30 CT. 7#</v>
      </c>
      <c r="S69" s="177" t="str">
        <f>VLOOKUP(Q69,'Unit of Measure ship March 2026'!A:C,3,false)</f>
        <v>LBS</v>
      </c>
      <c r="T69" s="177"/>
      <c r="U69" s="177"/>
      <c r="V69" s="177"/>
      <c r="W69" s="76"/>
      <c r="X69" s="76"/>
      <c r="Y69" s="76"/>
      <c r="Z69" s="76"/>
    </row>
    <row r="70">
      <c r="A70" s="176">
        <v>14987.0</v>
      </c>
      <c r="B70" s="177" t="str">
        <f>VLOOKUP(A70,'FML March 2026'!E:F,2,false)</f>
        <v>CREAM CHEESE QUESCREM/PHILADELPHIA FOR BAKERY</v>
      </c>
      <c r="C70" s="177" t="str">
        <f>VLOOKUP(A70,'Unit of Measure ship March 2026'!A:C,3,false)</f>
        <v>LBS</v>
      </c>
      <c r="D70" s="177"/>
      <c r="E70" s="176">
        <v>109675.0</v>
      </c>
      <c r="F70" s="177" t="str">
        <f>VLOOKUP(E70,'FML March 2026'!E:F,2,false)</f>
        <v>COCONUT OIL LA TOURANGELLE</v>
      </c>
      <c r="G70" s="177" t="str">
        <f>VLOOKUP(E70,'Unit of Measure ship March 2026'!A:C,3,false)</f>
        <v>GAL</v>
      </c>
      <c r="H70" s="177"/>
      <c r="I70" s="176"/>
      <c r="J70" s="177"/>
      <c r="K70" s="177"/>
      <c r="L70" s="177"/>
      <c r="M70" s="176">
        <v>35447.0</v>
      </c>
      <c r="N70" s="177" t="str">
        <f>VLOOKUP(M70,'FML March 2026'!E:F,2,false)</f>
        <v>COCOA BUTTER CALLEBAUT/ COCOA BARRY</v>
      </c>
      <c r="O70" s="177" t="str">
        <f>VLOOKUP(M70,'Unit of Measure ship March 2026'!A:C,3,false)</f>
        <v>LBS</v>
      </c>
      <c r="P70" s="177"/>
      <c r="Q70" s="178">
        <v>15420.0</v>
      </c>
      <c r="R70" s="177" t="str">
        <f>VLOOKUP(Q70,'FML March 2026'!E:F,2,false)</f>
        <v>STRAWBERRIES DRISCOL CAL. LIGHT RED, PINTS</v>
      </c>
      <c r="S70" s="177" t="str">
        <f>VLOOKUP(Q70,'Unit of Measure ship March 2026'!A:C,3,false)</f>
        <v>LBS</v>
      </c>
      <c r="T70" s="177"/>
      <c r="U70" s="177"/>
      <c r="V70" s="177"/>
      <c r="W70" s="76"/>
      <c r="X70" s="76"/>
      <c r="Y70" s="76"/>
      <c r="Z70" s="76"/>
    </row>
    <row r="71">
      <c r="A71" s="176">
        <v>51096.0</v>
      </c>
      <c r="B71" s="177" t="str">
        <f>VLOOKUP(A71,'FML March 2026'!E:F,2,false)</f>
        <v>CREME BRULE BASE MIX 4/5 LB  PASTRY STAR (FRANCE)</v>
      </c>
      <c r="C71" s="177" t="str">
        <f>VLOOKUP(A71,'Unit of Measure ship March 2026'!A:C,3,false)</f>
        <v>LBS</v>
      </c>
      <c r="D71" s="177"/>
      <c r="E71" s="176">
        <v>15792.0</v>
      </c>
      <c r="F71" s="177" t="str">
        <f>VLOOKUP(E71,'FML March 2026'!E:F,2,false)</f>
        <v>COCONUT SHREDDED MEDIUM</v>
      </c>
      <c r="G71" s="177" t="str">
        <f>VLOOKUP(E71,'Unit of Measure ship March 2026'!A:C,3,false)</f>
        <v>LBS</v>
      </c>
      <c r="H71" s="177"/>
      <c r="I71" s="176"/>
      <c r="J71" s="177"/>
      <c r="K71" s="177"/>
      <c r="L71" s="177"/>
      <c r="M71" s="176">
        <v>15697.0</v>
      </c>
      <c r="N71" s="177" t="str">
        <f>VLOOKUP(M71,'FML March 2026'!E:F,2,false)</f>
        <v>COCOA EXTRA BRUT 6/1 KG. RED COCOA POWDER CALLEBAUT/ COCOA BARRY</v>
      </c>
      <c r="O71" s="177" t="str">
        <f>VLOOKUP(M71,'Unit of Measure ship March 2026'!A:C,3,false)</f>
        <v>LBS</v>
      </c>
      <c r="P71" s="177"/>
      <c r="Q71" s="178">
        <v>109755.0</v>
      </c>
      <c r="R71" s="177" t="str">
        <f>VLOOKUP(Q71,'FML March 2026'!E:F,2,false)</f>
        <v>SWEET POTATOES PURPLE YAM OR UBE</v>
      </c>
      <c r="S71" s="177" t="str">
        <f>VLOOKUP(Q71,'Unit of Measure ship March 2026'!A:C,3,false)</f>
        <v>LBS</v>
      </c>
      <c r="T71" s="177"/>
      <c r="U71" s="177"/>
      <c r="V71" s="177"/>
      <c r="W71" s="76"/>
      <c r="X71" s="76"/>
      <c r="Y71" s="76"/>
      <c r="Z71" s="76"/>
    </row>
    <row r="72">
      <c r="A72" s="176">
        <v>11882.0</v>
      </c>
      <c r="B72" s="177" t="str">
        <f>VLOOKUP(A72,'FML March 2026'!E:F,2,false)</f>
        <v>CREME FRAICHE</v>
      </c>
      <c r="C72" s="177" t="str">
        <f>VLOOKUP(A72,'Unit of Measure ship March 2026'!A:C,3,false)</f>
        <v>QRT</v>
      </c>
      <c r="D72" s="177"/>
      <c r="E72" s="176">
        <v>51160.0</v>
      </c>
      <c r="F72" s="177" t="str">
        <f>VLOOKUP(E72,'FML March 2026'!E:F,2,false)</f>
        <v>COFFEE EXTRACT, TRABLIT  12/1 LT</v>
      </c>
      <c r="G72" s="177" t="str">
        <f>VLOOKUP(E72,'Unit of Measure ship March 2026'!A:C,3,false)</f>
        <v>LT</v>
      </c>
      <c r="H72" s="177"/>
      <c r="I72" s="176"/>
      <c r="J72" s="177"/>
      <c r="K72" s="177"/>
      <c r="L72" s="177"/>
      <c r="M72" s="176">
        <v>109627.0</v>
      </c>
      <c r="N72" s="177" t="str">
        <f>VLOOKUP(M72,'FML March 2026'!E:F,2,false)</f>
        <v>COCOA POWDER BLACK CACAO NOEL/  KING ARTHUR</v>
      </c>
      <c r="O72" s="177" t="str">
        <f>VLOOKUP(M72,'Unit of Measure ship March 2026'!A:C,3,false)</f>
        <v>KG</v>
      </c>
      <c r="P72" s="177"/>
      <c r="Q72" s="178">
        <v>15325.0</v>
      </c>
      <c r="R72" s="177" t="str">
        <f>VLOOKUP(Q72,'FML March 2026'!E:F,2,false)</f>
        <v>TANGERINES #1, CAL, FL 80CT 40#</v>
      </c>
      <c r="S72" s="177" t="str">
        <f>VLOOKUP(Q72,'Unit of Measure ship March 2026'!A:C,3,false)</f>
        <v>LBS</v>
      </c>
      <c r="T72" s="177"/>
      <c r="U72" s="177"/>
      <c r="V72" s="177"/>
      <c r="W72" s="76"/>
      <c r="X72" s="76"/>
      <c r="Y72" s="76"/>
      <c r="Z72" s="76"/>
    </row>
    <row r="73">
      <c r="A73" s="176">
        <v>16256.0</v>
      </c>
      <c r="B73" s="177" t="str">
        <f>VLOOKUP(A73,'FML March 2026'!E:F,2,false)</f>
        <v>CUMIN GROUND D`ALLESANDRO/ SPICECO (USA )</v>
      </c>
      <c r="C73" s="177" t="str">
        <f>VLOOKUP(A73,'Unit of Measure ship March 2026'!A:C,3,false)</f>
        <v>LBS</v>
      </c>
      <c r="D73" s="177"/>
      <c r="E73" s="176">
        <v>51438.0</v>
      </c>
      <c r="F73" s="177" t="str">
        <f>VLOOKUP(E73,'FML March 2026'!E:F,2,false)</f>
        <v>COLORANT SCINTILLANT OR INCA 30 CC</v>
      </c>
      <c r="G73" s="177" t="str">
        <f>VLOOKUP(E73,'Unit of Measure ship March 2026'!A:C,3,false)</f>
        <v>JAR/2OZ</v>
      </c>
      <c r="H73" s="177"/>
      <c r="I73" s="176"/>
      <c r="J73" s="177"/>
      <c r="K73" s="177"/>
      <c r="L73" s="177"/>
      <c r="M73" s="182">
        <v>110020.0</v>
      </c>
      <c r="N73" s="177" t="str">
        <f>VLOOKUP(M73,'FML March 2026'!E:F,2,false)</f>
        <v>COCONUT FLAKES UNSWEETENED BOBS RED MILL CS4/24OZ</v>
      </c>
      <c r="O73" s="177" t="str">
        <f>VLOOKUP(M73,'Unit of Measure ship March 2026'!A:C,3,false)</f>
        <v>LBS</v>
      </c>
      <c r="P73" s="177"/>
      <c r="Q73" s="179">
        <v>15442.0</v>
      </c>
      <c r="R73" s="177" t="str">
        <f>VLOOKUP(Q73,'FML March 2026'!E:F,2,false)</f>
        <v>TARRAGON (12 BUNCH), 1 LB/CS</v>
      </c>
      <c r="S73" s="177" t="str">
        <f>VLOOKUP(Q73,'Unit of Measure ship March 2026'!A:C,3,false)</f>
        <v>LBS</v>
      </c>
      <c r="T73" s="177"/>
      <c r="U73" s="177"/>
      <c r="V73" s="177"/>
      <c r="W73" s="76"/>
      <c r="X73" s="76"/>
      <c r="Y73" s="76"/>
      <c r="Z73" s="76"/>
    </row>
    <row r="74">
      <c r="A74" s="176">
        <v>109630.0</v>
      </c>
      <c r="B74" s="177" t="str">
        <f>VLOOKUP(A74,'FML March 2026'!E:F,2,false)</f>
        <v>CURRANTS DRIED HIALEAH</v>
      </c>
      <c r="C74" s="177" t="str">
        <f>VLOOKUP(A74,'Unit of Measure ship March 2026'!A:C,3,false)</f>
        <v>KG</v>
      </c>
      <c r="D74" s="177"/>
      <c r="E74" s="176">
        <v>111228.0</v>
      </c>
      <c r="F74" s="177" t="str">
        <f>VLOOKUP(E74,'FML March 2026'!E:F,2,false)</f>
        <v>COOKIE DOUGH  CHOCOLATE CHIP  CS144/1.5  OZ  MAUI FOODS V</v>
      </c>
      <c r="G74" s="177" t="str">
        <f>VLOOKUP(E74,'Unit of Measure ship March 2026'!A:C,3,false)</f>
        <v>CS144/PC</v>
      </c>
      <c r="H74" s="177"/>
      <c r="I74" s="176"/>
      <c r="J74" s="177"/>
      <c r="K74" s="177"/>
      <c r="L74" s="177"/>
      <c r="M74" s="176">
        <v>110020.0</v>
      </c>
      <c r="N74" s="177" t="str">
        <f>VLOOKUP(M74,'FML March 2026'!E:F,2,false)</f>
        <v>COCONUT FLAKES UNSWEETENED BOBS RED MILL CS4/24OZ</v>
      </c>
      <c r="O74" s="177" t="str">
        <f>VLOOKUP(M74,'Unit of Measure ship March 2026'!A:C,3,false)</f>
        <v>LBS</v>
      </c>
      <c r="P74" s="177"/>
      <c r="Q74" s="179">
        <v>15446.0</v>
      </c>
      <c r="R74" s="177" t="str">
        <f>VLOOKUP(Q74,'FML March 2026'!E:F,2,false)</f>
        <v>THYME FRESH</v>
      </c>
      <c r="S74" s="177" t="str">
        <f>VLOOKUP(Q74,'Unit of Measure ship March 2026'!A:C,3,false)</f>
        <v>LBS</v>
      </c>
      <c r="T74" s="177"/>
      <c r="U74" s="177"/>
      <c r="V74" s="177"/>
      <c r="W74" s="76"/>
      <c r="X74" s="76"/>
      <c r="Y74" s="76"/>
      <c r="Z74" s="76"/>
    </row>
    <row r="75">
      <c r="A75" s="176">
        <v>15814.0</v>
      </c>
      <c r="B75" s="177" t="str">
        <f>VLOOKUP(A75,'FML March 2026'!E:F,2,false)</f>
        <v>DATES PITTED DRIED</v>
      </c>
      <c r="C75" s="177" t="str">
        <f>VLOOKUP(A75,'Unit of Measure ship March 2026'!A:C,3,false)</f>
        <v>LBS</v>
      </c>
      <c r="D75" s="177"/>
      <c r="E75" s="176">
        <v>111233.0</v>
      </c>
      <c r="F75" s="177" t="str">
        <f>VLOOKUP(E75,'FML March 2026'!E:F,2,false)</f>
        <v>COOKIE DOUGH  OATMEAL RAISIN  CS144/1.5 OZ  MAUI FOODS V</v>
      </c>
      <c r="G75" s="177" t="str">
        <f>VLOOKUP(E75,'Unit of Measure ship March 2026'!A:C,3,false)</f>
        <v>CS144/PC</v>
      </c>
      <c r="H75" s="177"/>
      <c r="I75" s="176"/>
      <c r="J75" s="177"/>
      <c r="K75" s="177"/>
      <c r="L75" s="177"/>
      <c r="M75" s="177">
        <v>62920.0</v>
      </c>
      <c r="N75" s="177" t="str">
        <f>VLOOKUP(M75,'FML March 2026'!E:F,2,false)</f>
        <v>COCONUT MILK CS24/14OZ  17% TO 18%</v>
      </c>
      <c r="O75" s="177" t="str">
        <f>VLOOKUP(M75,'Unit of Measure ship March 2026'!A:C,3,false)</f>
        <v>PC/13.5Z</v>
      </c>
      <c r="P75" s="177"/>
      <c r="Q75" s="178">
        <v>15537.0</v>
      </c>
      <c r="R75" s="177" t="str">
        <f>VLOOKUP(Q75,'FML March 2026'!E:F,2,false)</f>
        <v>TOMATOES 6X6 #1 18# RED RIPE, FIRM (LAYERED), 55-65 MM</v>
      </c>
      <c r="S75" s="177" t="str">
        <f>VLOOKUP(Q75,'Unit of Measure ship March 2026'!A:C,3,false)</f>
        <v>LBS</v>
      </c>
      <c r="T75" s="177"/>
      <c r="U75" s="177"/>
      <c r="V75" s="177"/>
      <c r="W75" s="76"/>
      <c r="X75" s="76"/>
      <c r="Y75" s="76"/>
      <c r="Z75" s="76"/>
    </row>
    <row r="76">
      <c r="A76" s="176">
        <v>15030.0</v>
      </c>
      <c r="B76" s="177" t="str">
        <f>VLOOKUP(A76,'FML March 2026'!E:F,2,false)</f>
        <v>DOUGH FILO SHEETS ATHENS/ KONTOS 80012 (USA )</v>
      </c>
      <c r="C76" s="177" t="str">
        <f>VLOOKUP(A76,'Unit of Measure ship March 2026'!A:C,3,false)</f>
        <v>LBS</v>
      </c>
      <c r="D76" s="177"/>
      <c r="E76" s="176">
        <v>111230.0</v>
      </c>
      <c r="F76" s="177" t="str">
        <f>VLOOKUP(E76,'FML March 2026'!E:F,2,false)</f>
        <v>COOKIE DOUGH  PEANUT BUTTER  CS144/1.5 OZ  MAUI FOODS V</v>
      </c>
      <c r="G76" s="177" t="str">
        <f>VLOOKUP(E76,'Unit of Measure ship March 2026'!A:C,3,false)</f>
        <v>CS144/PC</v>
      </c>
      <c r="H76" s="177"/>
      <c r="I76" s="176"/>
      <c r="J76" s="177"/>
      <c r="K76" s="177"/>
      <c r="L76" s="177"/>
      <c r="M76" s="176">
        <v>109675.0</v>
      </c>
      <c r="N76" s="177" t="str">
        <f>VLOOKUP(M76,'FML March 2026'!E:F,2,false)</f>
        <v>COCONUT OIL LA TOURANGELLE</v>
      </c>
      <c r="O76" s="177" t="str">
        <f>VLOOKUP(M76,'Unit of Measure ship March 2026'!A:C,3,false)</f>
        <v>GAL</v>
      </c>
      <c r="P76" s="177"/>
      <c r="Q76" s="178">
        <v>15534.0</v>
      </c>
      <c r="R76" s="177" t="str">
        <f>VLOOKUP(Q76,'FML March 2026'!E:F,2,false)</f>
        <v>TOMATOES CHERRY #1 (GRAPE) 10 PINK, RED, FIRM SMALL</v>
      </c>
      <c r="S76" s="177" t="str">
        <f>VLOOKUP(Q76,'Unit of Measure ship March 2026'!A:C,3,false)</f>
        <v>LBS</v>
      </c>
      <c r="T76" s="177"/>
      <c r="U76" s="177"/>
      <c r="V76" s="177"/>
      <c r="W76" s="76"/>
      <c r="X76" s="76"/>
      <c r="Y76" s="76"/>
      <c r="Z76" s="76"/>
    </row>
    <row r="77">
      <c r="A77" s="176">
        <v>112726.0</v>
      </c>
      <c r="B77" s="177" t="str">
        <f>VLOOKUP(A77,'FML March 2026'!E:F,2,false)</f>
        <v>EGG SHELL NATURAL  BROWN CUT TOP PKG15/PC JB PRINCE</v>
      </c>
      <c r="C77" s="177" t="str">
        <f>VLOOKUP(A77,'Unit of Measure ship March 2026'!A:C,3,false)</f>
        <v>EA</v>
      </c>
      <c r="D77" s="177"/>
      <c r="E77" s="176">
        <v>111226.0</v>
      </c>
      <c r="F77" s="177" t="str">
        <f>VLOOKUP(E77,'FML March 2026'!E:F,2,false)</f>
        <v>COOKIE DOUGH  S'MORES  CS144/1.5 OZ  MAUI FOODS V</v>
      </c>
      <c r="G77" s="177" t="str">
        <f>VLOOKUP(E77,'Unit of Measure ship March 2026'!A:C,3,false)</f>
        <v>CS144/PC</v>
      </c>
      <c r="H77" s="177"/>
      <c r="I77" s="176"/>
      <c r="J77" s="177"/>
      <c r="K77" s="177"/>
      <c r="L77" s="177"/>
      <c r="M77" s="176">
        <v>15792.0</v>
      </c>
      <c r="N77" s="177" t="str">
        <f>VLOOKUP(M77,'FML March 2026'!E:F,2,false)</f>
        <v>COCONUT SHREDDED MEDIUM</v>
      </c>
      <c r="O77" s="177" t="str">
        <f>VLOOKUP(M77,'Unit of Measure ship March 2026'!A:C,3,false)</f>
        <v>LBS</v>
      </c>
      <c r="P77" s="177"/>
      <c r="Q77" s="178">
        <v>109765.0</v>
      </c>
      <c r="R77" s="177" t="str">
        <f>VLOOKUP(Q77,'FML March 2026'!E:F,2,false)</f>
        <v>TOMATOES CHERRY MIXED HEIRLOOM</v>
      </c>
      <c r="S77" s="177" t="str">
        <f>VLOOKUP(Q77,'Unit of Measure ship March 2026'!A:C,3,false)</f>
        <v>LBS</v>
      </c>
      <c r="T77" s="177"/>
      <c r="U77" s="177"/>
      <c r="V77" s="177"/>
      <c r="W77" s="76"/>
      <c r="X77" s="76"/>
      <c r="Y77" s="76"/>
      <c r="Z77" s="76"/>
    </row>
    <row r="78">
      <c r="A78" s="176">
        <v>15025.0</v>
      </c>
      <c r="B78" s="177" t="str">
        <f>VLOOKUP(A78,'FML March 2026'!E:F,2,false)</f>
        <v>EGG WHITES FROZEN 6/5# PAPETTI/ 12X1KG EUROVO/15X2LB DEBEL (USA)</v>
      </c>
      <c r="C78" s="177" t="str">
        <f>VLOOKUP(A78,'Unit of Measure ship March 2026'!A:C,3,false)</f>
        <v>LBS</v>
      </c>
      <c r="D78" s="177"/>
      <c r="E78" s="176">
        <v>111232.0</v>
      </c>
      <c r="F78" s="177" t="str">
        <f>VLOOKUP(E78,'FML March 2026'!E:F,2,false)</f>
        <v>COOKIE DOUGH  WHITE CHOCOLATE MACADAMIA  CS144/1.5 OZ  MAUI FOODS V</v>
      </c>
      <c r="G78" s="177" t="str">
        <f>VLOOKUP(E78,'Unit of Measure ship March 2026'!A:C,3,false)</f>
        <v>CS144/PC</v>
      </c>
      <c r="H78" s="177"/>
      <c r="I78" s="176"/>
      <c r="J78" s="177"/>
      <c r="K78" s="177"/>
      <c r="L78" s="177"/>
      <c r="M78" s="176">
        <v>51438.0</v>
      </c>
      <c r="N78" s="177" t="str">
        <f>VLOOKUP(M78,'FML March 2026'!E:F,2,false)</f>
        <v>COLORANT SCINTILLANT OR INCA 30 CC</v>
      </c>
      <c r="O78" s="177" t="str">
        <f>VLOOKUP(M78,'Unit of Measure ship March 2026'!A:C,3,false)</f>
        <v>JAR/2OZ</v>
      </c>
      <c r="P78" s="177"/>
      <c r="Q78" s="179">
        <v>110101.0</v>
      </c>
      <c r="R78" s="177" t="str">
        <f>VLOOKUP(Q78,'FML March 2026'!E:F,2,false)</f>
        <v>VIOLAS, FRESH FLOWER</v>
      </c>
      <c r="S78" s="177" t="str">
        <f>VLOOKUP(Q78,'Unit of Measure ship March 2026'!A:C,3,false)</f>
        <v>EA</v>
      </c>
      <c r="T78" s="177"/>
      <c r="U78" s="177"/>
      <c r="V78" s="177"/>
      <c r="W78" s="76"/>
      <c r="X78" s="76"/>
      <c r="Y78" s="76"/>
      <c r="Z78" s="76"/>
    </row>
    <row r="79">
      <c r="A79" s="176">
        <v>15027.0</v>
      </c>
      <c r="B79" s="177" t="str">
        <f>VLOOKUP(A79,'FML March 2026'!E:F,2,false)</f>
        <v>EGG YOLKS FROZEN NO SUGAR OR SALT ADDED 6/5 LB SUNNY FRESH/ DEBEL (USA)</v>
      </c>
      <c r="C79" s="177" t="str">
        <f>VLOOKUP(A79,'Unit of Measure ship March 2026'!A:C,3,false)</f>
        <v>LBS</v>
      </c>
      <c r="D79" s="177"/>
      <c r="E79" s="176">
        <v>16184.0</v>
      </c>
      <c r="F79" s="177" t="str">
        <f>VLOOKUP(E79,'FML March 2026'!E:F,2,false)</f>
        <v>CORNSTARCH BULK</v>
      </c>
      <c r="G79" s="177" t="str">
        <f>VLOOKUP(E79,'Unit of Measure ship March 2026'!A:C,3,false)</f>
        <v>LBS</v>
      </c>
      <c r="H79" s="177"/>
      <c r="I79" s="176"/>
      <c r="J79" s="177"/>
      <c r="K79" s="177"/>
      <c r="L79" s="177"/>
      <c r="M79" s="176">
        <v>14546.0</v>
      </c>
      <c r="N79" s="177" t="str">
        <f>VLOOKUP(M79,'FML March 2026'!E:F,2,false)</f>
        <v>COOKED HAM NATURAL JUICE (BOILED HAM EXTRA)</v>
      </c>
      <c r="O79" s="177" t="str">
        <f>VLOOKUP(M79,'Unit of Measure ship March 2026'!A:C,3,false)</f>
        <v>LBS</v>
      </c>
      <c r="P79" s="177"/>
      <c r="Q79" s="178">
        <v>15425.0</v>
      </c>
      <c r="R79" s="177" t="str">
        <f>VLOOKUP(Q79,'FML March 2026'!E:F,2,false)</f>
        <v>WATERMELONS SEEDLESS 4CT/6C 32#</v>
      </c>
      <c r="S79" s="177" t="str">
        <f>VLOOKUP(Q79,'Unit of Measure ship March 2026'!A:C,3,false)</f>
        <v>LBS</v>
      </c>
      <c r="T79" s="177"/>
      <c r="U79" s="177"/>
      <c r="V79" s="177"/>
      <c r="W79" s="76"/>
      <c r="X79" s="76"/>
      <c r="Y79" s="76"/>
      <c r="Z79" s="76"/>
    </row>
    <row r="80">
      <c r="A80" s="176">
        <v>15022.0</v>
      </c>
      <c r="B80" s="177" t="str">
        <f>VLOOKUP(A80,'FML March 2026'!E:F,2,false)</f>
        <v>EGGS-DATED, MEDIUM, REGULAR</v>
      </c>
      <c r="C80" s="177" t="str">
        <f>VLOOKUP(A80,'Unit of Measure ship March 2026'!A:C,3,false)</f>
        <v>PC</v>
      </c>
      <c r="D80" s="177"/>
      <c r="E80" s="176">
        <v>15863.0</v>
      </c>
      <c r="F80" s="177" t="str">
        <f>VLOOKUP(E80,'FML March 2026'!E:F,2,false)</f>
        <v>CRACKER CRUMBS GRAHAM (USA)</v>
      </c>
      <c r="G80" s="177" t="str">
        <f>VLOOKUP(E80,'Unit of Measure ship March 2026'!A:C,3,false)</f>
        <v>LBS</v>
      </c>
      <c r="H80" s="177"/>
      <c r="I80" s="176"/>
      <c r="J80" s="177"/>
      <c r="K80" s="177"/>
      <c r="L80" s="177"/>
      <c r="M80" s="176">
        <v>111228.0</v>
      </c>
      <c r="N80" s="177" t="str">
        <f>VLOOKUP(M80,'FML March 2026'!E:F,2,false)</f>
        <v>COOKIE DOUGH  CHOCOLATE CHIP  CS144/1.5  OZ  MAUI FOODS V</v>
      </c>
      <c r="O80" s="177" t="str">
        <f>VLOOKUP(M80,'Unit of Measure ship March 2026'!A:C,3,false)</f>
        <v>CS144/PC</v>
      </c>
      <c r="P80" s="177"/>
      <c r="Q80" s="177"/>
      <c r="R80" s="177"/>
      <c r="S80" s="177"/>
      <c r="T80" s="177"/>
      <c r="U80" s="177"/>
      <c r="V80" s="177"/>
      <c r="W80" s="76"/>
      <c r="X80" s="76"/>
      <c r="Y80" s="76"/>
      <c r="Z80" s="76"/>
    </row>
    <row r="81">
      <c r="A81" s="176">
        <v>15026.0</v>
      </c>
      <c r="B81" s="177" t="str">
        <f>VLOOKUP(A81,'FML March 2026'!E:F,2,false)</f>
        <v>EGGS, WHOLE, LIQUID, W/ CITRIC ACID, NO SUGAR, 1-5 LB/1-5 LT, FZN, 6/5 LB</v>
      </c>
      <c r="C81" s="177" t="str">
        <f>VLOOKUP(A81,'Unit of Measure ship March 2026'!A:C,3,false)</f>
        <v>LBS</v>
      </c>
      <c r="D81" s="177"/>
      <c r="E81" s="176">
        <v>15707.0</v>
      </c>
      <c r="F81" s="177" t="str">
        <f>VLOOKUP(E81,'FML March 2026'!E:F,2,false)</f>
        <v>CRANBERRIES DRIED 10 LB OCEAN SPRAY (USA)</v>
      </c>
      <c r="G81" s="177" t="str">
        <f>VLOOKUP(E81,'Unit of Measure ship March 2026'!A:C,3,false)</f>
        <v>LBS</v>
      </c>
      <c r="H81" s="177"/>
      <c r="I81" s="176"/>
      <c r="J81" s="177"/>
      <c r="K81" s="177"/>
      <c r="L81" s="177"/>
      <c r="M81" s="176">
        <v>111227.0</v>
      </c>
      <c r="N81" s="177" t="str">
        <f>VLOOKUP(M81,'FML March 2026'!E:F,2,false)</f>
        <v>COOKIE DOUGH  CHOCOLATE CHIP MACADAMIA NUT  CS144/1.5  OZ  MAUI FOODS V</v>
      </c>
      <c r="O81" s="177" t="str">
        <f>VLOOKUP(M81,'Unit of Measure ship March 2026'!A:C,3,false)</f>
        <v>CS144/PC</v>
      </c>
      <c r="P81" s="177"/>
      <c r="Q81" s="179"/>
      <c r="R81" s="177"/>
      <c r="S81" s="177"/>
      <c r="T81" s="177"/>
      <c r="U81" s="177"/>
      <c r="V81" s="177"/>
      <c r="W81" s="76"/>
      <c r="X81" s="76"/>
      <c r="Y81" s="76"/>
      <c r="Z81" s="76"/>
    </row>
    <row r="82">
      <c r="A82" s="176">
        <v>15662.0</v>
      </c>
      <c r="B82" s="177" t="str">
        <f>VLOOKUP(A82,'FML March 2026'!E:F,2,false)</f>
        <v>EXTRACT ALMOND PURE BITTER 1/KG SEVAROME DREIDOPPEL</v>
      </c>
      <c r="C82" s="177" t="str">
        <f>VLOOKUP(A82,'Unit of Measure ship March 2026'!A:C,3,false)</f>
        <v>QRT</v>
      </c>
      <c r="D82" s="177"/>
      <c r="E82" s="176">
        <v>14987.0</v>
      </c>
      <c r="F82" s="177" t="str">
        <f>VLOOKUP(E82,'FML March 2026'!E:F,2,false)</f>
        <v>CREAM CHEESE QUESCREM/PHILADELPHIA FOR BAKERY</v>
      </c>
      <c r="G82" s="177" t="str">
        <f>VLOOKUP(E82,'Unit of Measure ship March 2026'!A:C,3,false)</f>
        <v>LBS</v>
      </c>
      <c r="H82" s="177"/>
      <c r="I82" s="176"/>
      <c r="J82" s="177"/>
      <c r="K82" s="177"/>
      <c r="L82" s="177"/>
      <c r="M82" s="176">
        <v>111233.0</v>
      </c>
      <c r="N82" s="177" t="str">
        <f>VLOOKUP(M82,'FML March 2026'!E:F,2,false)</f>
        <v>COOKIE DOUGH  OATMEAL RAISIN  CS144/1.5 OZ  MAUI FOODS V</v>
      </c>
      <c r="O82" s="177" t="str">
        <f>VLOOKUP(M82,'Unit of Measure ship March 2026'!A:C,3,false)</f>
        <v>CS144/PC</v>
      </c>
      <c r="P82" s="177"/>
      <c r="Q82" s="178"/>
      <c r="R82" s="177"/>
      <c r="S82" s="177"/>
      <c r="T82" s="177"/>
      <c r="U82" s="177"/>
      <c r="V82" s="177"/>
      <c r="W82" s="76"/>
      <c r="X82" s="76"/>
      <c r="Y82" s="76"/>
      <c r="Z82" s="76"/>
    </row>
    <row r="83">
      <c r="A83" s="176">
        <v>15716.0</v>
      </c>
      <c r="B83" s="177" t="str">
        <f>VLOOKUP(A83,'FML March 2026'!E:F,2,false)</f>
        <v>FLAVOR VANILLA BOURBON ROYALE FOR ICE CREAM 1 GALLON PASTRY STAR (USA)</v>
      </c>
      <c r="C83" s="177" t="str">
        <f>VLOOKUP(A83,'Unit of Measure ship March 2026'!A:C,3,false)</f>
        <v>GAL</v>
      </c>
      <c r="D83" s="177"/>
      <c r="E83" s="176">
        <v>51096.0</v>
      </c>
      <c r="F83" s="177" t="str">
        <f>VLOOKUP(E83,'FML March 2026'!E:F,2,false)</f>
        <v>CREME BRULE BASE MIX 4/5 LB  PASTRY STAR (FRANCE)</v>
      </c>
      <c r="G83" s="177" t="str">
        <f>VLOOKUP(E83,'Unit of Measure ship March 2026'!A:C,3,false)</f>
        <v>LBS</v>
      </c>
      <c r="H83" s="177"/>
      <c r="I83" s="176"/>
      <c r="J83" s="177"/>
      <c r="K83" s="177"/>
      <c r="L83" s="177"/>
      <c r="M83" s="176">
        <v>111230.0</v>
      </c>
      <c r="N83" s="177" t="str">
        <f>VLOOKUP(M83,'FML March 2026'!E:F,2,false)</f>
        <v>COOKIE DOUGH  PEANUT BUTTER  CS144/1.5 OZ  MAUI FOODS V</v>
      </c>
      <c r="O83" s="177" t="str">
        <f>VLOOKUP(M83,'Unit of Measure ship March 2026'!A:C,3,false)</f>
        <v>CS144/PC</v>
      </c>
      <c r="P83" s="177"/>
      <c r="Q83" s="178"/>
      <c r="R83" s="177"/>
      <c r="S83" s="177"/>
      <c r="T83" s="177"/>
      <c r="U83" s="177"/>
      <c r="V83" s="177"/>
      <c r="W83" s="76"/>
      <c r="X83" s="76"/>
      <c r="Y83" s="76"/>
      <c r="Z83" s="76"/>
    </row>
    <row r="84">
      <c r="A84" s="176">
        <v>109647.0</v>
      </c>
      <c r="B84" s="177" t="str">
        <f>VLOOKUP(A84,'FML March 2026'!E:F,2,false)</f>
        <v>FLAX MEAL BOBS RED MILL</v>
      </c>
      <c r="C84" s="177" t="str">
        <f>VLOOKUP(A84,'Unit of Measure ship March 2026'!A:C,3,false)</f>
        <v>KG</v>
      </c>
      <c r="D84" s="177"/>
      <c r="E84" s="176">
        <v>16256.0</v>
      </c>
      <c r="F84" s="177" t="str">
        <f>VLOOKUP(E84,'FML March 2026'!E:F,2,false)</f>
        <v>CUMIN GROUND D`ALLESANDRO/ SPICECO (USA )</v>
      </c>
      <c r="G84" s="177" t="str">
        <f>VLOOKUP(E84,'Unit of Measure ship March 2026'!A:C,3,false)</f>
        <v>LBS</v>
      </c>
      <c r="H84" s="177"/>
      <c r="I84" s="176"/>
      <c r="J84" s="177"/>
      <c r="K84" s="177"/>
      <c r="L84" s="177"/>
      <c r="M84" s="176">
        <v>111226.0</v>
      </c>
      <c r="N84" s="177" t="str">
        <f>VLOOKUP(M84,'FML March 2026'!E:F,2,false)</f>
        <v>COOKIE DOUGH  S'MORES  CS144/1.5 OZ  MAUI FOODS V</v>
      </c>
      <c r="O84" s="177" t="str">
        <f>VLOOKUP(M84,'Unit of Measure ship March 2026'!A:C,3,false)</f>
        <v>CS144/PC</v>
      </c>
      <c r="P84" s="177"/>
      <c r="Q84" s="178"/>
      <c r="R84" s="177"/>
      <c r="S84" s="177"/>
      <c r="T84" s="177"/>
      <c r="U84" s="177"/>
      <c r="V84" s="177"/>
      <c r="W84" s="76"/>
      <c r="X84" s="76"/>
      <c r="Y84" s="76"/>
      <c r="Z84" s="76"/>
    </row>
    <row r="85">
      <c r="A85" s="176">
        <v>109641.0</v>
      </c>
      <c r="B85" s="177" t="str">
        <f>VLOOKUP(A85,'FML March 2026'!E:F,2,false)</f>
        <v>FLOUR CAKE KING ARTHUR</v>
      </c>
      <c r="C85" s="177" t="str">
        <f>VLOOKUP(A85,'Unit of Measure ship March 2026'!A:C,3,false)</f>
        <v>KG</v>
      </c>
      <c r="D85" s="177"/>
      <c r="E85" s="176">
        <v>109630.0</v>
      </c>
      <c r="F85" s="177" t="str">
        <f>VLOOKUP(E85,'FML March 2026'!E:F,2,false)</f>
        <v>CURRANTS DRIED HIALEAH</v>
      </c>
      <c r="G85" s="177" t="str">
        <f>VLOOKUP(E85,'Unit of Measure ship March 2026'!A:C,3,false)</f>
        <v>KG</v>
      </c>
      <c r="H85" s="177"/>
      <c r="I85" s="176"/>
      <c r="J85" s="177"/>
      <c r="K85" s="177"/>
      <c r="L85" s="177"/>
      <c r="M85" s="176">
        <v>111310.0</v>
      </c>
      <c r="N85" s="177" t="str">
        <f>VLOOKUP(M85,'FML March 2026'!E:F,2,false)</f>
        <v>COOKIE DOUGH  SUGAR FREE CHOCOLATE CHIP  CS144/1.5  OZ  MAUI FOODS</v>
      </c>
      <c r="O85" s="177" t="str">
        <f>VLOOKUP(M85,'Unit of Measure ship March 2026'!A:C,3,false)</f>
        <v>CS144/PC</v>
      </c>
      <c r="P85" s="177"/>
      <c r="Q85" s="178"/>
      <c r="R85" s="177"/>
      <c r="S85" s="177"/>
      <c r="T85" s="177"/>
      <c r="U85" s="177"/>
      <c r="V85" s="177"/>
      <c r="W85" s="76"/>
      <c r="X85" s="76"/>
      <c r="Y85" s="76"/>
      <c r="Z85" s="76"/>
    </row>
    <row r="86">
      <c r="A86" s="176">
        <v>109639.0</v>
      </c>
      <c r="B86" s="177" t="str">
        <f>VLOOKUP(A86,'FML March 2026'!E:F,2,false)</f>
        <v>FLOUR SIR LANCELOT HIGH GLUTEN  50 LB KING ARTHUR</v>
      </c>
      <c r="C86" s="177" t="str">
        <f>VLOOKUP(A86,'Unit of Measure ship March 2026'!A:C,3,false)</f>
        <v>KG</v>
      </c>
      <c r="D86" s="177"/>
      <c r="E86" s="176">
        <v>15814.0</v>
      </c>
      <c r="F86" s="177" t="str">
        <f>VLOOKUP(E86,'FML March 2026'!E:F,2,false)</f>
        <v>DATES PITTED DRIED</v>
      </c>
      <c r="G86" s="177" t="str">
        <f>VLOOKUP(E86,'Unit of Measure ship March 2026'!A:C,3,false)</f>
        <v>LBS</v>
      </c>
      <c r="H86" s="177"/>
      <c r="I86" s="176"/>
      <c r="J86" s="177"/>
      <c r="K86" s="177"/>
      <c r="L86" s="177"/>
      <c r="M86" s="176">
        <v>111232.0</v>
      </c>
      <c r="N86" s="177" t="str">
        <f>VLOOKUP(M86,'FML March 2026'!E:F,2,false)</f>
        <v>COOKIE DOUGH  WHITE CHOCOLATE MACADAMIA  CS144/1.5 OZ  MAUI FOODS V</v>
      </c>
      <c r="O86" s="177" t="str">
        <f>VLOOKUP(M86,'Unit of Measure ship March 2026'!A:C,3,false)</f>
        <v>CS144/PC</v>
      </c>
      <c r="P86" s="177"/>
      <c r="Q86" s="178"/>
      <c r="R86" s="177"/>
      <c r="S86" s="177"/>
      <c r="T86" s="177"/>
      <c r="U86" s="177"/>
      <c r="V86" s="177"/>
      <c r="W86" s="76"/>
      <c r="X86" s="76"/>
      <c r="Y86" s="76"/>
      <c r="Z86" s="76"/>
    </row>
    <row r="87">
      <c r="A87" s="176">
        <v>39714.0</v>
      </c>
      <c r="B87" s="177" t="str">
        <f>VLOOKUP(A87,'FML March 2026'!E:F,2,false)</f>
        <v>FLOUR TEMPURA FLOUR BULK</v>
      </c>
      <c r="C87" s="177" t="str">
        <f>VLOOKUP(A87,'Unit of Measure ship March 2026'!A:C,3,false)</f>
        <v>LBS</v>
      </c>
      <c r="D87" s="177"/>
      <c r="E87" s="176">
        <v>15025.0</v>
      </c>
      <c r="F87" s="177" t="str">
        <f>VLOOKUP(E87,'FML March 2026'!E:F,2,false)</f>
        <v>EGG WHITES FROZEN 6/5# PAPETTI/ 12X1KG EUROVO/15X2LB DEBEL (USA)</v>
      </c>
      <c r="G87" s="177" t="str">
        <f>VLOOKUP(E87,'Unit of Measure ship March 2026'!A:C,3,false)</f>
        <v>LBS</v>
      </c>
      <c r="H87" s="177"/>
      <c r="I87" s="176"/>
      <c r="J87" s="177"/>
      <c r="K87" s="177"/>
      <c r="L87" s="177"/>
      <c r="M87" s="176">
        <v>111312.0</v>
      </c>
      <c r="N87" s="177" t="str">
        <f>VLOOKUP(M87,'FML March 2026'!E:F,2,false)</f>
        <v>COOKIE DOUGH GLUTEN FREE BELGIAN CHOCOLATE CHIP  CS144/1.5  OZ  MAUI FOODS</v>
      </c>
      <c r="O87" s="177" t="str">
        <f>VLOOKUP(M87,'Unit of Measure ship March 2026'!A:C,3,false)</f>
        <v>CS144/PC</v>
      </c>
      <c r="P87" s="177"/>
      <c r="Q87" s="178"/>
      <c r="R87" s="177"/>
      <c r="S87" s="177"/>
      <c r="T87" s="177"/>
      <c r="U87" s="177"/>
      <c r="V87" s="177"/>
      <c r="W87" s="76"/>
      <c r="X87" s="76"/>
      <c r="Y87" s="76"/>
      <c r="Z87" s="76"/>
    </row>
    <row r="88">
      <c r="A88" s="176">
        <v>30050.0</v>
      </c>
      <c r="B88" s="177" t="str">
        <f>VLOOKUP(A88,'FML March 2026'!E:F,2,false)</f>
        <v>FLOUR, FARINA TIPO "00" ITALIAN FOR PASTA  BARILLA/CAPUTO RF20</v>
      </c>
      <c r="C88" s="177" t="str">
        <f>VLOOKUP(A88,'Unit of Measure ship March 2026'!A:C,3,false)</f>
        <v>LBS</v>
      </c>
      <c r="D88" s="177"/>
      <c r="E88" s="176">
        <v>15027.0</v>
      </c>
      <c r="F88" s="177" t="str">
        <f>VLOOKUP(E88,'FML March 2026'!E:F,2,false)</f>
        <v>EGG YOLKS FROZEN NO SUGAR OR SALT ADDED 6/5 LB SUNNY FRESH/ DEBEL (USA)</v>
      </c>
      <c r="G88" s="177" t="str">
        <f>VLOOKUP(E88,'Unit of Measure ship March 2026'!A:C,3,false)</f>
        <v>LBS</v>
      </c>
      <c r="H88" s="177"/>
      <c r="I88" s="176"/>
      <c r="J88" s="177"/>
      <c r="K88" s="177"/>
      <c r="L88" s="177"/>
      <c r="M88" s="176">
        <v>111311.0</v>
      </c>
      <c r="N88" s="177" t="str">
        <f>VLOOKUP(M88,'FML March 2026'!E:F,2,false)</f>
        <v>COOKIE DOUGH GLUTEN FREE CHOCOLATE CHUNK  CS144/1.5  OZ  MAUI FOODS</v>
      </c>
      <c r="O88" s="177" t="str">
        <f>VLOOKUP(M88,'Unit of Measure ship March 2026'!A:C,3,false)</f>
        <v>CS144/PC</v>
      </c>
      <c r="P88" s="177"/>
      <c r="Q88" s="178"/>
      <c r="R88" s="177"/>
      <c r="S88" s="177"/>
      <c r="T88" s="177"/>
      <c r="U88" s="177"/>
      <c r="V88" s="177"/>
      <c r="W88" s="76"/>
      <c r="X88" s="76"/>
      <c r="Y88" s="76"/>
      <c r="Z88" s="76"/>
    </row>
    <row r="89">
      <c r="A89" s="176">
        <v>15670.0</v>
      </c>
      <c r="B89" s="177" t="str">
        <f>VLOOKUP(A89,'FML March 2026'!E:F,2,false)</f>
        <v>FOOD COLOR BLUE 1/ 10.5 OZ CHEFMASTER</v>
      </c>
      <c r="C89" s="177" t="str">
        <f>VLOOKUP(A89,'Unit of Measure ship March 2026'!A:C,3,false)</f>
        <v>QRT</v>
      </c>
      <c r="D89" s="177"/>
      <c r="E89" s="176">
        <v>15022.0</v>
      </c>
      <c r="F89" s="177" t="str">
        <f>VLOOKUP(E89,'FML March 2026'!E:F,2,false)</f>
        <v>EGGS-DATED, MEDIUM, REGULAR</v>
      </c>
      <c r="G89" s="177" t="str">
        <f>VLOOKUP(E89,'Unit of Measure ship March 2026'!A:C,3,false)</f>
        <v>PC</v>
      </c>
      <c r="H89" s="177"/>
      <c r="I89" s="176"/>
      <c r="J89" s="177"/>
      <c r="K89" s="177"/>
      <c r="L89" s="177"/>
      <c r="M89" s="176">
        <v>16289.0</v>
      </c>
      <c r="N89" s="177" t="str">
        <f>VLOOKUP(M89,'FML March 2026'!E:F,2,false)</f>
        <v>CORIANDER GROUND BADIA (USA )</v>
      </c>
      <c r="O89" s="177" t="str">
        <f>VLOOKUP(M89,'Unit of Measure ship March 2026'!A:C,3,false)</f>
        <v>LBS</v>
      </c>
      <c r="P89" s="177"/>
      <c r="Q89" s="178"/>
      <c r="R89" s="177"/>
      <c r="S89" s="177"/>
      <c r="T89" s="177"/>
      <c r="U89" s="177"/>
      <c r="V89" s="177"/>
      <c r="W89" s="76"/>
      <c r="X89" s="76"/>
      <c r="Y89" s="76"/>
      <c r="Z89" s="76"/>
    </row>
    <row r="90">
      <c r="A90" s="176">
        <v>15671.0</v>
      </c>
      <c r="B90" s="177" t="str">
        <f>VLOOKUP(A90,'FML March 2026'!E:F,2,false)</f>
        <v>FOOD COLOR GREEN 1/10.5 OZ CHEFMASTER</v>
      </c>
      <c r="C90" s="177" t="str">
        <f>VLOOKUP(A90,'Unit of Measure ship March 2026'!A:C,3,false)</f>
        <v>BTL/10OZ</v>
      </c>
      <c r="D90" s="177"/>
      <c r="E90" s="176">
        <v>15026.0</v>
      </c>
      <c r="F90" s="177" t="str">
        <f>VLOOKUP(E90,'FML March 2026'!E:F,2,false)</f>
        <v>EGGS, WHOLE, LIQUID, W/ CITRIC ACID, NO SUGAR, 1-5 LB/1-5 LT, FZN, 6/5 LB</v>
      </c>
      <c r="G90" s="177" t="str">
        <f>VLOOKUP(E90,'Unit of Measure ship March 2026'!A:C,3,false)</f>
        <v>LBS</v>
      </c>
      <c r="H90" s="177"/>
      <c r="I90" s="176"/>
      <c r="J90" s="177"/>
      <c r="K90" s="177"/>
      <c r="L90" s="177"/>
      <c r="M90" s="176">
        <v>16288.0</v>
      </c>
      <c r="N90" s="177" t="str">
        <f>VLOOKUP(M90,'FML March 2026'!E:F,2,false)</f>
        <v>CORIANDER WHOLE BADIA (USA )</v>
      </c>
      <c r="O90" s="177" t="str">
        <f>VLOOKUP(M90,'Unit of Measure ship March 2026'!A:C,3,false)</f>
        <v>LBS</v>
      </c>
      <c r="P90" s="177"/>
      <c r="Q90" s="178"/>
      <c r="R90" s="177"/>
      <c r="S90" s="177"/>
      <c r="T90" s="177"/>
      <c r="U90" s="177"/>
      <c r="V90" s="177"/>
      <c r="W90" s="76"/>
      <c r="X90" s="76"/>
      <c r="Y90" s="76"/>
      <c r="Z90" s="76"/>
    </row>
    <row r="91">
      <c r="A91" s="176">
        <v>112860.0</v>
      </c>
      <c r="B91" s="177" t="str">
        <f>VLOOKUP(A91,'FML March 2026'!E:F,2,false)</f>
        <v>FOOD COLOR ORANGE  BTL 10.5/OZ CHEFMASTER</v>
      </c>
      <c r="C91" s="177" t="str">
        <f>VLOOKUP(A91,'Unit of Measure ship March 2026'!A:C,3,false)</f>
        <v>BT10.5OZ</v>
      </c>
      <c r="D91" s="177"/>
      <c r="E91" s="176">
        <v>15662.0</v>
      </c>
      <c r="F91" s="177" t="str">
        <f>VLOOKUP(E91,'FML March 2026'!E:F,2,false)</f>
        <v>EXTRACT ALMOND PURE BITTER 1/KG SEVAROME DREIDOPPEL</v>
      </c>
      <c r="G91" s="177" t="str">
        <f>VLOOKUP(E91,'Unit of Measure ship March 2026'!A:C,3,false)</f>
        <v>QRT</v>
      </c>
      <c r="H91" s="177"/>
      <c r="I91" s="176"/>
      <c r="J91" s="177"/>
      <c r="K91" s="177"/>
      <c r="L91" s="177"/>
      <c r="M91" s="176">
        <v>15936.0</v>
      </c>
      <c r="N91" s="177" t="str">
        <f>VLOOKUP(M91,'FML March 2026'!E:F,2,false)</f>
        <v>CORN MEAL YELLOW BULK</v>
      </c>
      <c r="O91" s="177" t="str">
        <f>VLOOKUP(M91,'Unit of Measure ship March 2026'!A:C,3,false)</f>
        <v>LBS</v>
      </c>
      <c r="P91" s="177"/>
      <c r="Q91" s="178"/>
      <c r="R91" s="177"/>
      <c r="S91" s="177"/>
      <c r="T91" s="177"/>
      <c r="U91" s="177"/>
      <c r="V91" s="177"/>
      <c r="W91" s="76"/>
      <c r="X91" s="76"/>
      <c r="Y91" s="76"/>
      <c r="Z91" s="76"/>
    </row>
    <row r="92">
      <c r="A92" s="176">
        <v>112861.0</v>
      </c>
      <c r="B92" s="177" t="str">
        <f>VLOOKUP(A92,'FML March 2026'!E:F,2,false)</f>
        <v>FOOD COLOR PURPLE  BTL 10.5/OZ CHEFMASTER</v>
      </c>
      <c r="C92" s="177" t="str">
        <f>VLOOKUP(A92,'Unit of Measure ship March 2026'!A:C,3,false)</f>
        <v>BT10.5OZ</v>
      </c>
      <c r="D92" s="177"/>
      <c r="E92" s="176">
        <v>110029.0</v>
      </c>
      <c r="F92" s="177" t="str">
        <f>VLOOKUP(E92,'FML March 2026'!E:F,2,false)</f>
        <v>FEUILLETINE CS4/2.5KG BARRY (LADY FINGER)</v>
      </c>
      <c r="G92" s="177" t="str">
        <f>VLOOKUP(E92,'Unit of Measure ship March 2026'!A:C,3,false)</f>
        <v>LBS</v>
      </c>
      <c r="H92" s="177"/>
      <c r="I92" s="176"/>
      <c r="J92" s="177"/>
      <c r="K92" s="177"/>
      <c r="L92" s="177"/>
      <c r="M92" s="176">
        <v>16184.0</v>
      </c>
      <c r="N92" s="177" t="str">
        <f>VLOOKUP(M92,'FML March 2026'!E:F,2,false)</f>
        <v>CORNSTARCH BULK</v>
      </c>
      <c r="O92" s="177" t="str">
        <f>VLOOKUP(M92,'Unit of Measure ship March 2026'!A:C,3,false)</f>
        <v>LBS</v>
      </c>
      <c r="P92" s="177"/>
      <c r="Q92" s="178"/>
      <c r="R92" s="177"/>
      <c r="S92" s="177"/>
      <c r="T92" s="177"/>
      <c r="U92" s="177"/>
      <c r="V92" s="177"/>
      <c r="W92" s="76"/>
      <c r="X92" s="76"/>
      <c r="Y92" s="76"/>
      <c r="Z92" s="76"/>
    </row>
    <row r="93">
      <c r="A93" s="176">
        <v>15672.0</v>
      </c>
      <c r="B93" s="177" t="str">
        <f>VLOOKUP(A93,'FML March 2026'!E:F,2,false)</f>
        <v>FOOD COLOR RED 1/10.5 OZ CHEFMASTER</v>
      </c>
      <c r="C93" s="177" t="str">
        <f>VLOOKUP(A93,'Unit of Measure ship March 2026'!A:C,3,false)</f>
        <v>BTL/10OZ</v>
      </c>
      <c r="D93" s="177"/>
      <c r="E93" s="176">
        <v>16495.0</v>
      </c>
      <c r="F93" s="177" t="str">
        <f>VLOOKUP(E93,'FML March 2026'!E:F,2,false)</f>
        <v>FIGS, KADOTA, LIGHT SYRUP</v>
      </c>
      <c r="G93" s="177" t="str">
        <f>VLOOKUP(E93,'Unit of Measure ship March 2026'!A:C,3,false)</f>
        <v>CN6.5/LB</v>
      </c>
      <c r="H93" s="177"/>
      <c r="I93" s="176"/>
      <c r="J93" s="177"/>
      <c r="K93" s="177"/>
      <c r="L93" s="177"/>
      <c r="M93" s="176">
        <v>14890.0</v>
      </c>
      <c r="N93" s="177" t="str">
        <f>VLOOKUP(M93,'FML March 2026'!E:F,2,false)</f>
        <v>COTTAGE CHEESE,4%, LARGE CURD, TUB</v>
      </c>
      <c r="O93" s="177" t="str">
        <f>VLOOKUP(M93,'Unit of Measure ship March 2026'!A:C,3,false)</f>
        <v>LBS</v>
      </c>
      <c r="P93" s="177"/>
      <c r="Q93" s="178"/>
      <c r="R93" s="177"/>
      <c r="S93" s="177"/>
      <c r="T93" s="177"/>
      <c r="U93" s="177"/>
      <c r="V93" s="177"/>
      <c r="W93" s="76"/>
      <c r="X93" s="76"/>
      <c r="Y93" s="76"/>
      <c r="Z93" s="76"/>
    </row>
    <row r="94">
      <c r="A94" s="176">
        <v>111810.0</v>
      </c>
      <c r="B94" s="177" t="str">
        <f>VLOOKUP(A94,'FML March 2026'!E:F,2,false)</f>
        <v>FOOD COLOR WHITE 1/3.5 OZ CHEFMASTER</v>
      </c>
      <c r="C94" s="177" t="str">
        <f>VLOOKUP(A94,'Unit of Measure ship March 2026'!A:C,3,false)</f>
        <v>BT2.7/OZ</v>
      </c>
      <c r="D94" s="177"/>
      <c r="E94" s="176">
        <v>15703.0</v>
      </c>
      <c r="F94" s="177" t="str">
        <f>VLOOKUP(E94,'FML March 2026'!E:F,2,false)</f>
        <v>FIGS, TURKISH, DRIED (TURKEY)</v>
      </c>
      <c r="G94" s="177" t="str">
        <f>VLOOKUP(E94,'Unit of Measure ship March 2026'!A:C,3,false)</f>
        <v>LBS</v>
      </c>
      <c r="H94" s="177"/>
      <c r="I94" s="176"/>
      <c r="J94" s="177"/>
      <c r="K94" s="177"/>
      <c r="L94" s="177"/>
      <c r="M94" s="176">
        <v>15863.0</v>
      </c>
      <c r="N94" s="177" t="str">
        <f>VLOOKUP(M94,'FML March 2026'!E:F,2,false)</f>
        <v>CRACKER CRUMBS GRAHAM (USA)</v>
      </c>
      <c r="O94" s="177" t="str">
        <f>VLOOKUP(M94,'Unit of Measure ship March 2026'!A:C,3,false)</f>
        <v>LBS</v>
      </c>
      <c r="P94" s="177"/>
      <c r="Q94" s="178"/>
      <c r="R94" s="177"/>
      <c r="S94" s="177"/>
      <c r="T94" s="177"/>
      <c r="U94" s="177"/>
      <c r="V94" s="177"/>
      <c r="W94" s="76"/>
      <c r="X94" s="76"/>
      <c r="Y94" s="76"/>
      <c r="Z94" s="76"/>
    </row>
    <row r="95">
      <c r="A95" s="176">
        <v>15673.0</v>
      </c>
      <c r="B95" s="177" t="str">
        <f>VLOOKUP(A95,'FML March 2026'!E:F,2,false)</f>
        <v>FOOD COLOR YELLOW 1/10.5 OZ CHEFMASTER</v>
      </c>
      <c r="C95" s="177" t="str">
        <f>VLOOKUP(A95,'Unit of Measure ship March 2026'!A:C,3,false)</f>
        <v>BTL/10OZ</v>
      </c>
      <c r="D95" s="177"/>
      <c r="E95" s="176">
        <v>111670.0</v>
      </c>
      <c r="F95" s="177" t="str">
        <f>VLOOKUP(E95,'FML March 2026'!E:F,2,false)</f>
        <v>FLAVOR BLACK CURRANT FORTEFRUTTO CS 2/6.6 LB PREGEL</v>
      </c>
      <c r="G95" s="177" t="str">
        <f>VLOOKUP(E95,'Unit of Measure ship March 2026'!A:C,3,false)</f>
        <v>LBS</v>
      </c>
      <c r="H95" s="177"/>
      <c r="I95" s="176"/>
      <c r="J95" s="177"/>
      <c r="K95" s="177"/>
      <c r="L95" s="177"/>
      <c r="M95" s="176">
        <v>14987.0</v>
      </c>
      <c r="N95" s="177" t="str">
        <f>VLOOKUP(M95,'FML March 2026'!E:F,2,false)</f>
        <v>CREAM CHEESE QUESCREM/PHILADELPHIA FOR BAKERY</v>
      </c>
      <c r="O95" s="177" t="str">
        <f>VLOOKUP(M95,'Unit of Measure ship March 2026'!A:C,3,false)</f>
        <v>LBS</v>
      </c>
      <c r="P95" s="177"/>
      <c r="Q95" s="178"/>
      <c r="R95" s="177"/>
      <c r="S95" s="177"/>
      <c r="T95" s="177"/>
      <c r="U95" s="177"/>
      <c r="V95" s="177"/>
      <c r="W95" s="76"/>
      <c r="X95" s="76"/>
      <c r="Y95" s="76"/>
      <c r="Z95" s="76"/>
    </row>
    <row r="96">
      <c r="A96" s="176">
        <v>111875.0</v>
      </c>
      <c r="B96" s="177" t="str">
        <f>VLOOKUP(A96,'FML March 2026'!E:F,2,false)</f>
        <v>FOOD COLOR YELLOW FAT SOLUBLE BTL 1/ OZ  PASTRY IDEALE</v>
      </c>
      <c r="C96" s="177" t="str">
        <f>VLOOKUP(A96,'Unit of Measure ship March 2026'!A:C,3,false)</f>
        <v>BTL1/OZ</v>
      </c>
      <c r="D96" s="177"/>
      <c r="E96" s="176">
        <v>111659.0</v>
      </c>
      <c r="F96" s="177" t="str">
        <f>VLOOKUP(E96,'FML March 2026'!E:F,2,false)</f>
        <v>FLAVOR COCOPAT TRADITIONAL PASTE CS 2/13.2 LB PREGEL</v>
      </c>
      <c r="G96" s="177" t="str">
        <f>VLOOKUP(E96,'Unit of Measure ship March 2026'!A:C,3,false)</f>
        <v>LBS</v>
      </c>
      <c r="H96" s="177"/>
      <c r="I96" s="176"/>
      <c r="J96" s="177"/>
      <c r="K96" s="177"/>
      <c r="L96" s="177"/>
      <c r="M96" s="176">
        <v>51096.0</v>
      </c>
      <c r="N96" s="177" t="str">
        <f>VLOOKUP(M96,'FML March 2026'!E:F,2,false)</f>
        <v>CREME BRULE BASE MIX 4/5 LB  PASTRY STAR (FRANCE)</v>
      </c>
      <c r="O96" s="177" t="str">
        <f>VLOOKUP(M96,'Unit of Measure ship March 2026'!A:C,3,false)</f>
        <v>LBS</v>
      </c>
      <c r="P96" s="177"/>
      <c r="Q96" s="178"/>
      <c r="R96" s="177"/>
      <c r="S96" s="177"/>
      <c r="T96" s="177"/>
      <c r="U96" s="177"/>
      <c r="V96" s="177"/>
      <c r="W96" s="76"/>
      <c r="X96" s="76"/>
      <c r="Y96" s="76"/>
      <c r="Z96" s="76"/>
    </row>
    <row r="97">
      <c r="A97" s="176">
        <v>112802.0</v>
      </c>
      <c r="B97" s="177" t="str">
        <f>VLOOKUP(A97,'FML March 2026'!E:F,2,false)</f>
        <v>FOOD CONES RED VELVET CS/312  PC  AUSSIE BLANDS</v>
      </c>
      <c r="C97" s="177" t="str">
        <f>VLOOKUP(A97,'Unit of Measure ship March 2026'!A:C,3,false)</f>
        <v>PC</v>
      </c>
      <c r="D97" s="177"/>
      <c r="E97" s="176">
        <v>111661.0</v>
      </c>
      <c r="F97" s="177" t="str">
        <f>VLOOKUP(E97,'FML March 2026'!E:F,2,false)</f>
        <v>FLAVOR CREMA WHISKEY CS 2/6.6 LB PREGEL</v>
      </c>
      <c r="G97" s="177" t="str">
        <f>VLOOKUP(E97,'Unit of Measure ship March 2026'!A:C,3,false)</f>
        <v>LBS</v>
      </c>
      <c r="H97" s="177"/>
      <c r="I97" s="176"/>
      <c r="J97" s="177"/>
      <c r="K97" s="177"/>
      <c r="L97" s="177"/>
      <c r="M97" s="176">
        <v>16256.0</v>
      </c>
      <c r="N97" s="177" t="str">
        <f>VLOOKUP(M97,'FML March 2026'!E:F,2,false)</f>
        <v>CUMIN GROUND D`ALLESANDRO/ SPICECO (USA )</v>
      </c>
      <c r="O97" s="177" t="str">
        <f>VLOOKUP(M97,'Unit of Measure ship March 2026'!A:C,3,false)</f>
        <v>LBS</v>
      </c>
      <c r="P97" s="177"/>
      <c r="Q97" s="178"/>
      <c r="R97" s="177"/>
      <c r="S97" s="177"/>
      <c r="T97" s="177"/>
      <c r="U97" s="177"/>
      <c r="V97" s="177"/>
      <c r="W97" s="76"/>
      <c r="X97" s="76"/>
      <c r="Y97" s="76"/>
      <c r="Z97" s="76"/>
    </row>
    <row r="98">
      <c r="A98" s="176">
        <v>16500.0</v>
      </c>
      <c r="B98" s="177" t="str">
        <f>VLOOKUP(A98,'FML March 2026'!E:F,2,false)</f>
        <v>FRUIT COCKTAIL, CHOICE, LIGHT SYRUP</v>
      </c>
      <c r="C98" s="177" t="str">
        <f>VLOOKUP(A98,'Unit of Measure ship March 2026'!A:C,3,false)</f>
        <v>CAN/3KG</v>
      </c>
      <c r="D98" s="177"/>
      <c r="E98" s="176">
        <v>111660.0</v>
      </c>
      <c r="F98" s="177" t="str">
        <f>VLOOKUP(E98,'FML March 2026'!E:F,2,false)</f>
        <v>FLAVOR GIANDUIOTTO ROCK PASTE CS 2/11 LB PREGEL</v>
      </c>
      <c r="G98" s="177" t="str">
        <f>VLOOKUP(E98,'Unit of Measure ship March 2026'!A:C,3,false)</f>
        <v>LBS</v>
      </c>
      <c r="H98" s="177"/>
      <c r="I98" s="176"/>
      <c r="J98" s="177"/>
      <c r="K98" s="177"/>
      <c r="L98" s="177"/>
      <c r="M98" s="176">
        <v>16264.0</v>
      </c>
      <c r="N98" s="177" t="str">
        <f>VLOOKUP(M98,'FML March 2026'!E:F,2,false)</f>
        <v>CUMIN SEED WHOLE BADIA (USA )</v>
      </c>
      <c r="O98" s="177" t="str">
        <f>VLOOKUP(M98,'Unit of Measure ship March 2026'!A:C,3,false)</f>
        <v>LBS</v>
      </c>
      <c r="P98" s="177"/>
      <c r="Q98" s="178"/>
      <c r="R98" s="177"/>
      <c r="S98" s="177"/>
      <c r="T98" s="177"/>
      <c r="U98" s="177"/>
      <c r="V98" s="177"/>
      <c r="W98" s="76"/>
      <c r="X98" s="76"/>
      <c r="Y98" s="76"/>
      <c r="Z98" s="76"/>
    </row>
    <row r="99">
      <c r="A99" s="176">
        <v>51164.0</v>
      </c>
      <c r="B99" s="177" t="str">
        <f>VLOOKUP(A99,'FML March 2026'!E:F,2,false)</f>
        <v>GELATIN LEAVES 160BLOOM 1KG/PACK /400 LEAVES PASTISFRANCE/ GELITA</v>
      </c>
      <c r="C99" s="177" t="str">
        <f>VLOOKUP(A99,'Unit of Measure ship March 2026'!A:C,3,false)</f>
        <v>PACK/1KG</v>
      </c>
      <c r="D99" s="177"/>
      <c r="E99" s="176">
        <v>111663.0</v>
      </c>
      <c r="F99" s="177" t="str">
        <f>VLOOKUP(E99,'FML March 2026'!E:F,2,false)</f>
        <v>FLAVOR GREEN APPLE FORTEFRUTTO  CS2/6.6LB PREGEL</v>
      </c>
      <c r="G99" s="177" t="str">
        <f>VLOOKUP(E99,'Unit of Measure ship March 2026'!A:C,3,false)</f>
        <v>LBS</v>
      </c>
      <c r="H99" s="177"/>
      <c r="I99" s="176"/>
      <c r="J99" s="177"/>
      <c r="K99" s="177"/>
      <c r="L99" s="177"/>
      <c r="M99" s="176">
        <v>109630.0</v>
      </c>
      <c r="N99" s="177" t="str">
        <f>VLOOKUP(M99,'FML March 2026'!E:F,2,false)</f>
        <v>CURRANTS DRIED HIALEAH</v>
      </c>
      <c r="O99" s="177" t="str">
        <f>VLOOKUP(M99,'Unit of Measure ship March 2026'!A:C,3,false)</f>
        <v>KG</v>
      </c>
      <c r="P99" s="177"/>
      <c r="Q99" s="178"/>
      <c r="R99" s="177"/>
      <c r="S99" s="177"/>
      <c r="T99" s="177"/>
      <c r="U99" s="177"/>
      <c r="V99" s="177"/>
      <c r="W99" s="76"/>
      <c r="X99" s="76"/>
      <c r="Y99" s="76"/>
      <c r="Z99" s="76"/>
    </row>
    <row r="100">
      <c r="A100" s="176">
        <v>111649.0</v>
      </c>
      <c r="B100" s="177" t="str">
        <f>VLOOKUP(A100,'FML March 2026'!E:F,2,false)</f>
        <v>GELATO BASE  ALWAYS FRESCO CS8/4LB PREGEL</v>
      </c>
      <c r="C100" s="177" t="str">
        <f>VLOOKUP(A100,'Unit of Measure ship March 2026'!A:C,3,false)</f>
        <v>LBS</v>
      </c>
      <c r="D100" s="177"/>
      <c r="E100" s="176">
        <v>111664.0</v>
      </c>
      <c r="F100" s="177" t="str">
        <f>VLOOKUP(E100,'FML March 2026'!E:F,2,false)</f>
        <v>FLAVOR PINEAPPLE FORTEFRUTTO  CS2/6.6LB PREGEL</v>
      </c>
      <c r="G100" s="177" t="str">
        <f>VLOOKUP(E100,'Unit of Measure ship March 2026'!A:C,3,false)</f>
        <v>LBS</v>
      </c>
      <c r="H100" s="177"/>
      <c r="I100" s="176"/>
      <c r="J100" s="177"/>
      <c r="K100" s="177"/>
      <c r="L100" s="177"/>
      <c r="M100" s="176">
        <v>109640.0</v>
      </c>
      <c r="N100" s="177" t="str">
        <f>VLOOKUP(M100,'FML March 2026'!E:F,2,false)</f>
        <v>DARK RYE FLOUR (KING ARTHUR)</v>
      </c>
      <c r="O100" s="177" t="str">
        <f>VLOOKUP(M100,'Unit of Measure ship March 2026'!A:C,3,false)</f>
        <v>KG</v>
      </c>
      <c r="P100" s="177"/>
      <c r="Q100" s="178"/>
      <c r="R100" s="177"/>
      <c r="S100" s="177"/>
      <c r="T100" s="177"/>
      <c r="U100" s="177"/>
      <c r="V100" s="177"/>
      <c r="W100" s="76"/>
      <c r="X100" s="76"/>
      <c r="Y100" s="76"/>
      <c r="Z100" s="76"/>
    </row>
    <row r="101">
      <c r="A101" s="176">
        <v>111651.0</v>
      </c>
      <c r="B101" s="177" t="str">
        <f>VLOOKUP(A101,'FML March 2026'!E:F,2,false)</f>
        <v>GELATO BASE  BUTTER PECAN SPRINT  CS 12/2LB PREGEL</v>
      </c>
      <c r="C101" s="177" t="str">
        <f>VLOOKUP(A101,'Unit of Measure ship March 2026'!A:C,3,false)</f>
        <v>LBS</v>
      </c>
      <c r="D101" s="177"/>
      <c r="E101" s="176">
        <v>111668.0</v>
      </c>
      <c r="F101" s="177" t="str">
        <f>VLOOKUP(E101,'FML March 2026'!E:F,2,false)</f>
        <v>FLAVOR RASPBERRY FORTEFRUTTO CS 2/6.6 LB PREGEL</v>
      </c>
      <c r="G101" s="177" t="str">
        <f>VLOOKUP(E101,'Unit of Measure ship March 2026'!A:C,3,false)</f>
        <v>LBS</v>
      </c>
      <c r="H101" s="177"/>
      <c r="I101" s="176"/>
      <c r="J101" s="177"/>
      <c r="K101" s="177"/>
      <c r="L101" s="177"/>
      <c r="M101" s="176">
        <v>15814.0</v>
      </c>
      <c r="N101" s="177" t="str">
        <f>VLOOKUP(M101,'FML March 2026'!E:F,2,false)</f>
        <v>DATES PITTED DRIED</v>
      </c>
      <c r="O101" s="177" t="str">
        <f>VLOOKUP(M101,'Unit of Measure ship March 2026'!A:C,3,false)</f>
        <v>LBS</v>
      </c>
      <c r="P101" s="177"/>
      <c r="Q101" s="178"/>
      <c r="R101" s="177"/>
      <c r="S101" s="177"/>
      <c r="T101" s="177"/>
      <c r="U101" s="177"/>
      <c r="V101" s="177"/>
      <c r="W101" s="76"/>
      <c r="X101" s="76"/>
      <c r="Y101" s="76"/>
      <c r="Z101" s="76"/>
    </row>
    <row r="102">
      <c r="A102" s="176">
        <v>111650.0</v>
      </c>
      <c r="B102" s="177" t="str">
        <f>VLOOKUP(A102,'FML March 2026'!E:F,2,false)</f>
        <v>GELATO BASE ALWAYS FRESCO FRUIT CS12/2.4 LB PREGEL</v>
      </c>
      <c r="C102" s="177" t="str">
        <f>VLOOKUP(A102,'Unit of Measure ship March 2026'!A:C,3,false)</f>
        <v>LBS</v>
      </c>
      <c r="D102" s="177"/>
      <c r="E102" s="176">
        <v>111662.0</v>
      </c>
      <c r="F102" s="177" t="str">
        <f>VLOOKUP(E102,'FML March 2026'!E:F,2,false)</f>
        <v>FLAVOR ROASTED ALMOND TRADITIONAL PASTE CS 2/13.2 LB PREGEL</v>
      </c>
      <c r="G102" s="177" t="str">
        <f>VLOOKUP(E102,'Unit of Measure ship March 2026'!A:C,3,false)</f>
        <v>LBS</v>
      </c>
      <c r="H102" s="177"/>
      <c r="I102" s="176"/>
      <c r="J102" s="177"/>
      <c r="K102" s="177"/>
      <c r="L102" s="177"/>
      <c r="M102" s="176">
        <v>15030.0</v>
      </c>
      <c r="N102" s="177" t="str">
        <f>VLOOKUP(M102,'FML March 2026'!E:F,2,false)</f>
        <v>DOUGH FILO SHEETS ATHENS/ KONTOS 80012 (USA )</v>
      </c>
      <c r="O102" s="177" t="str">
        <f>VLOOKUP(M102,'Unit of Measure ship March 2026'!A:C,3,false)</f>
        <v>LBS</v>
      </c>
      <c r="P102" s="177"/>
      <c r="Q102" s="177"/>
      <c r="R102" s="177"/>
      <c r="S102" s="177"/>
      <c r="T102" s="177"/>
      <c r="U102" s="177"/>
      <c r="V102" s="177"/>
      <c r="W102" s="76"/>
      <c r="X102" s="76"/>
      <c r="Y102" s="76"/>
      <c r="Z102" s="76"/>
    </row>
    <row r="103">
      <c r="A103" s="176">
        <v>111656.0</v>
      </c>
      <c r="B103" s="177" t="str">
        <f>VLOOKUP(A103,'FML March 2026'!E:F,2,false)</f>
        <v>GELATO BASE SUBLIME  CS 8/4.4 LB PREGEL</v>
      </c>
      <c r="C103" s="177" t="str">
        <f>VLOOKUP(A103,'Unit of Measure ship March 2026'!A:C,3,false)</f>
        <v>LBS</v>
      </c>
      <c r="D103" s="177"/>
      <c r="E103" s="176">
        <v>15716.0</v>
      </c>
      <c r="F103" s="177" t="str">
        <f>VLOOKUP(E103,'FML March 2026'!E:F,2,false)</f>
        <v>FLAVOR VANILLA BOURBON ROYALE FOR ICE CREAM 1 GALLON PASTRY STAR (USA)</v>
      </c>
      <c r="G103" s="177" t="str">
        <f>VLOOKUP(E103,'Unit of Measure ship March 2026'!A:C,3,false)</f>
        <v>GAL</v>
      </c>
      <c r="H103" s="177"/>
      <c r="I103" s="176"/>
      <c r="J103" s="177"/>
      <c r="K103" s="177"/>
      <c r="L103" s="177"/>
      <c r="M103" s="176">
        <v>15025.0</v>
      </c>
      <c r="N103" s="177" t="str">
        <f>VLOOKUP(M103,'FML March 2026'!E:F,2,false)</f>
        <v>EGG WHITES FROZEN 6/5# PAPETTI/ 12X1KG EUROVO/15X2LB DEBEL (USA)</v>
      </c>
      <c r="O103" s="177" t="str">
        <f>VLOOKUP(M103,'Unit of Measure ship March 2026'!A:C,3,false)</f>
        <v>LBS</v>
      </c>
      <c r="P103" s="177"/>
      <c r="Q103" s="177"/>
      <c r="R103" s="177"/>
      <c r="S103" s="177"/>
      <c r="T103" s="177"/>
      <c r="U103" s="177"/>
      <c r="V103" s="177"/>
      <c r="W103" s="76"/>
      <c r="X103" s="76"/>
      <c r="Y103" s="76"/>
      <c r="Z103" s="76"/>
    </row>
    <row r="104">
      <c r="A104" s="176">
        <v>111654.0</v>
      </c>
      <c r="B104" s="177" t="str">
        <f>VLOOKUP(A104,'FML March 2026'!E:F,2,false)</f>
        <v>GELATO BASE VELUTINA CS 2/6.5 LB PREGEL</v>
      </c>
      <c r="C104" s="177" t="str">
        <f>VLOOKUP(A104,'Unit of Measure ship March 2026'!A:C,3,false)</f>
        <v>LBS</v>
      </c>
      <c r="D104" s="177"/>
      <c r="E104" s="176">
        <v>109647.0</v>
      </c>
      <c r="F104" s="177" t="str">
        <f>VLOOKUP(E104,'FML March 2026'!E:F,2,false)</f>
        <v>FLAX MEAL BOBS RED MILL</v>
      </c>
      <c r="G104" s="177" t="str">
        <f>VLOOKUP(E104,'Unit of Measure ship March 2026'!A:C,3,false)</f>
        <v>KG</v>
      </c>
      <c r="H104" s="177"/>
      <c r="I104" s="176"/>
      <c r="J104" s="177"/>
      <c r="K104" s="177"/>
      <c r="L104" s="177"/>
      <c r="M104" s="176">
        <v>15027.0</v>
      </c>
      <c r="N104" s="177" t="str">
        <f>VLOOKUP(M104,'FML March 2026'!E:F,2,false)</f>
        <v>EGG YOLKS FROZEN NO SUGAR OR SALT ADDED 6/5 LB SUNNY FRESH/ DEBEL (USA)</v>
      </c>
      <c r="O104" s="177" t="str">
        <f>VLOOKUP(M104,'Unit of Measure ship March 2026'!A:C,3,false)</f>
        <v>LBS</v>
      </c>
      <c r="P104" s="177"/>
      <c r="Q104" s="177"/>
      <c r="R104" s="177"/>
      <c r="S104" s="177"/>
      <c r="T104" s="177"/>
      <c r="U104" s="177"/>
      <c r="V104" s="177"/>
      <c r="W104" s="76"/>
      <c r="X104" s="76"/>
      <c r="Y104" s="76"/>
      <c r="Z104" s="76"/>
    </row>
    <row r="105">
      <c r="A105" s="176">
        <v>15832.0</v>
      </c>
      <c r="B105" s="177" t="str">
        <f>VLOOKUP(A105,'FML March 2026'!E:F,2,false)</f>
        <v>GLUCOSE PURE 7 KG</v>
      </c>
      <c r="C105" s="177" t="str">
        <f>VLOOKUP(A105,'Unit of Measure ship March 2026'!A:C,3,false)</f>
        <v>KG</v>
      </c>
      <c r="D105" s="177"/>
      <c r="E105" s="176">
        <v>111865.0</v>
      </c>
      <c r="F105" s="177" t="str">
        <f>VLOOKUP(E105,'FML March 2026'!E:F,2,false)</f>
        <v>FLOUR ALL PURPOSE SIR GALAHAD BAG50/LBS KING ARTHUR</v>
      </c>
      <c r="G105" s="177" t="str">
        <f>VLOOKUP(E105,'Unit of Measure ship March 2026'!A:C,3,false)</f>
        <v>LBS</v>
      </c>
      <c r="H105" s="177"/>
      <c r="I105" s="176"/>
      <c r="J105" s="177"/>
      <c r="K105" s="177"/>
      <c r="L105" s="177"/>
      <c r="M105" s="176">
        <v>15022.0</v>
      </c>
      <c r="N105" s="177" t="str">
        <f>VLOOKUP(M105,'FML March 2026'!E:F,2,false)</f>
        <v>EGGS-DATED, MEDIUM, REGULAR</v>
      </c>
      <c r="O105" s="177" t="str">
        <f>VLOOKUP(M105,'Unit of Measure ship March 2026'!A:C,3,false)</f>
        <v>PC</v>
      </c>
      <c r="P105" s="177"/>
      <c r="Q105" s="177"/>
      <c r="R105" s="177"/>
      <c r="S105" s="177"/>
      <c r="T105" s="177"/>
      <c r="U105" s="177"/>
      <c r="V105" s="177"/>
      <c r="W105" s="76"/>
      <c r="X105" s="76"/>
      <c r="Y105" s="76"/>
      <c r="Z105" s="76"/>
    </row>
    <row r="106">
      <c r="A106" s="176">
        <v>20889.0</v>
      </c>
      <c r="B106" s="177" t="str">
        <f>VLOOKUP(A106,'FML March 2026'!E:F,2,false)</f>
        <v>GREEN TEA POWDER MATCHA (PASTRY) DRY/FROZEN</v>
      </c>
      <c r="C106" s="177" t="str">
        <f>VLOOKUP(A106,'Unit of Measure ship March 2026'!A:C,3,false)</f>
        <v>LBS</v>
      </c>
      <c r="D106" s="177"/>
      <c r="E106" s="176">
        <v>109641.0</v>
      </c>
      <c r="F106" s="177" t="str">
        <f>VLOOKUP(E106,'FML March 2026'!E:F,2,false)</f>
        <v>FLOUR CAKE KING ARTHUR</v>
      </c>
      <c r="G106" s="177" t="str">
        <f>VLOOKUP(E106,'Unit of Measure ship March 2026'!A:C,3,false)</f>
        <v>KG</v>
      </c>
      <c r="H106" s="177"/>
      <c r="I106" s="176"/>
      <c r="J106" s="177"/>
      <c r="K106" s="177"/>
      <c r="L106" s="177"/>
      <c r="M106" s="176">
        <v>15026.0</v>
      </c>
      <c r="N106" s="177" t="str">
        <f>VLOOKUP(M106,'FML March 2026'!E:F,2,false)</f>
        <v>EGGS, WHOLE, LIQUID, W/ CITRIC ACID, NO SUGAR, 1-5 LB/1-5 LT, FZN, 6/5 LB</v>
      </c>
      <c r="O106" s="177" t="str">
        <f>VLOOKUP(M106,'Unit of Measure ship March 2026'!A:C,3,false)</f>
        <v>LBS</v>
      </c>
      <c r="P106" s="177"/>
      <c r="Q106" s="177"/>
      <c r="R106" s="177"/>
      <c r="S106" s="177"/>
      <c r="T106" s="177"/>
      <c r="U106" s="177"/>
      <c r="V106" s="177"/>
      <c r="W106" s="76"/>
      <c r="X106" s="76"/>
      <c r="Y106" s="76"/>
      <c r="Z106" s="76"/>
    </row>
    <row r="107">
      <c r="A107" s="176">
        <v>102496.0</v>
      </c>
      <c r="B107" s="177" t="str">
        <f>VLOOKUP(A107,'FML March 2026'!E:F,2,false)</f>
        <v>GUAR GUM CS 8/8 OZ BOBS RED MILL</v>
      </c>
      <c r="C107" s="177" t="str">
        <f>VLOOKUP(A107,'Unit of Measure ship March 2026'!A:C,3,false)</f>
        <v>LBS</v>
      </c>
      <c r="D107" s="177"/>
      <c r="E107" s="176">
        <v>109639.0</v>
      </c>
      <c r="F107" s="177" t="str">
        <f>VLOOKUP(E107,'FML March 2026'!E:F,2,false)</f>
        <v>FLOUR SIR LANCELOT HIGH GLUTEN  50 LB KING ARTHUR</v>
      </c>
      <c r="G107" s="177" t="str">
        <f>VLOOKUP(E107,'Unit of Measure ship March 2026'!A:C,3,false)</f>
        <v>KG</v>
      </c>
      <c r="H107" s="177"/>
      <c r="I107" s="176"/>
      <c r="J107" s="177"/>
      <c r="K107" s="177"/>
      <c r="L107" s="177"/>
      <c r="M107" s="176">
        <v>14997.0</v>
      </c>
      <c r="N107" s="177" t="str">
        <f>VLOOKUP(M107,'FML March 2026'!E:F,2,false)</f>
        <v>EMMENTHAL LOAF / DEXPA # 7290 - 7465</v>
      </c>
      <c r="O107" s="177" t="str">
        <f>VLOOKUP(M107,'Unit of Measure ship March 2026'!A:C,3,false)</f>
        <v>LBS</v>
      </c>
      <c r="P107" s="177"/>
      <c r="Q107" s="177"/>
      <c r="R107" s="177"/>
      <c r="S107" s="177"/>
      <c r="T107" s="177"/>
      <c r="U107" s="177"/>
      <c r="V107" s="177"/>
      <c r="W107" s="76"/>
      <c r="X107" s="76"/>
      <c r="Y107" s="76"/>
      <c r="Z107" s="76"/>
    </row>
    <row r="108">
      <c r="A108" s="176">
        <v>106303.0</v>
      </c>
      <c r="B108" s="177" t="str">
        <f>VLOOKUP(A108,'FML March 2026'!E:F,2,false)</f>
        <v>GUAVA PASTE GLUTEN FREE ALL NATURAL 14 OZ (400GR) CONCHITA/ GOYA</v>
      </c>
      <c r="C108" s="177" t="str">
        <f>VLOOKUP(A108,'Unit of Measure ship March 2026'!A:C,3,false)</f>
        <v>PKG/14OZ</v>
      </c>
      <c r="D108" s="177"/>
      <c r="E108" s="176">
        <v>111697.0</v>
      </c>
      <c r="F108" s="177" t="str">
        <f>VLOOKUP(E108,'FML March 2026'!E:F,2,false)</f>
        <v>FLOUR WHOLE WHEAT BAG50/LBS KING ARTHUR</v>
      </c>
      <c r="G108" s="177" t="str">
        <f>VLOOKUP(E108,'Unit of Measure ship March 2026'!A:C,3,false)</f>
        <v>KG</v>
      </c>
      <c r="H108" s="177"/>
      <c r="I108" s="176"/>
      <c r="J108" s="177"/>
      <c r="K108" s="177"/>
      <c r="L108" s="177"/>
      <c r="M108" s="176">
        <v>16259.0</v>
      </c>
      <c r="N108" s="177" t="str">
        <f>VLOOKUP(M108,'FML March 2026'!E:F,2,false)</f>
        <v>FENNEL SEED WHOLE BADIA (USA )</v>
      </c>
      <c r="O108" s="177" t="str">
        <f>VLOOKUP(M108,'Unit of Measure ship March 2026'!A:C,3,false)</f>
        <v>LBS</v>
      </c>
      <c r="P108" s="177"/>
      <c r="Q108" s="177"/>
      <c r="R108" s="177"/>
      <c r="S108" s="177"/>
      <c r="T108" s="177"/>
      <c r="U108" s="177"/>
      <c r="V108" s="177"/>
      <c r="W108" s="76"/>
      <c r="X108" s="76"/>
      <c r="Y108" s="76"/>
      <c r="Z108" s="76"/>
    </row>
    <row r="109">
      <c r="A109" s="176">
        <v>14922.0</v>
      </c>
      <c r="B109" s="177" t="str">
        <f>VLOOKUP(A109,'FML March 2026'!E:F,2,false)</f>
        <v>HALF &amp; HALF LONG LIFE (10-12% CREAM)</v>
      </c>
      <c r="C109" s="177" t="str">
        <f>VLOOKUP(A109,'Unit of Measure ship March 2026'!A:C,3,false)</f>
        <v>LT</v>
      </c>
      <c r="D109" s="177"/>
      <c r="E109" s="176">
        <v>112800.0</v>
      </c>
      <c r="F109" s="177" t="str">
        <f>VLOOKUP(E109,'FML March 2026'!E:F,2,false)</f>
        <v>FOOD  CONES COCOA CS312/PC AUSSIE BLENDS</v>
      </c>
      <c r="G109" s="177" t="str">
        <f>VLOOKUP(E109,'Unit of Measure ship March 2026'!A:C,3,false)</f>
        <v>PC</v>
      </c>
      <c r="H109" s="177"/>
      <c r="I109" s="176"/>
      <c r="J109" s="177"/>
      <c r="K109" s="177"/>
      <c r="L109" s="177"/>
      <c r="M109" s="176">
        <v>14990.0</v>
      </c>
      <c r="N109" s="177" t="str">
        <f>VLOOKUP(M109,'FML March 2026'!E:F,2,false)</f>
        <v>FETA, IN BRINE, TUB</v>
      </c>
      <c r="O109" s="177" t="str">
        <f>VLOOKUP(M109,'Unit of Measure ship March 2026'!A:C,3,false)</f>
        <v>LBS</v>
      </c>
      <c r="P109" s="177"/>
      <c r="Q109" s="177"/>
      <c r="R109" s="177"/>
      <c r="S109" s="177"/>
      <c r="T109" s="177"/>
      <c r="U109" s="177"/>
      <c r="V109" s="177"/>
      <c r="W109" s="76"/>
      <c r="X109" s="76"/>
      <c r="Y109" s="76"/>
      <c r="Z109" s="76"/>
    </row>
    <row r="110">
      <c r="A110" s="176">
        <v>51249.0</v>
      </c>
      <c r="B110" s="177" t="str">
        <f>VLOOKUP(A110,'FML March 2026'!E:F,2,false)</f>
        <v>HAZELNUT FLOUR (OCL)</v>
      </c>
      <c r="C110" s="177" t="str">
        <f>VLOOKUP(A110,'Unit of Measure ship March 2026'!A:C,3,false)</f>
        <v>LBS</v>
      </c>
      <c r="D110" s="177"/>
      <c r="E110" s="176">
        <v>109714.0</v>
      </c>
      <c r="F110" s="177" t="str">
        <f>VLOOKUP(E110,'FML March 2026'!E:F,2,false)</f>
        <v>FOOD COLOR BLACK  CHEF RUBBER</v>
      </c>
      <c r="G110" s="177" t="str">
        <f>VLOOKUP(E110,'Unit of Measure ship March 2026'!A:C,3,false)</f>
        <v>CUP/125G</v>
      </c>
      <c r="H110" s="177"/>
      <c r="I110" s="176"/>
      <c r="J110" s="177"/>
      <c r="K110" s="177"/>
      <c r="L110" s="177"/>
      <c r="M110" s="176">
        <v>110029.0</v>
      </c>
      <c r="N110" s="177" t="str">
        <f>VLOOKUP(M110,'FML March 2026'!E:F,2,false)</f>
        <v>FEUILLETINE CS4/2.5KG BARRY (LADY FINGER)</v>
      </c>
      <c r="O110" s="177" t="str">
        <f>VLOOKUP(M110,'Unit of Measure ship March 2026'!A:C,3,false)</f>
        <v>LBS</v>
      </c>
      <c r="P110" s="177"/>
      <c r="Q110" s="177"/>
      <c r="R110" s="177"/>
      <c r="S110" s="177"/>
      <c r="T110" s="177"/>
      <c r="U110" s="177"/>
      <c r="V110" s="177"/>
      <c r="W110" s="76"/>
      <c r="X110" s="76"/>
      <c r="Y110" s="76"/>
      <c r="Z110" s="76"/>
    </row>
    <row r="111">
      <c r="A111" s="176">
        <v>14907.0</v>
      </c>
      <c r="B111" s="177" t="str">
        <f>VLOOKUP(A111,'FML March 2026'!E:F,2,false)</f>
        <v>HEAVY CREAM UHT LONG LIFE 38%-40% 12/1LT</v>
      </c>
      <c r="C111" s="177" t="str">
        <f>VLOOKUP(A111,'Unit of Measure ship March 2026'!A:C,3,false)</f>
        <v>LT</v>
      </c>
      <c r="D111" s="177"/>
      <c r="E111" s="176">
        <v>15670.0</v>
      </c>
      <c r="F111" s="177" t="str">
        <f>VLOOKUP(E111,'FML March 2026'!E:F,2,false)</f>
        <v>FOOD COLOR BLUE 1/ 10.5 OZ CHEFMASTER</v>
      </c>
      <c r="G111" s="177" t="str">
        <f>VLOOKUP(E111,'Unit of Measure ship March 2026'!A:C,3,false)</f>
        <v>QRT</v>
      </c>
      <c r="H111" s="177"/>
      <c r="I111" s="176"/>
      <c r="J111" s="177"/>
      <c r="K111" s="177"/>
      <c r="L111" s="177"/>
      <c r="M111" s="176">
        <v>15716.0</v>
      </c>
      <c r="N111" s="177" t="str">
        <f>VLOOKUP(M111,'FML March 2026'!E:F,2,false)</f>
        <v>FLAVOR VANILLA BOURBON ROYALE FOR ICE CREAM 1 GALLON PASTRY STAR (USA)</v>
      </c>
      <c r="O111" s="177" t="str">
        <f>VLOOKUP(M111,'Unit of Measure ship March 2026'!A:C,3,false)</f>
        <v>GAL</v>
      </c>
      <c r="P111" s="177"/>
      <c r="Q111" s="177"/>
      <c r="R111" s="177"/>
      <c r="S111" s="177"/>
      <c r="T111" s="177"/>
      <c r="U111" s="177"/>
      <c r="V111" s="177"/>
      <c r="W111" s="76"/>
      <c r="X111" s="76"/>
      <c r="Y111" s="76"/>
      <c r="Z111" s="76"/>
    </row>
    <row r="112">
      <c r="A112" s="176">
        <v>15658.0</v>
      </c>
      <c r="B112" s="177" t="str">
        <f>VLOOKUP(A112,'FML March 2026'!E:F,2,false)</f>
        <v>HONEY 6/5 LB GROEB/MELONIA/SWEET HARVEST</v>
      </c>
      <c r="C112" s="177" t="str">
        <f>VLOOKUP(A112,'Unit of Measure ship March 2026'!A:C,3,false)</f>
        <v>KG</v>
      </c>
      <c r="D112" s="177"/>
      <c r="E112" s="176">
        <v>15671.0</v>
      </c>
      <c r="F112" s="177" t="str">
        <f>VLOOKUP(E112,'FML March 2026'!E:F,2,false)</f>
        <v>FOOD COLOR GREEN 1/10.5 OZ CHEFMASTER</v>
      </c>
      <c r="G112" s="177" t="str">
        <f>VLOOKUP(E112,'Unit of Measure ship March 2026'!A:C,3,false)</f>
        <v>BTL/10OZ</v>
      </c>
      <c r="H112" s="177"/>
      <c r="I112" s="176"/>
      <c r="J112" s="177"/>
      <c r="K112" s="177"/>
      <c r="L112" s="177"/>
      <c r="M112" s="176">
        <v>109647.0</v>
      </c>
      <c r="N112" s="177" t="str">
        <f>VLOOKUP(M112,'FML March 2026'!E:F,2,false)</f>
        <v>FLAX MEAL BOBS RED MILL</v>
      </c>
      <c r="O112" s="177" t="str">
        <f>VLOOKUP(M112,'Unit of Measure ship March 2026'!A:C,3,false)</f>
        <v>KG</v>
      </c>
      <c r="P112" s="177"/>
      <c r="Q112" s="177"/>
      <c r="R112" s="177"/>
      <c r="S112" s="177"/>
      <c r="T112" s="177"/>
      <c r="U112" s="177"/>
      <c r="V112" s="177"/>
      <c r="W112" s="76"/>
      <c r="X112" s="76"/>
      <c r="Y112" s="76"/>
      <c r="Z112" s="76"/>
    </row>
    <row r="113">
      <c r="A113" s="176">
        <v>15813.0</v>
      </c>
      <c r="B113" s="177" t="str">
        <f>VLOOKUP(A113,'FML March 2026'!E:F,2,false)</f>
        <v>JAM APRICOT PURE, BULK</v>
      </c>
      <c r="C113" s="177" t="str">
        <f>VLOOKUP(A113,'Unit of Measure ship March 2026'!A:C,3,false)</f>
        <v>CN/6.5LB</v>
      </c>
      <c r="D113" s="177"/>
      <c r="E113" s="176">
        <v>112860.0</v>
      </c>
      <c r="F113" s="177" t="str">
        <f>VLOOKUP(E113,'FML March 2026'!E:F,2,false)</f>
        <v>FOOD COLOR ORANGE  BTL 10.5/OZ CHEFMASTER</v>
      </c>
      <c r="G113" s="177" t="str">
        <f>VLOOKUP(E113,'Unit of Measure ship March 2026'!A:C,3,false)</f>
        <v>BT10.5OZ</v>
      </c>
      <c r="H113" s="177"/>
      <c r="I113" s="176"/>
      <c r="J113" s="177"/>
      <c r="K113" s="177"/>
      <c r="L113" s="177"/>
      <c r="M113" s="176">
        <v>15746.0</v>
      </c>
      <c r="N113" s="177" t="str">
        <f>VLOOKUP(M113,'FML March 2026'!E:F,2,false)</f>
        <v>FLAX SEED WHOLE</v>
      </c>
      <c r="O113" s="177" t="str">
        <f>VLOOKUP(M113,'Unit of Measure ship March 2026'!A:C,3,false)</f>
        <v>LBS</v>
      </c>
      <c r="P113" s="177"/>
      <c r="Q113" s="177"/>
      <c r="R113" s="177"/>
      <c r="S113" s="177"/>
      <c r="T113" s="177"/>
      <c r="U113" s="177"/>
      <c r="V113" s="177"/>
      <c r="W113" s="76"/>
      <c r="X113" s="76"/>
      <c r="Y113" s="76"/>
      <c r="Z113" s="76"/>
    </row>
    <row r="114">
      <c r="A114" s="176">
        <v>17917.0</v>
      </c>
      <c r="B114" s="177" t="str">
        <f>VLOOKUP(A114,'FML March 2026'!E:F,2,false)</f>
        <v>JAM BLUEBERRY, BULK</v>
      </c>
      <c r="C114" s="177" t="str">
        <f>VLOOKUP(A114,'Unit of Measure ship March 2026'!A:C,3,false)</f>
        <v>CS10/LBS</v>
      </c>
      <c r="D114" s="177"/>
      <c r="E114" s="176">
        <v>112861.0</v>
      </c>
      <c r="F114" s="177" t="str">
        <f>VLOOKUP(E114,'FML March 2026'!E:F,2,false)</f>
        <v>FOOD COLOR PURPLE  BTL 10.5/OZ CHEFMASTER</v>
      </c>
      <c r="G114" s="177" t="str">
        <f>VLOOKUP(E114,'Unit of Measure ship March 2026'!A:C,3,false)</f>
        <v>BT10.5OZ</v>
      </c>
      <c r="H114" s="177"/>
      <c r="I114" s="176"/>
      <c r="J114" s="177"/>
      <c r="K114" s="177"/>
      <c r="L114" s="177"/>
      <c r="M114" s="176">
        <v>111865.0</v>
      </c>
      <c r="N114" s="177" t="str">
        <f>VLOOKUP(M114,'FML March 2026'!E:F,2,false)</f>
        <v>FLOUR ALL PURPOSE SIR GALAHAD BAG50/LBS KING ARTHUR</v>
      </c>
      <c r="O114" s="177" t="str">
        <f>VLOOKUP(M114,'Unit of Measure ship March 2026'!A:C,3,false)</f>
        <v>LBS</v>
      </c>
      <c r="P114" s="177"/>
      <c r="Q114" s="177"/>
      <c r="R114" s="177"/>
      <c r="S114" s="177"/>
      <c r="T114" s="177"/>
      <c r="U114" s="177"/>
      <c r="V114" s="177"/>
      <c r="W114" s="76"/>
      <c r="X114" s="76"/>
      <c r="Y114" s="76"/>
      <c r="Z114" s="76"/>
    </row>
    <row r="115">
      <c r="A115" s="176">
        <v>33374.0</v>
      </c>
      <c r="B115" s="177" t="str">
        <f>VLOOKUP(A115,'FML March 2026'!E:F,2,false)</f>
        <v>JAM RASPBERRY NO SEEDS, BULK</v>
      </c>
      <c r="C115" s="177" t="str">
        <f>VLOOKUP(A115,'Unit of Measure ship March 2026'!A:C,3,false)</f>
        <v>C5/KG</v>
      </c>
      <c r="D115" s="177"/>
      <c r="E115" s="176">
        <v>15672.0</v>
      </c>
      <c r="F115" s="177" t="str">
        <f>VLOOKUP(E115,'FML March 2026'!E:F,2,false)</f>
        <v>FOOD COLOR RED 1/10.5 OZ CHEFMASTER</v>
      </c>
      <c r="G115" s="177" t="str">
        <f>VLOOKUP(E115,'Unit of Measure ship March 2026'!A:C,3,false)</f>
        <v>BTL/10OZ</v>
      </c>
      <c r="H115" s="177"/>
      <c r="I115" s="176"/>
      <c r="J115" s="177"/>
      <c r="K115" s="177"/>
      <c r="L115" s="177"/>
      <c r="M115" s="176">
        <v>16332.0</v>
      </c>
      <c r="N115" s="177" t="str">
        <f>VLOOKUP(M115,'FML March 2026'!E:F,2,false)</f>
        <v>FLOUR CHICK PEA FLOUR BESAN/PACKER</v>
      </c>
      <c r="O115" s="177" t="str">
        <f>VLOOKUP(M115,'Unit of Measure ship March 2026'!A:C,3,false)</f>
        <v>LBS</v>
      </c>
      <c r="P115" s="177"/>
      <c r="Q115" s="177"/>
      <c r="R115" s="177"/>
      <c r="S115" s="177"/>
      <c r="T115" s="177"/>
      <c r="U115" s="177"/>
      <c r="V115" s="177"/>
      <c r="W115" s="76"/>
      <c r="X115" s="76"/>
      <c r="Y115" s="76"/>
      <c r="Z115" s="76"/>
    </row>
    <row r="116">
      <c r="A116" s="176">
        <v>33375.0</v>
      </c>
      <c r="B116" s="177" t="str">
        <f>VLOOKUP(A116,'FML March 2026'!E:F,2,false)</f>
        <v>JAM STRAWBERRY, BULK</v>
      </c>
      <c r="C116" s="177" t="str">
        <f>VLOOKUP(A116,'Unit of Measure ship March 2026'!A:C,3,false)</f>
        <v>CS10/LBS</v>
      </c>
      <c r="D116" s="177"/>
      <c r="E116" s="176">
        <v>111810.0</v>
      </c>
      <c r="F116" s="177" t="str">
        <f>VLOOKUP(E116,'FML March 2026'!E:F,2,false)</f>
        <v>FOOD COLOR WHITE 1/3.5 OZ CHEFMASTER</v>
      </c>
      <c r="G116" s="177" t="str">
        <f>VLOOKUP(E116,'Unit of Measure ship March 2026'!A:C,3,false)</f>
        <v>BT2.7/OZ</v>
      </c>
      <c r="H116" s="177"/>
      <c r="I116" s="176"/>
      <c r="J116" s="177"/>
      <c r="K116" s="177"/>
      <c r="L116" s="177"/>
      <c r="M116" s="176">
        <v>147847.0</v>
      </c>
      <c r="N116" s="177" t="str">
        <f>VLOOKUP(M116,'FML March 2026'!E:F,2,false)</f>
        <v>FLOUR GLUTEN FREE/ SUGAR FREE  CUP 4 CUP CS25/ LB</v>
      </c>
      <c r="O116" s="177" t="str">
        <f>VLOOKUP(M116,'Unit of Measure ship March 2026'!A:C,3,false)</f>
        <v>LBS</v>
      </c>
      <c r="P116" s="177"/>
      <c r="Q116" s="177"/>
      <c r="R116" s="177"/>
      <c r="S116" s="177"/>
      <c r="T116" s="177"/>
      <c r="U116" s="177"/>
      <c r="V116" s="177"/>
      <c r="W116" s="76"/>
      <c r="X116" s="76"/>
      <c r="Y116" s="76"/>
      <c r="Z116" s="76"/>
    </row>
    <row r="117">
      <c r="A117" s="176">
        <v>111619.0</v>
      </c>
      <c r="B117" s="177" t="str">
        <f>VLOOKUP(A117,'FML March 2026'!E:F,2,false)</f>
        <v>JELLY APPLE MINT  CS 6/4LB SMUCKERS</v>
      </c>
      <c r="C117" s="177" t="str">
        <f>VLOOKUP(A117,'Unit of Measure ship March 2026'!A:C,3,false)</f>
        <v>LBS</v>
      </c>
      <c r="D117" s="177"/>
      <c r="E117" s="176">
        <v>15673.0</v>
      </c>
      <c r="F117" s="177" t="str">
        <f>VLOOKUP(E117,'FML March 2026'!E:F,2,false)</f>
        <v>FOOD COLOR YELLOW 1/10.5 OZ CHEFMASTER</v>
      </c>
      <c r="G117" s="177" t="str">
        <f>VLOOKUP(E117,'Unit of Measure ship March 2026'!A:C,3,false)</f>
        <v>BTL/10OZ</v>
      </c>
      <c r="H117" s="177"/>
      <c r="I117" s="176"/>
      <c r="J117" s="177"/>
      <c r="K117" s="177"/>
      <c r="L117" s="177"/>
      <c r="M117" s="176">
        <v>15741.0</v>
      </c>
      <c r="N117" s="177" t="str">
        <f>VLOOKUP(M117,'FML March 2026'!E:F,2,false)</f>
        <v>FLOUR SEMOLINA BAG 50/LBS DURAKOTA/BAY STATE (USA)</v>
      </c>
      <c r="O117" s="177" t="str">
        <f>VLOOKUP(M117,'Unit of Measure ship March 2026'!A:C,3,false)</f>
        <v>LBS</v>
      </c>
      <c r="P117" s="177"/>
      <c r="Q117" s="177"/>
      <c r="R117" s="177"/>
      <c r="S117" s="177"/>
      <c r="T117" s="177"/>
      <c r="U117" s="177"/>
      <c r="V117" s="177"/>
      <c r="W117" s="76"/>
      <c r="X117" s="76"/>
      <c r="Y117" s="76"/>
      <c r="Z117" s="76"/>
    </row>
    <row r="118">
      <c r="A118" s="176">
        <v>111618.0</v>
      </c>
      <c r="B118" s="177" t="str">
        <f>VLOOKUP(A118,'FML March 2026'!E:F,2,false)</f>
        <v>JELLY GRAPE CS 6/4LB SMUCKERS</v>
      </c>
      <c r="C118" s="177" t="str">
        <f>VLOOKUP(A118,'Unit of Measure ship March 2026'!A:C,3,false)</f>
        <v>LBS</v>
      </c>
      <c r="D118" s="177"/>
      <c r="E118" s="176">
        <v>111875.0</v>
      </c>
      <c r="F118" s="177" t="str">
        <f>VLOOKUP(E118,'FML March 2026'!E:F,2,false)</f>
        <v>FOOD COLOR YELLOW FAT SOLUBLE BTL 1/ OZ  PASTRY IDEALE</v>
      </c>
      <c r="G118" s="177" t="str">
        <f>VLOOKUP(E118,'Unit of Measure ship March 2026'!A:C,3,false)</f>
        <v>BTL1/OZ</v>
      </c>
      <c r="H118" s="177"/>
      <c r="I118" s="176"/>
      <c r="J118" s="177"/>
      <c r="K118" s="177"/>
      <c r="L118" s="177"/>
      <c r="M118" s="176">
        <v>109639.0</v>
      </c>
      <c r="N118" s="177" t="str">
        <f>VLOOKUP(M118,'FML March 2026'!E:F,2,false)</f>
        <v>FLOUR SIR LANCELOT HIGH GLUTEN  50 LB KING ARTHUR</v>
      </c>
      <c r="O118" s="177" t="str">
        <f>VLOOKUP(M118,'Unit of Measure ship March 2026'!A:C,3,false)</f>
        <v>KG</v>
      </c>
      <c r="P118" s="177"/>
      <c r="Q118" s="177"/>
      <c r="R118" s="177"/>
      <c r="S118" s="177"/>
      <c r="T118" s="177"/>
      <c r="U118" s="177"/>
      <c r="V118" s="177"/>
      <c r="W118" s="76"/>
      <c r="X118" s="76"/>
      <c r="Y118" s="76"/>
      <c r="Z118" s="76"/>
    </row>
    <row r="119">
      <c r="A119" s="176">
        <v>37989.0</v>
      </c>
      <c r="B119" s="177" t="str">
        <f>VLOOKUP(A119,'FML March 2026'!E:F,2,false)</f>
        <v>LEAVENER YEAST INSTANT DRY (NETHERLANDS)</v>
      </c>
      <c r="C119" s="177" t="str">
        <f>VLOOKUP(A119,'Unit of Measure ship March 2026'!A:C,3,false)</f>
        <v>LBS</v>
      </c>
      <c r="D119" s="177"/>
      <c r="E119" s="176">
        <v>112798.0</v>
      </c>
      <c r="F119" s="177" t="str">
        <f>VLOOKUP(E119,'FML March 2026'!E:F,2,false)</f>
        <v>FOOD CONES NATURAL WAFFLE 312 /PC AUSSIE BLENDS</v>
      </c>
      <c r="G119" s="177" t="str">
        <f>VLOOKUP(E119,'Unit of Measure ship March 2026'!A:C,3,false)</f>
        <v>PC</v>
      </c>
      <c r="H119" s="177"/>
      <c r="I119" s="176"/>
      <c r="J119" s="177"/>
      <c r="K119" s="177"/>
      <c r="L119" s="177"/>
      <c r="M119" s="176">
        <v>111697.0</v>
      </c>
      <c r="N119" s="177" t="str">
        <f>VLOOKUP(M119,'FML March 2026'!E:F,2,false)</f>
        <v>FLOUR WHOLE WHEAT BAG50/LBS KING ARTHUR</v>
      </c>
      <c r="O119" s="177" t="str">
        <f>VLOOKUP(M119,'Unit of Measure ship March 2026'!A:C,3,false)</f>
        <v>KG</v>
      </c>
      <c r="P119" s="177"/>
      <c r="Q119" s="177"/>
      <c r="R119" s="177"/>
      <c r="S119" s="177"/>
      <c r="T119" s="177"/>
      <c r="U119" s="177"/>
      <c r="V119" s="177"/>
      <c r="W119" s="76"/>
      <c r="X119" s="76"/>
      <c r="Y119" s="76"/>
      <c r="Z119" s="76"/>
    </row>
    <row r="120">
      <c r="A120" s="176">
        <v>15896.0</v>
      </c>
      <c r="B120" s="177" t="str">
        <f>VLOOKUP(A120,'FML March 2026'!E:F,2,false)</f>
        <v>MACADAMIA NUTS RAW UNSALTED</v>
      </c>
      <c r="C120" s="177" t="str">
        <f>VLOOKUP(A120,'Unit of Measure ship March 2026'!A:C,3,false)</f>
        <v>LBS</v>
      </c>
      <c r="D120" s="177"/>
      <c r="E120" s="176">
        <v>112802.0</v>
      </c>
      <c r="F120" s="177" t="str">
        <f>VLOOKUP(E120,'FML March 2026'!E:F,2,false)</f>
        <v>FOOD CONES RED VELVET CS/312  PC  AUSSIE BLANDS</v>
      </c>
      <c r="G120" s="177" t="str">
        <f>VLOOKUP(E120,'Unit of Measure ship March 2026'!A:C,3,false)</f>
        <v>PC</v>
      </c>
      <c r="H120" s="177"/>
      <c r="I120" s="176"/>
      <c r="J120" s="177"/>
      <c r="K120" s="177"/>
      <c r="L120" s="177"/>
      <c r="M120" s="176">
        <v>109714.0</v>
      </c>
      <c r="N120" s="177" t="str">
        <f>VLOOKUP(M120,'FML March 2026'!E:F,2,false)</f>
        <v>FOOD COLOR BLACK  CHEF RUBBER</v>
      </c>
      <c r="O120" s="177" t="str">
        <f>VLOOKUP(M120,'Unit of Measure ship March 2026'!A:C,3,false)</f>
        <v>CUP/125G</v>
      </c>
      <c r="P120" s="177"/>
      <c r="Q120" s="177"/>
      <c r="R120" s="177"/>
      <c r="S120" s="177"/>
      <c r="T120" s="177"/>
      <c r="U120" s="177"/>
      <c r="V120" s="177"/>
      <c r="W120" s="76"/>
      <c r="X120" s="76"/>
      <c r="Y120" s="76"/>
      <c r="Z120" s="76"/>
    </row>
    <row r="121">
      <c r="A121" s="176">
        <v>15661.0</v>
      </c>
      <c r="B121" s="177" t="str">
        <f>VLOOKUP(A121,'FML March 2026'!E:F,2,false)</f>
        <v>MAG 140 OZ SWTND CONDENSED MILK</v>
      </c>
      <c r="C121" s="177" t="str">
        <f>VLOOKUP(A121,'Unit of Measure ship March 2026'!A:C,3,false)</f>
        <v>C3/140OZ</v>
      </c>
      <c r="D121" s="177"/>
      <c r="E121" s="176">
        <v>16500.0</v>
      </c>
      <c r="F121" s="177" t="str">
        <f>VLOOKUP(E121,'FML March 2026'!E:F,2,false)</f>
        <v>FRUIT COCKTAIL, CHOICE, LIGHT SYRUP</v>
      </c>
      <c r="G121" s="177" t="str">
        <f>VLOOKUP(E121,'Unit of Measure ship March 2026'!A:C,3,false)</f>
        <v>CAN/3KG</v>
      </c>
      <c r="H121" s="177"/>
      <c r="I121" s="176"/>
      <c r="J121" s="177"/>
      <c r="K121" s="177"/>
      <c r="L121" s="177"/>
      <c r="M121" s="176">
        <v>15670.0</v>
      </c>
      <c r="N121" s="177" t="str">
        <f>VLOOKUP(M121,'FML March 2026'!E:F,2,false)</f>
        <v>FOOD COLOR BLUE 1/ 10.5 OZ CHEFMASTER</v>
      </c>
      <c r="O121" s="177" t="str">
        <f>VLOOKUP(M121,'Unit of Measure ship March 2026'!A:C,3,false)</f>
        <v>QRT</v>
      </c>
      <c r="P121" s="177"/>
      <c r="Q121" s="177"/>
      <c r="R121" s="177"/>
      <c r="S121" s="177"/>
      <c r="T121" s="177"/>
      <c r="U121" s="177"/>
      <c r="V121" s="177"/>
      <c r="W121" s="76"/>
      <c r="X121" s="76"/>
      <c r="Y121" s="76"/>
      <c r="Z121" s="76"/>
    </row>
    <row r="122">
      <c r="A122" s="176">
        <v>109624.0</v>
      </c>
      <c r="B122" s="177" t="str">
        <f>VLOOKUP(A122,'FML March 2026'!E:F,2,false)</f>
        <v>MALT POWDER NON-DIASTATIC CS/50LB  MODERNIST PANTRY</v>
      </c>
      <c r="C122" s="177" t="str">
        <f>VLOOKUP(A122,'Unit of Measure ship March 2026'!A:C,3,false)</f>
        <v>KG</v>
      </c>
      <c r="D122" s="177"/>
      <c r="E122" s="176">
        <v>16578.0</v>
      </c>
      <c r="F122" s="177" t="str">
        <f>VLOOKUP(E122,'FML March 2026'!E:F,2,false)</f>
        <v>GARBANZO BEANS 6/10 CANS (SPAIN)</v>
      </c>
      <c r="G122" s="177" t="str">
        <f>VLOOKUP(E122,'Unit of Measure ship March 2026'!A:C,3,false)</f>
        <v>CN/6.5LB</v>
      </c>
      <c r="H122" s="177"/>
      <c r="I122" s="176"/>
      <c r="J122" s="177"/>
      <c r="K122" s="177"/>
      <c r="L122" s="177"/>
      <c r="M122" s="176">
        <v>15671.0</v>
      </c>
      <c r="N122" s="177" t="str">
        <f>VLOOKUP(M122,'FML March 2026'!E:F,2,false)</f>
        <v>FOOD COLOR GREEN 1/10.5 OZ CHEFMASTER</v>
      </c>
      <c r="O122" s="177" t="str">
        <f>VLOOKUP(M122,'Unit of Measure ship March 2026'!A:C,3,false)</f>
        <v>BTL/10OZ</v>
      </c>
      <c r="P122" s="177"/>
      <c r="Q122" s="177"/>
      <c r="R122" s="177"/>
      <c r="S122" s="177"/>
      <c r="T122" s="177"/>
      <c r="U122" s="177"/>
      <c r="V122" s="177"/>
      <c r="W122" s="76"/>
      <c r="X122" s="76"/>
      <c r="Y122" s="76"/>
      <c r="Z122" s="76"/>
    </row>
    <row r="123">
      <c r="A123" s="176">
        <v>44297.0</v>
      </c>
      <c r="B123" s="177" t="str">
        <f>VLOOKUP(A123,'FML March 2026'!E:F,2,false)</f>
        <v>MALT POWDER, NESTLE-CARNATION 6/2.5 LB</v>
      </c>
      <c r="C123" s="177" t="str">
        <f>VLOOKUP(A123,'Unit of Measure ship March 2026'!A:C,3,false)</f>
        <v>LBS</v>
      </c>
      <c r="D123" s="177"/>
      <c r="E123" s="176">
        <v>51164.0</v>
      </c>
      <c r="F123" s="177" t="str">
        <f>VLOOKUP(E123,'FML March 2026'!E:F,2,false)</f>
        <v>GELATIN LEAVES 160BLOOM 1KG/PACK /400 LEAVES PASTISFRANCE/ GELITA</v>
      </c>
      <c r="G123" s="177" t="str">
        <f>VLOOKUP(E123,'Unit of Measure ship March 2026'!A:C,3,false)</f>
        <v>PACK/1KG</v>
      </c>
      <c r="H123" s="177"/>
      <c r="I123" s="176"/>
      <c r="J123" s="177"/>
      <c r="K123" s="177"/>
      <c r="L123" s="177"/>
      <c r="M123" s="176">
        <v>112860.0</v>
      </c>
      <c r="N123" s="177" t="str">
        <f>VLOOKUP(M123,'FML March 2026'!E:F,2,false)</f>
        <v>FOOD COLOR ORANGE  BTL 10.5/OZ CHEFMASTER</v>
      </c>
      <c r="O123" s="177" t="str">
        <f>VLOOKUP(M123,'Unit of Measure ship March 2026'!A:C,3,false)</f>
        <v>BT10.5OZ</v>
      </c>
      <c r="P123" s="177"/>
      <c r="Q123" s="177"/>
      <c r="R123" s="177"/>
      <c r="S123" s="177"/>
      <c r="T123" s="177"/>
      <c r="U123" s="177"/>
      <c r="V123" s="177"/>
      <c r="W123" s="76"/>
      <c r="X123" s="76"/>
      <c r="Y123" s="76"/>
      <c r="Z123" s="76"/>
    </row>
    <row r="124">
      <c r="A124" s="176">
        <v>51210.0</v>
      </c>
      <c r="B124" s="177" t="str">
        <f>VLOOKUP(A124,'FML March 2026'!E:F,2,false)</f>
        <v>MALTITOL CS25/KG  PR35 HK PASTRY STAR</v>
      </c>
      <c r="C124" s="177" t="str">
        <f>VLOOKUP(A124,'Unit of Measure ship March 2026'!A:C,3,false)</f>
        <v>LBS</v>
      </c>
      <c r="D124" s="177"/>
      <c r="E124" s="176">
        <v>111649.0</v>
      </c>
      <c r="F124" s="177" t="str">
        <f>VLOOKUP(E124,'FML March 2026'!E:F,2,false)</f>
        <v>GELATO BASE  ALWAYS FRESCO CS8/4LB PREGEL</v>
      </c>
      <c r="G124" s="177" t="str">
        <f>VLOOKUP(E124,'Unit of Measure ship March 2026'!A:C,3,false)</f>
        <v>LBS</v>
      </c>
      <c r="H124" s="177"/>
      <c r="I124" s="176"/>
      <c r="J124" s="177"/>
      <c r="K124" s="177"/>
      <c r="L124" s="177"/>
      <c r="M124" s="176">
        <v>112861.0</v>
      </c>
      <c r="N124" s="177" t="str">
        <f>VLOOKUP(M124,'FML March 2026'!E:F,2,false)</f>
        <v>FOOD COLOR PURPLE  BTL 10.5/OZ CHEFMASTER</v>
      </c>
      <c r="O124" s="177" t="str">
        <f>VLOOKUP(M124,'Unit of Measure ship March 2026'!A:C,3,false)</f>
        <v>BT10.5OZ</v>
      </c>
      <c r="P124" s="177"/>
      <c r="Q124" s="177"/>
      <c r="R124" s="177"/>
      <c r="S124" s="177"/>
      <c r="T124" s="177"/>
      <c r="U124" s="177"/>
      <c r="V124" s="177"/>
      <c r="W124" s="76"/>
      <c r="X124" s="76"/>
      <c r="Y124" s="76"/>
      <c r="Z124" s="76"/>
    </row>
    <row r="125">
      <c r="A125" s="176">
        <v>110969.0</v>
      </c>
      <c r="B125" s="177" t="str">
        <f>VLOOKUP(A125,'FML March 2026'!E:F,2,false)</f>
        <v>MALTODEXTRINE</v>
      </c>
      <c r="C125" s="177" t="str">
        <f>VLOOKUP(A125,'Unit of Measure ship March 2026'!A:C,3,false)</f>
        <v>LBS</v>
      </c>
      <c r="D125" s="177"/>
      <c r="E125" s="176">
        <v>111651.0</v>
      </c>
      <c r="F125" s="177" t="str">
        <f>VLOOKUP(E125,'FML March 2026'!E:F,2,false)</f>
        <v>GELATO BASE  BUTTER PECAN SPRINT  CS 12/2LB PREGEL</v>
      </c>
      <c r="G125" s="177" t="str">
        <f>VLOOKUP(E125,'Unit of Measure ship March 2026'!A:C,3,false)</f>
        <v>LBS</v>
      </c>
      <c r="H125" s="177"/>
      <c r="I125" s="176"/>
      <c r="J125" s="177"/>
      <c r="K125" s="177"/>
      <c r="L125" s="177"/>
      <c r="M125" s="176">
        <v>15672.0</v>
      </c>
      <c r="N125" s="177" t="str">
        <f>VLOOKUP(M125,'FML March 2026'!E:F,2,false)</f>
        <v>FOOD COLOR RED 1/10.5 OZ CHEFMASTER</v>
      </c>
      <c r="O125" s="177" t="str">
        <f>VLOOKUP(M125,'Unit of Measure ship March 2026'!A:C,3,false)</f>
        <v>BTL/10OZ</v>
      </c>
      <c r="P125" s="177"/>
      <c r="Q125" s="177"/>
      <c r="R125" s="177"/>
      <c r="S125" s="177"/>
      <c r="T125" s="177"/>
      <c r="U125" s="177"/>
      <c r="V125" s="177"/>
      <c r="W125" s="76"/>
      <c r="X125" s="76"/>
      <c r="Y125" s="76"/>
      <c r="Z125" s="76"/>
    </row>
    <row r="126">
      <c r="A126" s="176">
        <v>40193.0</v>
      </c>
      <c r="B126" s="177" t="str">
        <f>VLOOKUP(A126,'FML March 2026'!E:F,2,false)</f>
        <v>MANGO CHUNKS  FROZEN (PERU)</v>
      </c>
      <c r="C126" s="177" t="str">
        <f>VLOOKUP(A126,'Unit of Measure ship March 2026'!A:C,3,false)</f>
        <v>C/10KG</v>
      </c>
      <c r="D126" s="177"/>
      <c r="E126" s="176">
        <v>111650.0</v>
      </c>
      <c r="F126" s="177" t="str">
        <f>VLOOKUP(E126,'FML March 2026'!E:F,2,false)</f>
        <v>GELATO BASE ALWAYS FRESCO FRUIT CS12/2.4 LB PREGEL</v>
      </c>
      <c r="G126" s="177" t="str">
        <f>VLOOKUP(E126,'Unit of Measure ship March 2026'!A:C,3,false)</f>
        <v>LBS</v>
      </c>
      <c r="H126" s="177"/>
      <c r="I126" s="176"/>
      <c r="J126" s="177"/>
      <c r="K126" s="177"/>
      <c r="L126" s="177"/>
      <c r="M126" s="176">
        <v>111810.0</v>
      </c>
      <c r="N126" s="177" t="str">
        <f>VLOOKUP(M126,'FML March 2026'!E:F,2,false)</f>
        <v>FOOD COLOR WHITE 1/3.5 OZ CHEFMASTER</v>
      </c>
      <c r="O126" s="177" t="str">
        <f>VLOOKUP(M126,'Unit of Measure ship March 2026'!A:C,3,false)</f>
        <v>BT2.7/OZ</v>
      </c>
      <c r="P126" s="177"/>
      <c r="Q126" s="177"/>
      <c r="R126" s="177"/>
      <c r="S126" s="177"/>
      <c r="T126" s="177"/>
      <c r="U126" s="177"/>
      <c r="V126" s="177"/>
      <c r="W126" s="76"/>
      <c r="X126" s="76"/>
      <c r="Y126" s="76"/>
      <c r="Z126" s="76"/>
    </row>
    <row r="127">
      <c r="A127" s="176">
        <v>16400.0</v>
      </c>
      <c r="B127" s="177" t="str">
        <f>VLOOKUP(A127,'FML March 2026'!E:F,2,false)</f>
        <v>MANGO CHUTNEY (THAILAND)</v>
      </c>
      <c r="C127" s="177" t="str">
        <f>VLOOKUP(A127,'Unit of Measure ship March 2026'!A:C,3,false)</f>
        <v>PC/32OZ</v>
      </c>
      <c r="D127" s="177"/>
      <c r="E127" s="176">
        <v>111655.0</v>
      </c>
      <c r="F127" s="177" t="str">
        <f>VLOOKUP(E127,'FML March 2026'!E:F,2,false)</f>
        <v>GELATO BASE FIBRA PLUS  CS 12/2.2 LB PREGEL</v>
      </c>
      <c r="G127" s="177" t="str">
        <f>VLOOKUP(E127,'Unit of Measure ship March 2026'!A:C,3,false)</f>
        <v>LBS</v>
      </c>
      <c r="H127" s="177"/>
      <c r="I127" s="176"/>
      <c r="J127" s="177"/>
      <c r="K127" s="177"/>
      <c r="L127" s="177"/>
      <c r="M127" s="176">
        <v>15673.0</v>
      </c>
      <c r="N127" s="177" t="str">
        <f>VLOOKUP(M127,'FML March 2026'!E:F,2,false)</f>
        <v>FOOD COLOR YELLOW 1/10.5 OZ CHEFMASTER</v>
      </c>
      <c r="O127" s="177" t="str">
        <f>VLOOKUP(M127,'Unit of Measure ship March 2026'!A:C,3,false)</f>
        <v>BTL/10OZ</v>
      </c>
      <c r="P127" s="177"/>
      <c r="Q127" s="177"/>
      <c r="R127" s="177"/>
      <c r="S127" s="177"/>
      <c r="T127" s="177"/>
      <c r="U127" s="177"/>
      <c r="V127" s="177"/>
      <c r="W127" s="76"/>
      <c r="X127" s="76"/>
      <c r="Y127" s="76"/>
      <c r="Z127" s="76"/>
    </row>
    <row r="128">
      <c r="A128" s="176">
        <v>11949.0</v>
      </c>
      <c r="B128" s="177" t="str">
        <f>VLOOKUP(A128,'FML March 2026'!E:F,2,false)</f>
        <v>MANGO DRIED 11 LB HIALEAH/ PACKER</v>
      </c>
      <c r="C128" s="177" t="str">
        <f>VLOOKUP(A128,'Unit of Measure ship March 2026'!A:C,3,false)</f>
        <v>LBS</v>
      </c>
      <c r="D128" s="177"/>
      <c r="E128" s="176">
        <v>111656.0</v>
      </c>
      <c r="F128" s="177" t="str">
        <f>VLOOKUP(E128,'FML March 2026'!E:F,2,false)</f>
        <v>GELATO BASE SUBLIME  CS 8/4.4 LB PREGEL</v>
      </c>
      <c r="G128" s="177" t="str">
        <f>VLOOKUP(E128,'Unit of Measure ship March 2026'!A:C,3,false)</f>
        <v>LBS</v>
      </c>
      <c r="H128" s="177"/>
      <c r="I128" s="176"/>
      <c r="J128" s="177"/>
      <c r="K128" s="177"/>
      <c r="L128" s="177"/>
      <c r="M128" s="176">
        <v>111875.0</v>
      </c>
      <c r="N128" s="177" t="str">
        <f>VLOOKUP(M128,'FML March 2026'!E:F,2,false)</f>
        <v>FOOD COLOR YELLOW FAT SOLUBLE BTL 1/ OZ  PASTRY IDEALE</v>
      </c>
      <c r="O128" s="177" t="str">
        <f>VLOOKUP(M128,'Unit of Measure ship March 2026'!A:C,3,false)</f>
        <v>BTL1/OZ</v>
      </c>
      <c r="P128" s="177"/>
      <c r="Q128" s="177"/>
      <c r="R128" s="177"/>
      <c r="S128" s="177"/>
      <c r="T128" s="177"/>
      <c r="U128" s="177"/>
      <c r="V128" s="177"/>
      <c r="W128" s="76"/>
      <c r="X128" s="76"/>
      <c r="Y128" s="76"/>
      <c r="Z128" s="76"/>
    </row>
    <row r="129">
      <c r="A129" s="176">
        <v>15020.0</v>
      </c>
      <c r="B129" s="177" t="str">
        <f>VLOOKUP(A129,'FML March 2026'!E:F,2,false)</f>
        <v>MARGARINE, BULK</v>
      </c>
      <c r="C129" s="177" t="str">
        <f>VLOOKUP(A129,'Unit of Measure ship March 2026'!A:C,3,false)</f>
        <v>LBS</v>
      </c>
      <c r="D129" s="177"/>
      <c r="E129" s="176">
        <v>111653.0</v>
      </c>
      <c r="F129" s="177" t="str">
        <f>VLOOKUP(E129,'FML March 2026'!E:F,2,false)</f>
        <v>GELATO BASE VANILLA STEVIA CS12/2.2LB PREGEL</v>
      </c>
      <c r="G129" s="177" t="str">
        <f>VLOOKUP(E129,'Unit of Measure ship March 2026'!A:C,3,false)</f>
        <v>LBS</v>
      </c>
      <c r="H129" s="177"/>
      <c r="I129" s="176"/>
      <c r="J129" s="177"/>
      <c r="K129" s="177"/>
      <c r="L129" s="177"/>
      <c r="M129" s="176">
        <v>14565.0</v>
      </c>
      <c r="N129" s="177" t="str">
        <f>VLOOKUP(M129,'FML March 2026'!E:F,2,false)</f>
        <v>FRANKFURTERS ALL BEEF SKINLESS 6/1 KOSHER HEBREW NATIONAL/NATHANS (USA)</v>
      </c>
      <c r="O129" s="177" t="str">
        <f>VLOOKUP(M129,'Unit of Measure ship March 2026'!A:C,3,false)</f>
        <v>LBS</v>
      </c>
      <c r="P129" s="177"/>
      <c r="Q129" s="177"/>
      <c r="R129" s="177"/>
      <c r="S129" s="177"/>
      <c r="T129" s="177"/>
      <c r="U129" s="177"/>
      <c r="V129" s="177"/>
      <c r="W129" s="76"/>
      <c r="X129" s="76"/>
      <c r="Y129" s="76"/>
      <c r="Z129" s="76"/>
    </row>
    <row r="130">
      <c r="A130" s="176">
        <v>110962.0</v>
      </c>
      <c r="B130" s="177" t="str">
        <f>VLOOKUP(A130,'FML March 2026'!E:F,2,false)</f>
        <v>MARSHMALLOW DEHYDRATED CS3/LB HOOSIER HILL</v>
      </c>
      <c r="C130" s="177" t="str">
        <f>VLOOKUP(A130,'Unit of Measure ship March 2026'!A:C,3,false)</f>
        <v>LBS</v>
      </c>
      <c r="D130" s="177"/>
      <c r="E130" s="176">
        <v>111654.0</v>
      </c>
      <c r="F130" s="177" t="str">
        <f>VLOOKUP(E130,'FML March 2026'!E:F,2,false)</f>
        <v>GELATO BASE VELUTINA CS 2/6.5 LB PREGEL</v>
      </c>
      <c r="G130" s="177" t="str">
        <f>VLOOKUP(E130,'Unit of Measure ship March 2026'!A:C,3,false)</f>
        <v>LBS</v>
      </c>
      <c r="H130" s="177"/>
      <c r="I130" s="176"/>
      <c r="J130" s="177"/>
      <c r="K130" s="177"/>
      <c r="L130" s="177"/>
      <c r="M130" s="176">
        <v>16337.0</v>
      </c>
      <c r="N130" s="177" t="str">
        <f>VLOOKUP(M130,'FML March 2026'!E:F,2,false)</f>
        <v>GARAM MASALA POWDER INDIAN SPICE D`ALLESANDRO/MAYA</v>
      </c>
      <c r="O130" s="177" t="str">
        <f>VLOOKUP(M130,'Unit of Measure ship March 2026'!A:C,3,false)</f>
        <v>LBS</v>
      </c>
      <c r="P130" s="177"/>
      <c r="Q130" s="177"/>
      <c r="R130" s="177"/>
      <c r="S130" s="177"/>
      <c r="T130" s="177"/>
      <c r="U130" s="177"/>
      <c r="V130" s="177"/>
      <c r="W130" s="76"/>
      <c r="X130" s="76"/>
      <c r="Y130" s="76"/>
      <c r="Z130" s="76"/>
    </row>
    <row r="131">
      <c r="A131" s="176">
        <v>40533.0</v>
      </c>
      <c r="B131" s="177" t="str">
        <f>VLOOKUP(A131,'FML March 2026'!E:F,2,false)</f>
        <v>MARSHMALLOW LARGE 12/16 OZ KRAFT  06006996611600</v>
      </c>
      <c r="C131" s="177" t="str">
        <f>VLOOKUP(A131,'Unit of Measure ship March 2026'!A:C,3,false)</f>
        <v>LBS</v>
      </c>
      <c r="D131" s="177"/>
      <c r="E131" s="176">
        <v>16261.0</v>
      </c>
      <c r="F131" s="177" t="str">
        <f>VLOOKUP(E131,'FML March 2026'!E:F,2,false)</f>
        <v>GINGER GROUND D`ALLESANDRO/ SPICECO</v>
      </c>
      <c r="G131" s="177" t="str">
        <f>VLOOKUP(E131,'Unit of Measure ship March 2026'!A:C,3,false)</f>
        <v>LBS</v>
      </c>
      <c r="H131" s="177"/>
      <c r="I131" s="176"/>
      <c r="J131" s="177"/>
      <c r="K131" s="177"/>
      <c r="L131" s="177"/>
      <c r="M131" s="182">
        <v>111135.0</v>
      </c>
      <c r="N131" s="177" t="str">
        <f>VLOOKUP(M131,'FML March 2026'!E:F,2,false)</f>
        <v>GARLIC MINCED BADIA</v>
      </c>
      <c r="O131" s="177" t="str">
        <f>VLOOKUP(M131,'Unit of Measure ship March 2026'!A:C,3,false)</f>
        <v>LBS</v>
      </c>
      <c r="P131" s="177"/>
      <c r="Q131" s="177"/>
      <c r="R131" s="177"/>
      <c r="S131" s="177"/>
      <c r="T131" s="177"/>
      <c r="U131" s="177"/>
      <c r="V131" s="177"/>
      <c r="W131" s="76"/>
      <c r="X131" s="76"/>
      <c r="Y131" s="76"/>
      <c r="Z131" s="76"/>
    </row>
    <row r="132">
      <c r="A132" s="176">
        <v>111820.0</v>
      </c>
      <c r="B132" s="177" t="str">
        <f>VLOOKUP(A132,'FML March 2026'!E:F,2,false)</f>
        <v>MASA HARINA CS4/22OZ BOBS RED MILL</v>
      </c>
      <c r="C132" s="177" t="str">
        <f>VLOOKUP(A132,'Unit of Measure ship March 2026'!A:C,3,false)</f>
        <v>LBS</v>
      </c>
      <c r="D132" s="177"/>
      <c r="E132" s="176">
        <v>15832.0</v>
      </c>
      <c r="F132" s="177" t="str">
        <f>VLOOKUP(E132,'FML March 2026'!E:F,2,false)</f>
        <v>GLUCOSE PURE 7 KG</v>
      </c>
      <c r="G132" s="177" t="str">
        <f>VLOOKUP(E132,'Unit of Measure ship March 2026'!A:C,3,false)</f>
        <v>KG</v>
      </c>
      <c r="H132" s="177"/>
      <c r="I132" s="176"/>
      <c r="J132" s="177"/>
      <c r="K132" s="177"/>
      <c r="L132" s="177"/>
      <c r="M132" s="176">
        <v>16260.0</v>
      </c>
      <c r="N132" s="177" t="str">
        <f>VLOOKUP(M132,'FML March 2026'!E:F,2,false)</f>
        <v>GARLIC, POWDER, DRY, 12/16 OZ</v>
      </c>
      <c r="O132" s="177" t="str">
        <f>VLOOKUP(M132,'Unit of Measure ship March 2026'!A:C,3,false)</f>
        <v>LBS</v>
      </c>
      <c r="P132" s="177"/>
      <c r="Q132" s="177"/>
      <c r="R132" s="177"/>
      <c r="S132" s="177"/>
      <c r="T132" s="177"/>
      <c r="U132" s="177"/>
      <c r="V132" s="177"/>
      <c r="W132" s="76"/>
      <c r="X132" s="76"/>
      <c r="Y132" s="76"/>
      <c r="Z132" s="76"/>
    </row>
    <row r="133">
      <c r="A133" s="176">
        <v>15081.0</v>
      </c>
      <c r="B133" s="177" t="str">
        <f>VLOOKUP(A133,'FML March 2026'!E:F,2,false)</f>
        <v>MASCARPONE, TUB</v>
      </c>
      <c r="C133" s="177" t="str">
        <f>VLOOKUP(A133,'Unit of Measure ship March 2026'!A:C,3,false)</f>
        <v>LBS</v>
      </c>
      <c r="D133" s="177"/>
      <c r="E133" s="176">
        <v>12672.0</v>
      </c>
      <c r="F133" s="177" t="str">
        <f>VLOOKUP(E133,'FML March 2026'!E:F,2,false)</f>
        <v>GLUTEN FREE CHICKPEA FLOUR SONALI/ PARIVAR</v>
      </c>
      <c r="G133" s="177" t="str">
        <f>VLOOKUP(E133,'Unit of Measure ship March 2026'!A:C,3,false)</f>
        <v>LBS</v>
      </c>
      <c r="H133" s="177"/>
      <c r="I133" s="176"/>
      <c r="J133" s="177"/>
      <c r="K133" s="177"/>
      <c r="L133" s="177"/>
      <c r="M133" s="176">
        <v>51164.0</v>
      </c>
      <c r="N133" s="177" t="str">
        <f>VLOOKUP(M133,'FML March 2026'!E:F,2,false)</f>
        <v>GELATIN LEAVES 160BLOOM 1KG/PACK /400 LEAVES PASTISFRANCE/ GELITA</v>
      </c>
      <c r="O133" s="177" t="str">
        <f>VLOOKUP(M133,'Unit of Measure ship March 2026'!A:C,3,false)</f>
        <v>PACK/1KG</v>
      </c>
      <c r="P133" s="177"/>
      <c r="Q133" s="177"/>
      <c r="R133" s="177"/>
      <c r="S133" s="177"/>
      <c r="T133" s="177"/>
      <c r="U133" s="177"/>
      <c r="V133" s="177"/>
      <c r="W133" s="76"/>
      <c r="X133" s="76"/>
      <c r="Y133" s="76"/>
      <c r="Z133" s="76"/>
    </row>
    <row r="134">
      <c r="A134" s="176">
        <v>111984.0</v>
      </c>
      <c r="B134" s="177" t="str">
        <f>VLOOKUP(A134,'FML March 2026'!E:F,2,false)</f>
        <v>MILK GOAT MILK ASEPTIC CS12/32 OZ</v>
      </c>
      <c r="C134" s="177" t="str">
        <f>VLOOKUP(A134,'Unit of Measure ship March 2026'!A:C,3,false)</f>
        <v>QT</v>
      </c>
      <c r="D134" s="177"/>
      <c r="E134" s="176">
        <v>12666.0</v>
      </c>
      <c r="F134" s="177" t="str">
        <f>VLOOKUP(E134,'FML March 2026'!E:F,2,false)</f>
        <v>GLUTEN FREE WHITE RICE FLOUR</v>
      </c>
      <c r="G134" s="177" t="str">
        <f>VLOOKUP(E134,'Unit of Measure ship March 2026'!A:C,3,false)</f>
        <v>LBS</v>
      </c>
      <c r="H134" s="177"/>
      <c r="I134" s="176"/>
      <c r="J134" s="177"/>
      <c r="K134" s="177"/>
      <c r="L134" s="177"/>
      <c r="M134" s="176">
        <v>16261.0</v>
      </c>
      <c r="N134" s="177" t="str">
        <f>VLOOKUP(M134,'FML March 2026'!E:F,2,false)</f>
        <v>GINGER GROUND D`ALLESANDRO/ SPICECO</v>
      </c>
      <c r="O134" s="177" t="str">
        <f>VLOOKUP(M134,'Unit of Measure ship March 2026'!A:C,3,false)</f>
        <v>LBS</v>
      </c>
      <c r="P134" s="177"/>
      <c r="Q134" s="177"/>
      <c r="R134" s="177"/>
      <c r="S134" s="177"/>
      <c r="T134" s="177"/>
      <c r="U134" s="177"/>
      <c r="V134" s="177"/>
      <c r="W134" s="76"/>
      <c r="X134" s="76"/>
      <c r="Y134" s="76"/>
      <c r="Z134" s="76"/>
    </row>
    <row r="135">
      <c r="A135" s="176">
        <v>110932.0</v>
      </c>
      <c r="B135" s="177" t="str">
        <f>VLOOKUP(A135,'FML March 2026'!E:F,2,false)</f>
        <v>MILK POWDER  NON-FAT INSTANT</v>
      </c>
      <c r="C135" s="177" t="str">
        <f>VLOOKUP(A135,'Unit of Measure ship March 2026'!A:C,3,false)</f>
        <v>LBS</v>
      </c>
      <c r="D135" s="177"/>
      <c r="E135" s="176">
        <v>51163.0</v>
      </c>
      <c r="F135" s="177" t="str">
        <f>VLOOKUP(E135,'FML March 2026'!E:F,2,false)</f>
        <v>GOLD LEAVES, 23K - BOOK DECO RELIEF/SWIFT 2.75" SQUARE</v>
      </c>
      <c r="G135" s="177" t="str">
        <f>VLOOKUP(E135,'Unit of Measure ship March 2026'!A:C,3,false)</f>
        <v>PC</v>
      </c>
      <c r="H135" s="177"/>
      <c r="I135" s="176"/>
      <c r="J135" s="177"/>
      <c r="K135" s="177"/>
      <c r="L135" s="177"/>
      <c r="M135" s="176">
        <v>143571.0</v>
      </c>
      <c r="N135" s="177" t="str">
        <f>VLOOKUP(M135,'FML March 2026'!E:F,2,false)</f>
        <v>GINGER, CRYSTALLIZED (USA)</v>
      </c>
      <c r="O135" s="177" t="str">
        <f>VLOOKUP(M135,'Unit of Measure ship March 2026'!A:C,3,false)</f>
        <v>LBS</v>
      </c>
      <c r="P135" s="177"/>
      <c r="Q135" s="177"/>
      <c r="R135" s="177"/>
      <c r="S135" s="177"/>
      <c r="T135" s="177"/>
      <c r="U135" s="177"/>
      <c r="V135" s="177"/>
      <c r="W135" s="76"/>
      <c r="X135" s="76"/>
      <c r="Y135" s="76"/>
      <c r="Z135" s="76"/>
    </row>
    <row r="136">
      <c r="A136" s="176">
        <v>14871.0</v>
      </c>
      <c r="B136" s="177" t="str">
        <f>VLOOKUP(A136,'FML March 2026'!E:F,2,false)</f>
        <v>MILK, UHT, SKIM, 0.5% FAT, DRY, 12/1 LT</v>
      </c>
      <c r="C136" s="177" t="str">
        <f>VLOOKUP(A136,'Unit of Measure ship March 2026'!A:C,3,false)</f>
        <v>LT</v>
      </c>
      <c r="D136" s="177"/>
      <c r="E136" s="176">
        <v>20889.0</v>
      </c>
      <c r="F136" s="177" t="str">
        <f>VLOOKUP(E136,'FML March 2026'!E:F,2,false)</f>
        <v>GREEN TEA POWDER MATCHA (PASTRY) DRY/FROZEN</v>
      </c>
      <c r="G136" s="177" t="str">
        <f>VLOOKUP(E136,'Unit of Measure ship March 2026'!A:C,3,false)</f>
        <v>LBS</v>
      </c>
      <c r="H136" s="177"/>
      <c r="I136" s="176"/>
      <c r="J136" s="177"/>
      <c r="K136" s="177"/>
      <c r="L136" s="177"/>
      <c r="M136" s="176">
        <v>15832.0</v>
      </c>
      <c r="N136" s="177" t="str">
        <f>VLOOKUP(M136,'FML March 2026'!E:F,2,false)</f>
        <v>GLUCOSE PURE 7 KG</v>
      </c>
      <c r="O136" s="177" t="str">
        <f>VLOOKUP(M136,'Unit of Measure ship March 2026'!A:C,3,false)</f>
        <v>KG</v>
      </c>
      <c r="P136" s="177"/>
      <c r="Q136" s="177"/>
      <c r="R136" s="177"/>
      <c r="S136" s="177"/>
      <c r="T136" s="177"/>
      <c r="U136" s="177"/>
      <c r="V136" s="177"/>
      <c r="W136" s="76"/>
      <c r="X136" s="76"/>
      <c r="Y136" s="76"/>
      <c r="Z136" s="76"/>
    </row>
    <row r="137">
      <c r="A137" s="176">
        <v>14869.0</v>
      </c>
      <c r="B137" s="177" t="str">
        <f>VLOOKUP(A137,'FML March 2026'!E:F,2,false)</f>
        <v>MILK, UHT, WHOLE, 3.5% FAT, DRY, 12/1 LT</v>
      </c>
      <c r="C137" s="177" t="str">
        <f>VLOOKUP(A137,'Unit of Measure ship March 2026'!A:C,3,false)</f>
        <v>LT</v>
      </c>
      <c r="D137" s="177"/>
      <c r="E137" s="176">
        <v>106303.0</v>
      </c>
      <c r="F137" s="177" t="str">
        <f>VLOOKUP(E137,'FML March 2026'!E:F,2,false)</f>
        <v>GUAVA PASTE GLUTEN FREE ALL NATURAL 14 OZ (400GR) CONCHITA/ GOYA</v>
      </c>
      <c r="G137" s="177" t="str">
        <f>VLOOKUP(E137,'Unit of Measure ship March 2026'!A:C,3,false)</f>
        <v>PKG/14OZ</v>
      </c>
      <c r="H137" s="177"/>
      <c r="I137" s="176"/>
      <c r="J137" s="177"/>
      <c r="K137" s="177"/>
      <c r="L137" s="177"/>
      <c r="M137" s="176">
        <v>16958.0</v>
      </c>
      <c r="N137" s="177" t="str">
        <f>VLOOKUP(M137,'FML March 2026'!E:F,2,false)</f>
        <v>GLUTEN FREE BREAD WHITE RICE 6/16 OZ KINNICKKNICK/UDI'S</v>
      </c>
      <c r="O137" s="177" t="str">
        <f>VLOOKUP(M137,'Unit of Measure ship March 2026'!A:C,3,false)</f>
        <v>PC/16OZ</v>
      </c>
      <c r="P137" s="177"/>
      <c r="Q137" s="177"/>
      <c r="R137" s="177"/>
      <c r="S137" s="177"/>
      <c r="T137" s="177"/>
      <c r="U137" s="177"/>
      <c r="V137" s="177"/>
      <c r="W137" s="76"/>
      <c r="X137" s="76"/>
      <c r="Y137" s="76"/>
      <c r="Z137" s="76"/>
    </row>
    <row r="138">
      <c r="A138" s="176">
        <v>15711.0</v>
      </c>
      <c r="B138" s="177" t="str">
        <f>VLOOKUP(A138,'FML March 2026'!E:F,2,false)</f>
        <v>MOLASSES 4/1 GALLON GRANDMAS/ TORINO (USA )</v>
      </c>
      <c r="C138" s="177" t="str">
        <f>VLOOKUP(A138,'Unit of Measure ship March 2026'!A:C,3,false)</f>
        <v>GAL</v>
      </c>
      <c r="D138" s="177"/>
      <c r="E138" s="176">
        <v>112792.0</v>
      </c>
      <c r="F138" s="177" t="str">
        <f>VLOOKUP(E138,'FML March 2026'!E:F,2,false)</f>
        <v>GUMMY BEARS ASSORTED  HARIBO</v>
      </c>
      <c r="G138" s="177" t="str">
        <f>VLOOKUP(E138,'Unit of Measure ship March 2026'!A:C,3,false)</f>
        <v>LBS</v>
      </c>
      <c r="H138" s="177"/>
      <c r="I138" s="176"/>
      <c r="J138" s="177"/>
      <c r="K138" s="177"/>
      <c r="L138" s="177"/>
      <c r="M138" s="176">
        <v>142009.0</v>
      </c>
      <c r="N138" s="177" t="str">
        <f>VLOOKUP(M138,'FML March 2026'!E:F,2,false)</f>
        <v>GLUTEN-FREE BAGEL TAPIOCA RICE PLAIN 6X12.1 OZ KINNIKINNICK</v>
      </c>
      <c r="O138" s="177" t="str">
        <f>VLOOKUP(M138,'Unit of Measure ship March 2026'!A:C,3,false)</f>
        <v>C6/12.1O</v>
      </c>
      <c r="P138" s="177"/>
      <c r="Q138" s="177"/>
      <c r="R138" s="177"/>
      <c r="S138" s="177"/>
      <c r="T138" s="177"/>
      <c r="U138" s="177"/>
      <c r="V138" s="177"/>
      <c r="W138" s="76"/>
      <c r="X138" s="76"/>
      <c r="Y138" s="76"/>
      <c r="Z138" s="76"/>
    </row>
    <row r="139">
      <c r="A139" s="176">
        <v>111702.0</v>
      </c>
      <c r="B139" s="177" t="str">
        <f>VLOOKUP(A139,'FML March 2026'!E:F,2,false)</f>
        <v>MOLASSES POMEGRANATE CS12/10OZ AL WADI</v>
      </c>
      <c r="C139" s="177" t="str">
        <f>VLOOKUP(A139,'Unit of Measure ship March 2026'!A:C,3,false)</f>
        <v>LBS</v>
      </c>
      <c r="D139" s="177"/>
      <c r="E139" s="176">
        <v>14922.0</v>
      </c>
      <c r="F139" s="177" t="str">
        <f>VLOOKUP(E139,'FML March 2026'!E:F,2,false)</f>
        <v>HALF &amp; HALF LONG LIFE (10-12% CREAM)</v>
      </c>
      <c r="G139" s="177" t="str">
        <f>VLOOKUP(E139,'Unit of Measure ship March 2026'!A:C,3,false)</f>
        <v>LT</v>
      </c>
      <c r="H139" s="177"/>
      <c r="I139" s="176"/>
      <c r="J139" s="177"/>
      <c r="K139" s="177"/>
      <c r="L139" s="177"/>
      <c r="M139" s="176">
        <v>112068.0</v>
      </c>
      <c r="N139" s="177" t="str">
        <f>VLOOKUP(M139,'FML March 2026'!E:F,2,false)</f>
        <v>GOAT CHEESE  CHEFS CHEVRE CS 2/4 LB LAUR CHENEL</v>
      </c>
      <c r="O139" s="177" t="str">
        <f>VLOOKUP(M139,'Unit of Measure ship March 2026'!A:C,3,false)</f>
        <v>LBS</v>
      </c>
      <c r="P139" s="177"/>
      <c r="Q139" s="177"/>
      <c r="R139" s="177"/>
      <c r="S139" s="177"/>
      <c r="T139" s="177"/>
      <c r="U139" s="177"/>
      <c r="V139" s="177"/>
      <c r="W139" s="76"/>
      <c r="X139" s="76"/>
      <c r="Y139" s="76"/>
      <c r="Z139" s="76"/>
    </row>
    <row r="140">
      <c r="A140" s="176">
        <v>42554.0</v>
      </c>
      <c r="B140" s="177" t="str">
        <f>VLOOKUP(A140,'FML March 2026'!E:F,2,false)</f>
        <v>NUTELLA SPREAD CS 12/26 OZ JAR 87011 FERRARO (ITALY)</v>
      </c>
      <c r="C140" s="177" t="str">
        <f>VLOOKUP(A140,'Unit of Measure ship March 2026'!A:C,3,false)</f>
        <v>JR/26OZ</v>
      </c>
      <c r="D140" s="177"/>
      <c r="E140" s="176">
        <v>51249.0</v>
      </c>
      <c r="F140" s="177" t="str">
        <f>VLOOKUP(E140,'FML March 2026'!E:F,2,false)</f>
        <v>HAZELNUT FLOUR (OCL)</v>
      </c>
      <c r="G140" s="177" t="str">
        <f>VLOOKUP(E140,'Unit of Measure ship March 2026'!A:C,3,false)</f>
        <v>LBS</v>
      </c>
      <c r="H140" s="177"/>
      <c r="I140" s="176"/>
      <c r="J140" s="177"/>
      <c r="K140" s="177"/>
      <c r="L140" s="177"/>
      <c r="M140" s="176">
        <v>51163.0</v>
      </c>
      <c r="N140" s="177" t="str">
        <f>VLOOKUP(M140,'FML March 2026'!E:F,2,false)</f>
        <v>GOLD LEAVES, 23K - BOOK DECO RELIEF/SWIFT 2.75" SQUARE</v>
      </c>
      <c r="O140" s="177" t="str">
        <f>VLOOKUP(M140,'Unit of Measure ship March 2026'!A:C,3,false)</f>
        <v>PC</v>
      </c>
      <c r="P140" s="177"/>
      <c r="Q140" s="177"/>
      <c r="R140" s="177"/>
      <c r="S140" s="177"/>
      <c r="T140" s="177"/>
      <c r="U140" s="177"/>
      <c r="V140" s="177"/>
      <c r="W140" s="76"/>
      <c r="X140" s="76"/>
      <c r="Y140" s="76"/>
      <c r="Z140" s="76"/>
    </row>
    <row r="141">
      <c r="A141" s="182">
        <v>16869.0</v>
      </c>
      <c r="B141" s="177" t="str">
        <f>VLOOKUP(A141,'FML March 2026'!E:F,2,false)</f>
        <v>NUTS PEANUTS DRY ROASTED UNSALTED PLANTERS, 6/52 OZ</v>
      </c>
      <c r="C141" s="177" t="str">
        <f>VLOOKUP(A141,'Unit of Measure ship March 2026'!A:C,3,false)</f>
        <v>PC/52OZ</v>
      </c>
      <c r="D141" s="177"/>
      <c r="E141" s="176">
        <v>14907.0</v>
      </c>
      <c r="F141" s="177" t="str">
        <f>VLOOKUP(E141,'FML March 2026'!E:F,2,false)</f>
        <v>HEAVY CREAM UHT LONG LIFE 38%-40% 12/1LT</v>
      </c>
      <c r="G141" s="177" t="str">
        <f>VLOOKUP(E141,'Unit of Measure ship March 2026'!A:C,3,false)</f>
        <v>LT</v>
      </c>
      <c r="H141" s="177"/>
      <c r="I141" s="176"/>
      <c r="J141" s="177"/>
      <c r="K141" s="177"/>
      <c r="L141" s="177"/>
      <c r="M141" s="176">
        <v>15058.0</v>
      </c>
      <c r="N141" s="177" t="str">
        <f>VLOOKUP(M141,'FML March 2026'!E:F,2,false)</f>
        <v>GRUYERE IGP SAVOIE CHABERT 40KG / DEXPA # 8681</v>
      </c>
      <c r="O141" s="177" t="str">
        <f>VLOOKUP(M141,'Unit of Measure ship March 2026'!A:C,3,false)</f>
        <v>LBS</v>
      </c>
      <c r="P141" s="177"/>
      <c r="Q141" s="177"/>
      <c r="R141" s="177"/>
      <c r="S141" s="177"/>
      <c r="T141" s="177"/>
      <c r="U141" s="177"/>
      <c r="V141" s="177"/>
      <c r="W141" s="76"/>
      <c r="X141" s="76"/>
      <c r="Y141" s="76"/>
      <c r="Z141" s="76"/>
    </row>
    <row r="142">
      <c r="A142" s="176">
        <v>10265.0</v>
      </c>
      <c r="B142" s="177" t="str">
        <f>VLOOKUP(A142,'FML March 2026'!E:F,2,false)</f>
        <v>OIL, FRYING, 100% SOYBEAN, TRANS FAT FREE, FLASHPOINT &gt;600F, DRY, 4/5 LT</v>
      </c>
      <c r="C142" s="177" t="str">
        <f>VLOOKUP(A142,'Unit of Measure ship March 2026'!A:C,3,false)</f>
        <v>CS4/5LT</v>
      </c>
      <c r="D142" s="177"/>
      <c r="E142" s="176">
        <v>15658.0</v>
      </c>
      <c r="F142" s="177" t="str">
        <f>VLOOKUP(E142,'FML March 2026'!E:F,2,false)</f>
        <v>HONEY 6/5 LB GROEB/MELONIA/SWEET HARVEST</v>
      </c>
      <c r="G142" s="177" t="str">
        <f>VLOOKUP(E142,'Unit of Measure ship March 2026'!A:C,3,false)</f>
        <v>KG</v>
      </c>
      <c r="H142" s="177"/>
      <c r="I142" s="176"/>
      <c r="J142" s="177"/>
      <c r="K142" s="177"/>
      <c r="L142" s="177"/>
      <c r="M142" s="176">
        <v>106303.0</v>
      </c>
      <c r="N142" s="177" t="str">
        <f>VLOOKUP(M142,'FML March 2026'!E:F,2,false)</f>
        <v>GUAVA PASTE GLUTEN FREE ALL NATURAL 14 OZ (400GR) CONCHITA/ GOYA</v>
      </c>
      <c r="O142" s="177" t="str">
        <f>VLOOKUP(M142,'Unit of Measure ship March 2026'!A:C,3,false)</f>
        <v>PKG/14OZ</v>
      </c>
      <c r="P142" s="177"/>
      <c r="Q142" s="177"/>
      <c r="R142" s="177"/>
      <c r="S142" s="177"/>
      <c r="T142" s="177"/>
      <c r="U142" s="177"/>
      <c r="V142" s="177"/>
      <c r="W142" s="76"/>
      <c r="X142" s="76"/>
      <c r="Y142" s="76"/>
      <c r="Z142" s="76"/>
    </row>
    <row r="143">
      <c r="A143" s="176">
        <v>11263.0</v>
      </c>
      <c r="B143" s="177" t="str">
        <f>VLOOKUP(A143,'FML March 2026'!E:F,2,false)</f>
        <v>PALM SUGAR PURE THAILAND DUN G JONG/ TASTY JOY (THAILAND)</v>
      </c>
      <c r="C143" s="177" t="str">
        <f>VLOOKUP(A143,'Unit of Measure ship March 2026'!A:C,3,false)</f>
        <v>LBS</v>
      </c>
      <c r="D143" s="177"/>
      <c r="E143" s="176">
        <v>15813.0</v>
      </c>
      <c r="F143" s="177" t="str">
        <f>VLOOKUP(E143,'FML March 2026'!E:F,2,false)</f>
        <v>JAM APRICOT PURE, BULK</v>
      </c>
      <c r="G143" s="177" t="str">
        <f>VLOOKUP(E143,'Unit of Measure ship March 2026'!A:C,3,false)</f>
        <v>CN/6.5LB</v>
      </c>
      <c r="H143" s="177"/>
      <c r="I143" s="176"/>
      <c r="J143" s="177"/>
      <c r="K143" s="177"/>
      <c r="L143" s="177"/>
      <c r="M143" s="176">
        <v>14922.0</v>
      </c>
      <c r="N143" s="177" t="str">
        <f>VLOOKUP(M143,'FML March 2026'!E:F,2,false)</f>
        <v>HALF &amp; HALF LONG LIFE (10-12% CREAM)</v>
      </c>
      <c r="O143" s="177" t="str">
        <f>VLOOKUP(M143,'Unit of Measure ship March 2026'!A:C,3,false)</f>
        <v>LT</v>
      </c>
      <c r="P143" s="177"/>
      <c r="Q143" s="177"/>
      <c r="R143" s="177"/>
      <c r="S143" s="177"/>
      <c r="T143" s="177"/>
      <c r="U143" s="177"/>
      <c r="V143" s="177"/>
      <c r="W143" s="76"/>
      <c r="X143" s="76"/>
      <c r="Y143" s="76"/>
      <c r="Z143" s="76"/>
    </row>
    <row r="144">
      <c r="A144" s="176">
        <v>111994.0</v>
      </c>
      <c r="B144" s="177" t="str">
        <f>VLOOKUP(A144,'FML March 2026'!E:F,2,false)</f>
        <v>PASSION FRUIT ARABESCHI CS 6/1 KG  PREGEL</v>
      </c>
      <c r="C144" s="177" t="str">
        <f>VLOOKUP(A144,'Unit of Measure ship March 2026'!A:C,3,false)</f>
        <v>LBS</v>
      </c>
      <c r="D144" s="177"/>
      <c r="E144" s="176">
        <v>17917.0</v>
      </c>
      <c r="F144" s="177" t="str">
        <f>VLOOKUP(E144,'FML March 2026'!E:F,2,false)</f>
        <v>JAM BLUEBERRY, BULK</v>
      </c>
      <c r="G144" s="177" t="str">
        <f>VLOOKUP(E144,'Unit of Measure ship March 2026'!A:C,3,false)</f>
        <v>CS10/LBS</v>
      </c>
      <c r="H144" s="177"/>
      <c r="I144" s="176"/>
      <c r="J144" s="177"/>
      <c r="K144" s="177"/>
      <c r="L144" s="177"/>
      <c r="M144" s="176">
        <v>27410.0</v>
      </c>
      <c r="N144" s="177" t="str">
        <f>VLOOKUP(M144,'FML March 2026'!E:F,2,false)</f>
        <v>HAM BLACK FOREST DRY CURED ADLER</v>
      </c>
      <c r="O144" s="177" t="str">
        <f>VLOOKUP(M144,'Unit of Measure ship March 2026'!A:C,3,false)</f>
        <v>LBS</v>
      </c>
      <c r="P144" s="177"/>
      <c r="Q144" s="177"/>
      <c r="R144" s="177"/>
      <c r="S144" s="177"/>
      <c r="T144" s="177"/>
      <c r="U144" s="177"/>
      <c r="V144" s="177"/>
      <c r="W144" s="76"/>
      <c r="X144" s="76"/>
      <c r="Y144" s="76"/>
      <c r="Z144" s="76"/>
    </row>
    <row r="145">
      <c r="A145" s="176">
        <v>15808.0</v>
      </c>
      <c r="B145" s="177" t="str">
        <f>VLOOKUP(A145,'FML March 2026'!E:F,2,false)</f>
        <v>PASTE ALMOND 33% MINIMUM</v>
      </c>
      <c r="C145" s="177" t="str">
        <f>VLOOKUP(A145,'Unit of Measure ship March 2026'!A:C,3,false)</f>
        <v>LBS</v>
      </c>
      <c r="D145" s="177"/>
      <c r="E145" s="176">
        <v>33374.0</v>
      </c>
      <c r="F145" s="177" t="str">
        <f>VLOOKUP(E145,'FML March 2026'!E:F,2,false)</f>
        <v>JAM RASPBERRY NO SEEDS, BULK</v>
      </c>
      <c r="G145" s="177" t="str">
        <f>VLOOKUP(E145,'Unit of Measure ship March 2026'!A:C,3,false)</f>
        <v>C5/KG</v>
      </c>
      <c r="H145" s="177"/>
      <c r="I145" s="176"/>
      <c r="J145" s="177"/>
      <c r="K145" s="177"/>
      <c r="L145" s="177"/>
      <c r="M145" s="176">
        <v>51249.0</v>
      </c>
      <c r="N145" s="177" t="str">
        <f>VLOOKUP(M145,'FML March 2026'!E:F,2,false)</f>
        <v>HAZELNUT FLOUR (OCL)</v>
      </c>
      <c r="O145" s="177" t="str">
        <f>VLOOKUP(M145,'Unit of Measure ship March 2026'!A:C,3,false)</f>
        <v>LBS</v>
      </c>
      <c r="P145" s="177"/>
      <c r="Q145" s="177"/>
      <c r="R145" s="177"/>
      <c r="S145" s="177"/>
      <c r="T145" s="177"/>
      <c r="U145" s="177"/>
      <c r="V145" s="177"/>
      <c r="W145" s="76"/>
      <c r="X145" s="76"/>
      <c r="Y145" s="76"/>
      <c r="Z145" s="76"/>
    </row>
    <row r="146">
      <c r="A146" s="176">
        <v>15726.0</v>
      </c>
      <c r="B146" s="177" t="str">
        <f>VLOOKUP(A146,'FML March 2026'!E:F,2,false)</f>
        <v>PASTE PISTACHIO PATISFRANCE/CALLEBAUT</v>
      </c>
      <c r="C146" s="177" t="str">
        <f>VLOOKUP(A146,'Unit of Measure ship March 2026'!A:C,3,false)</f>
        <v>LBS</v>
      </c>
      <c r="D146" s="177"/>
      <c r="E146" s="176">
        <v>33375.0</v>
      </c>
      <c r="F146" s="177" t="str">
        <f>VLOOKUP(E146,'FML March 2026'!E:F,2,false)</f>
        <v>JAM STRAWBERRY, BULK</v>
      </c>
      <c r="G146" s="177" t="str">
        <f>VLOOKUP(E146,'Unit of Measure ship March 2026'!A:C,3,false)</f>
        <v>CS10/LBS</v>
      </c>
      <c r="H146" s="177"/>
      <c r="I146" s="176"/>
      <c r="J146" s="177"/>
      <c r="K146" s="177"/>
      <c r="L146" s="177"/>
      <c r="M146" s="182">
        <v>101778.0</v>
      </c>
      <c r="N146" s="177" t="str">
        <f>VLOOKUP(M146,'FML March 2026'!E:F,2,false)</f>
        <v>HAZELNUT WHOLE BLANCHED</v>
      </c>
      <c r="O146" s="177" t="str">
        <f>VLOOKUP(M146,'Unit of Measure ship March 2026'!A:C,3,false)</f>
        <v>LBS</v>
      </c>
      <c r="P146" s="177"/>
      <c r="Q146" s="177"/>
      <c r="R146" s="177"/>
      <c r="S146" s="177"/>
      <c r="T146" s="177"/>
      <c r="U146" s="177"/>
      <c r="V146" s="177"/>
      <c r="W146" s="76"/>
      <c r="X146" s="76"/>
      <c r="Y146" s="76"/>
      <c r="Z146" s="76"/>
    </row>
    <row r="147">
      <c r="A147" s="176">
        <v>51211.0</v>
      </c>
      <c r="B147" s="177" t="str">
        <f>VLOOKUP(A147,'FML March 2026'!E:F,2,false)</f>
        <v>PASTE VANILLA FLAVOR 35 OZ PASTRY STAR #00057</v>
      </c>
      <c r="C147" s="177" t="str">
        <f>VLOOKUP(A147,'Unit of Measure ship March 2026'!A:C,3,false)</f>
        <v>BTL/35OZ</v>
      </c>
      <c r="D147" s="177"/>
      <c r="E147" s="176">
        <v>111619.0</v>
      </c>
      <c r="F147" s="177" t="str">
        <f>VLOOKUP(E147,'FML March 2026'!E:F,2,false)</f>
        <v>JELLY APPLE MINT  CS 6/4LB SMUCKERS</v>
      </c>
      <c r="G147" s="177" t="str">
        <f>VLOOKUP(E147,'Unit of Measure ship March 2026'!A:C,3,false)</f>
        <v>LBS</v>
      </c>
      <c r="H147" s="177"/>
      <c r="I147" s="176"/>
      <c r="J147" s="177"/>
      <c r="K147" s="177"/>
      <c r="L147" s="177"/>
      <c r="M147" s="176">
        <v>23904.0</v>
      </c>
      <c r="N147" s="177" t="str">
        <f>VLOOKUP(M147,'FML March 2026'!E:F,2,false)</f>
        <v>HEAVENLY ORGANICS, 100% RAW ACACIA HONEY ORGANIC</v>
      </c>
      <c r="O147" s="177" t="str">
        <f>VLOOKUP(M147,'Unit of Measure ship March 2026'!A:C,3,false)</f>
        <v>PC/13OZ</v>
      </c>
      <c r="P147" s="177"/>
      <c r="Q147" s="177"/>
      <c r="R147" s="177"/>
      <c r="S147" s="177"/>
      <c r="T147" s="177"/>
      <c r="U147" s="177"/>
      <c r="V147" s="177"/>
      <c r="W147" s="76"/>
      <c r="X147" s="76"/>
      <c r="Y147" s="76"/>
      <c r="Z147" s="76"/>
    </row>
    <row r="148">
      <c r="A148" s="176">
        <v>15810.0</v>
      </c>
      <c r="B148" s="177" t="str">
        <f>VLOOKUP(A148,'FML March 2026'!E:F,2,false)</f>
        <v>PASTE, HAZELNUT PRALINE  PASTE (FILBERT PASTE)</v>
      </c>
      <c r="C148" s="177" t="str">
        <f>VLOOKUP(A148,'Unit of Measure ship March 2026'!A:C,3,false)</f>
        <v>KG</v>
      </c>
      <c r="D148" s="177"/>
      <c r="E148" s="176">
        <v>111618.0</v>
      </c>
      <c r="F148" s="177" t="str">
        <f>VLOOKUP(E148,'FML March 2026'!E:F,2,false)</f>
        <v>JELLY GRAPE CS 6/4LB SMUCKERS</v>
      </c>
      <c r="G148" s="177" t="str">
        <f>VLOOKUP(E148,'Unit of Measure ship March 2026'!A:C,3,false)</f>
        <v>LBS</v>
      </c>
      <c r="H148" s="177"/>
      <c r="I148" s="176"/>
      <c r="J148" s="177"/>
      <c r="K148" s="177"/>
      <c r="L148" s="177"/>
      <c r="M148" s="176">
        <v>14907.0</v>
      </c>
      <c r="N148" s="177" t="str">
        <f>VLOOKUP(M148,'FML March 2026'!E:F,2,false)</f>
        <v>HEAVY CREAM UHT LONG LIFE 38%-40% 12/1LT</v>
      </c>
      <c r="O148" s="177" t="str">
        <f>VLOOKUP(M148,'Unit of Measure ship March 2026'!A:C,3,false)</f>
        <v>LT</v>
      </c>
      <c r="P148" s="177"/>
      <c r="Q148" s="179"/>
      <c r="R148" s="177"/>
      <c r="S148" s="177"/>
      <c r="T148" s="177"/>
      <c r="U148" s="177"/>
      <c r="V148" s="177"/>
      <c r="W148" s="76"/>
      <c r="X148" s="76"/>
      <c r="Y148" s="76"/>
      <c r="Z148" s="76"/>
    </row>
    <row r="149">
      <c r="A149" s="182">
        <v>15810.0</v>
      </c>
      <c r="B149" s="177" t="str">
        <f>VLOOKUP(A149,'FML March 2026'!E:F,2,false)</f>
        <v>PASTE, HAZELNUT PRALINE  PASTE (FILBERT PASTE)</v>
      </c>
      <c r="C149" s="177" t="str">
        <f>VLOOKUP(A149,'Unit of Measure ship March 2026'!A:C,3,false)</f>
        <v>KG</v>
      </c>
      <c r="D149" s="177"/>
      <c r="E149" s="176">
        <v>37989.0</v>
      </c>
      <c r="F149" s="177" t="str">
        <f>VLOOKUP(E149,'FML March 2026'!E:F,2,false)</f>
        <v>LEAVENER YEAST INSTANT DRY (NETHERLANDS)</v>
      </c>
      <c r="G149" s="177" t="str">
        <f>VLOOKUP(E149,'Unit of Measure ship March 2026'!A:C,3,false)</f>
        <v>LBS</v>
      </c>
      <c r="H149" s="177"/>
      <c r="I149" s="176"/>
      <c r="J149" s="177"/>
      <c r="K149" s="177"/>
      <c r="L149" s="177"/>
      <c r="M149" s="176">
        <v>105726.0</v>
      </c>
      <c r="N149" s="177" t="str">
        <f>VLOOKUP(M149,'FML March 2026'!E:F,2,false)</f>
        <v>HOISIN SAUCE</v>
      </c>
      <c r="O149" s="177" t="str">
        <f>VLOOKUP(M149,'Unit of Measure ship March 2026'!A:C,3,false)</f>
        <v>CAN/5LBS</v>
      </c>
      <c r="P149" s="177"/>
      <c r="Q149" s="179"/>
      <c r="R149" s="177"/>
      <c r="S149" s="177"/>
      <c r="T149" s="177"/>
      <c r="U149" s="177"/>
      <c r="V149" s="177"/>
      <c r="W149" s="76"/>
      <c r="X149" s="76"/>
      <c r="Y149" s="76"/>
      <c r="Z149" s="76"/>
    </row>
    <row r="150">
      <c r="A150" s="176">
        <v>100411.0</v>
      </c>
      <c r="B150" s="177" t="str">
        <f>VLOOKUP(A150,'FML March 2026'!E:F,2,false)</f>
        <v>PASTRY CREAM, READY MIX-INSTANT, CREW</v>
      </c>
      <c r="C150" s="177" t="str">
        <f>VLOOKUP(A150,'Unit of Measure ship March 2026'!A:C,3,false)</f>
        <v>CS15/KG</v>
      </c>
      <c r="D150" s="177"/>
      <c r="E150" s="176">
        <v>112793.0</v>
      </c>
      <c r="F150" s="177" t="str">
        <f>VLOOKUP(E150,'FML March 2026'!E:F,2,false)</f>
        <v>LICORICE ORIGINAL RED TWISTS RED VINES CS4/3.5LB  AMERICAN LICORICE</v>
      </c>
      <c r="G150" s="177" t="str">
        <f>VLOOKUP(E150,'Unit of Measure ship March 2026'!A:C,3,false)</f>
        <v>LBS</v>
      </c>
      <c r="H150" s="177"/>
      <c r="I150" s="176"/>
      <c r="J150" s="177"/>
      <c r="K150" s="177"/>
      <c r="L150" s="177"/>
      <c r="M150" s="176">
        <v>15658.0</v>
      </c>
      <c r="N150" s="177" t="str">
        <f>VLOOKUP(M150,'FML March 2026'!E:F,2,false)</f>
        <v>HONEY 6/5 LB GROEB/MELONIA/SWEET HARVEST</v>
      </c>
      <c r="O150" s="177" t="str">
        <f>VLOOKUP(M150,'Unit of Measure ship March 2026'!A:C,3,false)</f>
        <v>KG</v>
      </c>
      <c r="P150" s="177"/>
      <c r="Q150" s="179"/>
      <c r="R150" s="177"/>
      <c r="S150" s="177"/>
      <c r="T150" s="177"/>
      <c r="U150" s="177"/>
      <c r="V150" s="177"/>
      <c r="W150" s="76"/>
      <c r="X150" s="76"/>
      <c r="Y150" s="76"/>
      <c r="Z150" s="76"/>
    </row>
    <row r="151">
      <c r="A151" s="176">
        <v>109636.0</v>
      </c>
      <c r="B151" s="177" t="str">
        <f>VLOOKUP(A151,'FML March 2026'!E:F,2,false)</f>
        <v>PASTRY FLOUR (KING ARTHUR)</v>
      </c>
      <c r="C151" s="177" t="str">
        <f>VLOOKUP(A151,'Unit of Measure ship March 2026'!A:C,3,false)</f>
        <v>KG</v>
      </c>
      <c r="D151" s="177"/>
      <c r="E151" s="176">
        <v>16316.0</v>
      </c>
      <c r="F151" s="177" t="str">
        <f>VLOOKUP(E151,'FML March 2026'!E:F,2,false)</f>
        <v>LIQUID SMOKE WRIGHTS</v>
      </c>
      <c r="G151" s="177" t="str">
        <f>VLOOKUP(E151,'Unit of Measure ship March 2026'!A:C,3,false)</f>
        <v>GAL</v>
      </c>
      <c r="H151" s="177"/>
      <c r="I151" s="176"/>
      <c r="J151" s="177"/>
      <c r="K151" s="177"/>
      <c r="L151" s="177"/>
      <c r="M151" s="176">
        <v>14560.0</v>
      </c>
      <c r="N151" s="177" t="str">
        <f>VLOOKUP(M151,'FML March 2026'!E:F,2,false)</f>
        <v>ITALIAN SAUSAGE, LINK, 6INCH</v>
      </c>
      <c r="O151" s="177" t="str">
        <f>VLOOKUP(M151,'Unit of Measure ship March 2026'!A:C,3,false)</f>
        <v>LBS</v>
      </c>
      <c r="P151" s="177"/>
      <c r="Q151" s="179"/>
      <c r="R151" s="177"/>
      <c r="S151" s="177"/>
      <c r="T151" s="177"/>
      <c r="U151" s="177"/>
      <c r="V151" s="177"/>
      <c r="W151" s="76"/>
      <c r="X151" s="76"/>
      <c r="Y151" s="76"/>
      <c r="Z151" s="76"/>
    </row>
    <row r="152">
      <c r="A152" s="176">
        <v>113927.0</v>
      </c>
      <c r="B152" s="177" t="str">
        <f>VLOOKUP(A152,'FML March 2026'!E:F,2,false)</f>
        <v>PATE A GLACER IVOIRE  COCOA BARRY</v>
      </c>
      <c r="C152" s="177" t="str">
        <f>VLOOKUP(A152,'Unit of Measure ship March 2026'!A:C,3,false)</f>
        <v>LBS</v>
      </c>
      <c r="D152" s="177"/>
      <c r="E152" s="176">
        <v>15896.0</v>
      </c>
      <c r="F152" s="177" t="str">
        <f>VLOOKUP(E152,'FML March 2026'!E:F,2,false)</f>
        <v>MACADAMIA NUTS RAW UNSALTED</v>
      </c>
      <c r="G152" s="177" t="str">
        <f>VLOOKUP(E152,'Unit of Measure ship March 2026'!A:C,3,false)</f>
        <v>LBS</v>
      </c>
      <c r="H152" s="177"/>
      <c r="I152" s="176"/>
      <c r="J152" s="177"/>
      <c r="K152" s="177"/>
      <c r="L152" s="177"/>
      <c r="M152" s="176">
        <v>17917.0</v>
      </c>
      <c r="N152" s="177" t="str">
        <f>VLOOKUP(M152,'FML March 2026'!E:F,2,false)</f>
        <v>JAM BLUEBERRY, BULK</v>
      </c>
      <c r="O152" s="177" t="str">
        <f>VLOOKUP(M152,'Unit of Measure ship March 2026'!A:C,3,false)</f>
        <v>CS10/LBS</v>
      </c>
      <c r="P152" s="177"/>
      <c r="Q152" s="179"/>
      <c r="R152" s="177"/>
      <c r="S152" s="177"/>
      <c r="T152" s="177"/>
      <c r="U152" s="177"/>
      <c r="V152" s="177"/>
      <c r="W152" s="76"/>
      <c r="X152" s="76"/>
      <c r="Y152" s="76"/>
      <c r="Z152" s="76"/>
    </row>
    <row r="153">
      <c r="A153" s="176">
        <v>112826.0</v>
      </c>
      <c r="B153" s="177" t="str">
        <f>VLOOKUP(A153,'FML March 2026'!E:F,2,false)</f>
        <v>PCB BUOYS- 4.5 CM VV LOGO WHITE CHOCOLATE</v>
      </c>
      <c r="C153" s="177" t="str">
        <f>VLOOKUP(A153,'Unit of Measure ship March 2026'!A:C,3,false)</f>
        <v>PC6.7/GR</v>
      </c>
      <c r="D153" s="177"/>
      <c r="E153" s="176">
        <v>15661.0</v>
      </c>
      <c r="F153" s="177" t="str">
        <f>VLOOKUP(E153,'FML March 2026'!E:F,2,false)</f>
        <v>MAG 140 OZ SWTND CONDENSED MILK</v>
      </c>
      <c r="G153" s="177" t="str">
        <f>VLOOKUP(E153,'Unit of Measure ship March 2026'!A:C,3,false)</f>
        <v>C3/140OZ</v>
      </c>
      <c r="H153" s="177"/>
      <c r="I153" s="176"/>
      <c r="J153" s="177"/>
      <c r="K153" s="177"/>
      <c r="L153" s="177"/>
      <c r="M153" s="176">
        <v>33374.0</v>
      </c>
      <c r="N153" s="177" t="str">
        <f>VLOOKUP(M153,'FML March 2026'!E:F,2,false)</f>
        <v>JAM RASPBERRY NO SEEDS, BULK</v>
      </c>
      <c r="O153" s="177" t="str">
        <f>VLOOKUP(M153,'Unit of Measure ship March 2026'!A:C,3,false)</f>
        <v>C5/KG</v>
      </c>
      <c r="P153" s="177"/>
      <c r="Q153" s="179"/>
      <c r="R153" s="177"/>
      <c r="S153" s="177"/>
      <c r="T153" s="177"/>
      <c r="U153" s="177"/>
      <c r="V153" s="177"/>
      <c r="W153" s="76"/>
      <c r="X153" s="76"/>
      <c r="Y153" s="76"/>
      <c r="Z153" s="76"/>
    </row>
    <row r="154">
      <c r="A154" s="176">
        <v>16490.0</v>
      </c>
      <c r="B154" s="177" t="str">
        <f>VLOOKUP(A154,'FML March 2026'!E:F,2,false)</f>
        <v>PEACH HALVES, LIGHT SYRUP</v>
      </c>
      <c r="C154" s="177" t="str">
        <f>VLOOKUP(A154,'Unit of Measure ship March 2026'!A:C,3,false)</f>
        <v>CAN/3KG</v>
      </c>
      <c r="D154" s="177"/>
      <c r="E154" s="176">
        <v>109624.0</v>
      </c>
      <c r="F154" s="177" t="str">
        <f>VLOOKUP(E154,'FML March 2026'!E:F,2,false)</f>
        <v>MALT POWDER NON-DIASTATIC CS/50LB  MODERNIST PANTRY</v>
      </c>
      <c r="G154" s="177" t="str">
        <f>VLOOKUP(E154,'Unit of Measure ship March 2026'!A:C,3,false)</f>
        <v>KG</v>
      </c>
      <c r="H154" s="177"/>
      <c r="I154" s="176"/>
      <c r="J154" s="177"/>
      <c r="K154" s="177"/>
      <c r="L154" s="177"/>
      <c r="M154" s="176">
        <v>37989.0</v>
      </c>
      <c r="N154" s="177" t="str">
        <f>VLOOKUP(M154,'FML March 2026'!E:F,2,false)</f>
        <v>LEAVENER YEAST INSTANT DRY (NETHERLANDS)</v>
      </c>
      <c r="O154" s="177" t="str">
        <f>VLOOKUP(M154,'Unit of Measure ship March 2026'!A:C,3,false)</f>
        <v>LBS</v>
      </c>
      <c r="P154" s="177"/>
      <c r="Q154" s="179"/>
      <c r="R154" s="177"/>
      <c r="S154" s="177"/>
      <c r="T154" s="177"/>
      <c r="U154" s="177"/>
      <c r="V154" s="177"/>
      <c r="W154" s="76"/>
      <c r="X154" s="76"/>
      <c r="Y154" s="76"/>
      <c r="Z154" s="76"/>
    </row>
    <row r="155">
      <c r="A155" s="176">
        <v>103696.0</v>
      </c>
      <c r="B155" s="177" t="str">
        <f>VLOOKUP(A155,'FML March 2026'!E:F,2,false)</f>
        <v>PEANUT BUTTER CREAMY 6/4LB (USA)</v>
      </c>
      <c r="C155" s="177" t="str">
        <f>VLOOKUP(A155,'Unit of Measure ship March 2026'!A:C,3,false)</f>
        <v>CN/4LBS</v>
      </c>
      <c r="D155" s="177"/>
      <c r="E155" s="176">
        <v>44297.0</v>
      </c>
      <c r="F155" s="177" t="str">
        <f>VLOOKUP(E155,'FML March 2026'!E:F,2,false)</f>
        <v>MALT POWDER, NESTLE-CARNATION 6/2.5 LB</v>
      </c>
      <c r="G155" s="177" t="str">
        <f>VLOOKUP(E155,'Unit of Measure ship March 2026'!A:C,3,false)</f>
        <v>LBS</v>
      </c>
      <c r="H155" s="177"/>
      <c r="I155" s="176"/>
      <c r="J155" s="177"/>
      <c r="K155" s="177"/>
      <c r="L155" s="177"/>
      <c r="M155" s="176">
        <v>15661.0</v>
      </c>
      <c r="N155" s="177" t="str">
        <f>VLOOKUP(M155,'FML March 2026'!E:F,2,false)</f>
        <v>MAG 140 OZ SWTND CONDENSED MILK</v>
      </c>
      <c r="O155" s="177" t="str">
        <f>VLOOKUP(M155,'Unit of Measure ship March 2026'!A:C,3,false)</f>
        <v>C3/140OZ</v>
      </c>
      <c r="P155" s="177"/>
      <c r="Q155" s="179"/>
      <c r="R155" s="177"/>
      <c r="S155" s="177"/>
      <c r="T155" s="177"/>
      <c r="U155" s="177"/>
      <c r="V155" s="177"/>
      <c r="W155" s="76"/>
      <c r="X155" s="76"/>
      <c r="Y155" s="76"/>
      <c r="Z155" s="76"/>
    </row>
    <row r="156">
      <c r="A156" s="176">
        <v>112841.0</v>
      </c>
      <c r="B156" s="177" t="str">
        <f>VLOOKUP(A156,'FML March 2026'!E:F,2,false)</f>
        <v>PEANUT BUTTER CRUNCHY</v>
      </c>
      <c r="C156" s="177" t="str">
        <f>VLOOKUP(A156,'Unit of Measure ship March 2026'!A:C,3,false)</f>
        <v>LBS</v>
      </c>
      <c r="D156" s="177"/>
      <c r="E156" s="176">
        <v>51210.0</v>
      </c>
      <c r="F156" s="177" t="str">
        <f>VLOOKUP(E156,'FML March 2026'!E:F,2,false)</f>
        <v>MALTITOL CS25/KG  PR35 HK PASTRY STAR</v>
      </c>
      <c r="G156" s="177" t="str">
        <f>VLOOKUP(E156,'Unit of Measure ship March 2026'!A:C,3,false)</f>
        <v>LBS</v>
      </c>
      <c r="H156" s="177"/>
      <c r="I156" s="176"/>
      <c r="J156" s="177"/>
      <c r="K156" s="177"/>
      <c r="L156" s="177"/>
      <c r="M156" s="176">
        <v>15020.0</v>
      </c>
      <c r="N156" s="177" t="str">
        <f>VLOOKUP(M156,'FML March 2026'!E:F,2,false)</f>
        <v>MARGARINE, BULK</v>
      </c>
      <c r="O156" s="177" t="str">
        <f>VLOOKUP(M156,'Unit of Measure ship March 2026'!A:C,3,false)</f>
        <v>LBS</v>
      </c>
      <c r="P156" s="177"/>
      <c r="Q156" s="179"/>
      <c r="R156" s="177"/>
      <c r="S156" s="177"/>
      <c r="T156" s="177"/>
      <c r="U156" s="177"/>
      <c r="V156" s="177"/>
      <c r="W156" s="76"/>
      <c r="X156" s="76"/>
      <c r="Y156" s="76"/>
      <c r="Z156" s="76"/>
    </row>
    <row r="157">
      <c r="A157" s="176">
        <v>16492.0</v>
      </c>
      <c r="B157" s="177" t="str">
        <f>VLOOKUP(A157,'FML March 2026'!E:F,2,false)</f>
        <v>PEAR HALVES, LIGHT SYRUP</v>
      </c>
      <c r="C157" s="177" t="str">
        <f>VLOOKUP(A157,'Unit of Measure ship March 2026'!A:C,3,false)</f>
        <v>CAN/3KG</v>
      </c>
      <c r="D157" s="177"/>
      <c r="E157" s="176">
        <v>40193.0</v>
      </c>
      <c r="F157" s="177" t="str">
        <f>VLOOKUP(E157,'FML March 2026'!E:F,2,false)</f>
        <v>MANGO CHUNKS  FROZEN (PERU)</v>
      </c>
      <c r="G157" s="177" t="str">
        <f>VLOOKUP(E157,'Unit of Measure ship March 2026'!A:C,3,false)</f>
        <v>C/10KG</v>
      </c>
      <c r="H157" s="177"/>
      <c r="I157" s="176"/>
      <c r="J157" s="177"/>
      <c r="K157" s="177"/>
      <c r="L157" s="177"/>
      <c r="M157" s="176">
        <v>15081.0</v>
      </c>
      <c r="N157" s="177" t="str">
        <f>VLOOKUP(M157,'FML March 2026'!E:F,2,false)</f>
        <v>MASCARPONE, TUB</v>
      </c>
      <c r="O157" s="177" t="str">
        <f>VLOOKUP(M157,'Unit of Measure ship March 2026'!A:C,3,false)</f>
        <v>LBS</v>
      </c>
      <c r="P157" s="177"/>
      <c r="Q157" s="179"/>
      <c r="R157" s="177"/>
      <c r="S157" s="177"/>
      <c r="T157" s="177"/>
      <c r="U157" s="177"/>
      <c r="V157" s="177"/>
      <c r="W157" s="76"/>
      <c r="X157" s="76"/>
      <c r="Y157" s="76"/>
      <c r="Z157" s="76"/>
    </row>
    <row r="158">
      <c r="A158" s="176">
        <v>15819.0</v>
      </c>
      <c r="B158" s="177" t="str">
        <f>VLOOKUP(A158,'FML March 2026'!E:F,2,false)</f>
        <v>PECANS, HALVES, FANCY, JUMBO, DRY, 1/30 LB</v>
      </c>
      <c r="C158" s="177" t="str">
        <f>VLOOKUP(A158,'Unit of Measure ship March 2026'!A:C,3,false)</f>
        <v>LBS</v>
      </c>
      <c r="D158" s="177"/>
      <c r="E158" s="176">
        <v>16400.0</v>
      </c>
      <c r="F158" s="177" t="str">
        <f>VLOOKUP(E158,'FML March 2026'!E:F,2,false)</f>
        <v>MANGO CHUTNEY (THAILAND)</v>
      </c>
      <c r="G158" s="177" t="str">
        <f>VLOOKUP(E158,'Unit of Measure ship March 2026'!A:C,3,false)</f>
        <v>PC/32OZ</v>
      </c>
      <c r="H158" s="177"/>
      <c r="I158" s="176"/>
      <c r="J158" s="177"/>
      <c r="K158" s="177"/>
      <c r="L158" s="177"/>
      <c r="M158" s="176">
        <v>16380.0</v>
      </c>
      <c r="N158" s="177" t="str">
        <f>VLOOKUP(M158,'FML March 2026'!E:F,2,false)</f>
        <v>MAYONNAISE HEAVY DUTY, GALLON</v>
      </c>
      <c r="O158" s="177" t="str">
        <f>VLOOKUP(M158,'Unit of Measure ship March 2026'!A:C,3,false)</f>
        <v>GAL</v>
      </c>
      <c r="P158" s="177"/>
      <c r="Q158" s="177"/>
      <c r="R158" s="177"/>
      <c r="S158" s="177"/>
      <c r="T158" s="177"/>
      <c r="U158" s="177"/>
      <c r="V158" s="177"/>
      <c r="W158" s="76"/>
      <c r="X158" s="76"/>
      <c r="Y158" s="76"/>
      <c r="Z158" s="76"/>
    </row>
    <row r="159">
      <c r="A159" s="176">
        <v>110941.0</v>
      </c>
      <c r="B159" s="177" t="str">
        <f>VLOOKUP(A159,'FML March 2026'!E:F,2,false)</f>
        <v>PECTIN APPLE CS6/1 LB CUISINE TECH</v>
      </c>
      <c r="C159" s="177" t="str">
        <f>VLOOKUP(A159,'Unit of Measure ship March 2026'!A:C,3,false)</f>
        <v>LBS</v>
      </c>
      <c r="D159" s="177"/>
      <c r="E159" s="176">
        <v>11949.0</v>
      </c>
      <c r="F159" s="177" t="str">
        <f>VLOOKUP(E159,'FML March 2026'!E:F,2,false)</f>
        <v>MANGO DRIED 11 LB HIALEAH/ PACKER</v>
      </c>
      <c r="G159" s="177" t="str">
        <f>VLOOKUP(E159,'Unit of Measure ship March 2026'!A:C,3,false)</f>
        <v>LBS</v>
      </c>
      <c r="H159" s="177"/>
      <c r="I159" s="176"/>
      <c r="J159" s="177"/>
      <c r="K159" s="177"/>
      <c r="L159" s="177"/>
      <c r="M159" s="176">
        <v>14869.0</v>
      </c>
      <c r="N159" s="177" t="str">
        <f>VLOOKUP(M159,'FML March 2026'!E:F,2,false)</f>
        <v>MILK, UHT, WHOLE, 3.5% FAT, DRY, 12/1 LT</v>
      </c>
      <c r="O159" s="177" t="str">
        <f>VLOOKUP(M159,'Unit of Measure ship March 2026'!A:C,3,false)</f>
        <v>LT</v>
      </c>
      <c r="P159" s="177"/>
      <c r="Q159" s="179"/>
      <c r="R159" s="177"/>
      <c r="S159" s="177"/>
      <c r="T159" s="177"/>
      <c r="U159" s="177"/>
      <c r="V159" s="177"/>
      <c r="W159" s="76"/>
      <c r="X159" s="76"/>
      <c r="Y159" s="76"/>
      <c r="Z159" s="76"/>
    </row>
    <row r="160">
      <c r="A160" s="176">
        <v>101193.0</v>
      </c>
      <c r="B160" s="177" t="str">
        <f>VLOOKUP(A160,'FML March 2026'!E:F,2,false)</f>
        <v>PECTINE 325 NH 95  1KG FRANCOIS L.,</v>
      </c>
      <c r="C160" s="177" t="str">
        <f>VLOOKUP(A160,'Unit of Measure ship March 2026'!A:C,3,false)</f>
        <v>KG</v>
      </c>
      <c r="D160" s="177"/>
      <c r="E160" s="176">
        <v>110962.0</v>
      </c>
      <c r="F160" s="177" t="str">
        <f>VLOOKUP(E160,'FML March 2026'!E:F,2,false)</f>
        <v>MARSHMALLOW DEHYDRATED CS3/LB HOOSIER HILL</v>
      </c>
      <c r="G160" s="177" t="str">
        <f>VLOOKUP(E160,'Unit of Measure ship March 2026'!A:C,3,false)</f>
        <v>LBS</v>
      </c>
      <c r="H160" s="177"/>
      <c r="I160" s="176"/>
      <c r="J160" s="177"/>
      <c r="K160" s="177"/>
      <c r="L160" s="177"/>
      <c r="M160" s="176">
        <v>30034.0</v>
      </c>
      <c r="N160" s="177" t="str">
        <f>VLOOKUP(M160,'FML March 2026'!E:F,2,false)</f>
        <v>MIX COOKIE CHOCOLATE CHIP GLUTEN FREE BOBS RED MILL</v>
      </c>
      <c r="O160" s="177" t="str">
        <f>VLOOKUP(M160,'Unit of Measure ship March 2026'!A:C,3,false)</f>
        <v>LBS</v>
      </c>
      <c r="P160" s="177"/>
      <c r="Q160" s="179"/>
      <c r="R160" s="177"/>
      <c r="S160" s="177"/>
      <c r="T160" s="177"/>
      <c r="U160" s="177"/>
      <c r="V160" s="177"/>
      <c r="W160" s="76"/>
      <c r="X160" s="76"/>
      <c r="Y160" s="76"/>
      <c r="Z160" s="76"/>
    </row>
    <row r="161">
      <c r="A161" s="176">
        <v>111821.0</v>
      </c>
      <c r="B161" s="177" t="str">
        <f>VLOOKUP(A161,'FML March 2026'!E:F,2,false)</f>
        <v>PILONCILLO CONO-PANELA CS25/8OZ  GOYA</v>
      </c>
      <c r="C161" s="177" t="str">
        <f>VLOOKUP(A161,'Unit of Measure ship March 2026'!A:C,3,false)</f>
        <v>LBS</v>
      </c>
      <c r="D161" s="177"/>
      <c r="E161" s="176">
        <v>40533.0</v>
      </c>
      <c r="F161" s="177" t="str">
        <f>VLOOKUP(E161,'FML March 2026'!E:F,2,false)</f>
        <v>MARSHMALLOW LARGE 12/16 OZ KRAFT  06006996611600</v>
      </c>
      <c r="G161" s="177" t="str">
        <f>VLOOKUP(E161,'Unit of Measure ship March 2026'!A:C,3,false)</f>
        <v>LBS</v>
      </c>
      <c r="H161" s="177"/>
      <c r="I161" s="176"/>
      <c r="J161" s="177"/>
      <c r="K161" s="177"/>
      <c r="L161" s="177"/>
      <c r="M161" s="176">
        <v>15711.0</v>
      </c>
      <c r="N161" s="177" t="str">
        <f>VLOOKUP(M161,'FML March 2026'!E:F,2,false)</f>
        <v>MOLASSES 4/1 GALLON GRANDMAS/ TORINO (USA )</v>
      </c>
      <c r="O161" s="177" t="str">
        <f>VLOOKUP(M161,'Unit of Measure ship March 2026'!A:C,3,false)</f>
        <v>GAL</v>
      </c>
      <c r="P161" s="177"/>
      <c r="Q161" s="177"/>
      <c r="R161" s="177"/>
      <c r="S161" s="177"/>
      <c r="T161" s="177"/>
      <c r="U161" s="177"/>
      <c r="V161" s="177"/>
      <c r="W161" s="76"/>
      <c r="X161" s="76"/>
      <c r="Y161" s="76"/>
      <c r="Z161" s="76"/>
    </row>
    <row r="162">
      <c r="A162" s="176">
        <v>16422.0</v>
      </c>
      <c r="B162" s="177" t="str">
        <f>VLOOKUP(A162,'FML March 2026'!E:F,2,false)</f>
        <v>PINE NUTS WHOLE</v>
      </c>
      <c r="C162" s="177" t="str">
        <f>VLOOKUP(A162,'Unit of Measure ship March 2026'!A:C,3,false)</f>
        <v>LBS</v>
      </c>
      <c r="D162" s="177"/>
      <c r="E162" s="176">
        <v>111820.0</v>
      </c>
      <c r="F162" s="177" t="str">
        <f>VLOOKUP(E162,'FML March 2026'!E:F,2,false)</f>
        <v>MASA HARINA CS4/22OZ BOBS RED MILL</v>
      </c>
      <c r="G162" s="177" t="str">
        <f>VLOOKUP(E162,'Unit of Measure ship March 2026'!A:C,3,false)</f>
        <v>LBS</v>
      </c>
      <c r="H162" s="177"/>
      <c r="I162" s="176"/>
      <c r="J162" s="177"/>
      <c r="K162" s="177"/>
      <c r="L162" s="177"/>
      <c r="M162" s="176">
        <v>14555.0</v>
      </c>
      <c r="N162" s="177" t="str">
        <f>VLOOKUP(M162,'FML March 2026'!E:F,2,false)</f>
        <v>MORTADELLA W/ PISTACHIO GALBANI/ DANIELLE</v>
      </c>
      <c r="O162" s="177" t="str">
        <f>VLOOKUP(M162,'Unit of Measure ship March 2026'!A:C,3,false)</f>
        <v>LBS</v>
      </c>
      <c r="P162" s="177"/>
      <c r="Q162" s="177"/>
      <c r="R162" s="177"/>
      <c r="S162" s="177"/>
      <c r="T162" s="177"/>
      <c r="U162" s="177"/>
      <c r="V162" s="177"/>
      <c r="W162" s="76"/>
      <c r="X162" s="76"/>
      <c r="Y162" s="76"/>
      <c r="Z162" s="76"/>
    </row>
    <row r="163">
      <c r="A163" s="176">
        <v>110046.0</v>
      </c>
      <c r="B163" s="177" t="str">
        <f>VLOOKUP(A163,'FML March 2026'!E:F,2,false)</f>
        <v>PINEAPPLE CHUNK FROZEN  CS2/5LB DOLE</v>
      </c>
      <c r="C163" s="177" t="str">
        <f>VLOOKUP(A163,'Unit of Measure ship March 2026'!A:C,3,false)</f>
        <v>LBS</v>
      </c>
      <c r="D163" s="177"/>
      <c r="E163" s="176">
        <v>15081.0</v>
      </c>
      <c r="F163" s="177" t="str">
        <f>VLOOKUP(E163,'FML March 2026'!E:F,2,false)</f>
        <v>MASCARPONE, TUB</v>
      </c>
      <c r="G163" s="177" t="str">
        <f>VLOOKUP(E163,'Unit of Measure ship March 2026'!A:C,3,false)</f>
        <v>LBS</v>
      </c>
      <c r="H163" s="177"/>
      <c r="I163" s="176"/>
      <c r="J163" s="177"/>
      <c r="K163" s="177"/>
      <c r="L163" s="177"/>
      <c r="M163" s="176">
        <v>15051.0</v>
      </c>
      <c r="N163" s="177" t="str">
        <f>VLOOKUP(M163,'FML March 2026'!E:F,2,false)</f>
        <v>MOZZARELLA DI BUFFALA CHEESE FRESH ABC BRAND 10/8.8 OZ- CI16 (ITALY)</v>
      </c>
      <c r="O163" s="177" t="str">
        <f>VLOOKUP(M163,'Unit of Measure ship March 2026'!A:C,3,false)</f>
        <v>PC/8.8OZ</v>
      </c>
      <c r="P163" s="177"/>
      <c r="Q163" s="177"/>
      <c r="R163" s="177"/>
      <c r="S163" s="177"/>
      <c r="T163" s="177"/>
      <c r="U163" s="177"/>
      <c r="V163" s="177"/>
      <c r="W163" s="76"/>
      <c r="X163" s="76"/>
      <c r="Y163" s="76"/>
      <c r="Z163" s="76"/>
    </row>
    <row r="164">
      <c r="A164" s="176">
        <v>16487.0</v>
      </c>
      <c r="B164" s="177" t="str">
        <f>VLOOKUP(A164,'FML March 2026'!E:F,2,false)</f>
        <v>PINEAPPLE, SLICED, IN JUICE</v>
      </c>
      <c r="C164" s="177" t="str">
        <f>VLOOKUP(A164,'Unit of Measure ship March 2026'!A:C,3,false)</f>
        <v>CN/6.5LB</v>
      </c>
      <c r="D164" s="177"/>
      <c r="E164" s="176">
        <v>11745.0</v>
      </c>
      <c r="F164" s="177" t="str">
        <f>VLOOKUP(E164,'FML March 2026'!E:F,2,false)</f>
        <v>MAYTAG BLUE CHEESE</v>
      </c>
      <c r="G164" s="177" t="str">
        <f>VLOOKUP(E164,'Unit of Measure ship March 2026'!A:C,3,false)</f>
        <v>LBS</v>
      </c>
      <c r="H164" s="177"/>
      <c r="I164" s="176"/>
      <c r="J164" s="177"/>
      <c r="K164" s="177"/>
      <c r="L164" s="177"/>
      <c r="M164" s="176">
        <v>14995.0</v>
      </c>
      <c r="N164" s="177" t="str">
        <f>VLOOKUP(M164,'FML March 2026'!E:F,2,false)</f>
        <v>MOZZARELLA, 100%, SHREDDED, WHOLE MILK</v>
      </c>
      <c r="O164" s="177" t="str">
        <f>VLOOKUP(M164,'Unit of Measure ship March 2026'!A:C,3,false)</f>
        <v>LBS</v>
      </c>
      <c r="P164" s="177"/>
      <c r="Q164" s="177"/>
      <c r="R164" s="177"/>
      <c r="S164" s="177"/>
      <c r="T164" s="177"/>
      <c r="U164" s="177"/>
      <c r="V164" s="177"/>
      <c r="W164" s="76"/>
      <c r="X164" s="76"/>
      <c r="Y164" s="76"/>
      <c r="Z164" s="76"/>
    </row>
    <row r="165">
      <c r="A165" s="176">
        <v>109646.0</v>
      </c>
      <c r="B165" s="177" t="str">
        <f>VLOOKUP(A165,'FML March 2026'!E:F,2,false)</f>
        <v>PISTACHIOS, IRANIAN BAZZINI</v>
      </c>
      <c r="C165" s="177" t="str">
        <f>VLOOKUP(A165,'Unit of Measure ship March 2026'!A:C,3,false)</f>
        <v>KG</v>
      </c>
      <c r="D165" s="177"/>
      <c r="E165" s="176">
        <v>111984.0</v>
      </c>
      <c r="F165" s="177" t="str">
        <f>VLOOKUP(E165,'FML March 2026'!E:F,2,false)</f>
        <v>MILK GOAT MILK ASEPTIC CS12/32 OZ</v>
      </c>
      <c r="G165" s="177" t="str">
        <f>VLOOKUP(E165,'Unit of Measure ship March 2026'!A:C,3,false)</f>
        <v>QT</v>
      </c>
      <c r="H165" s="177"/>
      <c r="I165" s="176"/>
      <c r="J165" s="177"/>
      <c r="K165" s="177"/>
      <c r="L165" s="177"/>
      <c r="M165" s="176">
        <v>111063.0</v>
      </c>
      <c r="N165" s="177" t="str">
        <f>VLOOKUP(M165,'FML March 2026'!E:F,2,false)</f>
        <v>MUFFIN BATTER BLUEBERRY 18  LB  PAIL MAUII FOODS - # 1800 (USA)</v>
      </c>
      <c r="O165" s="177" t="str">
        <f>VLOOKUP(M165,'Unit of Measure ship March 2026'!A:C,3,false)</f>
        <v>CS18/LBS</v>
      </c>
      <c r="P165" s="177"/>
      <c r="Q165" s="179"/>
      <c r="R165" s="177"/>
      <c r="S165" s="177"/>
      <c r="T165" s="177"/>
      <c r="U165" s="177"/>
      <c r="V165" s="177"/>
      <c r="W165" s="76"/>
      <c r="X165" s="76"/>
      <c r="Y165" s="76"/>
      <c r="Z165" s="76"/>
    </row>
    <row r="166">
      <c r="A166" s="176">
        <v>51162.0</v>
      </c>
      <c r="B166" s="177" t="str">
        <f>VLOOKUP(A166,'FML March 2026'!E:F,2,false)</f>
        <v>POWDER, SUGAR SNOW, NEIGE DECOR, SUCRE NIEGE PASTISFR#6080</v>
      </c>
      <c r="C166" s="177" t="str">
        <f>VLOOKUP(A166,'Unit of Measure ship March 2026'!A:C,3,false)</f>
        <v>LBS</v>
      </c>
      <c r="D166" s="177"/>
      <c r="E166" s="176">
        <v>110932.0</v>
      </c>
      <c r="F166" s="177" t="str">
        <f>VLOOKUP(E166,'FML March 2026'!E:F,2,false)</f>
        <v>MILK POWDER  NON-FAT INSTANT</v>
      </c>
      <c r="G166" s="177" t="str">
        <f>VLOOKUP(E166,'Unit of Measure ship March 2026'!A:C,3,false)</f>
        <v>LBS</v>
      </c>
      <c r="H166" s="177"/>
      <c r="I166" s="176"/>
      <c r="J166" s="177"/>
      <c r="K166" s="177"/>
      <c r="L166" s="177"/>
      <c r="M166" s="176">
        <v>111064.0</v>
      </c>
      <c r="N166" s="177" t="str">
        <f>VLOOKUP(M166,'FML March 2026'!E:F,2,false)</f>
        <v>MUFFIN BATTER CHOCOLATE CHIP 18  LB  PAIL MAUII FOODS - # 1859 (USA)</v>
      </c>
      <c r="O166" s="177" t="str">
        <f>VLOOKUP(M166,'Unit of Measure ship March 2026'!A:C,3,false)</f>
        <v>CS18/LBS</v>
      </c>
      <c r="P166" s="177"/>
      <c r="Q166" s="177"/>
      <c r="R166" s="177"/>
      <c r="S166" s="177"/>
      <c r="T166" s="177"/>
      <c r="U166" s="177"/>
      <c r="V166" s="177"/>
      <c r="W166" s="76"/>
      <c r="X166" s="76"/>
      <c r="Y166" s="76"/>
      <c r="Z166" s="76"/>
    </row>
    <row r="167">
      <c r="A167" s="176">
        <v>108323.0</v>
      </c>
      <c r="B167" s="177" t="str">
        <f>VLOOKUP(A167,'FML March 2026'!E:F,2,false)</f>
        <v>PREGEL GELATO BASE ALLEGRA # 82404 (ITALY)</v>
      </c>
      <c r="C167" s="177" t="str">
        <f>VLOOKUP(A167,'Unit of Measure ship March 2026'!A:C,3,false)</f>
        <v>KG</v>
      </c>
      <c r="D167" s="177"/>
      <c r="E167" s="176">
        <v>14869.0</v>
      </c>
      <c r="F167" s="177" t="str">
        <f>VLOOKUP(E167,'FML March 2026'!E:F,2,false)</f>
        <v>MILK, UHT, WHOLE, 3.5% FAT, DRY, 12/1 LT</v>
      </c>
      <c r="G167" s="177" t="str">
        <f>VLOOKUP(E167,'Unit of Measure ship March 2026'!A:C,3,false)</f>
        <v>LT</v>
      </c>
      <c r="H167" s="177"/>
      <c r="I167" s="176"/>
      <c r="J167" s="177"/>
      <c r="K167" s="177"/>
      <c r="L167" s="177"/>
      <c r="M167" s="176">
        <v>111060.0</v>
      </c>
      <c r="N167" s="177" t="str">
        <f>VLOOKUP(M167,'FML March 2026'!E:F,2,false)</f>
        <v>MUFFIN BATTER CRANBERRY 18  LB  PAIL MAUII FOODS - # 1801 (USA)</v>
      </c>
      <c r="O167" s="177" t="str">
        <f>VLOOKUP(M167,'Unit of Measure ship March 2026'!A:C,3,false)</f>
        <v>CS18/LBS</v>
      </c>
      <c r="P167" s="177"/>
      <c r="Q167" s="177"/>
      <c r="R167" s="177"/>
      <c r="S167" s="177"/>
      <c r="T167" s="177"/>
      <c r="U167" s="177"/>
      <c r="V167" s="177"/>
      <c r="W167" s="76"/>
      <c r="X167" s="76"/>
      <c r="Y167" s="76"/>
      <c r="Z167" s="76"/>
    </row>
    <row r="168">
      <c r="A168" s="176">
        <v>40107.0</v>
      </c>
      <c r="B168" s="177" t="str">
        <f>VLOOKUP(A168,'FML March 2026'!E:F,2,false)</f>
        <v>PRUNES PITTED DRIED</v>
      </c>
      <c r="C168" s="177" t="str">
        <f>VLOOKUP(A168,'Unit of Measure ship March 2026'!A:C,3,false)</f>
        <v>LBS</v>
      </c>
      <c r="D168" s="177"/>
      <c r="E168" s="176">
        <v>16241.0</v>
      </c>
      <c r="F168" s="177" t="str">
        <f>VLOOKUP(E168,'FML March 2026'!E:F,2,false)</f>
        <v>MISO PASTE RED JAPANESE 12/1KG  MIKO/ K-SEA</v>
      </c>
      <c r="G168" s="177" t="str">
        <f>VLOOKUP(E168,'Unit of Measure ship March 2026'!A:C,3,false)</f>
        <v>PC/2.2LB</v>
      </c>
      <c r="H168" s="177"/>
      <c r="I168" s="176"/>
      <c r="J168" s="177"/>
      <c r="K168" s="177"/>
      <c r="L168" s="177"/>
      <c r="M168" s="176">
        <v>111061.0</v>
      </c>
      <c r="N168" s="177" t="str">
        <f>VLOOKUP(M168,'FML March 2026'!E:F,2,false)</f>
        <v>MUFFIN BATTER MAUI MORNING 18  LB  PAIL MAUII FOODS - # 1808 (USA)</v>
      </c>
      <c r="O168" s="177" t="str">
        <f>VLOOKUP(M168,'Unit of Measure ship March 2026'!A:C,3,false)</f>
        <v>CS18/LBS</v>
      </c>
      <c r="P168" s="177"/>
      <c r="Q168" s="177"/>
      <c r="R168" s="177"/>
      <c r="S168" s="177"/>
      <c r="T168" s="177"/>
      <c r="U168" s="177"/>
      <c r="V168" s="177"/>
      <c r="W168" s="76"/>
      <c r="X168" s="76"/>
      <c r="Y168" s="76"/>
      <c r="Z168" s="76"/>
    </row>
    <row r="169">
      <c r="A169" s="176">
        <v>16186.0</v>
      </c>
      <c r="B169" s="177" t="str">
        <f>VLOOKUP(A169,'FML March 2026'!E:F,2,false)</f>
        <v>PRUNES W PIT IN SYRUP - MONTAVISTA 6#10 (USA)</v>
      </c>
      <c r="C169" s="177" t="str">
        <f>VLOOKUP(A169,'Unit of Measure ship March 2026'!A:C,3,false)</f>
        <v>CN/6.5LB</v>
      </c>
      <c r="D169" s="177"/>
      <c r="E169" s="176">
        <v>110955.0</v>
      </c>
      <c r="F169" s="177" t="str">
        <f>VLOOKUP(E169,'FML March 2026'!E:F,2,false)</f>
        <v>MOCHI MINI RAINBOW GLUTEN FREE CS24/10.8  OZ TEA ZONE</v>
      </c>
      <c r="G169" s="177" t="str">
        <f>VLOOKUP(E169,'Unit of Measure ship March 2026'!A:C,3,false)</f>
        <v>LBS</v>
      </c>
      <c r="H169" s="177"/>
      <c r="I169" s="176"/>
      <c r="J169" s="177"/>
      <c r="K169" s="177"/>
      <c r="L169" s="177"/>
      <c r="M169" s="176">
        <v>111062.0</v>
      </c>
      <c r="N169" s="177" t="str">
        <f>VLOOKUP(M169,'FML March 2026'!E:F,2,false)</f>
        <v>MUFFIN BATTER NEW ENGLAND CORN 18  LB  PAIL MAUII FOODS - # 1853 (USA)</v>
      </c>
      <c r="O169" s="177" t="str">
        <f>VLOOKUP(M169,'Unit of Measure ship March 2026'!A:C,3,false)</f>
        <v>CS18/LBS</v>
      </c>
      <c r="P169" s="177"/>
      <c r="Q169" s="177"/>
      <c r="R169" s="177"/>
      <c r="S169" s="177"/>
      <c r="T169" s="177"/>
      <c r="U169" s="177"/>
      <c r="V169" s="177"/>
      <c r="W169" s="76"/>
      <c r="X169" s="76"/>
      <c r="Y169" s="76"/>
      <c r="Z169" s="76"/>
    </row>
    <row r="170">
      <c r="A170" s="176">
        <v>15029.0</v>
      </c>
      <c r="B170" s="177" t="str">
        <f>VLOOKUP(A170,'FML March 2026'!E:F,2,false)</f>
        <v>PUFF PASTRY, SLAB, FZN, 2/15 LB</v>
      </c>
      <c r="C170" s="177" t="str">
        <f>VLOOKUP(A170,'Unit of Measure ship March 2026'!A:C,3,false)</f>
        <v>LBS</v>
      </c>
      <c r="D170" s="177"/>
      <c r="E170" s="176">
        <v>15711.0</v>
      </c>
      <c r="F170" s="177" t="str">
        <f>VLOOKUP(E170,'FML March 2026'!E:F,2,false)</f>
        <v>MOLASSES 4/1 GALLON GRANDMAS/ TORINO (USA )</v>
      </c>
      <c r="G170" s="177" t="str">
        <f>VLOOKUP(E170,'Unit of Measure ship March 2026'!A:C,3,false)</f>
        <v>GAL</v>
      </c>
      <c r="H170" s="177"/>
      <c r="I170" s="176"/>
      <c r="J170" s="177"/>
      <c r="K170" s="177"/>
      <c r="L170" s="177"/>
      <c r="M170" s="176">
        <v>111675.0</v>
      </c>
      <c r="N170" s="177" t="str">
        <f>VLOOKUP(M170,'FML March 2026'!E:F,2,false)</f>
        <v>MUFFIN BATTER VEGAN BLUEBERRY BANANA PAIL9/ LBS MAUI</v>
      </c>
      <c r="O170" s="177" t="str">
        <f>VLOOKUP(M170,'Unit of Measure ship March 2026'!A:C,3,false)</f>
        <v>LBS</v>
      </c>
      <c r="P170" s="177"/>
      <c r="Q170" s="177"/>
      <c r="R170" s="177"/>
      <c r="S170" s="177"/>
      <c r="T170" s="177"/>
      <c r="U170" s="177"/>
      <c r="V170" s="177"/>
      <c r="W170" s="76"/>
      <c r="X170" s="76"/>
      <c r="Y170" s="76"/>
      <c r="Z170" s="76"/>
    </row>
    <row r="171">
      <c r="A171" s="176">
        <v>15897.0</v>
      </c>
      <c r="B171" s="177" t="str">
        <f>VLOOKUP(A171,'FML March 2026'!E:F,2,false)</f>
        <v>PUMPKIN SEEDS WHOLE SHELLED RAW 10 LB HIALEAH/ D`ALLESANDRO</v>
      </c>
      <c r="C171" s="177" t="str">
        <f>VLOOKUP(A171,'Unit of Measure ship March 2026'!A:C,3,false)</f>
        <v>LBS</v>
      </c>
      <c r="D171" s="177"/>
      <c r="E171" s="176">
        <v>42554.0</v>
      </c>
      <c r="F171" s="177" t="str">
        <f>VLOOKUP(E171,'FML March 2026'!E:F,2,false)</f>
        <v>NUTELLA SPREAD CS 12/26 OZ JAR 87011 FERRARO (ITALY)</v>
      </c>
      <c r="G171" s="177" t="str">
        <f>VLOOKUP(E171,'Unit of Measure ship March 2026'!A:C,3,false)</f>
        <v>JR/26OZ</v>
      </c>
      <c r="H171" s="177"/>
      <c r="I171" s="176"/>
      <c r="J171" s="177"/>
      <c r="K171" s="177"/>
      <c r="L171" s="177"/>
      <c r="M171" s="176">
        <v>111676.0</v>
      </c>
      <c r="N171" s="177" t="str">
        <f>VLOOKUP(M171,'FML March 2026'!E:F,2,false)</f>
        <v>MUFFIN BATTER VEGAN MAUI MORNING PAIL9/ LBS MAUI</v>
      </c>
      <c r="O171" s="177" t="str">
        <f>VLOOKUP(M171,'Unit of Measure ship March 2026'!A:C,3,false)</f>
        <v>LBS</v>
      </c>
      <c r="P171" s="177"/>
      <c r="Q171" s="177"/>
      <c r="R171" s="177"/>
      <c r="S171" s="177"/>
      <c r="T171" s="177"/>
      <c r="U171" s="177"/>
      <c r="V171" s="177"/>
      <c r="W171" s="76"/>
      <c r="X171" s="76"/>
      <c r="Y171" s="76"/>
      <c r="Z171" s="76"/>
    </row>
    <row r="172">
      <c r="A172" s="177">
        <v>146187.0</v>
      </c>
      <c r="B172" s="177" t="str">
        <f>VLOOKUP(A172,'FML March 2026'!E:F,2,false)</f>
        <v>PUREE APRICOT ,  BOIRON/SICOLY  FRZN 6/1 KG</v>
      </c>
      <c r="C172" s="177" t="str">
        <f>VLOOKUP(A172,'Unit of Measure ship March 2026'!A:C,3,false)</f>
        <v>KG</v>
      </c>
      <c r="D172" s="177"/>
      <c r="E172" s="176">
        <v>16266.0</v>
      </c>
      <c r="F172" s="177" t="str">
        <f>VLOOKUP(E172,'FML March 2026'!E:F,2,false)</f>
        <v>NUTMEG GROUND D`ALLESANDRO/ SPICECO (USA)</v>
      </c>
      <c r="G172" s="177" t="str">
        <f>VLOOKUP(E172,'Unit of Measure ship March 2026'!A:C,3,false)</f>
        <v>UNIT/1LB</v>
      </c>
      <c r="H172" s="177"/>
      <c r="I172" s="176"/>
      <c r="J172" s="177"/>
      <c r="K172" s="177"/>
      <c r="L172" s="177"/>
      <c r="M172" s="176">
        <v>15911.0</v>
      </c>
      <c r="N172" s="177" t="str">
        <f>VLOOKUP(M172,'FML March 2026'!E:F,2,false)</f>
        <v>MUFFIN, ENGLISH, PLAIN, EASY SPLIT, 2 OZ EA, FZN, 6/12 EA</v>
      </c>
      <c r="O172" s="177" t="str">
        <f>VLOOKUP(M172,'Unit of Measure ship March 2026'!A:C,3,false)</f>
        <v>PK/12PC</v>
      </c>
      <c r="P172" s="177"/>
      <c r="Q172" s="177"/>
      <c r="R172" s="177"/>
      <c r="S172" s="177"/>
      <c r="T172" s="177"/>
      <c r="U172" s="177"/>
      <c r="V172" s="177"/>
      <c r="W172" s="76"/>
      <c r="X172" s="76"/>
      <c r="Y172" s="76"/>
      <c r="Z172" s="76"/>
    </row>
    <row r="173">
      <c r="A173" s="176">
        <v>111937.0</v>
      </c>
      <c r="B173" s="177" t="str">
        <f>VLOOKUP(A173,'FML March 2026'!E:F,2,false)</f>
        <v>PUREE BLACK CHERRY  BOIRON 6/1 KG, VV</v>
      </c>
      <c r="C173" s="177" t="str">
        <f>VLOOKUP(A173,'Unit of Measure ship March 2026'!A:C,3,false)</f>
        <v>KG</v>
      </c>
      <c r="D173" s="177"/>
      <c r="E173" s="176">
        <v>16869.0</v>
      </c>
      <c r="F173" s="177" t="str">
        <f>VLOOKUP(E173,'FML March 2026'!E:F,2,false)</f>
        <v>NUTS PEANUTS DRY ROASTED UNSALTED PLANTERS, 6/52 OZ</v>
      </c>
      <c r="G173" s="177" t="str">
        <f>VLOOKUP(E173,'Unit of Measure ship March 2026'!A:C,3,false)</f>
        <v>PC/52OZ</v>
      </c>
      <c r="H173" s="177"/>
      <c r="I173" s="176"/>
      <c r="J173" s="177"/>
      <c r="K173" s="177"/>
      <c r="L173" s="177"/>
      <c r="M173" s="176">
        <v>16320.0</v>
      </c>
      <c r="N173" s="177" t="str">
        <f>VLOOKUP(M173,'FML March 2026'!E:F,2,false)</f>
        <v>MUSTARD SEED 24 OZ D`ALLESANDRO/ SPICECO</v>
      </c>
      <c r="O173" s="177" t="str">
        <f>VLOOKUP(M173,'Unit of Measure ship March 2026'!A:C,3,false)</f>
        <v>LBS</v>
      </c>
      <c r="P173" s="177"/>
      <c r="Q173" s="177"/>
      <c r="R173" s="177"/>
      <c r="S173" s="177"/>
      <c r="T173" s="177"/>
      <c r="U173" s="177"/>
      <c r="V173" s="177"/>
      <c r="W173" s="76"/>
      <c r="X173" s="76"/>
      <c r="Y173" s="76"/>
      <c r="Z173" s="76"/>
    </row>
    <row r="174">
      <c r="A174" s="177">
        <v>141638.0</v>
      </c>
      <c r="B174" s="177" t="str">
        <f>VLOOKUP(A174,'FML March 2026'!E:F,2,false)</f>
        <v>PUREE MANGO, BOIRON/LAFRUTIERE/SICOLY   FRZN 6/1 KG</v>
      </c>
      <c r="C174" s="177" t="str">
        <f>VLOOKUP(A174,'Unit of Measure ship March 2026'!A:C,3,false)</f>
        <v>KG</v>
      </c>
      <c r="D174" s="177"/>
      <c r="E174" s="182">
        <v>16869.0</v>
      </c>
      <c r="F174" s="177" t="str">
        <f>VLOOKUP(E174,'FML March 2026'!E:F,2,false)</f>
        <v>NUTS PEANUTS DRY ROASTED UNSALTED PLANTERS, 6/52 OZ</v>
      </c>
      <c r="G174" s="177" t="str">
        <f>VLOOKUP(E174,'Unit of Measure ship March 2026'!A:C,3,false)</f>
        <v>PC/52OZ</v>
      </c>
      <c r="H174" s="177"/>
      <c r="I174" s="176"/>
      <c r="J174" s="177"/>
      <c r="K174" s="177"/>
      <c r="L174" s="177"/>
      <c r="M174" s="176">
        <v>16534.0</v>
      </c>
      <c r="N174" s="177" t="str">
        <f>VLOOKUP(M174,'FML March 2026'!E:F,2,false)</f>
        <v>MUSTARD, GRAINED, JAR</v>
      </c>
      <c r="O174" s="177" t="str">
        <f>VLOOKUP(M174,'Unit of Measure ship March 2026'!A:C,3,false)</f>
        <v>JAR7/OZ</v>
      </c>
      <c r="P174" s="177"/>
      <c r="Q174" s="177"/>
      <c r="R174" s="177"/>
      <c r="S174" s="177"/>
      <c r="T174" s="177"/>
      <c r="U174" s="177"/>
      <c r="V174" s="177"/>
      <c r="W174" s="76"/>
      <c r="X174" s="76"/>
      <c r="Y174" s="76"/>
      <c r="Z174" s="76"/>
    </row>
    <row r="175">
      <c r="A175" s="177">
        <v>141639.0</v>
      </c>
      <c r="B175" s="177" t="str">
        <f>VLOOKUP(A175,'FML March 2026'!E:F,2,false)</f>
        <v>PUREE RASPBERRY , SUGAR ADDED, BOIRON/LAFRUTIERE/SICOLY    FRZN 6/1 KG</v>
      </c>
      <c r="C175" s="177" t="str">
        <f>VLOOKUP(A175,'Unit of Measure ship March 2026'!A:C,3,false)</f>
        <v>KG</v>
      </c>
      <c r="D175" s="177"/>
      <c r="E175" s="176">
        <v>110639.0</v>
      </c>
      <c r="F175" s="177" t="str">
        <f>VLOOKUP(E175,'FML March 2026'!E:F,2,false)</f>
        <v>OATS, ROLLED, WHOLE GRAIN, OLD FASHIONED, DRY, 1/50 LB</v>
      </c>
      <c r="G175" s="177" t="str">
        <f>VLOOKUP(E175,'Unit of Measure ship March 2026'!A:C,3,false)</f>
        <v>LBS</v>
      </c>
      <c r="H175" s="177"/>
      <c r="I175" s="176"/>
      <c r="J175" s="177"/>
      <c r="K175" s="177"/>
      <c r="L175" s="177"/>
      <c r="M175" s="176">
        <v>112187.0</v>
      </c>
      <c r="N175" s="177" t="str">
        <f>VLOOKUP(M175,'FML March 2026'!E:F,2,false)</f>
        <v>NOODLES RAMEN FROZEN SUN NOODLE BRAND ONLY VV 5OZ</v>
      </c>
      <c r="O175" s="177" t="str">
        <f>VLOOKUP(M175,'Unit of Measure ship March 2026'!A:C,3,false)</f>
        <v>PKG5/OZ</v>
      </c>
      <c r="P175" s="177"/>
      <c r="Q175" s="177"/>
      <c r="R175" s="177"/>
      <c r="S175" s="177"/>
      <c r="T175" s="177"/>
      <c r="U175" s="177"/>
      <c r="V175" s="177"/>
      <c r="W175" s="76"/>
      <c r="X175" s="76"/>
      <c r="Y175" s="76"/>
      <c r="Z175" s="76"/>
    </row>
    <row r="176">
      <c r="A176" s="177">
        <v>141640.0</v>
      </c>
      <c r="B176" s="177" t="str">
        <f>VLOOKUP(A176,'FML March 2026'!E:F,2,false)</f>
        <v>PUREE STRAWBERRY, SUGAR ADDED,   BOIRON/LAFRUTIERE/SICOLY   FRZN 6/1 KG</v>
      </c>
      <c r="C176" s="177" t="str">
        <f>VLOOKUP(A176,'Unit of Measure ship March 2026'!A:C,3,false)</f>
        <v>KG</v>
      </c>
      <c r="D176" s="177"/>
      <c r="E176" s="180">
        <v>52602.0</v>
      </c>
      <c r="F176" s="177" t="str">
        <f>VLOOKUP(E176,'FML March 2026'!E:F,2,false)</f>
        <v>OIL, 100% OLIVE, EXTRA VIRGIN, DRY, 4/5 LT</v>
      </c>
      <c r="G176" s="177" t="str">
        <f>VLOOKUP(E176,'Unit of Measure ship March 2026'!A:C,3,false)</f>
        <v>LT</v>
      </c>
      <c r="H176" s="177"/>
      <c r="I176" s="176"/>
      <c r="J176" s="177"/>
      <c r="K176" s="177"/>
      <c r="L176" s="177"/>
      <c r="M176" s="176">
        <v>42554.0</v>
      </c>
      <c r="N176" s="177" t="str">
        <f>VLOOKUP(M176,'FML March 2026'!E:F,2,false)</f>
        <v>NUTELLA SPREAD CS 12/26 OZ JAR 87011 FERRARO (ITALY)</v>
      </c>
      <c r="O176" s="177" t="str">
        <f>VLOOKUP(M176,'Unit of Measure ship March 2026'!A:C,3,false)</f>
        <v>JR/26OZ</v>
      </c>
      <c r="P176" s="177"/>
      <c r="Q176" s="177"/>
      <c r="R176" s="177"/>
      <c r="S176" s="177"/>
      <c r="T176" s="177"/>
      <c r="U176" s="177"/>
      <c r="V176" s="177"/>
      <c r="W176" s="76"/>
      <c r="X176" s="76"/>
      <c r="Y176" s="76"/>
      <c r="Z176" s="76"/>
    </row>
    <row r="177">
      <c r="A177" s="176">
        <v>111998.0</v>
      </c>
      <c r="B177" s="177" t="str">
        <f>VLOOKUP(A177,'FML March 2026'!E:F,2,false)</f>
        <v>PUREE TAMARIND CS6/30 OZ PERFECT PUREE</v>
      </c>
      <c r="C177" s="177" t="str">
        <f>VLOOKUP(A177,'Unit of Measure ship March 2026'!A:C,3,false)</f>
        <v>LBS</v>
      </c>
      <c r="D177" s="177"/>
      <c r="E177" s="176">
        <v>16377.0</v>
      </c>
      <c r="F177" s="177" t="str">
        <f>VLOOKUP(E177,'FML March 2026'!E:F,2,false)</f>
        <v>OIL, 100% VEGETABLE SOYBEAN, DRY, 4/5 LT</v>
      </c>
      <c r="G177" s="177" t="str">
        <f>VLOOKUP(E177,'Unit of Measure ship March 2026'!A:C,3,false)</f>
        <v>C4/5LT</v>
      </c>
      <c r="H177" s="177"/>
      <c r="I177" s="176"/>
      <c r="J177" s="177"/>
      <c r="K177" s="177"/>
      <c r="L177" s="177"/>
      <c r="M177" s="176">
        <v>16266.0</v>
      </c>
      <c r="N177" s="177" t="str">
        <f>VLOOKUP(M177,'FML March 2026'!E:F,2,false)</f>
        <v>NUTMEG GROUND D`ALLESANDRO/ SPICECO (USA)</v>
      </c>
      <c r="O177" s="177" t="str">
        <f>VLOOKUP(M177,'Unit of Measure ship March 2026'!A:C,3,false)</f>
        <v>UNIT/1LB</v>
      </c>
      <c r="P177" s="177"/>
      <c r="Q177" s="177"/>
      <c r="R177" s="177"/>
      <c r="S177" s="177"/>
      <c r="T177" s="177"/>
      <c r="U177" s="177"/>
      <c r="V177" s="177"/>
      <c r="W177" s="76"/>
      <c r="X177" s="76"/>
      <c r="Y177" s="76"/>
      <c r="Z177" s="76"/>
    </row>
    <row r="178">
      <c r="A178" s="176">
        <v>109622.0</v>
      </c>
      <c r="B178" s="177" t="str">
        <f>VLOOKUP(A178,'FML March 2026'!E:F,2,false)</f>
        <v>RAINBOW NON-PAREIL SPRINKLES MAVALARIO</v>
      </c>
      <c r="C178" s="177" t="str">
        <f>VLOOKUP(A178,'Unit of Measure ship March 2026'!A:C,3,false)</f>
        <v>KG</v>
      </c>
      <c r="D178" s="177"/>
      <c r="E178" s="176">
        <v>10265.0</v>
      </c>
      <c r="F178" s="177" t="str">
        <f>VLOOKUP(E178,'FML March 2026'!E:F,2,false)</f>
        <v>OIL, FRYING, 100% SOYBEAN, TRANS FAT FREE, FLASHPOINT &gt;600F, DRY, 4/5 LT</v>
      </c>
      <c r="G178" s="177" t="str">
        <f>VLOOKUP(E178,'Unit of Measure ship March 2026'!A:C,3,false)</f>
        <v>CS4/5LT</v>
      </c>
      <c r="H178" s="177"/>
      <c r="I178" s="176"/>
      <c r="J178" s="177"/>
      <c r="K178" s="177"/>
      <c r="L178" s="177"/>
      <c r="M178" s="176">
        <v>16869.0</v>
      </c>
      <c r="N178" s="177" t="str">
        <f>VLOOKUP(M178,'FML March 2026'!E:F,2,false)</f>
        <v>NUTS PEANUTS DRY ROASTED UNSALTED PLANTERS, 6/52 OZ</v>
      </c>
      <c r="O178" s="177" t="str">
        <f>VLOOKUP(M178,'Unit of Measure ship March 2026'!A:C,3,false)</f>
        <v>PC/52OZ</v>
      </c>
      <c r="P178" s="177"/>
      <c r="Q178" s="177"/>
      <c r="R178" s="177"/>
      <c r="S178" s="177"/>
      <c r="T178" s="177"/>
      <c r="U178" s="177"/>
      <c r="V178" s="177"/>
      <c r="W178" s="76"/>
      <c r="X178" s="76"/>
      <c r="Y178" s="76"/>
      <c r="Z178" s="76"/>
    </row>
    <row r="179">
      <c r="A179" s="176">
        <v>15805.0</v>
      </c>
      <c r="B179" s="177" t="str">
        <f>VLOOKUP(A179,'FML March 2026'!E:F,2,false)</f>
        <v>RAISINS GOLDEN SEEDLESS</v>
      </c>
      <c r="C179" s="177" t="str">
        <f>VLOOKUP(A179,'Unit of Measure ship March 2026'!A:C,3,false)</f>
        <v>LBS</v>
      </c>
      <c r="D179" s="177"/>
      <c r="E179" s="176">
        <v>102133.0</v>
      </c>
      <c r="F179" s="177" t="str">
        <f>VLOOKUP(E179,'FML March 2026'!E:F,2,false)</f>
        <v>OLIVE OIL TERRE BORMANE CITRON 500 ML  CS6/500ML</v>
      </c>
      <c r="G179" s="177" t="str">
        <f>VLOOKUP(E179,'Unit of Measure ship March 2026'!A:C,3,false)</f>
        <v>BT/500ML</v>
      </c>
      <c r="H179" s="177"/>
      <c r="I179" s="176"/>
      <c r="J179" s="177"/>
      <c r="K179" s="177"/>
      <c r="L179" s="177"/>
      <c r="M179" s="176">
        <v>110639.0</v>
      </c>
      <c r="N179" s="177" t="str">
        <f>VLOOKUP(M179,'FML March 2026'!E:F,2,false)</f>
        <v>OATS, ROLLED, WHOLE GRAIN, OLD FASHIONED, DRY, 1/50 LB</v>
      </c>
      <c r="O179" s="177" t="str">
        <f>VLOOKUP(M179,'Unit of Measure ship March 2026'!A:C,3,false)</f>
        <v>LBS</v>
      </c>
      <c r="P179" s="177"/>
      <c r="Q179" s="177"/>
      <c r="R179" s="177"/>
      <c r="S179" s="177"/>
      <c r="T179" s="177"/>
      <c r="U179" s="177"/>
      <c r="V179" s="177"/>
      <c r="W179" s="76"/>
      <c r="X179" s="76"/>
      <c r="Y179" s="76"/>
      <c r="Z179" s="76"/>
    </row>
    <row r="180">
      <c r="A180" s="176">
        <v>15804.0</v>
      </c>
      <c r="B180" s="177" t="str">
        <f>VLOOKUP(A180,'FML March 2026'!E:F,2,false)</f>
        <v>RAISINS, THOMPSON, MEDIUM, SEEDLESS, BLACK, CHL, 1/30 LB</v>
      </c>
      <c r="C180" s="177" t="str">
        <f>VLOOKUP(A180,'Unit of Measure ship March 2026'!A:C,3,false)</f>
        <v>LBS</v>
      </c>
      <c r="D180" s="177"/>
      <c r="E180" s="176">
        <v>52603.0</v>
      </c>
      <c r="F180" s="177" t="str">
        <f>VLOOKUP(E180,'FML March 2026'!E:F,2,false)</f>
        <v>OLIVE/CANOLA BLEND OIL</v>
      </c>
      <c r="G180" s="177" t="str">
        <f>VLOOKUP(E180,'Unit of Measure ship March 2026'!A:C,3,false)</f>
        <v>LT</v>
      </c>
      <c r="H180" s="177"/>
      <c r="I180" s="176"/>
      <c r="J180" s="177"/>
      <c r="K180" s="177"/>
      <c r="L180" s="177"/>
      <c r="M180" s="176">
        <v>16420.0</v>
      </c>
      <c r="N180" s="177" t="str">
        <f>VLOOKUP(M180,'FML March 2026'!E:F,2,false)</f>
        <v>OIL GRAPESEED (USA)</v>
      </c>
      <c r="O180" s="177" t="str">
        <f>VLOOKUP(M180,'Unit of Measure ship March 2026'!A:C,3,false)</f>
        <v>BTL/17OZ</v>
      </c>
      <c r="P180" s="177"/>
      <c r="Q180" s="177"/>
      <c r="R180" s="177"/>
      <c r="S180" s="177"/>
      <c r="T180" s="177"/>
      <c r="U180" s="177"/>
      <c r="V180" s="177"/>
      <c r="W180" s="76"/>
      <c r="X180" s="76"/>
      <c r="Y180" s="76"/>
      <c r="Z180" s="76"/>
    </row>
    <row r="181">
      <c r="A181" s="176">
        <v>15202.0</v>
      </c>
      <c r="B181" s="177" t="str">
        <f>VLOOKUP(A181,'FML March 2026'!E:F,2,false)</f>
        <v>RHUBARB, CRIMSON, CUTS, IQF, FRZN</v>
      </c>
      <c r="C181" s="177" t="str">
        <f>VLOOKUP(A181,'Unit of Measure ship March 2026'!A:C,3,false)</f>
        <v>LBS</v>
      </c>
      <c r="D181" s="177"/>
      <c r="E181" s="176">
        <v>16439.0</v>
      </c>
      <c r="F181" s="177" t="str">
        <f>VLOOKUP(E181,'FML March 2026'!E:F,2,false)</f>
        <v>PAN SPRAY NON STICK (USA)</v>
      </c>
      <c r="G181" s="177" t="str">
        <f>VLOOKUP(E181,'Unit of Measure ship March 2026'!A:C,3,false)</f>
        <v>CAN/14OZ</v>
      </c>
      <c r="H181" s="177"/>
      <c r="I181" s="176"/>
      <c r="J181" s="177"/>
      <c r="K181" s="177"/>
      <c r="L181" s="177"/>
      <c r="M181" s="176">
        <v>16346.0</v>
      </c>
      <c r="N181" s="177" t="str">
        <f>VLOOKUP(M181,'FML March 2026'!E:F,2,false)</f>
        <v>OIL, 100% SESAME, TOASTED, DRY, 10/56 OZ</v>
      </c>
      <c r="O181" s="177" t="str">
        <f>VLOOKUP(M181,'Unit of Measure ship March 2026'!A:C,3,false)</f>
        <v>BT/56OZ</v>
      </c>
      <c r="P181" s="177"/>
      <c r="Q181" s="177"/>
      <c r="R181" s="177"/>
      <c r="S181" s="177"/>
      <c r="T181" s="177"/>
      <c r="U181" s="177"/>
      <c r="V181" s="177"/>
      <c r="W181" s="76"/>
      <c r="X181" s="76"/>
      <c r="Y181" s="76"/>
      <c r="Z181" s="76"/>
    </row>
    <row r="182">
      <c r="A182" s="176">
        <v>109653.0</v>
      </c>
      <c r="B182" s="177" t="str">
        <f>VLOOKUP(A182,'FML March 2026'!E:F,2,false)</f>
        <v>RICOTTA CHEESE FRESH CALABRO</v>
      </c>
      <c r="C182" s="177" t="str">
        <f>VLOOKUP(A182,'Unit of Measure ship March 2026'!A:C,3,false)</f>
        <v>LBS</v>
      </c>
      <c r="D182" s="177"/>
      <c r="E182" s="176">
        <v>111994.0</v>
      </c>
      <c r="F182" s="177" t="str">
        <f>VLOOKUP(E182,'FML March 2026'!E:F,2,false)</f>
        <v>PASSION FRUIT ARABESCHI CS 6/1 KG  PREGEL</v>
      </c>
      <c r="G182" s="177" t="str">
        <f>VLOOKUP(E182,'Unit of Measure ship March 2026'!A:C,3,false)</f>
        <v>LBS</v>
      </c>
      <c r="H182" s="177"/>
      <c r="I182" s="176"/>
      <c r="J182" s="177"/>
      <c r="K182" s="177"/>
      <c r="L182" s="177"/>
      <c r="M182" s="176">
        <v>16377.0</v>
      </c>
      <c r="N182" s="177" t="str">
        <f>VLOOKUP(M182,'FML March 2026'!E:F,2,false)</f>
        <v>OIL, 100% VEGETABLE SOYBEAN, DRY, 4/5 LT</v>
      </c>
      <c r="O182" s="177" t="str">
        <f>VLOOKUP(M182,'Unit of Measure ship March 2026'!A:C,3,false)</f>
        <v>C4/5LT</v>
      </c>
      <c r="P182" s="177"/>
      <c r="Q182" s="177"/>
      <c r="R182" s="177"/>
      <c r="S182" s="177"/>
      <c r="T182" s="177"/>
      <c r="U182" s="177"/>
      <c r="V182" s="177"/>
      <c r="W182" s="76"/>
      <c r="X182" s="76"/>
      <c r="Y182" s="76"/>
      <c r="Z182" s="76"/>
    </row>
    <row r="183">
      <c r="A183" s="176">
        <v>33324.0</v>
      </c>
      <c r="B183" s="177" t="str">
        <f>VLOOKUP(A183,'FML March 2026'!E:F,2,false)</f>
        <v>SAFFRON POWDER MANCHA 1 OZ (IRAN)</v>
      </c>
      <c r="C183" s="177" t="str">
        <f>VLOOKUP(A183,'Unit of Measure ship March 2026'!A:C,3,false)</f>
        <v>CAN/1-OZ</v>
      </c>
      <c r="D183" s="177"/>
      <c r="E183" s="176">
        <v>15808.0</v>
      </c>
      <c r="F183" s="177" t="str">
        <f>VLOOKUP(E183,'FML March 2026'!E:F,2,false)</f>
        <v>PASTE ALMOND 33% MINIMUM</v>
      </c>
      <c r="G183" s="177" t="str">
        <f>VLOOKUP(E183,'Unit of Measure ship March 2026'!A:C,3,false)</f>
        <v>LBS</v>
      </c>
      <c r="H183" s="177"/>
      <c r="I183" s="176"/>
      <c r="J183" s="177"/>
      <c r="K183" s="177"/>
      <c r="L183" s="177"/>
      <c r="M183" s="176">
        <v>10265.0</v>
      </c>
      <c r="N183" s="177" t="str">
        <f>VLOOKUP(M183,'FML March 2026'!E:F,2,false)</f>
        <v>OIL, FRYING, 100% SOYBEAN, TRANS FAT FREE, FLASHPOINT &gt;600F, DRY, 4/5 LT</v>
      </c>
      <c r="O183" s="177" t="str">
        <f>VLOOKUP(M183,'Unit of Measure ship March 2026'!A:C,3,false)</f>
        <v>CS4/5LT</v>
      </c>
      <c r="P183" s="177"/>
      <c r="Q183" s="177"/>
      <c r="R183" s="177"/>
      <c r="S183" s="177"/>
      <c r="T183" s="177"/>
      <c r="U183" s="177"/>
      <c r="V183" s="177"/>
      <c r="W183" s="76"/>
      <c r="X183" s="76"/>
      <c r="Y183" s="76"/>
      <c r="Z183" s="76"/>
    </row>
    <row r="184">
      <c r="A184" s="176">
        <v>16280.0</v>
      </c>
      <c r="B184" s="177" t="str">
        <f>VLOOKUP(A184,'FML March 2026'!E:F,2,false)</f>
        <v>SALT, GRANULATED, IODIZED, DRY, 12/26 OZ</v>
      </c>
      <c r="C184" s="177" t="str">
        <f>VLOOKUP(A184,'Unit of Measure ship March 2026'!A:C,3,false)</f>
        <v>LBS</v>
      </c>
      <c r="D184" s="177"/>
      <c r="E184" s="176">
        <v>15726.0</v>
      </c>
      <c r="F184" s="177" t="str">
        <f>VLOOKUP(E184,'FML March 2026'!E:F,2,false)</f>
        <v>PASTE PISTACHIO PATISFRANCE/CALLEBAUT</v>
      </c>
      <c r="G184" s="177" t="str">
        <f>VLOOKUP(E184,'Unit of Measure ship March 2026'!A:C,3,false)</f>
        <v>LBS</v>
      </c>
      <c r="H184" s="177"/>
      <c r="I184" s="176"/>
      <c r="J184" s="177"/>
      <c r="K184" s="177"/>
      <c r="L184" s="177"/>
      <c r="M184" s="176">
        <v>102133.0</v>
      </c>
      <c r="N184" s="177" t="str">
        <f>VLOOKUP(M184,'FML March 2026'!E:F,2,false)</f>
        <v>OLIVE OIL TERRE BORMANE CITRON 500 ML  CS6/500ML</v>
      </c>
      <c r="O184" s="177" t="str">
        <f>VLOOKUP(M184,'Unit of Measure ship March 2026'!A:C,3,false)</f>
        <v>BT/500ML</v>
      </c>
      <c r="P184" s="177"/>
      <c r="Q184" s="177"/>
      <c r="R184" s="177"/>
      <c r="S184" s="177"/>
      <c r="T184" s="177"/>
      <c r="U184" s="177"/>
      <c r="V184" s="177"/>
      <c r="W184" s="76"/>
      <c r="X184" s="76"/>
      <c r="Y184" s="76"/>
      <c r="Z184" s="76"/>
    </row>
    <row r="185">
      <c r="A185" s="176">
        <v>11260.0</v>
      </c>
      <c r="B185" s="177" t="str">
        <f>VLOOKUP(A185,'FML March 2026'!E:F,2,false)</f>
        <v>SESAME SEED BLACK</v>
      </c>
      <c r="C185" s="177" t="str">
        <f>VLOOKUP(A185,'Unit of Measure ship March 2026'!A:C,3,false)</f>
        <v>LBS</v>
      </c>
      <c r="D185" s="177"/>
      <c r="E185" s="176">
        <v>51211.0</v>
      </c>
      <c r="F185" s="177" t="str">
        <f>VLOOKUP(E185,'FML March 2026'!E:F,2,false)</f>
        <v>PASTE VANILLA FLAVOR 35 OZ PASTRY STAR #00057</v>
      </c>
      <c r="G185" s="177" t="str">
        <f>VLOOKUP(E185,'Unit of Measure ship March 2026'!A:C,3,false)</f>
        <v>BTL/35OZ</v>
      </c>
      <c r="H185" s="177"/>
      <c r="I185" s="176"/>
      <c r="J185" s="177"/>
      <c r="K185" s="177"/>
      <c r="L185" s="177"/>
      <c r="M185" s="176">
        <v>52603.0</v>
      </c>
      <c r="N185" s="177" t="str">
        <f>VLOOKUP(M185,'FML March 2026'!E:F,2,false)</f>
        <v>OLIVE/CANOLA BLEND OIL</v>
      </c>
      <c r="O185" s="177" t="str">
        <f>VLOOKUP(M185,'Unit of Measure ship March 2026'!A:C,3,false)</f>
        <v>LT</v>
      </c>
      <c r="P185" s="177"/>
      <c r="Q185" s="177"/>
      <c r="R185" s="177"/>
      <c r="S185" s="177"/>
      <c r="T185" s="177"/>
      <c r="U185" s="177"/>
      <c r="V185" s="177"/>
      <c r="W185" s="76"/>
      <c r="X185" s="76"/>
      <c r="Y185" s="76"/>
      <c r="Z185" s="76"/>
    </row>
    <row r="186">
      <c r="A186" s="176">
        <v>15818.0</v>
      </c>
      <c r="B186" s="177" t="str">
        <f>VLOOKUP(A186,'FML March 2026'!E:F,2,false)</f>
        <v>SESAME SEEDS WHITE BADIA (USA )</v>
      </c>
      <c r="C186" s="177" t="str">
        <f>VLOOKUP(A186,'Unit of Measure ship March 2026'!A:C,3,false)</f>
        <v>LBS</v>
      </c>
      <c r="D186" s="177"/>
      <c r="E186" s="182">
        <v>15810.0</v>
      </c>
      <c r="F186" s="177" t="str">
        <f>VLOOKUP(E186,'FML March 2026'!E:F,2,false)</f>
        <v>PASTE, HAZELNUT PRALINE  PASTE (FILBERT PASTE)</v>
      </c>
      <c r="G186" s="177" t="str">
        <f>VLOOKUP(E186,'Unit of Measure ship March 2026'!A:C,3,false)</f>
        <v>KG</v>
      </c>
      <c r="H186" s="177"/>
      <c r="I186" s="176"/>
      <c r="J186" s="177"/>
      <c r="K186" s="177"/>
      <c r="L186" s="177"/>
      <c r="M186" s="176">
        <v>52603.0</v>
      </c>
      <c r="N186" s="177" t="str">
        <f>VLOOKUP(M186,'FML March 2026'!E:F,2,false)</f>
        <v>OLIVE/CANOLA BLEND OIL</v>
      </c>
      <c r="O186" s="177" t="str">
        <f>VLOOKUP(M186,'Unit of Measure ship March 2026'!A:C,3,false)</f>
        <v>LT</v>
      </c>
      <c r="P186" s="177"/>
      <c r="Q186" s="177"/>
      <c r="R186" s="177"/>
      <c r="S186" s="177"/>
      <c r="T186" s="177"/>
      <c r="U186" s="177"/>
      <c r="V186" s="177"/>
      <c r="W186" s="76"/>
      <c r="X186" s="76"/>
      <c r="Y186" s="76"/>
      <c r="Z186" s="76"/>
    </row>
    <row r="187">
      <c r="A187" s="176">
        <v>111657.0</v>
      </c>
      <c r="B187" s="177" t="str">
        <f>VLOOKUP(A187,'FML March 2026'!E:F,2,false)</f>
        <v>SORBETTO BASE FRUTTOSA   CS 8/4.4 LB PREGEL</v>
      </c>
      <c r="C187" s="177" t="str">
        <f>VLOOKUP(A187,'Unit of Measure ship March 2026'!A:C,3,false)</f>
        <v>LBS</v>
      </c>
      <c r="D187" s="177"/>
      <c r="E187" s="176">
        <v>15810.0</v>
      </c>
      <c r="F187" s="177" t="str">
        <f>VLOOKUP(E187,'FML March 2026'!E:F,2,false)</f>
        <v>PASTE, HAZELNUT PRALINE  PASTE (FILBERT PASTE)</v>
      </c>
      <c r="G187" s="177" t="str">
        <f>VLOOKUP(E187,'Unit of Measure ship March 2026'!A:C,3,false)</f>
        <v>KG</v>
      </c>
      <c r="H187" s="177"/>
      <c r="I187" s="176"/>
      <c r="J187" s="177"/>
      <c r="K187" s="177"/>
      <c r="L187" s="177"/>
      <c r="M187" s="176">
        <v>111123.0</v>
      </c>
      <c r="N187" s="177" t="str">
        <f>VLOOKUP(M187,'FML March 2026'!E:F,2,false)</f>
        <v>OLIVES  PITTED CASTELVETRANO</v>
      </c>
      <c r="O187" s="177" t="str">
        <f>VLOOKUP(M187,'Unit of Measure ship March 2026'!A:C,3,false)</f>
        <v>LBS</v>
      </c>
      <c r="P187" s="177"/>
      <c r="Q187" s="177"/>
      <c r="R187" s="177"/>
      <c r="S187" s="177"/>
      <c r="T187" s="177"/>
      <c r="U187" s="177"/>
      <c r="V187" s="177"/>
      <c r="W187" s="76"/>
      <c r="X187" s="76"/>
      <c r="Y187" s="76"/>
      <c r="Z187" s="76"/>
    </row>
    <row r="188">
      <c r="A188" s="176">
        <v>14883.0</v>
      </c>
      <c r="B188" s="177" t="str">
        <f>VLOOKUP(A188,'FML March 2026'!E:F,2,false)</f>
        <v>SOUR CREAM LONG LIFE 24% 6/5#</v>
      </c>
      <c r="C188" s="177" t="str">
        <f>VLOOKUP(A188,'Unit of Measure ship March 2026'!A:C,3,false)</f>
        <v>LBS</v>
      </c>
      <c r="D188" s="177"/>
      <c r="E188" s="176">
        <v>100411.0</v>
      </c>
      <c r="F188" s="177" t="str">
        <f>VLOOKUP(E188,'FML March 2026'!E:F,2,false)</f>
        <v>PASTRY CREAM, READY MIX-INSTANT, CREW</v>
      </c>
      <c r="G188" s="177" t="str">
        <f>VLOOKUP(E188,'Unit of Measure ship March 2026'!A:C,3,false)</f>
        <v>CS15/KG</v>
      </c>
      <c r="H188" s="177"/>
      <c r="I188" s="176"/>
      <c r="J188" s="177"/>
      <c r="K188" s="177"/>
      <c r="L188" s="177"/>
      <c r="M188" s="176">
        <v>16431.0</v>
      </c>
      <c r="N188" s="177" t="str">
        <f>VLOOKUP(M188,'FML March 2026'!E:F,2,false)</f>
        <v>OLIVES KALAMATA PITTED AMBROSIA 16122 (8X5) (TURKEY)</v>
      </c>
      <c r="O188" s="177" t="str">
        <f>VLOOKUP(M188,'Unit of Measure ship March 2026'!A:C,3,false)</f>
        <v>CAN/2KG</v>
      </c>
      <c r="P188" s="177"/>
      <c r="Q188" s="177"/>
      <c r="R188" s="177"/>
      <c r="S188" s="177"/>
      <c r="T188" s="177"/>
      <c r="U188" s="177"/>
      <c r="V188" s="177"/>
      <c r="W188" s="76"/>
      <c r="X188" s="76"/>
      <c r="Y188" s="76"/>
      <c r="Z188" s="76"/>
    </row>
    <row r="189">
      <c r="A189" s="176">
        <v>16945.0</v>
      </c>
      <c r="B189" s="177" t="str">
        <f>VLOOKUP(A189,'FML March 2026'!E:F,2,false)</f>
        <v>SOY MILK  12/32 OZ SILK/ PACKER</v>
      </c>
      <c r="C189" s="177" t="str">
        <f>VLOOKUP(A189,'Unit of Measure ship March 2026'!A:C,3,false)</f>
        <v>LT</v>
      </c>
      <c r="D189" s="177"/>
      <c r="E189" s="176">
        <v>109636.0</v>
      </c>
      <c r="F189" s="177" t="str">
        <f>VLOOKUP(E189,'FML March 2026'!E:F,2,false)</f>
        <v>PASTRY FLOUR (KING ARTHUR)</v>
      </c>
      <c r="G189" s="177" t="str">
        <f>VLOOKUP(E189,'Unit of Measure ship March 2026'!A:C,3,false)</f>
        <v>KG</v>
      </c>
      <c r="H189" s="177"/>
      <c r="I189" s="176"/>
      <c r="J189" s="177"/>
      <c r="K189" s="177"/>
      <c r="L189" s="177"/>
      <c r="M189" s="182">
        <v>142069.0</v>
      </c>
      <c r="N189" s="177" t="str">
        <f>VLOOKUP(M189,'FML March 2026'!E:F,2,false)</f>
        <v>ONION MINCED BADIA</v>
      </c>
      <c r="O189" s="177" t="str">
        <f>VLOOKUP(M189,'Unit of Measure ship March 2026'!A:C,3,false)</f>
        <v>LBS</v>
      </c>
      <c r="P189" s="177"/>
      <c r="Q189" s="177"/>
      <c r="R189" s="177"/>
      <c r="S189" s="177"/>
      <c r="T189" s="177"/>
      <c r="U189" s="177"/>
      <c r="V189" s="177"/>
      <c r="W189" s="76"/>
      <c r="X189" s="76"/>
      <c r="Y189" s="76"/>
      <c r="Z189" s="76"/>
    </row>
    <row r="190">
      <c r="A190" s="176">
        <v>109626.0</v>
      </c>
      <c r="B190" s="177" t="str">
        <f>VLOOKUP(A190,'FML March 2026'!E:F,2,false)</f>
        <v>SPIRULINA FRONTEIR HERB</v>
      </c>
      <c r="C190" s="177" t="str">
        <f>VLOOKUP(A190,'Unit of Measure ship March 2026'!A:C,3,false)</f>
        <v>KG</v>
      </c>
      <c r="D190" s="177"/>
      <c r="E190" s="176">
        <v>113927.0</v>
      </c>
      <c r="F190" s="177" t="str">
        <f>VLOOKUP(E190,'FML March 2026'!E:F,2,false)</f>
        <v>PATE A GLACER IVOIRE  COCOA BARRY</v>
      </c>
      <c r="G190" s="177" t="str">
        <f>VLOOKUP(E190,'Unit of Measure ship March 2026'!A:C,3,false)</f>
        <v>LBS</v>
      </c>
      <c r="H190" s="177"/>
      <c r="I190" s="176"/>
      <c r="J190" s="177"/>
      <c r="K190" s="177"/>
      <c r="L190" s="177"/>
      <c r="M190" s="176">
        <v>62951.0</v>
      </c>
      <c r="N190" s="177" t="str">
        <f>VLOOKUP(M190,'FML March 2026'!E:F,2,false)</f>
        <v>ONION POWDER</v>
      </c>
      <c r="O190" s="177" t="str">
        <f>VLOOKUP(M190,'Unit of Measure ship March 2026'!A:C,3,false)</f>
        <v>LBS</v>
      </c>
      <c r="P190" s="177"/>
      <c r="Q190" s="177"/>
      <c r="R190" s="177"/>
      <c r="S190" s="177"/>
      <c r="T190" s="177"/>
      <c r="U190" s="177"/>
      <c r="V190" s="177"/>
      <c r="W190" s="76"/>
      <c r="X190" s="76"/>
      <c r="Y190" s="76"/>
      <c r="Z190" s="76"/>
    </row>
    <row r="191">
      <c r="A191" s="176">
        <v>110929.0</v>
      </c>
      <c r="B191" s="177" t="str">
        <f>VLOOKUP(A191,'FML March 2026'!E:F,2,false)</f>
        <v>SPRINKLES CONFETTI  PKG 1/KG IFI</v>
      </c>
      <c r="C191" s="177" t="str">
        <f>VLOOKUP(A191,'Unit of Measure ship March 2026'!A:C,3,false)</f>
        <v>LBS</v>
      </c>
      <c r="D191" s="177"/>
      <c r="E191" s="176">
        <v>112826.0</v>
      </c>
      <c r="F191" s="177" t="str">
        <f>VLOOKUP(E191,'FML March 2026'!E:F,2,false)</f>
        <v>PCB BUOYS- 4.5 CM VV LOGO WHITE CHOCOLATE</v>
      </c>
      <c r="G191" s="177" t="str">
        <f>VLOOKUP(E191,'Unit of Measure ship March 2026'!A:C,3,false)</f>
        <v>PC6.7/GR</v>
      </c>
      <c r="H191" s="177"/>
      <c r="I191" s="176"/>
      <c r="J191" s="177"/>
      <c r="K191" s="177"/>
      <c r="L191" s="177"/>
      <c r="M191" s="176">
        <v>106302.0</v>
      </c>
      <c r="N191" s="177" t="str">
        <f>VLOOKUP(M191,'FML March 2026'!E:F,2,false)</f>
        <v>OREGANO MEXICAN DRY CS1/LBS TERRA SPICE</v>
      </c>
      <c r="O191" s="177" t="str">
        <f>VLOOKUP(M191,'Unit of Measure ship March 2026'!A:C,3,false)</f>
        <v>OZ</v>
      </c>
      <c r="P191" s="177"/>
      <c r="Q191" s="177"/>
      <c r="R191" s="177"/>
      <c r="S191" s="177"/>
      <c r="T191" s="177"/>
      <c r="U191" s="177"/>
      <c r="V191" s="177"/>
      <c r="W191" s="76"/>
      <c r="X191" s="76"/>
      <c r="Y191" s="76"/>
      <c r="Z191" s="76"/>
    </row>
    <row r="192">
      <c r="A192" s="176">
        <v>101380.0</v>
      </c>
      <c r="B192" s="177" t="str">
        <f>VLOOKUP(A192,'FML March 2026'!E:F,2,false)</f>
        <v>SPRINKLES MULTI COLOR/RAINBOW</v>
      </c>
      <c r="C192" s="177" t="str">
        <f>VLOOKUP(A192,'Unit of Measure ship March 2026'!A:C,3,false)</f>
        <v>LBS</v>
      </c>
      <c r="D192" s="177"/>
      <c r="E192" s="176">
        <v>16490.0</v>
      </c>
      <c r="F192" s="177" t="str">
        <f>VLOOKUP(E192,'FML March 2026'!E:F,2,false)</f>
        <v>PEACH HALVES, LIGHT SYRUP</v>
      </c>
      <c r="G192" s="177" t="str">
        <f>VLOOKUP(E192,'Unit of Measure ship March 2026'!A:C,3,false)</f>
        <v>CAN/3KG</v>
      </c>
      <c r="H192" s="177"/>
      <c r="I192" s="176"/>
      <c r="J192" s="177"/>
      <c r="K192" s="177"/>
      <c r="L192" s="177"/>
      <c r="M192" s="176">
        <v>16439.0</v>
      </c>
      <c r="N192" s="177" t="str">
        <f>VLOOKUP(M192,'FML March 2026'!E:F,2,false)</f>
        <v>PAN SPRAY NON STICK (USA)</v>
      </c>
      <c r="O192" s="177" t="str">
        <f>VLOOKUP(M192,'Unit of Measure ship March 2026'!A:C,3,false)</f>
        <v>CAN/14OZ</v>
      </c>
      <c r="P192" s="177"/>
      <c r="Q192" s="177"/>
      <c r="R192" s="177"/>
      <c r="S192" s="177"/>
      <c r="T192" s="177"/>
      <c r="U192" s="177"/>
      <c r="V192" s="177"/>
      <c r="W192" s="76"/>
      <c r="X192" s="76"/>
      <c r="Y192" s="76"/>
      <c r="Z192" s="76"/>
    </row>
    <row r="193">
      <c r="A193" s="176">
        <v>15157.0</v>
      </c>
      <c r="B193" s="177" t="str">
        <f>VLOOKUP(A193,'FML March 2026'!E:F,2,false)</f>
        <v>STRAWBERRIES, WHOLE, IQF, FRZN</v>
      </c>
      <c r="C193" s="177" t="str">
        <f>VLOOKUP(A193,'Unit of Measure ship March 2026'!A:C,3,false)</f>
        <v>LBS</v>
      </c>
      <c r="D193" s="177"/>
      <c r="E193" s="176">
        <v>103696.0</v>
      </c>
      <c r="F193" s="177" t="str">
        <f>VLOOKUP(E193,'FML March 2026'!E:F,2,false)</f>
        <v>PEANUT BUTTER CREAMY 6/4LB (USA)</v>
      </c>
      <c r="G193" s="177" t="str">
        <f>VLOOKUP(E193,'Unit of Measure ship March 2026'!A:C,3,false)</f>
        <v>CN/4LBS</v>
      </c>
      <c r="H193" s="177"/>
      <c r="I193" s="176"/>
      <c r="J193" s="177"/>
      <c r="K193" s="177"/>
      <c r="L193" s="177"/>
      <c r="M193" s="176">
        <v>16269.0</v>
      </c>
      <c r="N193" s="177" t="str">
        <f>VLOOKUP(M193,'FML March 2026'!E:F,2,false)</f>
        <v>PAPRIKA SPANISH MUNOZ Y PUJANTE/ D`ALLESANDRO/ SPICECO</v>
      </c>
      <c r="O193" s="177" t="str">
        <f>VLOOKUP(M193,'Unit of Measure ship March 2026'!A:C,3,false)</f>
        <v>LBS</v>
      </c>
      <c r="P193" s="177"/>
      <c r="Q193" s="177"/>
      <c r="R193" s="177"/>
      <c r="S193" s="177"/>
      <c r="T193" s="177"/>
      <c r="U193" s="177"/>
      <c r="V193" s="177"/>
      <c r="W193" s="76"/>
      <c r="X193" s="76"/>
      <c r="Y193" s="76"/>
      <c r="Z193" s="76"/>
    </row>
    <row r="194">
      <c r="A194" s="176">
        <v>111110.0</v>
      </c>
      <c r="B194" s="177" t="str">
        <f>VLOOKUP(A194,'FML March 2026'!E:F,2,false)</f>
        <v>SUGAR  ORGANIC CANE  CS 6/4LB CHUNG JUNG ONE BRAND</v>
      </c>
      <c r="C194" s="177" t="str">
        <f>VLOOKUP(A194,'Unit of Measure ship March 2026'!A:C,3,false)</f>
        <v>LBS</v>
      </c>
      <c r="D194" s="177"/>
      <c r="E194" s="176">
        <v>112841.0</v>
      </c>
      <c r="F194" s="177" t="str">
        <f>VLOOKUP(E194,'FML March 2026'!E:F,2,false)</f>
        <v>PEANUT BUTTER CRUNCHY</v>
      </c>
      <c r="G194" s="177" t="str">
        <f>VLOOKUP(E194,'Unit of Measure ship March 2026'!A:C,3,false)</f>
        <v>LBS</v>
      </c>
      <c r="H194" s="177"/>
      <c r="I194" s="176"/>
      <c r="J194" s="177"/>
      <c r="K194" s="177"/>
      <c r="L194" s="177"/>
      <c r="M194" s="176">
        <v>14993.0</v>
      </c>
      <c r="N194" s="177" t="str">
        <f>VLOOKUP(M194,'FML March 2026'!E:F,2,false)</f>
        <v>PARMESAN, GRATED</v>
      </c>
      <c r="O194" s="177" t="str">
        <f>VLOOKUP(M194,'Unit of Measure ship March 2026'!A:C,3,false)</f>
        <v>LBS</v>
      </c>
      <c r="P194" s="177"/>
      <c r="Q194" s="177"/>
      <c r="R194" s="177"/>
      <c r="S194" s="177"/>
      <c r="T194" s="177"/>
      <c r="U194" s="177"/>
      <c r="V194" s="177"/>
      <c r="W194" s="76"/>
      <c r="X194" s="76"/>
      <c r="Y194" s="76"/>
      <c r="Z194" s="76"/>
    </row>
    <row r="195">
      <c r="A195" s="176">
        <v>15646.0</v>
      </c>
      <c r="B195" s="177" t="str">
        <f>VLOOKUP(A195,'FML March 2026'!E:F,2,false)</f>
        <v>SUGAR BROWN DARK  24/1LB  DOMINO (404310) (USA)</v>
      </c>
      <c r="C195" s="177" t="str">
        <f>VLOOKUP(A195,'Unit of Measure ship March 2026'!A:C,3,false)</f>
        <v>LBS</v>
      </c>
      <c r="D195" s="177"/>
      <c r="E195" s="176">
        <v>16492.0</v>
      </c>
      <c r="F195" s="177" t="str">
        <f>VLOOKUP(E195,'FML March 2026'!E:F,2,false)</f>
        <v>PEAR HALVES, LIGHT SYRUP</v>
      </c>
      <c r="G195" s="177" t="str">
        <f>VLOOKUP(E195,'Unit of Measure ship March 2026'!A:C,3,false)</f>
        <v>CAN/3KG</v>
      </c>
      <c r="H195" s="177"/>
      <c r="I195" s="176"/>
      <c r="J195" s="177"/>
      <c r="K195" s="177"/>
      <c r="L195" s="177"/>
      <c r="M195" s="176">
        <v>15977.0</v>
      </c>
      <c r="N195" s="177" t="str">
        <f>VLOOKUP(M195,'FML March 2026'!E:F,2,false)</f>
        <v>PASTA PENNE (RIGATE)-BARILLA/DIVELLA</v>
      </c>
      <c r="O195" s="177" t="str">
        <f>VLOOKUP(M195,'Unit of Measure ship March 2026'!A:C,3,false)</f>
        <v>LBS</v>
      </c>
      <c r="P195" s="177"/>
      <c r="Q195" s="177"/>
      <c r="R195" s="177"/>
      <c r="S195" s="177"/>
      <c r="T195" s="177"/>
      <c r="U195" s="177"/>
      <c r="V195" s="177"/>
      <c r="W195" s="76"/>
      <c r="X195" s="76"/>
      <c r="Y195" s="76"/>
      <c r="Z195" s="76"/>
    </row>
    <row r="196">
      <c r="A196" s="176">
        <v>100872.0</v>
      </c>
      <c r="B196" s="177" t="str">
        <f>VLOOKUP(A196,'FML March 2026'!E:F,2,false)</f>
        <v>SUGAR BROWN LIGHT 24LB  DOMINO (404309)</v>
      </c>
      <c r="C196" s="177" t="str">
        <f>VLOOKUP(A196,'Unit of Measure ship March 2026'!A:C,3,false)</f>
        <v>LBS</v>
      </c>
      <c r="D196" s="177"/>
      <c r="E196" s="176">
        <v>15819.0</v>
      </c>
      <c r="F196" s="177" t="str">
        <f>VLOOKUP(E196,'FML March 2026'!E:F,2,false)</f>
        <v>PECANS, HALVES, FANCY, JUMBO, DRY, 1/30 LB</v>
      </c>
      <c r="G196" s="177" t="str">
        <f>VLOOKUP(E196,'Unit of Measure ship March 2026'!A:C,3,false)</f>
        <v>LBS</v>
      </c>
      <c r="H196" s="177"/>
      <c r="I196" s="176"/>
      <c r="J196" s="177"/>
      <c r="K196" s="177"/>
      <c r="L196" s="177"/>
      <c r="M196" s="176">
        <v>24911.0</v>
      </c>
      <c r="N196" s="177" t="str">
        <f>VLOOKUP(M196,'FML March 2026'!E:F,2,false)</f>
        <v>PASTA, ORZO,  BARILLA/DIVELLA</v>
      </c>
      <c r="O196" s="177" t="str">
        <f>VLOOKUP(M196,'Unit of Measure ship March 2026'!A:C,3,false)</f>
        <v>LBS</v>
      </c>
      <c r="P196" s="177"/>
      <c r="Q196" s="179"/>
      <c r="R196" s="177"/>
      <c r="S196" s="177"/>
      <c r="T196" s="177"/>
      <c r="U196" s="177"/>
      <c r="V196" s="177"/>
      <c r="W196" s="76"/>
      <c r="X196" s="76"/>
      <c r="Y196" s="76"/>
      <c r="Z196" s="76"/>
    </row>
    <row r="197">
      <c r="A197" s="176">
        <v>17361.0</v>
      </c>
      <c r="B197" s="177" t="str">
        <f>VLOOKUP(A197,'FML March 2026'!E:F,2,false)</f>
        <v>SUGAR CRYSTALS ISOMALT 55LB</v>
      </c>
      <c r="C197" s="177" t="str">
        <f>VLOOKUP(A197,'Unit of Measure ship March 2026'!A:C,3,false)</f>
        <v>LBS</v>
      </c>
      <c r="D197" s="177"/>
      <c r="E197" s="176">
        <v>110941.0</v>
      </c>
      <c r="F197" s="177" t="str">
        <f>VLOOKUP(E197,'FML March 2026'!E:F,2,false)</f>
        <v>PECTIN APPLE CS6/1 LB CUISINE TECH</v>
      </c>
      <c r="G197" s="177" t="str">
        <f>VLOOKUP(E197,'Unit of Measure ship March 2026'!A:C,3,false)</f>
        <v>LBS</v>
      </c>
      <c r="H197" s="177"/>
      <c r="I197" s="176"/>
      <c r="J197" s="177"/>
      <c r="K197" s="177"/>
      <c r="L197" s="177"/>
      <c r="M197" s="176">
        <v>15808.0</v>
      </c>
      <c r="N197" s="177" t="str">
        <f>VLOOKUP(M197,'FML March 2026'!E:F,2,false)</f>
        <v>PASTE ALMOND 33% MINIMUM</v>
      </c>
      <c r="O197" s="177" t="str">
        <f>VLOOKUP(M197,'Unit of Measure ship March 2026'!A:C,3,false)</f>
        <v>LBS</v>
      </c>
      <c r="P197" s="177"/>
      <c r="Q197" s="179"/>
      <c r="R197" s="177"/>
      <c r="S197" s="177"/>
      <c r="T197" s="177"/>
      <c r="U197" s="177"/>
      <c r="V197" s="177"/>
      <c r="W197" s="76"/>
      <c r="X197" s="76"/>
      <c r="Y197" s="76"/>
      <c r="Z197" s="76"/>
    </row>
    <row r="198">
      <c r="A198" s="176">
        <v>109843.0</v>
      </c>
      <c r="B198" s="177" t="str">
        <f>VLOOKUP(A198,'FML March 2026'!E:F,2,false)</f>
        <v>SUGAR IN THE RAW  CS12/2 LB</v>
      </c>
      <c r="C198" s="177" t="str">
        <f>VLOOKUP(A198,'Unit of Measure ship March 2026'!A:C,3,false)</f>
        <v>KG</v>
      </c>
      <c r="D198" s="177"/>
      <c r="E198" s="176">
        <v>101193.0</v>
      </c>
      <c r="F198" s="177" t="str">
        <f>VLOOKUP(E198,'FML March 2026'!E:F,2,false)</f>
        <v>PECTINE 325 NH 95  1KG FRANCOIS L.,</v>
      </c>
      <c r="G198" s="177" t="str">
        <f>VLOOKUP(E198,'Unit of Measure ship March 2026'!A:C,3,false)</f>
        <v>KG</v>
      </c>
      <c r="H198" s="177"/>
      <c r="I198" s="176"/>
      <c r="J198" s="177"/>
      <c r="K198" s="177"/>
      <c r="L198" s="177"/>
      <c r="M198" s="176">
        <v>15726.0</v>
      </c>
      <c r="N198" s="177" t="str">
        <f>VLOOKUP(M198,'FML March 2026'!E:F,2,false)</f>
        <v>PASTE PISTACHIO PATISFRANCE/CALLEBAUT</v>
      </c>
      <c r="O198" s="177" t="str">
        <f>VLOOKUP(M198,'Unit of Measure ship March 2026'!A:C,3,false)</f>
        <v>LBS</v>
      </c>
      <c r="P198" s="177"/>
      <c r="Q198" s="177"/>
      <c r="R198" s="177"/>
      <c r="S198" s="177"/>
      <c r="T198" s="177"/>
      <c r="U198" s="177"/>
      <c r="V198" s="177"/>
      <c r="W198" s="76"/>
      <c r="X198" s="76"/>
      <c r="Y198" s="76"/>
      <c r="Z198" s="76"/>
    </row>
    <row r="199">
      <c r="A199" s="176">
        <v>49593.0</v>
      </c>
      <c r="B199" s="177" t="str">
        <f>VLOOKUP(A199,'FML March 2026'!E:F,2,false)</f>
        <v>SUGAR INVERTED TRIMOLINE</v>
      </c>
      <c r="C199" s="177" t="str">
        <f>VLOOKUP(A199,'Unit of Measure ship March 2026'!A:C,3,false)</f>
        <v>LBS</v>
      </c>
      <c r="D199" s="177"/>
      <c r="E199" s="176">
        <v>16302.0</v>
      </c>
      <c r="F199" s="177" t="str">
        <f>VLOOKUP(E199,'FML March 2026'!E:F,2,false)</f>
        <v>PEPPER CAYENNE GROUND BADIA (USA )</v>
      </c>
      <c r="G199" s="177" t="str">
        <f>VLOOKUP(E199,'Unit of Measure ship March 2026'!A:C,3,false)</f>
        <v>LBS</v>
      </c>
      <c r="H199" s="177"/>
      <c r="I199" s="176"/>
      <c r="J199" s="177"/>
      <c r="K199" s="177"/>
      <c r="L199" s="177"/>
      <c r="M199" s="176">
        <v>51211.0</v>
      </c>
      <c r="N199" s="177" t="str">
        <f>VLOOKUP(M199,'FML March 2026'!E:F,2,false)</f>
        <v>PASTE VANILLA FLAVOR 35 OZ PASTRY STAR #00057</v>
      </c>
      <c r="O199" s="177" t="str">
        <f>VLOOKUP(M199,'Unit of Measure ship March 2026'!A:C,3,false)</f>
        <v>BTL/35OZ</v>
      </c>
      <c r="P199" s="177"/>
      <c r="Q199" s="177"/>
      <c r="R199" s="177"/>
      <c r="S199" s="177"/>
      <c r="T199" s="177"/>
      <c r="U199" s="177"/>
      <c r="V199" s="177"/>
      <c r="W199" s="76"/>
      <c r="X199" s="76"/>
      <c r="Y199" s="76"/>
      <c r="Z199" s="76"/>
    </row>
    <row r="200">
      <c r="A200" s="176">
        <v>111178.0</v>
      </c>
      <c r="B200" s="177" t="str">
        <f>VLOOKUP(A200,'FML March 2026'!E:F,2,false)</f>
        <v>SUGAR LIGHT BROWN CS6/24 OZ WHOLESOME</v>
      </c>
      <c r="C200" s="177" t="str">
        <f>VLOOKUP(A200,'Unit of Measure ship March 2026'!A:C,3,false)</f>
        <v>LBS</v>
      </c>
      <c r="D200" s="177"/>
      <c r="E200" s="176">
        <v>111696.0</v>
      </c>
      <c r="F200" s="177" t="str">
        <f>VLOOKUP(E200,'FML March 2026'!E:F,2,false)</f>
        <v>PEPPER CHILI DRIED MORITA  PKG1/LB WOODLAND FARMS</v>
      </c>
      <c r="G200" s="177" t="str">
        <f>VLOOKUP(E200,'Unit of Measure ship March 2026'!A:C,3,false)</f>
        <v>LBS</v>
      </c>
      <c r="H200" s="177"/>
      <c r="I200" s="176"/>
      <c r="J200" s="177"/>
      <c r="K200" s="177"/>
      <c r="L200" s="177"/>
      <c r="M200" s="176">
        <v>15810.0</v>
      </c>
      <c r="N200" s="177" t="str">
        <f>VLOOKUP(M200,'FML March 2026'!E:F,2,false)</f>
        <v>PASTE, HAZELNUT PRALINE  PASTE (FILBERT PASTE)</v>
      </c>
      <c r="O200" s="177" t="str">
        <f>VLOOKUP(M200,'Unit of Measure ship March 2026'!A:C,3,false)</f>
        <v>KG</v>
      </c>
      <c r="P200" s="177"/>
      <c r="Q200" s="177"/>
      <c r="R200" s="177"/>
      <c r="S200" s="177"/>
      <c r="T200" s="177"/>
      <c r="U200" s="177"/>
      <c r="V200" s="177"/>
      <c r="W200" s="76"/>
      <c r="X200" s="76"/>
      <c r="Y200" s="76"/>
      <c r="Z200" s="76"/>
    </row>
    <row r="201">
      <c r="A201" s="176">
        <v>108818.0</v>
      </c>
      <c r="B201" s="177" t="str">
        <f>VLOOKUP(A201,'FML March 2026'!E:F,2,false)</f>
        <v>SUGAR PEARL</v>
      </c>
      <c r="C201" s="177" t="str">
        <f>VLOOKUP(A201,'Unit of Measure ship March 2026'!A:C,3,false)</f>
        <v>LBS</v>
      </c>
      <c r="D201" s="177"/>
      <c r="E201" s="176">
        <v>16422.0</v>
      </c>
      <c r="F201" s="177" t="str">
        <f>VLOOKUP(E201,'FML March 2026'!E:F,2,false)</f>
        <v>PINE NUTS WHOLE</v>
      </c>
      <c r="G201" s="177" t="str">
        <f>VLOOKUP(E201,'Unit of Measure ship March 2026'!A:C,3,false)</f>
        <v>LBS</v>
      </c>
      <c r="H201" s="177"/>
      <c r="I201" s="176"/>
      <c r="J201" s="177"/>
      <c r="K201" s="177"/>
      <c r="L201" s="177"/>
      <c r="M201" s="182">
        <v>15810.0</v>
      </c>
      <c r="N201" s="177" t="str">
        <f>VLOOKUP(M201,'FML March 2026'!E:F,2,false)</f>
        <v>PASTE, HAZELNUT PRALINE  PASTE (FILBERT PASTE)</v>
      </c>
      <c r="O201" s="177" t="str">
        <f>VLOOKUP(M201,'Unit of Measure ship March 2026'!A:C,3,false)</f>
        <v>KG</v>
      </c>
      <c r="P201" s="177"/>
      <c r="Q201" s="177"/>
      <c r="R201" s="177"/>
      <c r="S201" s="177"/>
      <c r="T201" s="177"/>
      <c r="U201" s="177"/>
      <c r="V201" s="177"/>
      <c r="W201" s="76"/>
      <c r="X201" s="76"/>
      <c r="Y201" s="76"/>
      <c r="Z201" s="76"/>
    </row>
    <row r="202">
      <c r="A202" s="176">
        <v>111152.0</v>
      </c>
      <c r="B202" s="177" t="str">
        <f>VLOOKUP(A202,'FML March 2026'!E:F,2,false)</f>
        <v>SUGAR SANDING BLUE CS4/8LB SPRINKLE KING</v>
      </c>
      <c r="C202" s="177" t="str">
        <f>VLOOKUP(A202,'Unit of Measure ship March 2026'!A:C,3,false)</f>
        <v>LBS</v>
      </c>
      <c r="D202" s="177"/>
      <c r="E202" s="176">
        <v>110046.0</v>
      </c>
      <c r="F202" s="177" t="str">
        <f>VLOOKUP(E202,'FML March 2026'!E:F,2,false)</f>
        <v>PINEAPPLE CHUNK FROZEN  CS2/5LB DOLE</v>
      </c>
      <c r="G202" s="177" t="str">
        <f>VLOOKUP(E202,'Unit of Measure ship March 2026'!A:C,3,false)</f>
        <v>LBS</v>
      </c>
      <c r="H202" s="177"/>
      <c r="I202" s="176"/>
      <c r="J202" s="177"/>
      <c r="K202" s="177"/>
      <c r="L202" s="177"/>
      <c r="M202" s="176">
        <v>113927.0</v>
      </c>
      <c r="N202" s="177" t="str">
        <f>VLOOKUP(M202,'FML March 2026'!E:F,2,false)</f>
        <v>PATE A GLACER IVOIRE  COCOA BARRY</v>
      </c>
      <c r="O202" s="177" t="str">
        <f>VLOOKUP(M202,'Unit of Measure ship March 2026'!A:C,3,false)</f>
        <v>LBS</v>
      </c>
      <c r="P202" s="177"/>
      <c r="Q202" s="177"/>
      <c r="R202" s="177"/>
      <c r="S202" s="177"/>
      <c r="T202" s="177"/>
      <c r="U202" s="177"/>
      <c r="V202" s="177"/>
      <c r="W202" s="76"/>
      <c r="X202" s="76"/>
      <c r="Y202" s="76"/>
      <c r="Z202" s="76"/>
    </row>
    <row r="203">
      <c r="A203" s="176">
        <v>111154.0</v>
      </c>
      <c r="B203" s="177" t="str">
        <f>VLOOKUP(A203,'FML March 2026'!E:F,2,false)</f>
        <v>SUGAR SANDING GREEN CS4/8LB SPRINKLE KING</v>
      </c>
      <c r="C203" s="177" t="str">
        <f>VLOOKUP(A203,'Unit of Measure ship March 2026'!A:C,3,false)</f>
        <v>LBS</v>
      </c>
      <c r="D203" s="177"/>
      <c r="E203" s="176">
        <v>16487.0</v>
      </c>
      <c r="F203" s="177" t="str">
        <f>VLOOKUP(E203,'FML March 2026'!E:F,2,false)</f>
        <v>PINEAPPLE, SLICED, IN JUICE</v>
      </c>
      <c r="G203" s="177" t="str">
        <f>VLOOKUP(E203,'Unit of Measure ship March 2026'!A:C,3,false)</f>
        <v>CN/6.5LB</v>
      </c>
      <c r="H203" s="177"/>
      <c r="I203" s="176"/>
      <c r="J203" s="177"/>
      <c r="K203" s="177"/>
      <c r="L203" s="177"/>
      <c r="M203" s="176">
        <v>16490.0</v>
      </c>
      <c r="N203" s="177" t="str">
        <f>VLOOKUP(M203,'FML March 2026'!E:F,2,false)</f>
        <v>PEACH HALVES, LIGHT SYRUP</v>
      </c>
      <c r="O203" s="177" t="str">
        <f>VLOOKUP(M203,'Unit of Measure ship March 2026'!A:C,3,false)</f>
        <v>CAN/3KG</v>
      </c>
      <c r="P203" s="177"/>
      <c r="Q203" s="177"/>
      <c r="R203" s="177"/>
      <c r="S203" s="177"/>
      <c r="T203" s="177"/>
      <c r="U203" s="177"/>
      <c r="V203" s="177"/>
      <c r="W203" s="76"/>
      <c r="X203" s="76"/>
      <c r="Y203" s="76"/>
      <c r="Z203" s="76"/>
    </row>
    <row r="204">
      <c r="A204" s="176">
        <v>111853.0</v>
      </c>
      <c r="B204" s="177" t="str">
        <f>VLOOKUP(A204,'FML March 2026'!E:F,2,false)</f>
        <v>SUGAR SANDING RED  PKG1/ LB CK PRODUCTS</v>
      </c>
      <c r="C204" s="177" t="str">
        <f>VLOOKUP(A204,'Unit of Measure ship March 2026'!A:C,3,false)</f>
        <v>LBS</v>
      </c>
      <c r="D204" s="177"/>
      <c r="E204" s="176">
        <v>109646.0</v>
      </c>
      <c r="F204" s="177" t="str">
        <f>VLOOKUP(E204,'FML March 2026'!E:F,2,false)</f>
        <v>PISTACHIOS, IRANIAN BAZZINI</v>
      </c>
      <c r="G204" s="177" t="str">
        <f>VLOOKUP(E204,'Unit of Measure ship March 2026'!A:C,3,false)</f>
        <v>KG</v>
      </c>
      <c r="H204" s="177"/>
      <c r="I204" s="176"/>
      <c r="J204" s="177"/>
      <c r="K204" s="177"/>
      <c r="L204" s="177"/>
      <c r="M204" s="176">
        <v>16492.0</v>
      </c>
      <c r="N204" s="177" t="str">
        <f>VLOOKUP(M204,'FML March 2026'!E:F,2,false)</f>
        <v>PEAR HALVES, LIGHT SYRUP</v>
      </c>
      <c r="O204" s="177" t="str">
        <f>VLOOKUP(M204,'Unit of Measure ship March 2026'!A:C,3,false)</f>
        <v>CAN/3KG</v>
      </c>
      <c r="P204" s="177"/>
      <c r="Q204" s="177"/>
      <c r="R204" s="177"/>
      <c r="S204" s="177"/>
      <c r="T204" s="177"/>
      <c r="U204" s="177"/>
      <c r="V204" s="177"/>
      <c r="W204" s="76"/>
      <c r="X204" s="76"/>
      <c r="Y204" s="76"/>
      <c r="Z204" s="76"/>
    </row>
    <row r="205">
      <c r="A205" s="176">
        <v>111854.0</v>
      </c>
      <c r="B205" s="177" t="str">
        <f>VLOOKUP(A205,'FML March 2026'!E:F,2,false)</f>
        <v>SUGAR SANDING YELLOW  PKG1/ LB CK PRODUCTS</v>
      </c>
      <c r="C205" s="177" t="str">
        <f>VLOOKUP(A205,'Unit of Measure ship March 2026'!A:C,3,false)</f>
        <v>LBS</v>
      </c>
      <c r="D205" s="177"/>
      <c r="E205" s="176">
        <v>51162.0</v>
      </c>
      <c r="F205" s="177" t="str">
        <f>VLOOKUP(E205,'FML March 2026'!E:F,2,false)</f>
        <v>POWDER, SUGAR SNOW, NEIGE DECOR, SUCRE NIEGE PASTISFR#6080</v>
      </c>
      <c r="G205" s="177" t="str">
        <f>VLOOKUP(E205,'Unit of Measure ship March 2026'!A:C,3,false)</f>
        <v>LBS</v>
      </c>
      <c r="H205" s="177"/>
      <c r="I205" s="176"/>
      <c r="J205" s="177"/>
      <c r="K205" s="177"/>
      <c r="L205" s="177"/>
      <c r="M205" s="176">
        <v>43805.0</v>
      </c>
      <c r="N205" s="177" t="str">
        <f>VLOOKUP(M205,'FML March 2026'!E:F,2,false)</f>
        <v>PEAS, GREEN, GRADE A, IQF, FZN, 1/10 KG</v>
      </c>
      <c r="O205" s="177" t="str">
        <f>VLOOKUP(M205,'Unit of Measure ship March 2026'!A:C,3,false)</f>
        <v>LBS</v>
      </c>
      <c r="P205" s="177"/>
      <c r="Q205" s="177"/>
      <c r="R205" s="177"/>
      <c r="S205" s="177"/>
      <c r="T205" s="177"/>
      <c r="U205" s="177"/>
      <c r="V205" s="177"/>
      <c r="W205" s="76"/>
      <c r="X205" s="76"/>
      <c r="Y205" s="76"/>
      <c r="Z205" s="76"/>
    </row>
    <row r="206">
      <c r="A206" s="176">
        <v>15642.0</v>
      </c>
      <c r="B206" s="177" t="str">
        <f>VLOOKUP(A206,'FML March 2026'!E:F,2,false)</f>
        <v>SUGAR, GRANULATED, ICUMSA 150, SUGARCANE, DRY, 1/50 LB</v>
      </c>
      <c r="C206" s="177" t="str">
        <f>VLOOKUP(A206,'Unit of Measure ship March 2026'!A:C,3,false)</f>
        <v>LBS</v>
      </c>
      <c r="D206" s="177"/>
      <c r="E206" s="176">
        <v>108323.0</v>
      </c>
      <c r="F206" s="177" t="str">
        <f>VLOOKUP(E206,'FML March 2026'!E:F,2,false)</f>
        <v>PREGEL GELATO BASE ALLEGRA # 82404 (ITALY)</v>
      </c>
      <c r="G206" s="177" t="str">
        <f>VLOOKUP(E206,'Unit of Measure ship March 2026'!A:C,3,false)</f>
        <v>KG</v>
      </c>
      <c r="H206" s="177"/>
      <c r="I206" s="176"/>
      <c r="J206" s="177"/>
      <c r="K206" s="177"/>
      <c r="L206" s="177"/>
      <c r="M206" s="176">
        <v>15819.0</v>
      </c>
      <c r="N206" s="177" t="str">
        <f>VLOOKUP(M206,'FML March 2026'!E:F,2,false)</f>
        <v>PECANS, HALVES, FANCY, JUMBO, DRY, 1/30 LB</v>
      </c>
      <c r="O206" s="177" t="str">
        <f>VLOOKUP(M206,'Unit of Measure ship March 2026'!A:C,3,false)</f>
        <v>LBS</v>
      </c>
      <c r="P206" s="177"/>
      <c r="Q206" s="177"/>
      <c r="R206" s="177"/>
      <c r="S206" s="177"/>
      <c r="T206" s="177"/>
      <c r="U206" s="177"/>
      <c r="V206" s="177"/>
      <c r="W206" s="76"/>
      <c r="X206" s="76"/>
      <c r="Y206" s="76"/>
      <c r="Z206" s="76"/>
    </row>
    <row r="207">
      <c r="A207" s="176">
        <v>15644.0</v>
      </c>
      <c r="B207" s="177" t="str">
        <f>VLOOKUP(A207,'FML March 2026'!E:F,2,false)</f>
        <v>SUGAR, POWDERED, W/ CORNSTARCH, DRY, 24/1 LB</v>
      </c>
      <c r="C207" s="177" t="str">
        <f>VLOOKUP(A207,'Unit of Measure ship March 2026'!A:C,3,false)</f>
        <v>LBS</v>
      </c>
      <c r="D207" s="177"/>
      <c r="E207" s="176">
        <v>112791.0</v>
      </c>
      <c r="F207" s="177" t="str">
        <f>VLOOKUP(E207,'FML March 2026'!E:F,2,false)</f>
        <v>PRETZEL MILK CHOCOLATE COVERED MICRO MINI  CS10/LBS  JR TOPPERS</v>
      </c>
      <c r="G207" s="177" t="str">
        <f>VLOOKUP(E207,'Unit of Measure ship March 2026'!A:C,3,false)</f>
        <v>LBS</v>
      </c>
      <c r="H207" s="177"/>
      <c r="I207" s="176"/>
      <c r="J207" s="177"/>
      <c r="K207" s="177"/>
      <c r="L207" s="177"/>
      <c r="M207" s="176">
        <v>110941.0</v>
      </c>
      <c r="N207" s="177" t="str">
        <f>VLOOKUP(M207,'FML March 2026'!E:F,2,false)</f>
        <v>PECTIN APPLE CS6/1 LB CUISINE TECH</v>
      </c>
      <c r="O207" s="177" t="str">
        <f>VLOOKUP(M207,'Unit of Measure ship March 2026'!A:C,3,false)</f>
        <v>LBS</v>
      </c>
      <c r="P207" s="177"/>
      <c r="Q207" s="177"/>
      <c r="R207" s="177"/>
      <c r="S207" s="177"/>
      <c r="T207" s="177"/>
      <c r="U207" s="177"/>
      <c r="V207" s="177"/>
      <c r="W207" s="76"/>
      <c r="X207" s="76"/>
      <c r="Y207" s="76"/>
      <c r="Z207" s="76"/>
    </row>
    <row r="208">
      <c r="A208" s="176">
        <v>15892.0</v>
      </c>
      <c r="B208" s="177" t="str">
        <f>VLOOKUP(A208,'FML March 2026'!E:F,2,false)</f>
        <v>SUNFLOWER SEEDS WHOLE SHELL-OFF RAW  HIALEAH (USA )</v>
      </c>
      <c r="C208" s="177" t="str">
        <f>VLOOKUP(A208,'Unit of Measure ship March 2026'!A:C,3,false)</f>
        <v>LBS</v>
      </c>
      <c r="D208" s="177"/>
      <c r="E208" s="176">
        <v>40107.0</v>
      </c>
      <c r="F208" s="177" t="str">
        <f>VLOOKUP(E208,'FML March 2026'!E:F,2,false)</f>
        <v>PRUNES PITTED DRIED</v>
      </c>
      <c r="G208" s="177" t="str">
        <f>VLOOKUP(E208,'Unit of Measure ship March 2026'!A:C,3,false)</f>
        <v>LBS</v>
      </c>
      <c r="H208" s="177"/>
      <c r="I208" s="176"/>
      <c r="J208" s="177"/>
      <c r="K208" s="177"/>
      <c r="L208" s="177"/>
      <c r="M208" s="176">
        <v>101193.0</v>
      </c>
      <c r="N208" s="177" t="str">
        <f>VLOOKUP(M208,'FML March 2026'!E:F,2,false)</f>
        <v>PECTINE 325 NH 95  1KG FRANCOIS L.,</v>
      </c>
      <c r="O208" s="177" t="str">
        <f>VLOOKUP(M208,'Unit of Measure ship March 2026'!A:C,3,false)</f>
        <v>KG</v>
      </c>
      <c r="P208" s="177"/>
      <c r="Q208" s="177"/>
      <c r="R208" s="177"/>
      <c r="S208" s="177"/>
      <c r="T208" s="177"/>
      <c r="U208" s="177"/>
      <c r="V208" s="177"/>
      <c r="W208" s="76"/>
      <c r="X208" s="76"/>
      <c r="Y208" s="76"/>
      <c r="Z208" s="76"/>
    </row>
    <row r="209">
      <c r="A209" s="176">
        <v>19508.0</v>
      </c>
      <c r="B209" s="177" t="str">
        <f>VLOOKUP(A209,'FML March 2026'!E:F,2,false)</f>
        <v>SYRUP CORN DARK KARO/ HARTLEYS CS 4/1 GAL (USA)</v>
      </c>
      <c r="C209" s="177" t="str">
        <f>VLOOKUP(A209,'Unit of Measure ship March 2026'!A:C,3,false)</f>
        <v>GAL</v>
      </c>
      <c r="D209" s="177"/>
      <c r="E209" s="176">
        <v>16186.0</v>
      </c>
      <c r="F209" s="177" t="str">
        <f>VLOOKUP(E209,'FML March 2026'!E:F,2,false)</f>
        <v>PRUNES W PIT IN SYRUP - MONTAVISTA 6#10 (USA)</v>
      </c>
      <c r="G209" s="177" t="str">
        <f>VLOOKUP(E209,'Unit of Measure ship March 2026'!A:C,3,false)</f>
        <v>CN/6.5LB</v>
      </c>
      <c r="H209" s="177"/>
      <c r="I209" s="176"/>
      <c r="J209" s="177"/>
      <c r="K209" s="177"/>
      <c r="L209" s="177"/>
      <c r="M209" s="176">
        <v>108553.0</v>
      </c>
      <c r="N209" s="177" t="str">
        <f>VLOOKUP(M209,'FML March 2026'!E:F,2,false)</f>
        <v>PEPPER ARBOL  D'ALLESANDRO CS/5LB</v>
      </c>
      <c r="O209" s="177" t="str">
        <f>VLOOKUP(M209,'Unit of Measure ship March 2026'!A:C,3,false)</f>
        <v>KG</v>
      </c>
      <c r="P209" s="177"/>
      <c r="Q209" s="177"/>
      <c r="R209" s="177"/>
      <c r="S209" s="177"/>
      <c r="T209" s="177"/>
      <c r="U209" s="177"/>
      <c r="V209" s="177"/>
      <c r="W209" s="76"/>
      <c r="X209" s="76"/>
      <c r="Y209" s="76"/>
      <c r="Z209" s="76"/>
    </row>
    <row r="210">
      <c r="A210" s="176">
        <v>29904.0</v>
      </c>
      <c r="B210" s="177" t="str">
        <f>VLOOKUP(A210,'FML March 2026'!E:F,2,false)</f>
        <v>SYRUP, MAPLE, 100% PURE, GRADE A, AMBER, DRY, 4/4 LT</v>
      </c>
      <c r="C210" s="177" t="str">
        <f>VLOOKUP(A210,'Unit of Measure ship March 2026'!A:C,3,false)</f>
        <v>BOX/4LTR</v>
      </c>
      <c r="D210" s="177"/>
      <c r="E210" s="176">
        <v>15029.0</v>
      </c>
      <c r="F210" s="177" t="str">
        <f>VLOOKUP(E210,'FML March 2026'!E:F,2,false)</f>
        <v>PUFF PASTRY, SLAB, FZN, 2/15 LB</v>
      </c>
      <c r="G210" s="177" t="str">
        <f>VLOOKUP(E210,'Unit of Measure ship March 2026'!A:C,3,false)</f>
        <v>LBS</v>
      </c>
      <c r="H210" s="177"/>
      <c r="I210" s="176"/>
      <c r="J210" s="177"/>
      <c r="K210" s="177"/>
      <c r="L210" s="177"/>
      <c r="M210" s="176">
        <v>33681.0</v>
      </c>
      <c r="N210" s="177" t="str">
        <f>VLOOKUP(M210,'FML March 2026'!E:F,2,false)</f>
        <v>PEPPER BLACK GROUND BADIA (USA )</v>
      </c>
      <c r="O210" s="177" t="str">
        <f>VLOOKUP(M210,'Unit of Measure ship March 2026'!A:C,3,false)</f>
        <v>LBS</v>
      </c>
      <c r="P210" s="177"/>
      <c r="Q210" s="177"/>
      <c r="R210" s="177"/>
      <c r="S210" s="177"/>
      <c r="T210" s="177"/>
      <c r="U210" s="177"/>
      <c r="V210" s="177"/>
      <c r="W210" s="76"/>
      <c r="X210" s="76"/>
      <c r="Y210" s="76"/>
      <c r="Z210" s="76"/>
    </row>
    <row r="211">
      <c r="A211" s="176">
        <v>111674.0</v>
      </c>
      <c r="B211" s="177" t="str">
        <f>VLOOKUP(A211,'FML March 2026'!E:F,2,false)</f>
        <v>TAFFY SALT WATER ASSORTED WRAPPED BAG5/LBS SHRIVERS</v>
      </c>
      <c r="C211" s="177" t="str">
        <f>VLOOKUP(A211,'Unit of Measure ship March 2026'!A:C,3,false)</f>
        <v>LBS</v>
      </c>
      <c r="D211" s="177"/>
      <c r="E211" s="176">
        <v>15897.0</v>
      </c>
      <c r="F211" s="177" t="str">
        <f>VLOOKUP(E211,'FML March 2026'!E:F,2,false)</f>
        <v>PUMPKIN SEEDS WHOLE SHELLED RAW 10 LB HIALEAH/ D`ALLESANDRO</v>
      </c>
      <c r="G211" s="177" t="str">
        <f>VLOOKUP(E211,'Unit of Measure ship March 2026'!A:C,3,false)</f>
        <v>LBS</v>
      </c>
      <c r="H211" s="177"/>
      <c r="I211" s="176"/>
      <c r="J211" s="177"/>
      <c r="K211" s="177"/>
      <c r="L211" s="177"/>
      <c r="M211" s="176">
        <v>16285.0</v>
      </c>
      <c r="N211" s="177" t="str">
        <f>VLOOKUP(M211,'FML March 2026'!E:F,2,false)</f>
        <v>PEPPERCORN, BLACK, WHOLE, DRY, 6/420 G</v>
      </c>
      <c r="O211" s="177" t="str">
        <f>VLOOKUP(M211,'Unit of Measure ship March 2026'!A:C,3,false)</f>
        <v>LBS</v>
      </c>
      <c r="P211" s="177"/>
      <c r="Q211" s="177"/>
      <c r="R211" s="177"/>
      <c r="S211" s="177"/>
      <c r="T211" s="177"/>
      <c r="U211" s="177"/>
      <c r="V211" s="177"/>
      <c r="W211" s="76"/>
      <c r="X211" s="76"/>
      <c r="Y211" s="76"/>
      <c r="Z211" s="76"/>
    </row>
    <row r="212">
      <c r="A212" s="176">
        <v>109621.0</v>
      </c>
      <c r="B212" s="177" t="str">
        <f>VLOOKUP(A212,'FML March 2026'!E:F,2,false)</f>
        <v>VERSAWHIP WHIPPING AGENT AMULAR</v>
      </c>
      <c r="C212" s="177" t="str">
        <f>VLOOKUP(A212,'Unit of Measure ship March 2026'!A:C,3,false)</f>
        <v>KG</v>
      </c>
      <c r="D212" s="177"/>
      <c r="E212" s="177">
        <v>146187.0</v>
      </c>
      <c r="F212" s="177" t="str">
        <f>VLOOKUP(E212,'FML March 2026'!E:F,2,false)</f>
        <v>PUREE APRICOT ,  BOIRON/SICOLY  FRZN 6/1 KG</v>
      </c>
      <c r="G212" s="177" t="str">
        <f>VLOOKUP(E212,'Unit of Measure ship March 2026'!A:C,3,false)</f>
        <v>KG</v>
      </c>
      <c r="H212" s="177"/>
      <c r="I212" s="176"/>
      <c r="J212" s="177"/>
      <c r="K212" s="177"/>
      <c r="L212" s="177"/>
      <c r="M212" s="176">
        <v>111122.0</v>
      </c>
      <c r="N212" s="177" t="str">
        <f>VLOOKUP(M212,'FML March 2026'!E:F,2,false)</f>
        <v>PEPPERS  CALABRIAN CHILIES IN OIL CS2/2KG BELARIA</v>
      </c>
      <c r="O212" s="177" t="str">
        <f>VLOOKUP(M212,'Unit of Measure ship March 2026'!A:C,3,false)</f>
        <v>LBS</v>
      </c>
      <c r="P212" s="177"/>
      <c r="Q212" s="177"/>
      <c r="R212" s="177"/>
      <c r="S212" s="177"/>
      <c r="T212" s="177"/>
      <c r="U212" s="177"/>
      <c r="V212" s="177"/>
      <c r="W212" s="76"/>
      <c r="X212" s="76"/>
      <c r="Y212" s="76"/>
      <c r="Z212" s="76"/>
    </row>
    <row r="213">
      <c r="A213" s="176">
        <v>16374.0</v>
      </c>
      <c r="B213" s="177" t="str">
        <f>VLOOKUP(A213,'FML March 2026'!E:F,2,false)</f>
        <v>VINEGAR, WHITE DISTILLED</v>
      </c>
      <c r="C213" s="177" t="str">
        <f>VLOOKUP(A213,'Unit of Measure ship March 2026'!A:C,3,false)</f>
        <v>BTL/5LT</v>
      </c>
      <c r="D213" s="177"/>
      <c r="E213" s="176">
        <v>111937.0</v>
      </c>
      <c r="F213" s="177" t="str">
        <f>VLOOKUP(E213,'FML March 2026'!E:F,2,false)</f>
        <v>PUREE BLACK CHERRY  BOIRON 6/1 KG, VV</v>
      </c>
      <c r="G213" s="177" t="str">
        <f>VLOOKUP(E213,'Unit of Measure ship March 2026'!A:C,3,false)</f>
        <v>KG</v>
      </c>
      <c r="H213" s="177"/>
      <c r="I213" s="176"/>
      <c r="J213" s="177"/>
      <c r="K213" s="177"/>
      <c r="L213" s="177"/>
      <c r="M213" s="176">
        <v>16384.0</v>
      </c>
      <c r="N213" s="177" t="str">
        <f>VLOOKUP(M213,'FML March 2026'!E:F,2,false)</f>
        <v>PEPPERS JALAPENO WHOLE 6/10 CASA DIVA/ GLOBAL (PERU)</v>
      </c>
      <c r="O213" s="177" t="str">
        <f>VLOOKUP(M213,'Unit of Measure ship March 2026'!A:C,3,false)</f>
        <v>CN/6.5LB</v>
      </c>
      <c r="P213" s="177"/>
      <c r="Q213" s="177"/>
      <c r="R213" s="177"/>
      <c r="S213" s="177"/>
      <c r="T213" s="177"/>
      <c r="U213" s="177"/>
      <c r="V213" s="177"/>
      <c r="W213" s="76"/>
      <c r="X213" s="76"/>
      <c r="Y213" s="76"/>
      <c r="Z213" s="76"/>
    </row>
    <row r="214">
      <c r="A214" s="176">
        <v>15802.0</v>
      </c>
      <c r="B214" s="177" t="str">
        <f>VLOOKUP(A214,'FML March 2026'!E:F,2,false)</f>
        <v>WALNUTS LARGE HALVES</v>
      </c>
      <c r="C214" s="177" t="str">
        <f>VLOOKUP(A214,'Unit of Measure ship March 2026'!A:C,3,false)</f>
        <v>LBS</v>
      </c>
      <c r="D214" s="177"/>
      <c r="E214" s="177">
        <v>108804.0</v>
      </c>
      <c r="F214" s="177" t="str">
        <f>VLOOKUP(E214,'FML March 2026'!E:F,2,false)</f>
        <v>PUREE BLACK CURRANT(CASSIS) ,  BOIRON/SICOLY  FRZN 6/1 KG</v>
      </c>
      <c r="G214" s="177" t="str">
        <f>VLOOKUP(E214,'Unit of Measure ship March 2026'!A:C,3,false)</f>
        <v>KG</v>
      </c>
      <c r="H214" s="177"/>
      <c r="I214" s="176"/>
      <c r="J214" s="177"/>
      <c r="K214" s="177"/>
      <c r="L214" s="177"/>
      <c r="M214" s="176">
        <v>15235.0</v>
      </c>
      <c r="N214" s="177" t="str">
        <f>VLOOKUP(M214,'FML March 2026'!E:F,2,false)</f>
        <v>PESTO SAUCE FROZEN  CASA DI LISIO  (PALLET 126) (USA)</v>
      </c>
      <c r="O214" s="177" t="str">
        <f>VLOOKUP(M214,'Unit of Measure ship March 2026'!A:C,3,false)</f>
        <v>LBS</v>
      </c>
      <c r="P214" s="177"/>
      <c r="Q214" s="177"/>
      <c r="R214" s="177"/>
      <c r="S214" s="177"/>
      <c r="T214" s="177"/>
      <c r="U214" s="177"/>
      <c r="V214" s="177"/>
      <c r="W214" s="76"/>
      <c r="X214" s="76"/>
      <c r="Y214" s="76"/>
      <c r="Z214" s="76"/>
    </row>
    <row r="215">
      <c r="A215" s="176">
        <v>15732.0</v>
      </c>
      <c r="B215" s="177" t="str">
        <f>VLOOKUP(A215,'FML March 2026'!E:F,2,false)</f>
        <v>WHEAT, BULGUR WHEAT CS6/2LB INHARVEST</v>
      </c>
      <c r="C215" s="177" t="str">
        <f>VLOOKUP(A215,'Unit of Measure ship March 2026'!A:C,3,false)</f>
        <v>LBS</v>
      </c>
      <c r="D215" s="177"/>
      <c r="E215" s="177">
        <v>108803.0</v>
      </c>
      <c r="F215" s="177" t="str">
        <f>VLOOKUP(E215,'FML March 2026'!E:F,2,false)</f>
        <v>PUREE COCUNUT, SUGAR ADDED, BOIRON/LAFRUTIERE/SICOLY   FRZN 6/1 KG</v>
      </c>
      <c r="G215" s="177" t="str">
        <f>VLOOKUP(E215,'Unit of Measure ship March 2026'!A:C,3,false)</f>
        <v>KG</v>
      </c>
      <c r="H215" s="177"/>
      <c r="I215" s="176"/>
      <c r="J215" s="177"/>
      <c r="K215" s="177"/>
      <c r="L215" s="177"/>
      <c r="M215" s="176">
        <v>53666.0</v>
      </c>
      <c r="N215" s="177" t="str">
        <f>VLOOKUP(M215,'FML March 2026'!E:F,2,false)</f>
        <v>PIQUILLO PIMIENTOS WHOLE ROASTED &amp; PEELED 6/#10</v>
      </c>
      <c r="O215" s="177" t="str">
        <f>VLOOKUP(M215,'Unit of Measure ship March 2026'!A:C,3,false)</f>
        <v>CAN/3KG</v>
      </c>
      <c r="P215" s="177"/>
      <c r="Q215" s="177"/>
      <c r="R215" s="177"/>
      <c r="S215" s="177"/>
      <c r="T215" s="177"/>
      <c r="U215" s="177"/>
      <c r="V215" s="177"/>
      <c r="W215" s="76"/>
      <c r="X215" s="76"/>
      <c r="Y215" s="76"/>
      <c r="Z215" s="76"/>
    </row>
    <row r="216">
      <c r="A216" s="176">
        <v>49450.0</v>
      </c>
      <c r="B216" s="177" t="str">
        <f>VLOOKUP(A216,'FML March 2026'!E:F,2,false)</f>
        <v>WHIPPING CREAM (35% TO 36%) UHT</v>
      </c>
      <c r="C216" s="177" t="str">
        <f>VLOOKUP(A216,'Unit of Measure ship March 2026'!A:C,3,false)</f>
        <v>QRT</v>
      </c>
      <c r="D216" s="177"/>
      <c r="E216" s="180">
        <v>27397.0</v>
      </c>
      <c r="F216" s="177" t="str">
        <f>VLOOKUP(E216,'FML March 2026'!E:F,2,false)</f>
        <v>PUREE FRUIT, BLACKBERRY, BOIRON/SICOLY, KG, FRZN</v>
      </c>
      <c r="G216" s="177" t="str">
        <f>VLOOKUP(E216,'Unit of Measure ship March 2026'!A:C,3,false)</f>
        <v>LBS</v>
      </c>
      <c r="H216" s="177"/>
      <c r="I216" s="176"/>
      <c r="J216" s="177"/>
      <c r="K216" s="177"/>
      <c r="L216" s="177"/>
      <c r="M216" s="176">
        <v>15894.0</v>
      </c>
      <c r="N216" s="177" t="str">
        <f>VLOOKUP(M216,'FML March 2026'!E:F,2,false)</f>
        <v>PISTACHIO NUTS WHOLE SHELLED RAW NUTLAND</v>
      </c>
      <c r="O216" s="177" t="str">
        <f>VLOOKUP(M216,'Unit of Measure ship March 2026'!A:C,3,false)</f>
        <v>LBS</v>
      </c>
      <c r="P216" s="177"/>
      <c r="Q216" s="177"/>
      <c r="R216" s="177"/>
      <c r="S216" s="177"/>
      <c r="T216" s="177"/>
      <c r="U216" s="177"/>
      <c r="V216" s="177"/>
      <c r="W216" s="76"/>
      <c r="X216" s="76"/>
      <c r="Y216" s="76"/>
      <c r="Z216" s="76"/>
    </row>
    <row r="217">
      <c r="A217" s="176">
        <v>102288.0</v>
      </c>
      <c r="B217" s="177" t="str">
        <f>VLOOKUP(A217,'FML March 2026'!E:F,2,false)</f>
        <v>XANTHAN GUM (AUSTRIA)</v>
      </c>
      <c r="C217" s="177" t="str">
        <f>VLOOKUP(A217,'Unit of Measure ship March 2026'!A:C,3,false)</f>
        <v>LBS</v>
      </c>
      <c r="D217" s="177"/>
      <c r="E217" s="177">
        <v>114311.0</v>
      </c>
      <c r="F217" s="177" t="str">
        <f>VLOOKUP(E217,'FML March 2026'!E:F,2,false)</f>
        <v>PUREE GUAVA ,  BOIRON/SICOLY  FRZN 6/1 KG</v>
      </c>
      <c r="G217" s="177" t="str">
        <f>VLOOKUP(E217,'Unit of Measure ship March 2026'!A:C,3,false)</f>
        <v>KG</v>
      </c>
      <c r="H217" s="177"/>
      <c r="I217" s="176"/>
      <c r="J217" s="177"/>
      <c r="K217" s="177"/>
      <c r="L217" s="177"/>
      <c r="M217" s="176">
        <v>16245.0</v>
      </c>
      <c r="N217" s="177" t="str">
        <f>VLOOKUP(M217,'FML March 2026'!E:F,2,false)</f>
        <v>POLENTA MEDIUM</v>
      </c>
      <c r="O217" s="177" t="str">
        <f>VLOOKUP(M217,'Unit of Measure ship March 2026'!A:C,3,false)</f>
        <v>LBS</v>
      </c>
      <c r="P217" s="177"/>
      <c r="Q217" s="177"/>
      <c r="R217" s="177"/>
      <c r="S217" s="177"/>
      <c r="T217" s="177"/>
      <c r="U217" s="177"/>
      <c r="V217" s="177"/>
      <c r="W217" s="76"/>
      <c r="X217" s="76"/>
      <c r="Y217" s="76"/>
      <c r="Z217" s="76"/>
    </row>
    <row r="218">
      <c r="A218" s="176">
        <v>109846.0</v>
      </c>
      <c r="B218" s="177" t="str">
        <f>VLOOKUP(A218,'FML March 2026'!E:F,2,false)</f>
        <v>YOGURT GREEK BULK</v>
      </c>
      <c r="C218" s="177" t="str">
        <f>VLOOKUP(A218,'Unit of Measure ship March 2026'!A:C,3,false)</f>
        <v>LBS</v>
      </c>
      <c r="D218" s="177"/>
      <c r="E218" s="177">
        <v>141638.0</v>
      </c>
      <c r="F218" s="177" t="str">
        <f>VLOOKUP(E218,'FML March 2026'!E:F,2,false)</f>
        <v>PUREE MANGO, BOIRON/LAFRUTIERE/SICOLY   FRZN 6/1 KG</v>
      </c>
      <c r="G218" s="177" t="str">
        <f>VLOOKUP(E218,'Unit of Measure ship March 2026'!A:C,3,false)</f>
        <v>KG</v>
      </c>
      <c r="H218" s="177"/>
      <c r="I218" s="176"/>
      <c r="J218" s="177"/>
      <c r="K218" s="177"/>
      <c r="L218" s="177"/>
      <c r="M218" s="176">
        <v>111132.0</v>
      </c>
      <c r="N218" s="177" t="str">
        <f>VLOOKUP(M218,'FML March 2026'!E:F,2,false)</f>
        <v>POTATO FLAKES BAG 25/LBS BOBS RED MILL</v>
      </c>
      <c r="O218" s="177" t="str">
        <f>VLOOKUP(M218,'Unit of Measure ship March 2026'!A:C,3,false)</f>
        <v>LBS</v>
      </c>
      <c r="P218" s="177"/>
      <c r="Q218" s="177"/>
      <c r="R218" s="177"/>
      <c r="S218" s="177"/>
      <c r="T218" s="177"/>
      <c r="U218" s="177"/>
      <c r="V218" s="177"/>
      <c r="W218" s="76"/>
      <c r="X218" s="76"/>
      <c r="Y218" s="76"/>
      <c r="Z218" s="76"/>
    </row>
    <row r="219">
      <c r="A219" s="176">
        <v>14906.0</v>
      </c>
      <c r="B219" s="177" t="str">
        <f>VLOOKUP(A219,'FML March 2026'!E:F,2,false)</f>
        <v>YOGURT PLAIN BULK, UNSWEETENED,</v>
      </c>
      <c r="C219" s="177" t="str">
        <f>VLOOKUP(A219,'Unit of Measure ship March 2026'!A:C,3,false)</f>
        <v>LBS</v>
      </c>
      <c r="D219" s="177"/>
      <c r="E219" s="177">
        <v>45163.0</v>
      </c>
      <c r="F219" s="177" t="str">
        <f>VLOOKUP(E219,'FML March 2026'!E:F,2,false)</f>
        <v>PUREE PASSION FRUIT ,  BOIRON/SICOLY  FRZN 6/1 KG</v>
      </c>
      <c r="G219" s="177" t="str">
        <f>VLOOKUP(E219,'Unit of Measure ship March 2026'!A:C,3,false)</f>
        <v>KG</v>
      </c>
      <c r="H219" s="177"/>
      <c r="I219" s="176"/>
      <c r="J219" s="177"/>
      <c r="K219" s="177"/>
      <c r="L219" s="177"/>
      <c r="M219" s="176">
        <v>51162.0</v>
      </c>
      <c r="N219" s="177" t="str">
        <f>VLOOKUP(M219,'FML March 2026'!E:F,2,false)</f>
        <v>POWDER, SUGAR SNOW, NEIGE DECOR, SUCRE NIEGE PASTISFR#6080</v>
      </c>
      <c r="O219" s="177" t="str">
        <f>VLOOKUP(M219,'Unit of Measure ship March 2026'!A:C,3,false)</f>
        <v>LBS</v>
      </c>
      <c r="P219" s="177"/>
      <c r="Q219" s="177"/>
      <c r="R219" s="177"/>
      <c r="S219" s="177"/>
      <c r="T219" s="177"/>
      <c r="U219" s="177"/>
      <c r="V219" s="177"/>
      <c r="W219" s="76"/>
      <c r="X219" s="76"/>
      <c r="Y219" s="76"/>
      <c r="Z219" s="76"/>
    </row>
    <row r="220">
      <c r="A220" s="176"/>
      <c r="B220" s="177"/>
      <c r="C220" s="177"/>
      <c r="D220" s="177"/>
      <c r="E220" s="177">
        <v>141639.0</v>
      </c>
      <c r="F220" s="177" t="str">
        <f>VLOOKUP(E220,'FML March 2026'!E:F,2,false)</f>
        <v>PUREE RASPBERRY , SUGAR ADDED, BOIRON/LAFRUTIERE/SICOLY    FRZN 6/1 KG</v>
      </c>
      <c r="G220" s="177" t="str">
        <f>VLOOKUP(E220,'Unit of Measure ship March 2026'!A:C,3,false)</f>
        <v>KG</v>
      </c>
      <c r="H220" s="177"/>
      <c r="I220" s="176"/>
      <c r="J220" s="177"/>
      <c r="K220" s="177"/>
      <c r="L220" s="177"/>
      <c r="M220" s="177">
        <v>101442.0</v>
      </c>
      <c r="N220" s="177" t="str">
        <f>VLOOKUP(M220,'FML March 2026'!E:F,2,false)</f>
        <v>PROSCIUTTO DI SAN DANIELE LEVONI BONELESS 16 MONTH  RESERVE CS/16 LBS</v>
      </c>
      <c r="O220" s="177" t="str">
        <f>VLOOKUP(M220,'Unit of Measure ship March 2026'!A:C,3,false)</f>
        <v>LBS</v>
      </c>
      <c r="P220" s="177"/>
      <c r="Q220" s="177"/>
      <c r="R220" s="177"/>
      <c r="S220" s="177"/>
      <c r="T220" s="177"/>
      <c r="U220" s="177"/>
      <c r="V220" s="177"/>
      <c r="W220" s="76"/>
      <c r="X220" s="76"/>
      <c r="Y220" s="76"/>
      <c r="Z220" s="76"/>
    </row>
    <row r="221">
      <c r="A221" s="176"/>
      <c r="B221" s="177"/>
      <c r="C221" s="177"/>
      <c r="D221" s="177"/>
      <c r="E221" s="177">
        <v>141640.0</v>
      </c>
      <c r="F221" s="177" t="str">
        <f>VLOOKUP(E221,'FML March 2026'!E:F,2,false)</f>
        <v>PUREE STRAWBERRY, SUGAR ADDED,   BOIRON/LAFRUTIERE/SICOLY   FRZN 6/1 KG</v>
      </c>
      <c r="G221" s="177" t="str">
        <f>VLOOKUP(E221,'Unit of Measure ship March 2026'!A:C,3,false)</f>
        <v>KG</v>
      </c>
      <c r="H221" s="177"/>
      <c r="I221" s="176"/>
      <c r="J221" s="177"/>
      <c r="K221" s="177"/>
      <c r="L221" s="177"/>
      <c r="M221" s="176">
        <v>15029.0</v>
      </c>
      <c r="N221" s="177" t="str">
        <f>VLOOKUP(M221,'FML March 2026'!E:F,2,false)</f>
        <v>PUFF PASTRY, SLAB, FZN, 2/15 LB</v>
      </c>
      <c r="O221" s="177" t="str">
        <f>VLOOKUP(M221,'Unit of Measure ship March 2026'!A:C,3,false)</f>
        <v>LBS</v>
      </c>
      <c r="P221" s="177"/>
      <c r="Q221" s="177"/>
      <c r="R221" s="177"/>
      <c r="S221" s="177"/>
      <c r="T221" s="177"/>
      <c r="U221" s="177"/>
      <c r="V221" s="177"/>
      <c r="W221" s="76"/>
      <c r="X221" s="76"/>
      <c r="Y221" s="76"/>
      <c r="Z221" s="76"/>
    </row>
    <row r="222">
      <c r="A222" s="176"/>
      <c r="B222" s="177"/>
      <c r="C222" s="177"/>
      <c r="D222" s="177"/>
      <c r="E222" s="177">
        <v>111998.0</v>
      </c>
      <c r="F222" s="177" t="str">
        <f>VLOOKUP(E222,'FML March 2026'!E:F,2,false)</f>
        <v>PUREE TAMARIND CS6/30 OZ PERFECT PUREE</v>
      </c>
      <c r="G222" s="177" t="str">
        <f>VLOOKUP(E222,'Unit of Measure ship March 2026'!A:C,3,false)</f>
        <v>LBS</v>
      </c>
      <c r="H222" s="177"/>
      <c r="I222" s="176"/>
      <c r="J222" s="177"/>
      <c r="K222" s="177"/>
      <c r="L222" s="177"/>
      <c r="M222" s="176">
        <v>15897.0</v>
      </c>
      <c r="N222" s="177" t="str">
        <f>VLOOKUP(M222,'FML March 2026'!E:F,2,false)</f>
        <v>PUMPKIN SEEDS WHOLE SHELLED RAW 10 LB HIALEAH/ D`ALLESANDRO</v>
      </c>
      <c r="O222" s="177" t="str">
        <f>VLOOKUP(M222,'Unit of Measure ship March 2026'!A:C,3,false)</f>
        <v>LBS</v>
      </c>
      <c r="P222" s="177"/>
      <c r="Q222" s="177"/>
      <c r="R222" s="177"/>
      <c r="S222" s="177"/>
      <c r="T222" s="177"/>
      <c r="U222" s="177"/>
      <c r="V222" s="177"/>
      <c r="W222" s="76"/>
      <c r="X222" s="76"/>
      <c r="Y222" s="76"/>
      <c r="Z222" s="76"/>
    </row>
    <row r="223">
      <c r="A223" s="176"/>
      <c r="B223" s="177"/>
      <c r="C223" s="177"/>
      <c r="D223" s="177"/>
      <c r="E223" s="176">
        <v>111998.0</v>
      </c>
      <c r="F223" s="177" t="str">
        <f>VLOOKUP(E223,'FML March 2026'!E:F,2,false)</f>
        <v>PUREE TAMARIND CS6/30 OZ PERFECT PUREE</v>
      </c>
      <c r="G223" s="177" t="str">
        <f>VLOOKUP(E223,'Unit of Measure ship March 2026'!A:C,3,false)</f>
        <v>LBS</v>
      </c>
      <c r="H223" s="177"/>
      <c r="I223" s="176"/>
      <c r="J223" s="177"/>
      <c r="K223" s="177"/>
      <c r="L223" s="177"/>
      <c r="M223" s="176">
        <v>111937.0</v>
      </c>
      <c r="N223" s="177" t="str">
        <f>VLOOKUP(M223,'FML March 2026'!E:F,2,false)</f>
        <v>PUREE BLACK CHERRY  BOIRON 6/1 KG, VV</v>
      </c>
      <c r="O223" s="177" t="str">
        <f>VLOOKUP(M223,'Unit of Measure ship March 2026'!A:C,3,false)</f>
        <v>KG</v>
      </c>
      <c r="P223" s="177"/>
      <c r="Q223" s="177"/>
      <c r="R223" s="177"/>
      <c r="S223" s="177"/>
      <c r="T223" s="177"/>
      <c r="U223" s="177"/>
      <c r="V223" s="177"/>
      <c r="W223" s="76"/>
      <c r="X223" s="76"/>
      <c r="Y223" s="76"/>
      <c r="Z223" s="76"/>
    </row>
    <row r="224">
      <c r="A224" s="176"/>
      <c r="B224" s="177"/>
      <c r="C224" s="177"/>
      <c r="D224" s="177"/>
      <c r="E224" s="176">
        <v>109622.0</v>
      </c>
      <c r="F224" s="177" t="str">
        <f>VLOOKUP(E224,'FML March 2026'!E:F,2,false)</f>
        <v>RAINBOW NON-PAREIL SPRINKLES MAVALARIO</v>
      </c>
      <c r="G224" s="177" t="str">
        <f>VLOOKUP(E224,'Unit of Measure ship March 2026'!A:C,3,false)</f>
        <v>KG</v>
      </c>
      <c r="H224" s="177"/>
      <c r="I224" s="176"/>
      <c r="J224" s="177"/>
      <c r="K224" s="177"/>
      <c r="L224" s="177"/>
      <c r="M224" s="177">
        <v>108803.0</v>
      </c>
      <c r="N224" s="177" t="str">
        <f>VLOOKUP(M224,'FML March 2026'!E:F,2,false)</f>
        <v>PUREE COCUNUT, SUGAR ADDED, BOIRON/LAFRUTIERE/SICOLY   FRZN 6/1 KG</v>
      </c>
      <c r="O224" s="177" t="str">
        <f>VLOOKUP(M224,'Unit of Measure ship March 2026'!A:C,3,false)</f>
        <v>KG</v>
      </c>
      <c r="P224" s="177"/>
      <c r="Q224" s="177"/>
      <c r="R224" s="177"/>
      <c r="S224" s="177"/>
      <c r="T224" s="177"/>
      <c r="U224" s="177"/>
      <c r="V224" s="177"/>
      <c r="W224" s="76"/>
      <c r="X224" s="76"/>
      <c r="Y224" s="76"/>
      <c r="Z224" s="76"/>
    </row>
    <row r="225">
      <c r="A225" s="176"/>
      <c r="B225" s="177"/>
      <c r="C225" s="177"/>
      <c r="D225" s="177"/>
      <c r="E225" s="176">
        <v>15805.0</v>
      </c>
      <c r="F225" s="177" t="str">
        <f>VLOOKUP(E225,'FML March 2026'!E:F,2,false)</f>
        <v>RAISINS GOLDEN SEEDLESS</v>
      </c>
      <c r="G225" s="177" t="str">
        <f>VLOOKUP(E225,'Unit of Measure ship March 2026'!A:C,3,false)</f>
        <v>LBS</v>
      </c>
      <c r="H225" s="177"/>
      <c r="I225" s="176"/>
      <c r="J225" s="177"/>
      <c r="K225" s="177"/>
      <c r="L225" s="177"/>
      <c r="M225" s="177">
        <v>141638.0</v>
      </c>
      <c r="N225" s="177" t="str">
        <f>VLOOKUP(M225,'FML March 2026'!E:F,2,false)</f>
        <v>PUREE MANGO, BOIRON/LAFRUTIERE/SICOLY   FRZN 6/1 KG</v>
      </c>
      <c r="O225" s="177" t="str">
        <f>VLOOKUP(M225,'Unit of Measure ship March 2026'!A:C,3,false)</f>
        <v>KG</v>
      </c>
      <c r="P225" s="177"/>
      <c r="Q225" s="177"/>
      <c r="R225" s="177"/>
      <c r="S225" s="177"/>
      <c r="T225" s="177"/>
      <c r="U225" s="177"/>
      <c r="V225" s="177"/>
      <c r="W225" s="76"/>
      <c r="X225" s="76"/>
      <c r="Y225" s="76"/>
      <c r="Z225" s="76"/>
    </row>
    <row r="226">
      <c r="A226" s="176"/>
      <c r="B226" s="177"/>
      <c r="C226" s="177"/>
      <c r="D226" s="177"/>
      <c r="E226" s="176">
        <v>15804.0</v>
      </c>
      <c r="F226" s="177" t="str">
        <f>VLOOKUP(E226,'FML March 2026'!E:F,2,false)</f>
        <v>RAISINS, THOMPSON, MEDIUM, SEEDLESS, BLACK, CHL, 1/30 LB</v>
      </c>
      <c r="G226" s="177" t="str">
        <f>VLOOKUP(E226,'Unit of Measure ship March 2026'!A:C,3,false)</f>
        <v>LBS</v>
      </c>
      <c r="H226" s="177"/>
      <c r="I226" s="176"/>
      <c r="J226" s="177"/>
      <c r="K226" s="177"/>
      <c r="L226" s="177"/>
      <c r="M226" s="177">
        <v>45163.0</v>
      </c>
      <c r="N226" s="177" t="str">
        <f>VLOOKUP(M226,'FML March 2026'!E:F,2,false)</f>
        <v>PUREE PASSION FRUIT ,  BOIRON/SICOLY  FRZN 6/1 KG</v>
      </c>
      <c r="O226" s="177" t="str">
        <f>VLOOKUP(M226,'Unit of Measure ship March 2026'!A:C,3,false)</f>
        <v>KG</v>
      </c>
      <c r="P226" s="177"/>
      <c r="Q226" s="177"/>
      <c r="R226" s="177"/>
      <c r="S226" s="177"/>
      <c r="T226" s="177"/>
      <c r="U226" s="177"/>
      <c r="V226" s="177"/>
      <c r="W226" s="76"/>
      <c r="X226" s="76"/>
      <c r="Y226" s="76"/>
      <c r="Z226" s="76"/>
    </row>
    <row r="227">
      <c r="A227" s="176"/>
      <c r="B227" s="177"/>
      <c r="C227" s="177"/>
      <c r="D227" s="177"/>
      <c r="E227" s="176">
        <v>15202.0</v>
      </c>
      <c r="F227" s="177" t="str">
        <f>VLOOKUP(E227,'FML March 2026'!E:F,2,false)</f>
        <v>RHUBARB, CRIMSON, CUTS, IQF, FRZN</v>
      </c>
      <c r="G227" s="177" t="str">
        <f>VLOOKUP(E227,'Unit of Measure ship March 2026'!A:C,3,false)</f>
        <v>LBS</v>
      </c>
      <c r="H227" s="177"/>
      <c r="I227" s="176"/>
      <c r="J227" s="177"/>
      <c r="K227" s="177"/>
      <c r="L227" s="177"/>
      <c r="M227" s="177">
        <v>141639.0</v>
      </c>
      <c r="N227" s="177" t="str">
        <f>VLOOKUP(M227,'FML March 2026'!E:F,2,false)</f>
        <v>PUREE RASPBERRY , SUGAR ADDED, BOIRON/LAFRUTIERE/SICOLY    FRZN 6/1 KG</v>
      </c>
      <c r="O227" s="177" t="str">
        <f>VLOOKUP(M227,'Unit of Measure ship March 2026'!A:C,3,false)</f>
        <v>KG</v>
      </c>
      <c r="P227" s="177"/>
      <c r="Q227" s="177"/>
      <c r="R227" s="177"/>
      <c r="S227" s="177"/>
      <c r="T227" s="177"/>
      <c r="U227" s="177"/>
      <c r="V227" s="177"/>
      <c r="W227" s="76"/>
      <c r="X227" s="76"/>
      <c r="Y227" s="76"/>
      <c r="Z227" s="76"/>
    </row>
    <row r="228">
      <c r="A228" s="176"/>
      <c r="B228" s="177"/>
      <c r="C228" s="177"/>
      <c r="D228" s="177"/>
      <c r="E228" s="176">
        <v>109653.0</v>
      </c>
      <c r="F228" s="177" t="str">
        <f>VLOOKUP(E228,'FML March 2026'!E:F,2,false)</f>
        <v>RICOTTA CHEESE FRESH CALABRO</v>
      </c>
      <c r="G228" s="177" t="str">
        <f>VLOOKUP(E228,'Unit of Measure ship March 2026'!A:C,3,false)</f>
        <v>LBS</v>
      </c>
      <c r="H228" s="177"/>
      <c r="I228" s="176"/>
      <c r="J228" s="177"/>
      <c r="K228" s="177"/>
      <c r="L228" s="177"/>
      <c r="M228" s="177">
        <v>141640.0</v>
      </c>
      <c r="N228" s="177" t="str">
        <f>VLOOKUP(M228,'FML March 2026'!E:F,2,false)</f>
        <v>PUREE STRAWBERRY, SUGAR ADDED,   BOIRON/LAFRUTIERE/SICOLY   FRZN 6/1 KG</v>
      </c>
      <c r="O228" s="177" t="str">
        <f>VLOOKUP(M228,'Unit of Measure ship March 2026'!A:C,3,false)</f>
        <v>KG</v>
      </c>
      <c r="P228" s="177"/>
      <c r="Q228" s="177"/>
      <c r="R228" s="177"/>
      <c r="S228" s="177"/>
      <c r="T228" s="177"/>
      <c r="U228" s="177"/>
      <c r="V228" s="177"/>
      <c r="W228" s="76"/>
      <c r="X228" s="76"/>
      <c r="Y228" s="76"/>
      <c r="Z228" s="76"/>
    </row>
    <row r="229">
      <c r="A229" s="176"/>
      <c r="B229" s="177"/>
      <c r="C229" s="177"/>
      <c r="D229" s="177"/>
      <c r="E229" s="182">
        <v>112618.0</v>
      </c>
      <c r="F229" s="177" t="str">
        <f>VLOOKUP(E229,'FML March 2026'!E:F,2,false)</f>
        <v>ROSE ESSENCE ANGEL BAKE VV</v>
      </c>
      <c r="G229" s="180" t="s">
        <v>148</v>
      </c>
      <c r="H229" s="177"/>
      <c r="I229" s="176"/>
      <c r="J229" s="177"/>
      <c r="K229" s="177"/>
      <c r="L229" s="177"/>
      <c r="M229" s="176">
        <v>109622.0</v>
      </c>
      <c r="N229" s="177" t="str">
        <f>VLOOKUP(M229,'FML March 2026'!E:F,2,false)</f>
        <v>RAINBOW NON-PAREIL SPRINKLES MAVALARIO</v>
      </c>
      <c r="O229" s="177" t="str">
        <f>VLOOKUP(M229,'Unit of Measure ship March 2026'!A:C,3,false)</f>
        <v>KG</v>
      </c>
      <c r="P229" s="177"/>
      <c r="Q229" s="177"/>
      <c r="R229" s="177"/>
      <c r="S229" s="177"/>
      <c r="T229" s="177"/>
      <c r="U229" s="177"/>
      <c r="V229" s="177"/>
      <c r="W229" s="76"/>
      <c r="X229" s="76"/>
      <c r="Y229" s="76"/>
      <c r="Z229" s="76"/>
    </row>
    <row r="230">
      <c r="A230" s="176"/>
      <c r="B230" s="177"/>
      <c r="C230" s="177"/>
      <c r="D230" s="177"/>
      <c r="E230" s="176">
        <v>111019.0</v>
      </c>
      <c r="F230" s="177" t="str">
        <f>VLOOKUP(E230,'FML March 2026'!E:F,2,false)</f>
        <v>ROSE PETAL DRIED CS6/1.3OZ D''ALLESANDRO</v>
      </c>
      <c r="G230" s="177" t="str">
        <f>VLOOKUP(E230,'Unit of Measure ship March 2026'!A:C,3,false)</f>
        <v>PK1.3/OZ</v>
      </c>
      <c r="H230" s="177"/>
      <c r="I230" s="176"/>
      <c r="J230" s="177"/>
      <c r="K230" s="177"/>
      <c r="L230" s="177"/>
      <c r="M230" s="176">
        <v>15805.0</v>
      </c>
      <c r="N230" s="177" t="str">
        <f>VLOOKUP(M230,'FML March 2026'!E:F,2,false)</f>
        <v>RAISINS GOLDEN SEEDLESS</v>
      </c>
      <c r="O230" s="177" t="str">
        <f>VLOOKUP(M230,'Unit of Measure ship March 2026'!A:C,3,false)</f>
        <v>LBS</v>
      </c>
      <c r="P230" s="177"/>
      <c r="Q230" s="177"/>
      <c r="R230" s="177"/>
      <c r="S230" s="177"/>
      <c r="T230" s="177"/>
      <c r="U230" s="177"/>
      <c r="V230" s="177"/>
      <c r="W230" s="76"/>
      <c r="X230" s="76"/>
      <c r="Y230" s="76"/>
      <c r="Z230" s="76"/>
    </row>
    <row r="231">
      <c r="A231" s="176"/>
      <c r="B231" s="177"/>
      <c r="C231" s="177"/>
      <c r="D231" s="177"/>
      <c r="E231" s="176">
        <v>33324.0</v>
      </c>
      <c r="F231" s="177" t="str">
        <f>VLOOKUP(E231,'FML March 2026'!E:F,2,false)</f>
        <v>SAFFRON POWDER MANCHA 1 OZ (IRAN)</v>
      </c>
      <c r="G231" s="177" t="str">
        <f>VLOOKUP(E231,'Unit of Measure ship March 2026'!A:C,3,false)</f>
        <v>CAN/1-OZ</v>
      </c>
      <c r="H231" s="177"/>
      <c r="I231" s="176"/>
      <c r="J231" s="177"/>
      <c r="K231" s="177"/>
      <c r="L231" s="177"/>
      <c r="M231" s="176">
        <v>15804.0</v>
      </c>
      <c r="N231" s="177" t="str">
        <f>VLOOKUP(M231,'FML March 2026'!E:F,2,false)</f>
        <v>RAISINS, THOMPSON, MEDIUM, SEEDLESS, BLACK, CHL, 1/30 LB</v>
      </c>
      <c r="O231" s="177" t="str">
        <f>VLOOKUP(M231,'Unit of Measure ship March 2026'!A:C,3,false)</f>
        <v>LBS</v>
      </c>
      <c r="P231" s="177"/>
      <c r="Q231" s="177"/>
      <c r="R231" s="177"/>
      <c r="S231" s="177"/>
      <c r="T231" s="177"/>
      <c r="U231" s="177"/>
      <c r="V231" s="177"/>
      <c r="W231" s="76"/>
      <c r="X231" s="76"/>
      <c r="Y231" s="76"/>
      <c r="Z231" s="76"/>
    </row>
    <row r="232">
      <c r="A232" s="176"/>
      <c r="B232" s="177"/>
      <c r="C232" s="177"/>
      <c r="D232" s="177"/>
      <c r="E232" s="176">
        <v>20880.0</v>
      </c>
      <c r="F232" s="177" t="str">
        <f>VLOOKUP(E232,'FML March 2026'!E:F,2,false)</f>
        <v>SALT SEA MALDON</v>
      </c>
      <c r="G232" s="177" t="str">
        <f>VLOOKUP(E232,'Unit of Measure ship March 2026'!A:C,3,false)</f>
        <v>LBS</v>
      </c>
      <c r="H232" s="177"/>
      <c r="I232" s="176"/>
      <c r="J232" s="177"/>
      <c r="K232" s="177"/>
      <c r="L232" s="177"/>
      <c r="M232" s="176">
        <v>24095.0</v>
      </c>
      <c r="N232" s="177" t="str">
        <f>VLOOKUP(M232,'FML March 2026'!E:F,2,false)</f>
        <v>RICE ROUND PAELLA</v>
      </c>
      <c r="O232" s="177" t="str">
        <f>VLOOKUP(M232,'Unit of Measure ship March 2026'!A:C,3,false)</f>
        <v>LBS</v>
      </c>
      <c r="P232" s="177"/>
      <c r="Q232" s="177"/>
      <c r="R232" s="177"/>
      <c r="S232" s="177"/>
      <c r="T232" s="177"/>
      <c r="U232" s="177"/>
      <c r="V232" s="177"/>
      <c r="W232" s="76"/>
      <c r="X232" s="76"/>
      <c r="Y232" s="76"/>
      <c r="Z232" s="76"/>
    </row>
    <row r="233">
      <c r="A233" s="176"/>
      <c r="B233" s="177"/>
      <c r="C233" s="177"/>
      <c r="D233" s="177"/>
      <c r="E233" s="176">
        <v>16280.0</v>
      </c>
      <c r="F233" s="177" t="str">
        <f>VLOOKUP(E233,'FML March 2026'!E:F,2,false)</f>
        <v>SALT, GRANULATED, IODIZED, DRY, 12/26 OZ</v>
      </c>
      <c r="G233" s="177" t="str">
        <f>VLOOKUP(E233,'Unit of Measure ship March 2026'!A:C,3,false)</f>
        <v>LBS</v>
      </c>
      <c r="H233" s="177"/>
      <c r="I233" s="176"/>
      <c r="J233" s="177"/>
      <c r="K233" s="177"/>
      <c r="L233" s="177"/>
      <c r="M233" s="176">
        <v>109653.0</v>
      </c>
      <c r="N233" s="177" t="str">
        <f>VLOOKUP(M233,'FML March 2026'!E:F,2,false)</f>
        <v>RICOTTA CHEESE FRESH CALABRO</v>
      </c>
      <c r="O233" s="177" t="str">
        <f>VLOOKUP(M233,'Unit of Measure ship March 2026'!A:C,3,false)</f>
        <v>LBS</v>
      </c>
      <c r="P233" s="177"/>
      <c r="Q233" s="177"/>
      <c r="R233" s="177"/>
      <c r="S233" s="177"/>
      <c r="T233" s="177"/>
      <c r="U233" s="177"/>
      <c r="V233" s="177"/>
      <c r="W233" s="76"/>
      <c r="X233" s="76"/>
      <c r="Y233" s="76"/>
      <c r="Z233" s="76"/>
    </row>
    <row r="234">
      <c r="A234" s="176"/>
      <c r="B234" s="177"/>
      <c r="C234" s="177"/>
      <c r="D234" s="177"/>
      <c r="E234" s="176">
        <v>11260.0</v>
      </c>
      <c r="F234" s="177" t="str">
        <f>VLOOKUP(E234,'FML March 2026'!E:F,2,false)</f>
        <v>SESAME SEED BLACK</v>
      </c>
      <c r="G234" s="177" t="str">
        <f>VLOOKUP(E234,'Unit of Measure ship March 2026'!A:C,3,false)</f>
        <v>LBS</v>
      </c>
      <c r="H234" s="177"/>
      <c r="I234" s="176"/>
      <c r="J234" s="177"/>
      <c r="K234" s="177"/>
      <c r="L234" s="177"/>
      <c r="M234" s="176">
        <v>109650.0</v>
      </c>
      <c r="N234" s="177" t="str">
        <f>VLOOKUP(M234,'FML March 2026'!E:F,2,false)</f>
        <v>ROLLED OATS, STEEL CUT BOBS RED MILL</v>
      </c>
      <c r="O234" s="177" t="str">
        <f>VLOOKUP(M234,'Unit of Measure ship March 2026'!A:C,3,false)</f>
        <v>KG</v>
      </c>
      <c r="P234" s="177"/>
      <c r="Q234" s="177"/>
      <c r="R234" s="177"/>
      <c r="S234" s="177"/>
      <c r="T234" s="177"/>
      <c r="U234" s="177"/>
      <c r="V234" s="177"/>
      <c r="W234" s="76"/>
      <c r="X234" s="76"/>
      <c r="Y234" s="76"/>
      <c r="Z234" s="76"/>
    </row>
    <row r="235">
      <c r="A235" s="176"/>
      <c r="B235" s="177"/>
      <c r="C235" s="177"/>
      <c r="D235" s="177"/>
      <c r="E235" s="176">
        <v>15818.0</v>
      </c>
      <c r="F235" s="177" t="str">
        <f>VLOOKUP(E235,'FML March 2026'!E:F,2,false)</f>
        <v>SESAME SEEDS WHITE BADIA (USA )</v>
      </c>
      <c r="G235" s="177" t="str">
        <f>VLOOKUP(E235,'Unit of Measure ship March 2026'!A:C,3,false)</f>
        <v>LBS</v>
      </c>
      <c r="H235" s="177"/>
      <c r="I235" s="176"/>
      <c r="J235" s="177"/>
      <c r="K235" s="177"/>
      <c r="L235" s="177"/>
      <c r="M235" s="176">
        <v>16307.0</v>
      </c>
      <c r="N235" s="177" t="str">
        <f>VLOOKUP(M235,'FML March 2026'!E:F,2,false)</f>
        <v>SALT KOSHER GRANULATED</v>
      </c>
      <c r="O235" s="177" t="str">
        <f>VLOOKUP(M235,'Unit of Measure ship March 2026'!A:C,3,false)</f>
        <v>LBS</v>
      </c>
      <c r="P235" s="177"/>
      <c r="Q235" s="177"/>
      <c r="R235" s="177"/>
      <c r="S235" s="177"/>
      <c r="T235" s="177"/>
      <c r="U235" s="177"/>
      <c r="V235" s="177"/>
      <c r="W235" s="76"/>
      <c r="X235" s="76"/>
      <c r="Y235" s="76"/>
      <c r="Z235" s="76"/>
    </row>
    <row r="236">
      <c r="A236" s="176"/>
      <c r="B236" s="177"/>
      <c r="C236" s="177"/>
      <c r="D236" s="177"/>
      <c r="E236" s="176">
        <v>111657.0</v>
      </c>
      <c r="F236" s="177" t="str">
        <f>VLOOKUP(E236,'FML March 2026'!E:F,2,false)</f>
        <v>SORBETTO BASE FRUTTOSA   CS 8/4.4 LB PREGEL</v>
      </c>
      <c r="G236" s="177" t="str">
        <f>VLOOKUP(E236,'Unit of Measure ship March 2026'!A:C,3,false)</f>
        <v>LBS</v>
      </c>
      <c r="H236" s="177"/>
      <c r="I236" s="176"/>
      <c r="J236" s="177"/>
      <c r="K236" s="177"/>
      <c r="L236" s="177"/>
      <c r="M236" s="176">
        <v>27243.0</v>
      </c>
      <c r="N236" s="177" t="str">
        <f>VLOOKUP(M236,'FML March 2026'!E:F,2,false)</f>
        <v>SALT SEA COARSE 12/CS ROLAND (ITALY)</v>
      </c>
      <c r="O236" s="177" t="str">
        <f>VLOOKUP(M236,'Unit of Measure ship March 2026'!A:C,3,false)</f>
        <v>LBS</v>
      </c>
      <c r="P236" s="177"/>
      <c r="Q236" s="177"/>
      <c r="R236" s="177"/>
      <c r="S236" s="177"/>
      <c r="T236" s="177"/>
      <c r="U236" s="177"/>
      <c r="V236" s="177"/>
      <c r="W236" s="76"/>
      <c r="X236" s="76"/>
      <c r="Y236" s="76"/>
      <c r="Z236" s="76"/>
    </row>
    <row r="237">
      <c r="A237" s="76"/>
      <c r="B237" s="76"/>
      <c r="C237" s="76"/>
      <c r="D237" s="177"/>
      <c r="E237" s="176">
        <v>14883.0</v>
      </c>
      <c r="F237" s="177" t="str">
        <f>VLOOKUP(E237,'FML March 2026'!E:F,2,false)</f>
        <v>SOUR CREAM LONG LIFE 24% 6/5#</v>
      </c>
      <c r="G237" s="177" t="str">
        <f>VLOOKUP(E237,'Unit of Measure ship March 2026'!A:C,3,false)</f>
        <v>LBS</v>
      </c>
      <c r="H237" s="177"/>
      <c r="I237" s="176"/>
      <c r="J237" s="177"/>
      <c r="K237" s="177"/>
      <c r="L237" s="177"/>
      <c r="M237" s="176">
        <v>20880.0</v>
      </c>
      <c r="N237" s="177" t="str">
        <f>VLOOKUP(M237,'FML March 2026'!E:F,2,false)</f>
        <v>SALT SEA MALDON</v>
      </c>
      <c r="O237" s="177" t="str">
        <f>VLOOKUP(M237,'Unit of Measure ship March 2026'!A:C,3,false)</f>
        <v>LBS</v>
      </c>
      <c r="P237" s="177"/>
      <c r="Q237" s="177"/>
      <c r="R237" s="177"/>
      <c r="S237" s="177"/>
      <c r="T237" s="177"/>
      <c r="U237" s="177"/>
      <c r="V237" s="177"/>
      <c r="W237" s="76"/>
      <c r="X237" s="76"/>
      <c r="Y237" s="76"/>
      <c r="Z237" s="76"/>
    </row>
    <row r="238">
      <c r="A238" s="76"/>
      <c r="B238" s="76"/>
      <c r="C238" s="76"/>
      <c r="D238" s="177"/>
      <c r="E238" s="176">
        <v>109689.0</v>
      </c>
      <c r="F238" s="177" t="str">
        <f>VLOOKUP(E238,'FML March 2026'!E:F,2,false)</f>
        <v>SPICE BLEND REIMS LA BOITE</v>
      </c>
      <c r="G238" s="177" t="str">
        <f>VLOOKUP(E238,'Unit of Measure ship March 2026'!A:C,3,false)</f>
        <v>PKG/1LB</v>
      </c>
      <c r="H238" s="177"/>
      <c r="I238" s="176"/>
      <c r="J238" s="177"/>
      <c r="K238" s="177"/>
      <c r="L238" s="177"/>
      <c r="M238" s="176">
        <v>23373.0</v>
      </c>
      <c r="N238" s="177" t="str">
        <f>VLOOKUP(M238,'FML March 2026'!E:F,2,false)</f>
        <v>SAUSAGE LINK BREAKFAST COOKED 0.8  OZ SKINLESS SMITHFIELD CRW (USA)</v>
      </c>
      <c r="O238" s="177" t="str">
        <f>VLOOKUP(M238,'Unit of Measure ship March 2026'!A:C,3,false)</f>
        <v>LBS</v>
      </c>
      <c r="P238" s="177"/>
      <c r="Q238" s="177"/>
      <c r="R238" s="177"/>
      <c r="S238" s="177"/>
      <c r="T238" s="177"/>
      <c r="U238" s="177"/>
      <c r="V238" s="177"/>
      <c r="W238" s="76"/>
      <c r="X238" s="76"/>
      <c r="Y238" s="76"/>
      <c r="Z238" s="76"/>
    </row>
    <row r="239">
      <c r="A239" s="76"/>
      <c r="B239" s="76"/>
      <c r="C239" s="76"/>
      <c r="D239" s="177"/>
      <c r="E239" s="176">
        <v>109626.0</v>
      </c>
      <c r="F239" s="177" t="str">
        <f>VLOOKUP(E239,'FML March 2026'!E:F,2,false)</f>
        <v>SPIRULINA FRONTEIR HERB</v>
      </c>
      <c r="G239" s="177" t="str">
        <f>VLOOKUP(E239,'Unit of Measure ship March 2026'!A:C,3,false)</f>
        <v>KG</v>
      </c>
      <c r="H239" s="177"/>
      <c r="I239" s="176"/>
      <c r="J239" s="177"/>
      <c r="K239" s="177"/>
      <c r="L239" s="177"/>
      <c r="M239" s="176">
        <v>11260.0</v>
      </c>
      <c r="N239" s="177" t="str">
        <f>VLOOKUP(M239,'FML March 2026'!E:F,2,false)</f>
        <v>SESAME SEED BLACK</v>
      </c>
      <c r="O239" s="177" t="str">
        <f>VLOOKUP(M239,'Unit of Measure ship March 2026'!A:C,3,false)</f>
        <v>LBS</v>
      </c>
      <c r="P239" s="177"/>
      <c r="Q239" s="177"/>
      <c r="R239" s="177"/>
      <c r="S239" s="177"/>
      <c r="T239" s="177"/>
      <c r="U239" s="177"/>
      <c r="V239" s="177"/>
      <c r="W239" s="76"/>
      <c r="X239" s="76"/>
      <c r="Y239" s="76"/>
      <c r="Z239" s="76"/>
    </row>
    <row r="240">
      <c r="A240" s="76"/>
      <c r="B240" s="76"/>
      <c r="C240" s="76"/>
      <c r="D240" s="177"/>
      <c r="E240" s="176">
        <v>110929.0</v>
      </c>
      <c r="F240" s="177" t="str">
        <f>VLOOKUP(E240,'FML March 2026'!E:F,2,false)</f>
        <v>SPRINKLES CONFETTI  PKG 1/KG IFI</v>
      </c>
      <c r="G240" s="177" t="str">
        <f>VLOOKUP(E240,'Unit of Measure ship March 2026'!A:C,3,false)</f>
        <v>LBS</v>
      </c>
      <c r="H240" s="177"/>
      <c r="I240" s="176"/>
      <c r="J240" s="177"/>
      <c r="K240" s="177"/>
      <c r="L240" s="177"/>
      <c r="M240" s="176">
        <v>15818.0</v>
      </c>
      <c r="N240" s="177" t="str">
        <f>VLOOKUP(M240,'FML March 2026'!E:F,2,false)</f>
        <v>SESAME SEEDS WHITE BADIA (USA )</v>
      </c>
      <c r="O240" s="177" t="str">
        <f>VLOOKUP(M240,'Unit of Measure ship March 2026'!A:C,3,false)</f>
        <v>LBS</v>
      </c>
      <c r="P240" s="177"/>
      <c r="Q240" s="177"/>
      <c r="R240" s="177"/>
      <c r="S240" s="177"/>
      <c r="T240" s="177"/>
      <c r="U240" s="177"/>
      <c r="V240" s="177"/>
      <c r="W240" s="76"/>
      <c r="X240" s="76"/>
      <c r="Y240" s="76"/>
      <c r="Z240" s="76"/>
    </row>
    <row r="241">
      <c r="A241" s="76"/>
      <c r="B241" s="76"/>
      <c r="C241" s="76"/>
      <c r="D241" s="177"/>
      <c r="E241" s="176">
        <v>101380.0</v>
      </c>
      <c r="F241" s="177" t="str">
        <f>VLOOKUP(E241,'FML March 2026'!E:F,2,false)</f>
        <v>SPRINKLES MULTI COLOR/RAINBOW</v>
      </c>
      <c r="G241" s="177" t="str">
        <f>VLOOKUP(E241,'Unit of Measure ship March 2026'!A:C,3,false)</f>
        <v>LBS</v>
      </c>
      <c r="H241" s="177"/>
      <c r="I241" s="176"/>
      <c r="J241" s="177"/>
      <c r="K241" s="177"/>
      <c r="L241" s="177"/>
      <c r="M241" s="176">
        <v>102790.0</v>
      </c>
      <c r="N241" s="177" t="str">
        <f>VLOOKUP(M241,'FML March 2026'!E:F,2,false)</f>
        <v>SHREDDED COCONUT MED RAW ORGANIC 25LB</v>
      </c>
      <c r="O241" s="177" t="str">
        <f>VLOOKUP(M241,'Unit of Measure ship March 2026'!A:C,3,false)</f>
        <v>LBS</v>
      </c>
      <c r="P241" s="177"/>
      <c r="Q241" s="177"/>
      <c r="R241" s="177"/>
      <c r="S241" s="177"/>
      <c r="T241" s="177"/>
      <c r="U241" s="177"/>
      <c r="V241" s="177"/>
      <c r="W241" s="76"/>
      <c r="X241" s="76"/>
      <c r="Y241" s="76"/>
      <c r="Z241" s="76"/>
    </row>
    <row r="242">
      <c r="A242" s="76"/>
      <c r="B242" s="76"/>
      <c r="C242" s="76"/>
      <c r="D242" s="177"/>
      <c r="E242" s="176">
        <v>101181.0</v>
      </c>
      <c r="F242" s="177" t="str">
        <f>VLOOKUP(E242,'FML March 2026'!E:F,2,false)</f>
        <v>STRAIGHT EDGE BUTTER MINI TARTLET, SWEET</v>
      </c>
      <c r="G242" s="177" t="str">
        <f>VLOOKUP(E242,'Unit of Measure ship March 2026'!A:C,3,false)</f>
        <v>C/192PC</v>
      </c>
      <c r="H242" s="177"/>
      <c r="I242" s="176"/>
      <c r="J242" s="177"/>
      <c r="K242" s="177"/>
      <c r="L242" s="177"/>
      <c r="M242" s="176">
        <v>109695.0</v>
      </c>
      <c r="N242" s="177" t="str">
        <f>VLOOKUP(M242,'FML March 2026'!E:F,2,false)</f>
        <v>SMOKED SALT MALDON</v>
      </c>
      <c r="O242" s="177" t="str">
        <f>VLOOKUP(M242,'Unit of Measure ship March 2026'!A:C,3,false)</f>
        <v>LBS</v>
      </c>
      <c r="P242" s="177"/>
      <c r="Q242" s="177"/>
      <c r="R242" s="177"/>
      <c r="S242" s="177"/>
      <c r="T242" s="177"/>
      <c r="U242" s="177"/>
      <c r="V242" s="177"/>
      <c r="W242" s="76"/>
      <c r="X242" s="76"/>
      <c r="Y242" s="76"/>
      <c r="Z242" s="76"/>
    </row>
    <row r="243">
      <c r="A243" s="76"/>
      <c r="B243" s="76"/>
      <c r="C243" s="76"/>
      <c r="D243" s="177"/>
      <c r="E243" s="176">
        <v>15157.0</v>
      </c>
      <c r="F243" s="177" t="str">
        <f>VLOOKUP(E243,'FML March 2026'!E:F,2,false)</f>
        <v>STRAWBERRIES, WHOLE, IQF, FRZN</v>
      </c>
      <c r="G243" s="177" t="str">
        <f>VLOOKUP(E243,'Unit of Measure ship March 2026'!A:C,3,false)</f>
        <v>LBS</v>
      </c>
      <c r="H243" s="177"/>
      <c r="I243" s="176"/>
      <c r="J243" s="177"/>
      <c r="K243" s="177"/>
      <c r="L243" s="177"/>
      <c r="M243" s="176">
        <v>109689.0</v>
      </c>
      <c r="N243" s="177" t="str">
        <f>VLOOKUP(M243,'FML March 2026'!E:F,2,false)</f>
        <v>SPICE BLEND REIMS LA BOITE</v>
      </c>
      <c r="O243" s="177" t="str">
        <f>VLOOKUP(M243,'Unit of Measure ship March 2026'!A:C,3,false)</f>
        <v>PKG/1LB</v>
      </c>
      <c r="P243" s="177"/>
      <c r="Q243" s="177"/>
      <c r="R243" s="177"/>
      <c r="S243" s="177"/>
      <c r="T243" s="177"/>
      <c r="U243" s="177"/>
      <c r="V243" s="177"/>
      <c r="W243" s="76"/>
      <c r="X243" s="76"/>
      <c r="Y243" s="76"/>
      <c r="Z243" s="76"/>
    </row>
    <row r="244">
      <c r="A244" s="76"/>
      <c r="B244" s="76"/>
      <c r="C244" s="76"/>
      <c r="D244" s="177"/>
      <c r="E244" s="176">
        <v>111039.0</v>
      </c>
      <c r="F244" s="177" t="str">
        <f>VLOOKUP(E244,'FML March 2026'!E:F,2,false)</f>
        <v>STRAWBERRY POWDER CS6/4OZ NUTS</v>
      </c>
      <c r="G244" s="177" t="str">
        <f>VLOOKUP(E244,'Unit of Measure ship March 2026'!A:C,3,false)</f>
        <v>EA</v>
      </c>
      <c r="H244" s="177"/>
      <c r="I244" s="176"/>
      <c r="J244" s="177"/>
      <c r="K244" s="177"/>
      <c r="L244" s="177"/>
      <c r="M244" s="176">
        <v>107138.0</v>
      </c>
      <c r="N244" s="177" t="str">
        <f>VLOOKUP(M244,'FML March 2026'!E:F,2,false)</f>
        <v>SPICE SAFFRON THREADS SPANISH (SPAIN)</v>
      </c>
      <c r="O244" s="177" t="str">
        <f>VLOOKUP(M244,'Unit of Measure ship March 2026'!A:C,3,false)</f>
        <v>CAN/1-OZ</v>
      </c>
      <c r="P244" s="177"/>
      <c r="Q244" s="177"/>
      <c r="R244" s="177"/>
      <c r="S244" s="177"/>
      <c r="T244" s="177"/>
      <c r="U244" s="177"/>
      <c r="V244" s="177"/>
      <c r="W244" s="76"/>
      <c r="X244" s="76"/>
      <c r="Y244" s="76"/>
      <c r="Z244" s="76"/>
    </row>
    <row r="245">
      <c r="A245" s="76"/>
      <c r="B245" s="76"/>
      <c r="C245" s="76"/>
      <c r="D245" s="177"/>
      <c r="E245" s="176">
        <v>15646.0</v>
      </c>
      <c r="F245" s="177" t="str">
        <f>VLOOKUP(E245,'FML March 2026'!E:F,2,false)</f>
        <v>SUGAR BROWN DARK  24/1LB  DOMINO (404310) (USA)</v>
      </c>
      <c r="G245" s="177" t="str">
        <f>VLOOKUP(E245,'Unit of Measure ship March 2026'!A:C,3,false)</f>
        <v>LBS</v>
      </c>
      <c r="H245" s="177"/>
      <c r="I245" s="176"/>
      <c r="J245" s="177"/>
      <c r="K245" s="177"/>
      <c r="L245" s="177"/>
      <c r="M245" s="176">
        <v>101380.0</v>
      </c>
      <c r="N245" s="177" t="str">
        <f>VLOOKUP(M245,'FML March 2026'!E:F,2,false)</f>
        <v>SPRINKLES MULTI COLOR/RAINBOW</v>
      </c>
      <c r="O245" s="177" t="str">
        <f>VLOOKUP(M245,'Unit of Measure ship March 2026'!A:C,3,false)</f>
        <v>LBS</v>
      </c>
      <c r="P245" s="177"/>
      <c r="Q245" s="177"/>
      <c r="R245" s="177"/>
      <c r="S245" s="177"/>
      <c r="T245" s="177"/>
      <c r="U245" s="177"/>
      <c r="V245" s="177"/>
      <c r="W245" s="76"/>
      <c r="X245" s="76"/>
      <c r="Y245" s="76"/>
      <c r="Z245" s="76"/>
    </row>
    <row r="246">
      <c r="A246" s="76"/>
      <c r="B246" s="76"/>
      <c r="C246" s="76"/>
      <c r="D246" s="177"/>
      <c r="E246" s="176">
        <v>100872.0</v>
      </c>
      <c r="F246" s="177" t="str">
        <f>VLOOKUP(E246,'FML March 2026'!E:F,2,false)</f>
        <v>SUGAR BROWN LIGHT 24LB  DOMINO (404309)</v>
      </c>
      <c r="G246" s="177" t="str">
        <f>VLOOKUP(E246,'Unit of Measure ship March 2026'!A:C,3,false)</f>
        <v>LBS</v>
      </c>
      <c r="H246" s="177"/>
      <c r="I246" s="176"/>
      <c r="J246" s="177"/>
      <c r="K246" s="177"/>
      <c r="L246" s="177"/>
      <c r="M246" s="176">
        <v>14831.0</v>
      </c>
      <c r="N246" s="177" t="str">
        <f>VLOOKUP(M246,'FML March 2026'!E:F,2,false)</f>
        <v>SQUID INK 17 OZ BOTTLE MARKY`S</v>
      </c>
      <c r="O246" s="177" t="str">
        <f>VLOOKUP(M246,'Unit of Measure ship March 2026'!A:C,3,false)</f>
        <v>LBS</v>
      </c>
      <c r="P246" s="177"/>
      <c r="Q246" s="177"/>
      <c r="R246" s="177"/>
      <c r="S246" s="177"/>
      <c r="T246" s="177"/>
      <c r="U246" s="177"/>
      <c r="V246" s="177"/>
      <c r="W246" s="76"/>
      <c r="X246" s="76"/>
      <c r="Y246" s="76"/>
      <c r="Z246" s="76"/>
    </row>
    <row r="247">
      <c r="A247" s="76"/>
      <c r="B247" s="76"/>
      <c r="C247" s="76"/>
      <c r="D247" s="177"/>
      <c r="E247" s="176">
        <v>17361.0</v>
      </c>
      <c r="F247" s="177" t="str">
        <f>VLOOKUP(E247,'FML March 2026'!E:F,2,false)</f>
        <v>SUGAR CRYSTALS ISOMALT 55LB</v>
      </c>
      <c r="G247" s="177" t="str">
        <f>VLOOKUP(E247,'Unit of Measure ship March 2026'!A:C,3,false)</f>
        <v>LBS</v>
      </c>
      <c r="H247" s="177"/>
      <c r="I247" s="176"/>
      <c r="J247" s="177"/>
      <c r="K247" s="177"/>
      <c r="L247" s="177"/>
      <c r="M247" s="176">
        <v>111110.0</v>
      </c>
      <c r="N247" s="177" t="str">
        <f>VLOOKUP(M247,'FML March 2026'!E:F,2,false)</f>
        <v>SUGAR  ORGANIC CANE  CS 6/4LB CHUNG JUNG ONE BRAND</v>
      </c>
      <c r="O247" s="177" t="str">
        <f>VLOOKUP(M247,'Unit of Measure ship March 2026'!A:C,3,false)</f>
        <v>LBS</v>
      </c>
      <c r="P247" s="177"/>
      <c r="Q247" s="177"/>
      <c r="R247" s="177"/>
      <c r="S247" s="177"/>
      <c r="T247" s="177"/>
      <c r="U247" s="177"/>
      <c r="V247" s="177"/>
      <c r="W247" s="76"/>
      <c r="X247" s="76"/>
      <c r="Y247" s="76"/>
      <c r="Z247" s="76"/>
    </row>
    <row r="248">
      <c r="A248" s="76"/>
      <c r="B248" s="76"/>
      <c r="C248" s="76"/>
      <c r="D248" s="177"/>
      <c r="E248" s="176">
        <v>49593.0</v>
      </c>
      <c r="F248" s="177" t="str">
        <f>VLOOKUP(E248,'FML March 2026'!E:F,2,false)</f>
        <v>SUGAR INVERTED TRIMOLINE</v>
      </c>
      <c r="G248" s="177" t="str">
        <f>VLOOKUP(E248,'Unit of Measure ship March 2026'!A:C,3,false)</f>
        <v>LBS</v>
      </c>
      <c r="H248" s="177"/>
      <c r="I248" s="176"/>
      <c r="J248" s="177"/>
      <c r="K248" s="177"/>
      <c r="L248" s="177"/>
      <c r="M248" s="176">
        <v>15646.0</v>
      </c>
      <c r="N248" s="177" t="str">
        <f>VLOOKUP(M248,'FML March 2026'!E:F,2,false)</f>
        <v>SUGAR BROWN DARK  24/1LB  DOMINO (404310) (USA)</v>
      </c>
      <c r="O248" s="177" t="str">
        <f>VLOOKUP(M248,'Unit of Measure ship March 2026'!A:C,3,false)</f>
        <v>LBS</v>
      </c>
      <c r="P248" s="177"/>
      <c r="Q248" s="177"/>
      <c r="R248" s="177"/>
      <c r="S248" s="177"/>
      <c r="T248" s="177"/>
      <c r="U248" s="177"/>
      <c r="V248" s="177"/>
      <c r="W248" s="76"/>
      <c r="X248" s="76"/>
      <c r="Y248" s="76"/>
      <c r="Z248" s="76"/>
    </row>
    <row r="249">
      <c r="A249" s="76"/>
      <c r="B249" s="76"/>
      <c r="C249" s="76"/>
      <c r="D249" s="177"/>
      <c r="E249" s="176">
        <v>111178.0</v>
      </c>
      <c r="F249" s="177" t="str">
        <f>VLOOKUP(E249,'FML March 2026'!E:F,2,false)</f>
        <v>SUGAR LIGHT BROWN CS6/24 OZ WHOLESOME</v>
      </c>
      <c r="G249" s="177" t="str">
        <f>VLOOKUP(E249,'Unit of Measure ship March 2026'!A:C,3,false)</f>
        <v>LBS</v>
      </c>
      <c r="H249" s="177"/>
      <c r="I249" s="176"/>
      <c r="J249" s="177"/>
      <c r="K249" s="177"/>
      <c r="L249" s="177"/>
      <c r="M249" s="176">
        <v>100872.0</v>
      </c>
      <c r="N249" s="177" t="str">
        <f>VLOOKUP(M249,'FML March 2026'!E:F,2,false)</f>
        <v>SUGAR BROWN LIGHT 24LB  DOMINO (404309)</v>
      </c>
      <c r="O249" s="177" t="str">
        <f>VLOOKUP(M249,'Unit of Measure ship March 2026'!A:C,3,false)</f>
        <v>LBS</v>
      </c>
      <c r="P249" s="177"/>
      <c r="Q249" s="177"/>
      <c r="R249" s="177"/>
      <c r="S249" s="177"/>
      <c r="T249" s="177"/>
      <c r="U249" s="177"/>
      <c r="V249" s="177"/>
      <c r="W249" s="76"/>
      <c r="X249" s="76"/>
      <c r="Y249" s="76"/>
      <c r="Z249" s="76"/>
    </row>
    <row r="250">
      <c r="A250" s="76"/>
      <c r="B250" s="76"/>
      <c r="C250" s="76"/>
      <c r="D250" s="177"/>
      <c r="E250" s="176">
        <v>108818.0</v>
      </c>
      <c r="F250" s="177" t="str">
        <f>VLOOKUP(E250,'FML March 2026'!E:F,2,false)</f>
        <v>SUGAR PEARL</v>
      </c>
      <c r="G250" s="177" t="str">
        <f>VLOOKUP(E250,'Unit of Measure ship March 2026'!A:C,3,false)</f>
        <v>LBS</v>
      </c>
      <c r="H250" s="177"/>
      <c r="I250" s="176"/>
      <c r="J250" s="177"/>
      <c r="K250" s="177"/>
      <c r="L250" s="177"/>
      <c r="M250" s="176">
        <v>109843.0</v>
      </c>
      <c r="N250" s="177" t="str">
        <f>VLOOKUP(M250,'FML March 2026'!E:F,2,false)</f>
        <v>SUGAR IN THE RAW  CS12/2 LB</v>
      </c>
      <c r="O250" s="177" t="str">
        <f>VLOOKUP(M250,'Unit of Measure ship March 2026'!A:C,3,false)</f>
        <v>KG</v>
      </c>
      <c r="P250" s="177"/>
      <c r="Q250" s="177"/>
      <c r="R250" s="177"/>
      <c r="S250" s="177"/>
      <c r="T250" s="177"/>
      <c r="U250" s="177"/>
      <c r="V250" s="177"/>
      <c r="W250" s="76"/>
      <c r="X250" s="76"/>
      <c r="Y250" s="76"/>
      <c r="Z250" s="76"/>
    </row>
    <row r="251">
      <c r="A251" s="76"/>
      <c r="B251" s="76"/>
      <c r="C251" s="76"/>
      <c r="D251" s="177"/>
      <c r="E251" s="176">
        <v>111152.0</v>
      </c>
      <c r="F251" s="177" t="str">
        <f>VLOOKUP(E251,'FML March 2026'!E:F,2,false)</f>
        <v>SUGAR SANDING BLUE CS4/8LB SPRINKLE KING</v>
      </c>
      <c r="G251" s="177" t="str">
        <f>VLOOKUP(E251,'Unit of Measure ship March 2026'!A:C,3,false)</f>
        <v>LBS</v>
      </c>
      <c r="H251" s="177"/>
      <c r="I251" s="176"/>
      <c r="J251" s="177"/>
      <c r="K251" s="177"/>
      <c r="L251" s="177"/>
      <c r="M251" s="176">
        <v>111178.0</v>
      </c>
      <c r="N251" s="177" t="str">
        <f>VLOOKUP(M251,'FML March 2026'!E:F,2,false)</f>
        <v>SUGAR LIGHT BROWN CS6/24 OZ WHOLESOME</v>
      </c>
      <c r="O251" s="177" t="str">
        <f>VLOOKUP(M251,'Unit of Measure ship March 2026'!A:C,3,false)</f>
        <v>LBS</v>
      </c>
      <c r="P251" s="177"/>
      <c r="Q251" s="177"/>
      <c r="R251" s="177"/>
      <c r="S251" s="177"/>
      <c r="T251" s="177"/>
      <c r="U251" s="177"/>
      <c r="V251" s="177"/>
      <c r="W251" s="76"/>
      <c r="X251" s="76"/>
      <c r="Y251" s="76"/>
      <c r="Z251" s="76"/>
    </row>
    <row r="252">
      <c r="A252" s="76"/>
      <c r="B252" s="76"/>
      <c r="C252" s="76"/>
      <c r="D252" s="177"/>
      <c r="E252" s="176">
        <v>111154.0</v>
      </c>
      <c r="F252" s="177" t="str">
        <f>VLOOKUP(E252,'FML March 2026'!E:F,2,false)</f>
        <v>SUGAR SANDING GREEN CS4/8LB SPRINKLE KING</v>
      </c>
      <c r="G252" s="177" t="str">
        <f>VLOOKUP(E252,'Unit of Measure ship March 2026'!A:C,3,false)</f>
        <v>LBS</v>
      </c>
      <c r="H252" s="177"/>
      <c r="I252" s="176"/>
      <c r="J252" s="177"/>
      <c r="K252" s="177"/>
      <c r="L252" s="177"/>
      <c r="M252" s="176">
        <v>108818.0</v>
      </c>
      <c r="N252" s="177" t="str">
        <f>VLOOKUP(M252,'FML March 2026'!E:F,2,false)</f>
        <v>SUGAR PEARL</v>
      </c>
      <c r="O252" s="177" t="str">
        <f>VLOOKUP(M252,'Unit of Measure ship March 2026'!A:C,3,false)</f>
        <v>LBS</v>
      </c>
      <c r="P252" s="177"/>
      <c r="Q252" s="177"/>
      <c r="R252" s="177"/>
      <c r="S252" s="177"/>
      <c r="T252" s="177"/>
      <c r="U252" s="177"/>
      <c r="V252" s="177"/>
      <c r="W252" s="76"/>
      <c r="X252" s="76"/>
      <c r="Y252" s="76"/>
      <c r="Z252" s="76"/>
    </row>
    <row r="253">
      <c r="A253" s="76"/>
      <c r="B253" s="76"/>
      <c r="C253" s="76"/>
      <c r="D253" s="177"/>
      <c r="E253" s="176">
        <v>111853.0</v>
      </c>
      <c r="F253" s="177" t="str">
        <f>VLOOKUP(E253,'FML March 2026'!E:F,2,false)</f>
        <v>SUGAR SANDING RED  PKG1/ LB CK PRODUCTS</v>
      </c>
      <c r="G253" s="177" t="str">
        <f>VLOOKUP(E253,'Unit of Measure ship March 2026'!A:C,3,false)</f>
        <v>LBS</v>
      </c>
      <c r="H253" s="177"/>
      <c r="I253" s="176"/>
      <c r="J253" s="177"/>
      <c r="K253" s="177"/>
      <c r="L253" s="177"/>
      <c r="M253" s="176">
        <v>111854.0</v>
      </c>
      <c r="N253" s="177" t="str">
        <f>VLOOKUP(M253,'FML March 2026'!E:F,2,false)</f>
        <v>SUGAR SANDING YELLOW  PKG1/ LB CK PRODUCTS</v>
      </c>
      <c r="O253" s="177" t="str">
        <f>VLOOKUP(M253,'Unit of Measure ship March 2026'!A:C,3,false)</f>
        <v>LBS</v>
      </c>
      <c r="P253" s="177"/>
      <c r="Q253" s="177"/>
      <c r="R253" s="177"/>
      <c r="S253" s="177"/>
      <c r="T253" s="177"/>
      <c r="U253" s="177"/>
      <c r="V253" s="177"/>
      <c r="W253" s="76"/>
      <c r="X253" s="76"/>
      <c r="Y253" s="76"/>
      <c r="Z253" s="76"/>
    </row>
    <row r="254">
      <c r="A254" s="76"/>
      <c r="B254" s="76"/>
      <c r="C254" s="76"/>
      <c r="D254" s="177"/>
      <c r="E254" s="176">
        <v>111854.0</v>
      </c>
      <c r="F254" s="177" t="str">
        <f>VLOOKUP(E254,'FML March 2026'!E:F,2,false)</f>
        <v>SUGAR SANDING YELLOW  PKG1/ LB CK PRODUCTS</v>
      </c>
      <c r="G254" s="177" t="str">
        <f>VLOOKUP(E254,'Unit of Measure ship March 2026'!A:C,3,false)</f>
        <v>LBS</v>
      </c>
      <c r="H254" s="177"/>
      <c r="I254" s="176"/>
      <c r="J254" s="177"/>
      <c r="K254" s="177"/>
      <c r="L254" s="177"/>
      <c r="M254" s="176">
        <v>15642.0</v>
      </c>
      <c r="N254" s="177" t="str">
        <f>VLOOKUP(M254,'FML March 2026'!E:F,2,false)</f>
        <v>SUGAR, GRANULATED, ICUMSA 150, SUGARCANE, DRY, 1/50 LB</v>
      </c>
      <c r="O254" s="177" t="str">
        <f>VLOOKUP(M254,'Unit of Measure ship March 2026'!A:C,3,false)</f>
        <v>LBS</v>
      </c>
      <c r="P254" s="177"/>
      <c r="Q254" s="177"/>
      <c r="R254" s="177"/>
      <c r="S254" s="177"/>
      <c r="T254" s="177"/>
      <c r="U254" s="177"/>
      <c r="V254" s="177"/>
      <c r="W254" s="76"/>
      <c r="X254" s="76"/>
      <c r="Y254" s="76"/>
      <c r="Z254" s="76"/>
    </row>
    <row r="255">
      <c r="A255" s="76"/>
      <c r="B255" s="76"/>
      <c r="C255" s="76"/>
      <c r="D255" s="177"/>
      <c r="E255" s="176">
        <v>15642.0</v>
      </c>
      <c r="F255" s="177" t="str">
        <f>VLOOKUP(E255,'FML March 2026'!E:F,2,false)</f>
        <v>SUGAR, GRANULATED, ICUMSA 150, SUGARCANE, DRY, 1/50 LB</v>
      </c>
      <c r="G255" s="177" t="str">
        <f>VLOOKUP(E255,'Unit of Measure ship March 2026'!A:C,3,false)</f>
        <v>LBS</v>
      </c>
      <c r="H255" s="177"/>
      <c r="I255" s="176"/>
      <c r="J255" s="177"/>
      <c r="K255" s="177"/>
      <c r="L255" s="177"/>
      <c r="M255" s="176">
        <v>15644.0</v>
      </c>
      <c r="N255" s="177" t="str">
        <f>VLOOKUP(M255,'FML March 2026'!E:F,2,false)</f>
        <v>SUGAR, POWDERED, W/ CORNSTARCH, DRY, 24/1 LB</v>
      </c>
      <c r="O255" s="177" t="str">
        <f>VLOOKUP(M255,'Unit of Measure ship March 2026'!A:C,3,false)</f>
        <v>LBS</v>
      </c>
      <c r="P255" s="177"/>
      <c r="Q255" s="177"/>
      <c r="R255" s="177"/>
      <c r="S255" s="177"/>
      <c r="T255" s="177"/>
      <c r="U255" s="177"/>
      <c r="V255" s="177"/>
      <c r="W255" s="76"/>
      <c r="X255" s="76"/>
      <c r="Y255" s="76"/>
      <c r="Z255" s="76"/>
    </row>
    <row r="256">
      <c r="A256" s="76"/>
      <c r="B256" s="76"/>
      <c r="C256" s="76"/>
      <c r="D256" s="177"/>
      <c r="E256" s="176">
        <v>15644.0</v>
      </c>
      <c r="F256" s="177" t="str">
        <f>VLOOKUP(E256,'FML March 2026'!E:F,2,false)</f>
        <v>SUGAR, POWDERED, W/ CORNSTARCH, DRY, 24/1 LB</v>
      </c>
      <c r="G256" s="177" t="str">
        <f>VLOOKUP(E256,'Unit of Measure ship March 2026'!A:C,3,false)</f>
        <v>LBS</v>
      </c>
      <c r="H256" s="177"/>
      <c r="I256" s="176"/>
      <c r="J256" s="177"/>
      <c r="K256" s="177"/>
      <c r="L256" s="177"/>
      <c r="M256" s="176">
        <v>15892.0</v>
      </c>
      <c r="N256" s="177" t="str">
        <f>VLOOKUP(M256,'FML March 2026'!E:F,2,false)</f>
        <v>SUNFLOWER SEEDS WHOLE SHELL-OFF RAW  HIALEAH (USA )</v>
      </c>
      <c r="O256" s="177" t="str">
        <f>VLOOKUP(M256,'Unit of Measure ship March 2026'!A:C,3,false)</f>
        <v>LBS</v>
      </c>
      <c r="P256" s="177"/>
      <c r="Q256" s="177"/>
      <c r="R256" s="177"/>
      <c r="S256" s="177"/>
      <c r="T256" s="177"/>
      <c r="U256" s="177"/>
      <c r="V256" s="177"/>
      <c r="W256" s="76"/>
      <c r="X256" s="76"/>
      <c r="Y256" s="76"/>
      <c r="Z256" s="76"/>
    </row>
    <row r="257">
      <c r="A257" s="76"/>
      <c r="B257" s="76"/>
      <c r="C257" s="76"/>
      <c r="D257" s="177"/>
      <c r="E257" s="176">
        <v>15892.0</v>
      </c>
      <c r="F257" s="177" t="str">
        <f>VLOOKUP(E257,'FML March 2026'!E:F,2,false)</f>
        <v>SUNFLOWER SEEDS WHOLE SHELL-OFF RAW  HIALEAH (USA )</v>
      </c>
      <c r="G257" s="177" t="str">
        <f>VLOOKUP(E257,'Unit of Measure ship March 2026'!A:C,3,false)</f>
        <v>LBS</v>
      </c>
      <c r="H257" s="177"/>
      <c r="I257" s="176"/>
      <c r="J257" s="177"/>
      <c r="K257" s="177"/>
      <c r="L257" s="177"/>
      <c r="M257" s="176">
        <v>19508.0</v>
      </c>
      <c r="N257" s="177" t="str">
        <f>VLOOKUP(M257,'FML March 2026'!E:F,2,false)</f>
        <v>SYRUP CORN DARK KARO/ HARTLEYS CS 4/1 GAL (USA)</v>
      </c>
      <c r="O257" s="177" t="str">
        <f>VLOOKUP(M257,'Unit of Measure ship March 2026'!A:C,3,false)</f>
        <v>GAL</v>
      </c>
      <c r="P257" s="177"/>
      <c r="Q257" s="177"/>
      <c r="R257" s="177"/>
      <c r="S257" s="177"/>
      <c r="T257" s="177"/>
      <c r="U257" s="177"/>
      <c r="V257" s="177"/>
      <c r="W257" s="76"/>
      <c r="X257" s="76"/>
      <c r="Y257" s="76"/>
      <c r="Z257" s="76"/>
    </row>
    <row r="258">
      <c r="A258" s="176"/>
      <c r="B258" s="177"/>
      <c r="C258" s="177"/>
      <c r="D258" s="177"/>
      <c r="E258" s="176">
        <v>112794.0</v>
      </c>
      <c r="F258" s="177" t="str">
        <f>VLOOKUP(E258,'FML March 2026'!E:F,2,false)</f>
        <v>SWEDISH FISH CANDY ASSORTED  MONDELEZ</v>
      </c>
      <c r="G258" s="177" t="str">
        <f>VLOOKUP(E258,'Unit of Measure ship March 2026'!A:C,3,false)</f>
        <v>LBS</v>
      </c>
      <c r="H258" s="177"/>
      <c r="I258" s="176"/>
      <c r="J258" s="177"/>
      <c r="K258" s="177"/>
      <c r="L258" s="177"/>
      <c r="M258" s="176">
        <v>29904.0</v>
      </c>
      <c r="N258" s="177" t="str">
        <f>VLOOKUP(M258,'FML March 2026'!E:F,2,false)</f>
        <v>SYRUP, MAPLE, 100% PURE, GRADE A, AMBER, DRY, 4/4 LT</v>
      </c>
      <c r="O258" s="177" t="str">
        <f>VLOOKUP(M258,'Unit of Measure ship March 2026'!A:C,3,false)</f>
        <v>BOX/4LTR</v>
      </c>
      <c r="P258" s="177"/>
      <c r="Q258" s="177"/>
      <c r="R258" s="177"/>
      <c r="S258" s="177"/>
      <c r="T258" s="177"/>
      <c r="U258" s="177"/>
      <c r="V258" s="177"/>
      <c r="W258" s="76"/>
      <c r="X258" s="76"/>
      <c r="Y258" s="76"/>
      <c r="Z258" s="76"/>
    </row>
    <row r="259">
      <c r="A259" s="176"/>
      <c r="B259" s="177"/>
      <c r="C259" s="177"/>
      <c r="D259" s="177"/>
      <c r="E259" s="176">
        <v>19508.0</v>
      </c>
      <c r="F259" s="177" t="str">
        <f>VLOOKUP(E259,'FML March 2026'!E:F,2,false)</f>
        <v>SYRUP CORN DARK KARO/ HARTLEYS CS 4/1 GAL (USA)</v>
      </c>
      <c r="G259" s="177" t="str">
        <f>VLOOKUP(E259,'Unit of Measure ship March 2026'!A:C,3,false)</f>
        <v>GAL</v>
      </c>
      <c r="H259" s="177"/>
      <c r="I259" s="176"/>
      <c r="J259" s="177"/>
      <c r="K259" s="177"/>
      <c r="L259" s="177"/>
      <c r="M259" s="176">
        <v>16581.0</v>
      </c>
      <c r="N259" s="177" t="str">
        <f>VLOOKUP(M259,'FML March 2026'!E:F,2,false)</f>
        <v>TOMATO, PASTE, HEINZ, 57310, DRY, 6/#10</v>
      </c>
      <c r="O259" s="177" t="str">
        <f>VLOOKUP(M259,'Unit of Measure ship March 2026'!A:C,3,false)</f>
        <v>CN/6.5LB</v>
      </c>
      <c r="P259" s="177"/>
      <c r="Q259" s="177"/>
      <c r="R259" s="177"/>
      <c r="S259" s="177"/>
      <c r="T259" s="177"/>
      <c r="U259" s="177"/>
      <c r="V259" s="177"/>
      <c r="W259" s="76"/>
      <c r="X259" s="76"/>
      <c r="Y259" s="76"/>
      <c r="Z259" s="76"/>
    </row>
    <row r="260">
      <c r="A260" s="176"/>
      <c r="B260" s="177"/>
      <c r="C260" s="177"/>
      <c r="D260" s="177"/>
      <c r="E260" s="176">
        <v>29904.0</v>
      </c>
      <c r="F260" s="177" t="str">
        <f>VLOOKUP(E260,'FML March 2026'!E:F,2,false)</f>
        <v>SYRUP, MAPLE, 100% PURE, GRADE A, AMBER, DRY, 4/4 LT</v>
      </c>
      <c r="G260" s="177" t="str">
        <f>VLOOKUP(E260,'Unit of Measure ship March 2026'!A:C,3,false)</f>
        <v>BOX/4LTR</v>
      </c>
      <c r="H260" s="177"/>
      <c r="I260" s="176"/>
      <c r="J260" s="177"/>
      <c r="K260" s="177"/>
      <c r="L260" s="177"/>
      <c r="M260" s="176">
        <v>15583.0</v>
      </c>
      <c r="N260" s="177" t="str">
        <f>VLOOKUP(M260,'FML March 2026'!E:F,2,false)</f>
        <v>TOMATO, SUN-DRIED, HALVES, STANDARD, DRY, 4/5 LB</v>
      </c>
      <c r="O260" s="177" t="str">
        <f>VLOOKUP(M260,'Unit of Measure ship March 2026'!A:C,3,false)</f>
        <v>LBS</v>
      </c>
      <c r="P260" s="177"/>
      <c r="Q260" s="177"/>
      <c r="R260" s="177"/>
      <c r="S260" s="177"/>
      <c r="T260" s="177"/>
      <c r="U260" s="177"/>
      <c r="V260" s="177"/>
      <c r="W260" s="76"/>
      <c r="X260" s="76"/>
      <c r="Y260" s="76"/>
      <c r="Z260" s="76"/>
    </row>
    <row r="261">
      <c r="A261" s="176"/>
      <c r="B261" s="177"/>
      <c r="C261" s="177"/>
      <c r="D261" s="177"/>
      <c r="E261" s="176">
        <v>111674.0</v>
      </c>
      <c r="F261" s="177" t="str">
        <f>VLOOKUP(E261,'FML March 2026'!E:F,2,false)</f>
        <v>TAFFY SALT WATER ASSORTED WRAPPED BAG5/LBS SHRIVERS</v>
      </c>
      <c r="G261" s="177" t="str">
        <f>VLOOKUP(E261,'Unit of Measure ship March 2026'!A:C,3,false)</f>
        <v>LBS</v>
      </c>
      <c r="H261" s="177"/>
      <c r="I261" s="176"/>
      <c r="J261" s="177"/>
      <c r="K261" s="177"/>
      <c r="L261" s="177"/>
      <c r="M261" s="182">
        <v>143140.0</v>
      </c>
      <c r="N261" s="177" t="str">
        <f>VLOOKUP(M261,'FML March 2026'!E:F,2,false)</f>
        <v>TOMATO, WHOLE, PEELED, IN JUICE, DRY, 6/#10</v>
      </c>
      <c r="O261" s="177" t="str">
        <f>VLOOKUP(M261,'Unit of Measure ship March 2026'!A:C,3,false)</f>
        <v>C6/6.5LB</v>
      </c>
      <c r="P261" s="177"/>
      <c r="Q261" s="177"/>
      <c r="R261" s="177"/>
      <c r="S261" s="177"/>
      <c r="T261" s="177"/>
      <c r="U261" s="177"/>
      <c r="V261" s="177"/>
      <c r="W261" s="76"/>
      <c r="X261" s="76"/>
      <c r="Y261" s="76"/>
      <c r="Z261" s="76"/>
    </row>
    <row r="262">
      <c r="A262" s="176"/>
      <c r="B262" s="177"/>
      <c r="C262" s="177"/>
      <c r="D262" s="177"/>
      <c r="E262" s="176">
        <v>111017.0</v>
      </c>
      <c r="F262" s="177" t="str">
        <f>VLOOKUP(E262,'FML March 2026'!E:F,2,false)</f>
        <v>TAPIOCA MALTODEXTRIN PKG 1.5LB CUISINE TECH</v>
      </c>
      <c r="G262" s="177" t="str">
        <f>VLOOKUP(E262,'Unit of Measure ship March 2026'!A:C,3,false)</f>
        <v>LBS</v>
      </c>
      <c r="H262" s="177"/>
      <c r="I262" s="176"/>
      <c r="J262" s="177"/>
      <c r="K262" s="177"/>
      <c r="L262" s="177"/>
      <c r="M262" s="176">
        <v>16310.0</v>
      </c>
      <c r="N262" s="177" t="str">
        <f>VLOOKUP(M262,'FML March 2026'!E:F,2,false)</f>
        <v>TURMERIC GROUND</v>
      </c>
      <c r="O262" s="177" t="str">
        <f>VLOOKUP(M262,'Unit of Measure ship March 2026'!A:C,3,false)</f>
        <v>LBS</v>
      </c>
      <c r="P262" s="177"/>
      <c r="Q262" s="177"/>
      <c r="R262" s="177"/>
      <c r="S262" s="177"/>
      <c r="T262" s="177"/>
      <c r="U262" s="177"/>
      <c r="V262" s="177"/>
      <c r="W262" s="76"/>
      <c r="X262" s="76"/>
      <c r="Y262" s="76"/>
      <c r="Z262" s="76"/>
    </row>
    <row r="263">
      <c r="A263" s="176"/>
      <c r="B263" s="177"/>
      <c r="C263" s="177"/>
      <c r="D263" s="177"/>
      <c r="E263" s="176">
        <v>10019.0</v>
      </c>
      <c r="F263" s="177" t="str">
        <f>VLOOKUP(E263,'FML March 2026'!E:F,2,false)</f>
        <v>TEA, TWININGS JASMINE GREEN TEA (USA)</v>
      </c>
      <c r="G263" s="177" t="str">
        <f>VLOOKUP(E263,'Unit of Measure ship March 2026'!A:C,3,false)</f>
        <v>PK/25PC</v>
      </c>
      <c r="H263" s="177"/>
      <c r="I263" s="176"/>
      <c r="J263" s="177"/>
      <c r="K263" s="177"/>
      <c r="L263" s="177"/>
      <c r="M263" s="176">
        <v>79609.0</v>
      </c>
      <c r="N263" s="177" t="str">
        <f>VLOOKUP(M263,'FML March 2026'!E:F,2,false)</f>
        <v>VEGAN SUGAR ORGANIC (BONE CHAR FREE ) WHOLESOME</v>
      </c>
      <c r="O263" s="177" t="str">
        <f>VLOOKUP(M263,'Unit of Measure ship March 2026'!A:C,3,false)</f>
        <v>LBS</v>
      </c>
      <c r="P263" s="177"/>
      <c r="Q263" s="177"/>
      <c r="R263" s="177"/>
      <c r="S263" s="177"/>
      <c r="T263" s="177"/>
      <c r="U263" s="177"/>
      <c r="V263" s="177"/>
      <c r="W263" s="76"/>
      <c r="X263" s="76"/>
      <c r="Y263" s="76"/>
      <c r="Z263" s="76"/>
    </row>
    <row r="264">
      <c r="A264" s="176"/>
      <c r="B264" s="177"/>
      <c r="C264" s="177"/>
      <c r="D264" s="177"/>
      <c r="E264" s="176">
        <v>16951.0</v>
      </c>
      <c r="F264" s="177" t="str">
        <f>VLOOKUP(E264,'FML March 2026'!E:F,2,false)</f>
        <v>TOFU SILKY SOFT (KINU TOFU)</v>
      </c>
      <c r="G264" s="177" t="str">
        <f>VLOOKUP(E264,'Unit of Measure ship March 2026'!A:C,3,false)</f>
        <v>PC/12OZ</v>
      </c>
      <c r="H264" s="177"/>
      <c r="I264" s="176"/>
      <c r="J264" s="177"/>
      <c r="K264" s="177"/>
      <c r="L264" s="177"/>
      <c r="M264" s="176">
        <v>109665.0</v>
      </c>
      <c r="N264" s="177" t="str">
        <f>VLOOKUP(M264,'FML March 2026'!E:F,2,false)</f>
        <v>VINEGAR CABERNET SPARROW LANE</v>
      </c>
      <c r="O264" s="177" t="str">
        <f>VLOOKUP(M264,'Unit of Measure ship March 2026'!A:C,3,false)</f>
        <v>GAL</v>
      </c>
      <c r="P264" s="177"/>
      <c r="Q264" s="177"/>
      <c r="R264" s="177"/>
      <c r="S264" s="177"/>
      <c r="T264" s="177"/>
      <c r="U264" s="177"/>
      <c r="V264" s="177"/>
      <c r="W264" s="76"/>
      <c r="X264" s="76"/>
      <c r="Y264" s="76"/>
      <c r="Z264" s="76"/>
    </row>
    <row r="265">
      <c r="A265" s="176"/>
      <c r="B265" s="177"/>
      <c r="C265" s="177"/>
      <c r="D265" s="177"/>
      <c r="E265" s="176">
        <v>109621.0</v>
      </c>
      <c r="F265" s="177" t="str">
        <f>VLOOKUP(E265,'FML March 2026'!E:F,2,false)</f>
        <v>VERSAWHIP WHIPPING AGENT AMULAR</v>
      </c>
      <c r="G265" s="177" t="str">
        <f>VLOOKUP(E265,'Unit of Measure ship March 2026'!A:C,3,false)</f>
        <v>KG</v>
      </c>
      <c r="H265" s="177"/>
      <c r="I265" s="176"/>
      <c r="J265" s="177"/>
      <c r="K265" s="177"/>
      <c r="L265" s="177"/>
      <c r="M265" s="176">
        <v>15802.0</v>
      </c>
      <c r="N265" s="177" t="str">
        <f>VLOOKUP(M265,'FML March 2026'!E:F,2,false)</f>
        <v>WALNUTS LARGE HALVES</v>
      </c>
      <c r="O265" s="177" t="str">
        <f>VLOOKUP(M265,'Unit of Measure ship March 2026'!A:C,3,false)</f>
        <v>LBS</v>
      </c>
      <c r="P265" s="177"/>
      <c r="Q265" s="177"/>
      <c r="R265" s="177"/>
      <c r="S265" s="177"/>
      <c r="T265" s="177"/>
      <c r="U265" s="177"/>
      <c r="V265" s="177"/>
      <c r="W265" s="76"/>
      <c r="X265" s="76"/>
      <c r="Y265" s="76"/>
      <c r="Z265" s="76"/>
    </row>
    <row r="266">
      <c r="A266" s="176"/>
      <c r="B266" s="177"/>
      <c r="C266" s="177"/>
      <c r="D266" s="177"/>
      <c r="E266" s="176">
        <v>15802.0</v>
      </c>
      <c r="F266" s="177" t="str">
        <f>VLOOKUP(E266,'FML March 2026'!E:F,2,false)</f>
        <v>WALNUTS LARGE HALVES</v>
      </c>
      <c r="G266" s="177" t="str">
        <f>VLOOKUP(E266,'Unit of Measure ship March 2026'!A:C,3,false)</f>
        <v>LBS</v>
      </c>
      <c r="H266" s="177"/>
      <c r="I266" s="176"/>
      <c r="J266" s="177"/>
      <c r="K266" s="177"/>
      <c r="L266" s="177"/>
      <c r="M266" s="176">
        <v>15732.0</v>
      </c>
      <c r="N266" s="177" t="str">
        <f>VLOOKUP(M266,'FML March 2026'!E:F,2,false)</f>
        <v>WHEAT, BULGUR WHEAT CS6/2LB INHARVEST</v>
      </c>
      <c r="O266" s="177" t="str">
        <f>VLOOKUP(M266,'Unit of Measure ship March 2026'!A:C,3,false)</f>
        <v>LBS</v>
      </c>
      <c r="P266" s="177"/>
      <c r="Q266" s="177"/>
      <c r="R266" s="177"/>
      <c r="S266" s="177"/>
      <c r="T266" s="177"/>
      <c r="U266" s="177"/>
      <c r="V266" s="177"/>
      <c r="W266" s="76"/>
      <c r="X266" s="76"/>
      <c r="Y266" s="76"/>
      <c r="Z266" s="76"/>
    </row>
    <row r="267">
      <c r="A267" s="176"/>
      <c r="B267" s="177"/>
      <c r="C267" s="177"/>
      <c r="D267" s="177"/>
      <c r="E267" s="176">
        <v>38071.0</v>
      </c>
      <c r="F267" s="177" t="str">
        <f>VLOOKUP(E267,'FML March 2026'!E:F,2,false)</f>
        <v>WASABI POWDER SANWA JAPANESE</v>
      </c>
      <c r="G267" s="177" t="str">
        <f>VLOOKUP(E267,'Unit of Measure ship March 2026'!A:C,3,false)</f>
        <v>KG</v>
      </c>
      <c r="H267" s="177"/>
      <c r="I267" s="176"/>
      <c r="J267" s="177"/>
      <c r="K267" s="177"/>
      <c r="L267" s="177"/>
      <c r="M267" s="176">
        <v>49450.0</v>
      </c>
      <c r="N267" s="177" t="str">
        <f>VLOOKUP(M267,'FML March 2026'!E:F,2,false)</f>
        <v>WHIPPING CREAM (35% TO 36%) UHT</v>
      </c>
      <c r="O267" s="177" t="str">
        <f>VLOOKUP(M267,'Unit of Measure ship March 2026'!A:C,3,false)</f>
        <v>QRT</v>
      </c>
      <c r="P267" s="177"/>
      <c r="Q267" s="177"/>
      <c r="R267" s="177"/>
      <c r="S267" s="177"/>
      <c r="T267" s="177"/>
      <c r="U267" s="177"/>
      <c r="V267" s="177"/>
      <c r="W267" s="76"/>
      <c r="X267" s="76"/>
      <c r="Y267" s="76"/>
      <c r="Z267" s="76"/>
    </row>
    <row r="268">
      <c r="A268" s="176"/>
      <c r="B268" s="177"/>
      <c r="C268" s="177"/>
      <c r="D268" s="177"/>
      <c r="E268" s="176">
        <v>49450.0</v>
      </c>
      <c r="F268" s="177" t="str">
        <f>VLOOKUP(E268,'FML March 2026'!E:F,2,false)</f>
        <v>WHIPPING CREAM (35% TO 36%) UHT</v>
      </c>
      <c r="G268" s="177" t="str">
        <f>VLOOKUP(E268,'Unit of Measure ship March 2026'!A:C,3,false)</f>
        <v>QRT</v>
      </c>
      <c r="H268" s="177"/>
      <c r="I268" s="176"/>
      <c r="J268" s="177"/>
      <c r="K268" s="177"/>
      <c r="L268" s="177"/>
      <c r="M268" s="176">
        <v>16387.0</v>
      </c>
      <c r="N268" s="177" t="str">
        <f>VLOOKUP(M268,'FML March 2026'!E:F,2,false)</f>
        <v>WHITE TRUFFLE OIL</v>
      </c>
      <c r="O268" s="177" t="str">
        <f>VLOOKUP(M268,'Unit of Measure ship March 2026'!A:C,3,false)</f>
        <v>BT/250ML</v>
      </c>
      <c r="P268" s="177"/>
      <c r="Q268" s="177"/>
      <c r="R268" s="177"/>
      <c r="S268" s="177"/>
      <c r="T268" s="177"/>
      <c r="U268" s="177"/>
      <c r="V268" s="177"/>
      <c r="W268" s="76"/>
      <c r="X268" s="76"/>
      <c r="Y268" s="76"/>
      <c r="Z268" s="76"/>
    </row>
    <row r="269">
      <c r="A269" s="176"/>
      <c r="B269" s="177"/>
      <c r="C269" s="177"/>
      <c r="D269" s="177"/>
      <c r="E269" s="176">
        <v>102288.0</v>
      </c>
      <c r="F269" s="177" t="str">
        <f>VLOOKUP(E269,'FML March 2026'!E:F,2,false)</f>
        <v>XANTHAN GUM (AUSTRIA)</v>
      </c>
      <c r="G269" s="177" t="str">
        <f>VLOOKUP(E269,'Unit of Measure ship March 2026'!A:C,3,false)</f>
        <v>LBS</v>
      </c>
      <c r="H269" s="177"/>
      <c r="I269" s="176"/>
      <c r="J269" s="177"/>
      <c r="K269" s="177"/>
      <c r="L269" s="177"/>
      <c r="M269" s="176">
        <v>15032.0</v>
      </c>
      <c r="N269" s="177" t="str">
        <f>VLOOKUP(M269,'FML March 2026'!E:F,2,false)</f>
        <v>YEAST ACTIVE 24/1# FRESH &amp; REFRIGERATED, FLEISCHMANS</v>
      </c>
      <c r="O269" s="177" t="str">
        <f>VLOOKUP(M269,'Unit of Measure ship March 2026'!A:C,3,false)</f>
        <v>LBS</v>
      </c>
      <c r="P269" s="177"/>
      <c r="Q269" s="177"/>
      <c r="R269" s="177"/>
      <c r="S269" s="177"/>
      <c r="T269" s="177"/>
      <c r="U269" s="177"/>
      <c r="V269" s="177"/>
      <c r="W269" s="76"/>
      <c r="X269" s="76"/>
      <c r="Y269" s="76"/>
      <c r="Z269" s="76"/>
    </row>
    <row r="270">
      <c r="A270" s="176"/>
      <c r="B270" s="177"/>
      <c r="C270" s="177"/>
      <c r="D270" s="177"/>
      <c r="E270" s="176">
        <v>109846.0</v>
      </c>
      <c r="F270" s="177" t="str">
        <f>VLOOKUP(E270,'FML March 2026'!E:F,2,false)</f>
        <v>YOGURT GREEK BULK</v>
      </c>
      <c r="G270" s="177" t="str">
        <f>VLOOKUP(E270,'Unit of Measure ship March 2026'!A:C,3,false)</f>
        <v>LBS</v>
      </c>
      <c r="H270" s="177"/>
      <c r="I270" s="176"/>
      <c r="J270" s="177"/>
      <c r="K270" s="177"/>
      <c r="L270" s="177"/>
      <c r="M270" s="176">
        <v>109846.0</v>
      </c>
      <c r="N270" s="177" t="str">
        <f>VLOOKUP(M270,'FML March 2026'!E:F,2,false)</f>
        <v>YOGURT GREEK BULK</v>
      </c>
      <c r="O270" s="177" t="str">
        <f>VLOOKUP(M270,'Unit of Measure ship March 2026'!A:C,3,false)</f>
        <v>LBS</v>
      </c>
      <c r="P270" s="177"/>
      <c r="Q270" s="177"/>
      <c r="R270" s="177"/>
      <c r="S270" s="177"/>
      <c r="T270" s="177"/>
      <c r="U270" s="177"/>
      <c r="V270" s="177"/>
      <c r="W270" s="76"/>
      <c r="X270" s="76"/>
      <c r="Y270" s="76"/>
      <c r="Z270" s="76"/>
    </row>
    <row r="271">
      <c r="A271" s="176"/>
      <c r="B271" s="177"/>
      <c r="C271" s="177"/>
      <c r="D271" s="177"/>
      <c r="E271" s="176">
        <v>14906.0</v>
      </c>
      <c r="F271" s="177" t="str">
        <f>VLOOKUP(E271,'FML March 2026'!E:F,2,false)</f>
        <v>YOGURT PLAIN BULK, UNSWEETENED,</v>
      </c>
      <c r="G271" s="177" t="str">
        <f>VLOOKUP(E271,'Unit of Measure ship March 2026'!A:C,3,false)</f>
        <v>LBS</v>
      </c>
      <c r="H271" s="177"/>
      <c r="I271" s="176"/>
      <c r="J271" s="177"/>
      <c r="K271" s="177"/>
      <c r="L271" s="177"/>
      <c r="M271" s="176">
        <v>14906.0</v>
      </c>
      <c r="N271" s="177" t="str">
        <f>VLOOKUP(M271,'FML March 2026'!E:F,2,false)</f>
        <v>YOGURT PLAIN BULK, UNSWEETENED,</v>
      </c>
      <c r="O271" s="177" t="str">
        <f>VLOOKUP(M271,'Unit of Measure ship March 2026'!A:C,3,false)</f>
        <v>LBS</v>
      </c>
      <c r="P271" s="177"/>
      <c r="Q271" s="177"/>
      <c r="R271" s="177"/>
      <c r="S271" s="177"/>
      <c r="T271" s="177"/>
      <c r="U271" s="177"/>
      <c r="V271" s="177"/>
      <c r="W271" s="76"/>
      <c r="X271" s="76"/>
      <c r="Y271" s="76"/>
      <c r="Z271" s="76"/>
    </row>
    <row r="272">
      <c r="A272" s="176"/>
      <c r="B272" s="177"/>
      <c r="C272" s="177"/>
      <c r="D272" s="177"/>
      <c r="E272" s="176">
        <v>19409.0</v>
      </c>
      <c r="F272" s="177" t="str">
        <f>VLOOKUP(E272,'FML March 2026'!E:F,2,false)</f>
        <v>YUZU JUICE PURE UNSEASONED SHIBORI YAKAMI ORCHARD</v>
      </c>
      <c r="G272" s="177" t="str">
        <f>VLOOKUP(E272,'Unit of Measure ship March 2026'!A:C,3,false)</f>
        <v>BT/750ML</v>
      </c>
      <c r="H272" s="177"/>
      <c r="I272" s="176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76"/>
      <c r="X272" s="76"/>
      <c r="Y272" s="76"/>
      <c r="Z272" s="76"/>
    </row>
    <row r="273">
      <c r="A273" s="176"/>
      <c r="B273" s="177"/>
      <c r="C273" s="177"/>
      <c r="D273" s="177"/>
      <c r="E273" s="176"/>
      <c r="F273" s="177"/>
      <c r="G273" s="177"/>
      <c r="H273" s="177"/>
      <c r="I273" s="176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76"/>
      <c r="X273" s="76"/>
      <c r="Y273" s="76"/>
      <c r="Z273" s="76"/>
    </row>
    <row r="274">
      <c r="A274" s="176"/>
      <c r="B274" s="177"/>
      <c r="C274" s="177"/>
      <c r="D274" s="177"/>
      <c r="E274" s="176"/>
      <c r="F274" s="177"/>
      <c r="G274" s="177"/>
      <c r="H274" s="177"/>
      <c r="I274" s="176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76"/>
      <c r="X274" s="76"/>
      <c r="Y274" s="76"/>
      <c r="Z274" s="76"/>
    </row>
    <row r="275">
      <c r="A275" s="176"/>
      <c r="B275" s="177"/>
      <c r="C275" s="177"/>
      <c r="D275" s="177"/>
      <c r="E275" s="176"/>
      <c r="F275" s="177"/>
      <c r="G275" s="177"/>
      <c r="H275" s="177"/>
      <c r="I275" s="176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76"/>
      <c r="X275" s="76"/>
      <c r="Y275" s="76"/>
      <c r="Z275" s="76"/>
    </row>
    <row r="276">
      <c r="A276" s="176"/>
      <c r="B276" s="177"/>
      <c r="C276" s="177"/>
      <c r="D276" s="177"/>
      <c r="E276" s="176"/>
      <c r="F276" s="177"/>
      <c r="G276" s="177"/>
      <c r="H276" s="177"/>
      <c r="I276" s="176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76"/>
      <c r="X276" s="76"/>
      <c r="Y276" s="76"/>
      <c r="Z276" s="76"/>
    </row>
    <row r="277">
      <c r="A277" s="176"/>
      <c r="B277" s="177"/>
      <c r="C277" s="177"/>
      <c r="D277" s="177"/>
      <c r="E277" s="176"/>
      <c r="F277" s="177"/>
      <c r="G277" s="177"/>
      <c r="H277" s="177"/>
      <c r="I277" s="176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76"/>
      <c r="X277" s="76"/>
      <c r="Y277" s="76"/>
      <c r="Z277" s="76"/>
    </row>
    <row r="278">
      <c r="A278" s="176"/>
      <c r="B278" s="177"/>
      <c r="C278" s="177"/>
      <c r="D278" s="177"/>
      <c r="E278" s="176"/>
      <c r="F278" s="177"/>
      <c r="G278" s="177"/>
      <c r="H278" s="177"/>
      <c r="I278" s="176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76"/>
      <c r="X278" s="76"/>
      <c r="Y278" s="76"/>
      <c r="Z278" s="76"/>
    </row>
    <row r="279">
      <c r="A279" s="176"/>
      <c r="B279" s="177"/>
      <c r="C279" s="177"/>
      <c r="D279" s="177"/>
      <c r="E279" s="176"/>
      <c r="F279" s="177"/>
      <c r="G279" s="177"/>
      <c r="H279" s="177"/>
      <c r="I279" s="176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76"/>
      <c r="X279" s="76"/>
      <c r="Y279" s="76"/>
      <c r="Z279" s="76"/>
    </row>
    <row r="280">
      <c r="A280" s="176"/>
      <c r="B280" s="177"/>
      <c r="C280" s="177"/>
      <c r="D280" s="177"/>
      <c r="E280" s="176"/>
      <c r="F280" s="177"/>
      <c r="G280" s="177"/>
      <c r="H280" s="177"/>
      <c r="I280" s="176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76"/>
      <c r="X280" s="76"/>
      <c r="Y280" s="76"/>
      <c r="Z280" s="76"/>
    </row>
    <row r="281">
      <c r="A281" s="176"/>
      <c r="B281" s="177"/>
      <c r="C281" s="177"/>
      <c r="D281" s="177"/>
      <c r="E281" s="176"/>
      <c r="F281" s="177"/>
      <c r="G281" s="177"/>
      <c r="H281" s="177"/>
      <c r="I281" s="176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76"/>
      <c r="X281" s="76"/>
      <c r="Y281" s="76"/>
      <c r="Z281" s="76"/>
    </row>
    <row r="282">
      <c r="A282" s="176"/>
      <c r="B282" s="177"/>
      <c r="C282" s="177"/>
      <c r="D282" s="177"/>
      <c r="E282" s="176"/>
      <c r="F282" s="177"/>
      <c r="G282" s="177"/>
      <c r="H282" s="177"/>
      <c r="I282" s="176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76"/>
      <c r="X282" s="76"/>
      <c r="Y282" s="76"/>
      <c r="Z282" s="76"/>
    </row>
    <row r="283">
      <c r="A283" s="176"/>
      <c r="B283" s="177"/>
      <c r="C283" s="177"/>
      <c r="D283" s="177"/>
      <c r="E283" s="176"/>
      <c r="F283" s="177"/>
      <c r="G283" s="177"/>
      <c r="H283" s="177"/>
      <c r="I283" s="176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76"/>
      <c r="X283" s="76"/>
      <c r="Y283" s="76"/>
      <c r="Z283" s="76"/>
    </row>
    <row r="284">
      <c r="A284" s="176"/>
      <c r="B284" s="177"/>
      <c r="C284" s="177"/>
      <c r="D284" s="177"/>
      <c r="E284" s="176"/>
      <c r="F284" s="177"/>
      <c r="G284" s="177"/>
      <c r="H284" s="177"/>
      <c r="I284" s="176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76"/>
      <c r="X284" s="76"/>
      <c r="Y284" s="76"/>
      <c r="Z284" s="76"/>
    </row>
    <row r="285">
      <c r="A285" s="176"/>
      <c r="B285" s="177"/>
      <c r="C285" s="177"/>
      <c r="D285" s="177"/>
      <c r="E285" s="176"/>
      <c r="F285" s="177"/>
      <c r="G285" s="177"/>
      <c r="H285" s="177"/>
      <c r="I285" s="176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76"/>
      <c r="X285" s="76"/>
      <c r="Y285" s="76"/>
      <c r="Z285" s="76"/>
    </row>
    <row r="286">
      <c r="A286" s="176"/>
      <c r="B286" s="177"/>
      <c r="C286" s="177"/>
      <c r="D286" s="177"/>
      <c r="E286" s="176"/>
      <c r="F286" s="177"/>
      <c r="G286" s="177"/>
      <c r="H286" s="177"/>
      <c r="I286" s="176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76"/>
      <c r="X286" s="76"/>
      <c r="Y286" s="76"/>
      <c r="Z286" s="76"/>
    </row>
    <row r="287">
      <c r="A287" s="176"/>
      <c r="B287" s="177"/>
      <c r="C287" s="177"/>
      <c r="D287" s="177"/>
      <c r="E287" s="176"/>
      <c r="F287" s="177"/>
      <c r="G287" s="177"/>
      <c r="H287" s="177"/>
      <c r="I287" s="176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76"/>
      <c r="X287" s="76"/>
      <c r="Y287" s="76"/>
      <c r="Z287" s="76"/>
    </row>
    <row r="288">
      <c r="A288" s="176"/>
      <c r="B288" s="177"/>
      <c r="C288" s="177"/>
      <c r="D288" s="177"/>
      <c r="E288" s="176"/>
      <c r="F288" s="177"/>
      <c r="G288" s="177"/>
      <c r="H288" s="177"/>
      <c r="I288" s="176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76"/>
      <c r="X288" s="76"/>
      <c r="Y288" s="76"/>
      <c r="Z288" s="76"/>
    </row>
    <row r="289">
      <c r="A289" s="176"/>
      <c r="B289" s="177"/>
      <c r="C289" s="177"/>
      <c r="D289" s="177"/>
      <c r="E289" s="176"/>
      <c r="F289" s="177"/>
      <c r="G289" s="177"/>
      <c r="H289" s="177"/>
      <c r="I289" s="176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76"/>
      <c r="X289" s="76"/>
      <c r="Y289" s="76"/>
      <c r="Z289" s="76"/>
    </row>
    <row r="290">
      <c r="A290" s="176"/>
      <c r="B290" s="177"/>
      <c r="C290" s="177"/>
      <c r="D290" s="177"/>
      <c r="E290" s="176"/>
      <c r="F290" s="177"/>
      <c r="G290" s="177"/>
      <c r="H290" s="177"/>
      <c r="I290" s="176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76"/>
      <c r="X290" s="76"/>
      <c r="Y290" s="76"/>
      <c r="Z290" s="76"/>
    </row>
    <row r="291">
      <c r="A291" s="176"/>
      <c r="B291" s="177"/>
      <c r="C291" s="177"/>
      <c r="D291" s="177"/>
      <c r="E291" s="176"/>
      <c r="F291" s="177"/>
      <c r="G291" s="177"/>
      <c r="H291" s="177"/>
      <c r="I291" s="176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76"/>
      <c r="X291" s="76"/>
      <c r="Y291" s="76"/>
      <c r="Z291" s="76"/>
    </row>
    <row r="292">
      <c r="A292" s="176"/>
      <c r="B292" s="177"/>
      <c r="C292" s="177"/>
      <c r="D292" s="177"/>
      <c r="E292" s="176"/>
      <c r="F292" s="177"/>
      <c r="G292" s="177"/>
      <c r="H292" s="177"/>
      <c r="I292" s="176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76"/>
      <c r="X292" s="76"/>
      <c r="Y292" s="76"/>
      <c r="Z292" s="76"/>
    </row>
    <row r="293">
      <c r="A293" s="176"/>
      <c r="B293" s="177"/>
      <c r="C293" s="177"/>
      <c r="D293" s="177"/>
      <c r="E293" s="176"/>
      <c r="F293" s="177"/>
      <c r="G293" s="177"/>
      <c r="H293" s="177"/>
      <c r="I293" s="176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76"/>
      <c r="X293" s="76"/>
      <c r="Y293" s="76"/>
      <c r="Z293" s="76"/>
    </row>
    <row r="294">
      <c r="A294" s="176"/>
      <c r="B294" s="177"/>
      <c r="C294" s="177"/>
      <c r="D294" s="177"/>
      <c r="E294" s="176"/>
      <c r="F294" s="177"/>
      <c r="G294" s="177"/>
      <c r="H294" s="177"/>
      <c r="I294" s="176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76"/>
      <c r="X294" s="76"/>
      <c r="Y294" s="76"/>
      <c r="Z294" s="76"/>
    </row>
    <row r="295">
      <c r="A295" s="176"/>
      <c r="B295" s="177"/>
      <c r="C295" s="177"/>
      <c r="D295" s="177"/>
      <c r="E295" s="176"/>
      <c r="F295" s="177"/>
      <c r="G295" s="177"/>
      <c r="H295" s="177"/>
      <c r="I295" s="176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76"/>
      <c r="X295" s="76"/>
      <c r="Y295" s="76"/>
      <c r="Z295" s="76"/>
    </row>
    <row r="296">
      <c r="A296" s="176"/>
      <c r="B296" s="177"/>
      <c r="C296" s="177"/>
      <c r="D296" s="177"/>
      <c r="E296" s="176"/>
      <c r="F296" s="177"/>
      <c r="G296" s="177"/>
      <c r="H296" s="177"/>
      <c r="I296" s="176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76"/>
      <c r="X296" s="76"/>
      <c r="Y296" s="76"/>
      <c r="Z296" s="76"/>
    </row>
    <row r="297">
      <c r="A297" s="176"/>
      <c r="B297" s="177"/>
      <c r="C297" s="177"/>
      <c r="D297" s="177"/>
      <c r="E297" s="176"/>
      <c r="F297" s="177"/>
      <c r="G297" s="177"/>
      <c r="H297" s="177"/>
      <c r="I297" s="176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76"/>
      <c r="X297" s="76"/>
      <c r="Y297" s="76"/>
      <c r="Z297" s="76"/>
    </row>
    <row r="298">
      <c r="A298" s="176"/>
      <c r="B298" s="177"/>
      <c r="C298" s="177"/>
      <c r="D298" s="177"/>
      <c r="E298" s="176"/>
      <c r="F298" s="177"/>
      <c r="G298" s="177"/>
      <c r="H298" s="177"/>
      <c r="I298" s="176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76"/>
      <c r="X298" s="76"/>
      <c r="Y298" s="76"/>
      <c r="Z298" s="76"/>
    </row>
    <row r="299">
      <c r="A299" s="183"/>
      <c r="B299" s="184"/>
      <c r="C299" s="184"/>
      <c r="D299" s="184"/>
      <c r="E299" s="183"/>
      <c r="F299" s="184"/>
      <c r="G299" s="184"/>
      <c r="H299" s="184"/>
      <c r="I299" s="183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</row>
    <row r="300">
      <c r="A300" s="183"/>
      <c r="B300" s="184"/>
      <c r="C300" s="184"/>
      <c r="D300" s="184"/>
      <c r="E300" s="183"/>
      <c r="F300" s="184"/>
      <c r="G300" s="184"/>
      <c r="H300" s="184"/>
      <c r="I300" s="183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</row>
    <row r="301">
      <c r="A301" s="8"/>
      <c r="E301" s="8"/>
      <c r="I301" s="8"/>
    </row>
    <row r="302">
      <c r="A302" s="8"/>
      <c r="E302" s="8"/>
      <c r="I302" s="8"/>
    </row>
    <row r="303">
      <c r="A303" s="8"/>
      <c r="E303" s="8"/>
      <c r="I303" s="8"/>
    </row>
    <row r="304">
      <c r="A304" s="8"/>
      <c r="E304" s="8"/>
      <c r="I304" s="8"/>
    </row>
    <row r="305">
      <c r="A305" s="8"/>
      <c r="E305" s="8"/>
      <c r="I305" s="8"/>
    </row>
    <row r="306">
      <c r="A306" s="8"/>
      <c r="E306" s="8"/>
      <c r="I306" s="8"/>
    </row>
    <row r="307">
      <c r="A307" s="8"/>
      <c r="E307" s="8"/>
      <c r="I307" s="8"/>
    </row>
    <row r="308">
      <c r="A308" s="8"/>
      <c r="E308" s="8"/>
      <c r="I308" s="8"/>
    </row>
    <row r="309">
      <c r="A309" s="8"/>
      <c r="E309" s="8"/>
      <c r="I309" s="8"/>
    </row>
    <row r="310">
      <c r="A310" s="8"/>
      <c r="E310" s="8"/>
      <c r="I310" s="8"/>
    </row>
    <row r="311">
      <c r="A311" s="8"/>
      <c r="E311" s="8"/>
      <c r="I311" s="8"/>
    </row>
    <row r="312">
      <c r="A312" s="8"/>
      <c r="E312" s="8"/>
      <c r="I312" s="8"/>
    </row>
    <row r="313">
      <c r="A313" s="8"/>
      <c r="E313" s="8"/>
      <c r="I313" s="8"/>
    </row>
    <row r="314">
      <c r="A314" s="8"/>
      <c r="E314" s="8"/>
      <c r="I314" s="8"/>
    </row>
    <row r="315">
      <c r="A315" s="8"/>
      <c r="E315" s="8"/>
      <c r="I315" s="8"/>
    </row>
    <row r="316">
      <c r="A316" s="8"/>
      <c r="E316" s="8"/>
      <c r="I316" s="8"/>
    </row>
    <row r="317">
      <c r="A317" s="8"/>
      <c r="E317" s="8"/>
      <c r="I317" s="8"/>
    </row>
    <row r="318">
      <c r="A318" s="8"/>
      <c r="E318" s="8"/>
      <c r="I318" s="8"/>
    </row>
    <row r="319">
      <c r="A319" s="8"/>
      <c r="E319" s="8"/>
      <c r="I319" s="8"/>
    </row>
    <row r="320">
      <c r="A320" s="8"/>
      <c r="E320" s="8"/>
      <c r="I320" s="8"/>
    </row>
    <row r="321">
      <c r="A321" s="8"/>
      <c r="E321" s="8"/>
      <c r="I321" s="8"/>
    </row>
    <row r="322">
      <c r="A322" s="8"/>
      <c r="E322" s="8"/>
      <c r="I322" s="8"/>
    </row>
    <row r="323">
      <c r="A323" s="8"/>
      <c r="E323" s="8"/>
      <c r="I323" s="8"/>
    </row>
    <row r="324">
      <c r="A324" s="8"/>
      <c r="E324" s="8"/>
      <c r="I324" s="8"/>
    </row>
    <row r="325">
      <c r="A325" s="8"/>
      <c r="E325" s="8"/>
      <c r="I325" s="8"/>
    </row>
    <row r="326">
      <c r="A326" s="8"/>
      <c r="E326" s="8"/>
      <c r="I326" s="8"/>
    </row>
    <row r="327">
      <c r="A327" s="8"/>
      <c r="E327" s="8"/>
      <c r="I327" s="8"/>
    </row>
    <row r="328">
      <c r="A328" s="8"/>
      <c r="E328" s="8"/>
      <c r="I328" s="8"/>
    </row>
    <row r="329">
      <c r="A329" s="8"/>
      <c r="E329" s="8"/>
      <c r="I329" s="8"/>
    </row>
    <row r="330">
      <c r="A330" s="8"/>
      <c r="E330" s="8"/>
      <c r="I330" s="8"/>
    </row>
    <row r="331">
      <c r="A331" s="8"/>
      <c r="E331" s="8"/>
      <c r="I331" s="8"/>
    </row>
    <row r="332">
      <c r="A332" s="8"/>
      <c r="E332" s="8"/>
      <c r="I332" s="8"/>
    </row>
    <row r="333">
      <c r="A333" s="8"/>
      <c r="E333" s="8"/>
      <c r="I333" s="8"/>
    </row>
    <row r="334">
      <c r="A334" s="8"/>
      <c r="E334" s="8"/>
      <c r="I334" s="8"/>
    </row>
    <row r="335">
      <c r="A335" s="8"/>
      <c r="E335" s="8"/>
      <c r="I335" s="8"/>
    </row>
    <row r="336">
      <c r="A336" s="8"/>
      <c r="E336" s="8"/>
      <c r="I336" s="8"/>
    </row>
    <row r="337">
      <c r="A337" s="8"/>
      <c r="E337" s="8"/>
      <c r="I337" s="8"/>
    </row>
    <row r="338">
      <c r="A338" s="8"/>
      <c r="E338" s="8"/>
      <c r="I338" s="8"/>
    </row>
    <row r="339">
      <c r="A339" s="8"/>
      <c r="E339" s="8"/>
      <c r="I339" s="8"/>
    </row>
    <row r="340">
      <c r="A340" s="8"/>
      <c r="E340" s="8"/>
      <c r="I340" s="8"/>
    </row>
    <row r="341">
      <c r="A341" s="8"/>
      <c r="E341" s="8"/>
      <c r="I341" s="8"/>
    </row>
    <row r="342">
      <c r="A342" s="8"/>
      <c r="E342" s="8"/>
      <c r="I342" s="8"/>
    </row>
    <row r="343">
      <c r="A343" s="8"/>
      <c r="E343" s="8"/>
      <c r="I343" s="8"/>
    </row>
    <row r="344">
      <c r="A344" s="8"/>
      <c r="E344" s="8"/>
      <c r="I344" s="8"/>
    </row>
    <row r="345">
      <c r="A345" s="8"/>
      <c r="E345" s="8"/>
      <c r="I345" s="8"/>
    </row>
    <row r="346">
      <c r="A346" s="8"/>
      <c r="E346" s="8"/>
      <c r="I346" s="8"/>
    </row>
    <row r="347">
      <c r="A347" s="8"/>
      <c r="E347" s="8"/>
      <c r="I347" s="8"/>
    </row>
    <row r="348">
      <c r="A348" s="8"/>
      <c r="E348" s="8"/>
      <c r="I348" s="8"/>
    </row>
    <row r="349">
      <c r="A349" s="8"/>
      <c r="E349" s="8"/>
      <c r="I349" s="8"/>
    </row>
    <row r="350">
      <c r="A350" s="8"/>
      <c r="E350" s="8"/>
      <c r="I350" s="8"/>
    </row>
    <row r="351">
      <c r="A351" s="8"/>
      <c r="E351" s="8"/>
      <c r="I351" s="8"/>
    </row>
    <row r="352">
      <c r="A352" s="8"/>
      <c r="E352" s="8"/>
      <c r="I352" s="8"/>
    </row>
    <row r="353">
      <c r="A353" s="8"/>
      <c r="E353" s="8"/>
      <c r="I353" s="8"/>
    </row>
    <row r="354">
      <c r="A354" s="8"/>
      <c r="E354" s="8"/>
      <c r="I354" s="8"/>
    </row>
    <row r="355">
      <c r="A355" s="8"/>
      <c r="E355" s="8"/>
      <c r="I355" s="8"/>
    </row>
    <row r="356">
      <c r="A356" s="8"/>
      <c r="E356" s="8"/>
      <c r="I356" s="8"/>
    </row>
    <row r="357">
      <c r="A357" s="8"/>
      <c r="E357" s="8"/>
      <c r="I357" s="8"/>
    </row>
    <row r="358">
      <c r="A358" s="8"/>
      <c r="E358" s="8"/>
      <c r="I358" s="8"/>
    </row>
    <row r="359">
      <c r="A359" s="8"/>
      <c r="E359" s="8"/>
      <c r="I359" s="8"/>
    </row>
    <row r="360">
      <c r="A360" s="8"/>
      <c r="E360" s="8"/>
      <c r="I360" s="8"/>
    </row>
    <row r="361">
      <c r="A361" s="8"/>
      <c r="E361" s="8"/>
      <c r="I361" s="8"/>
    </row>
    <row r="362">
      <c r="A362" s="8"/>
      <c r="E362" s="8"/>
      <c r="I362" s="8"/>
    </row>
    <row r="363">
      <c r="A363" s="8"/>
      <c r="E363" s="8"/>
      <c r="I363" s="8"/>
    </row>
    <row r="364">
      <c r="A364" s="8"/>
      <c r="E364" s="8"/>
      <c r="I364" s="8"/>
    </row>
    <row r="365">
      <c r="A365" s="8"/>
      <c r="E365" s="8"/>
      <c r="I365" s="8"/>
    </row>
    <row r="366">
      <c r="A366" s="8"/>
      <c r="E366" s="8"/>
      <c r="I366" s="8"/>
    </row>
    <row r="367">
      <c r="A367" s="8"/>
      <c r="E367" s="8"/>
      <c r="I367" s="8"/>
    </row>
    <row r="368">
      <c r="A368" s="8"/>
      <c r="E368" s="8"/>
      <c r="I368" s="8"/>
    </row>
    <row r="369">
      <c r="A369" s="8"/>
      <c r="E369" s="8"/>
      <c r="I369" s="8"/>
    </row>
    <row r="370">
      <c r="A370" s="8"/>
      <c r="E370" s="8"/>
      <c r="I370" s="8"/>
    </row>
    <row r="371">
      <c r="A371" s="8"/>
      <c r="E371" s="8"/>
      <c r="I371" s="8"/>
    </row>
    <row r="372">
      <c r="A372" s="8"/>
      <c r="E372" s="8"/>
      <c r="I372" s="8"/>
    </row>
    <row r="373">
      <c r="A373" s="8"/>
      <c r="E373" s="8"/>
      <c r="I373" s="8"/>
    </row>
    <row r="374">
      <c r="A374" s="8"/>
      <c r="E374" s="8"/>
      <c r="I374" s="8"/>
    </row>
    <row r="375">
      <c r="A375" s="8"/>
      <c r="E375" s="8"/>
      <c r="I375" s="8"/>
    </row>
    <row r="376">
      <c r="A376" s="8"/>
      <c r="E376" s="8"/>
      <c r="I376" s="8"/>
    </row>
    <row r="377">
      <c r="A377" s="8"/>
      <c r="E377" s="8"/>
      <c r="I377" s="8"/>
    </row>
    <row r="378">
      <c r="A378" s="8"/>
      <c r="E378" s="8"/>
      <c r="I378" s="8"/>
    </row>
    <row r="379">
      <c r="A379" s="8"/>
      <c r="E379" s="8"/>
      <c r="I379" s="8"/>
    </row>
    <row r="380">
      <c r="A380" s="8"/>
      <c r="E380" s="8"/>
      <c r="I380" s="8"/>
    </row>
    <row r="381">
      <c r="A381" s="8"/>
      <c r="E381" s="8"/>
      <c r="I381" s="8"/>
    </row>
    <row r="382">
      <c r="A382" s="8"/>
      <c r="E382" s="8"/>
      <c r="I382" s="8"/>
    </row>
    <row r="383">
      <c r="A383" s="8"/>
      <c r="E383" s="8"/>
      <c r="I383" s="8"/>
    </row>
    <row r="384">
      <c r="A384" s="8"/>
      <c r="E384" s="8"/>
      <c r="I384" s="8"/>
    </row>
    <row r="385">
      <c r="A385" s="8"/>
      <c r="E385" s="8"/>
      <c r="I385" s="8"/>
    </row>
    <row r="386">
      <c r="A386" s="8"/>
      <c r="E386" s="8"/>
      <c r="I386" s="8"/>
    </row>
    <row r="387">
      <c r="A387" s="8"/>
      <c r="E387" s="8"/>
      <c r="I387" s="8"/>
    </row>
    <row r="388">
      <c r="A388" s="8"/>
      <c r="E388" s="8"/>
      <c r="I388" s="8"/>
    </row>
    <row r="389">
      <c r="A389" s="8"/>
      <c r="E389" s="8"/>
      <c r="I389" s="8"/>
    </row>
    <row r="390">
      <c r="A390" s="8"/>
      <c r="E390" s="8"/>
      <c r="I390" s="8"/>
    </row>
    <row r="391">
      <c r="A391" s="8"/>
      <c r="E391" s="8"/>
      <c r="I391" s="8"/>
    </row>
    <row r="392">
      <c r="A392" s="8"/>
      <c r="E392" s="8"/>
      <c r="I392" s="8"/>
    </row>
    <row r="393">
      <c r="A393" s="8"/>
      <c r="E393" s="8"/>
      <c r="I393" s="8"/>
    </row>
    <row r="394">
      <c r="A394" s="8"/>
      <c r="E394" s="8"/>
      <c r="I394" s="8"/>
    </row>
    <row r="395">
      <c r="A395" s="8"/>
      <c r="E395" s="8"/>
      <c r="I395" s="8"/>
    </row>
    <row r="396">
      <c r="A396" s="8"/>
      <c r="E396" s="8"/>
      <c r="I396" s="8"/>
    </row>
    <row r="397">
      <c r="A397" s="8"/>
      <c r="E397" s="8"/>
      <c r="I397" s="8"/>
      <c r="M397" s="8"/>
    </row>
    <row r="398">
      <c r="A398" s="8"/>
      <c r="E398" s="8"/>
      <c r="I398" s="8"/>
    </row>
    <row r="399">
      <c r="A399" s="8"/>
      <c r="E399" s="8"/>
      <c r="I399" s="8"/>
    </row>
    <row r="400">
      <c r="A400" s="8"/>
      <c r="E400" s="8"/>
      <c r="I400" s="8"/>
    </row>
    <row r="401">
      <c r="A401" s="8"/>
      <c r="E401" s="8"/>
      <c r="I401" s="8"/>
    </row>
    <row r="402">
      <c r="A402" s="8"/>
      <c r="E402" s="8"/>
      <c r="I402" s="8"/>
    </row>
    <row r="403">
      <c r="A403" s="8"/>
      <c r="E403" s="8"/>
      <c r="I403" s="8"/>
    </row>
    <row r="404">
      <c r="A404" s="8"/>
      <c r="E404" s="8"/>
      <c r="I404" s="8"/>
    </row>
    <row r="405">
      <c r="A405" s="8"/>
      <c r="E405" s="8"/>
      <c r="I405" s="8"/>
    </row>
    <row r="406">
      <c r="A406" s="8"/>
      <c r="E406" s="8"/>
      <c r="I406" s="8"/>
    </row>
    <row r="407">
      <c r="A407" s="8"/>
      <c r="E407" s="8"/>
      <c r="I407" s="8"/>
    </row>
    <row r="408">
      <c r="A408" s="8"/>
      <c r="E408" s="8"/>
      <c r="I408" s="8"/>
    </row>
    <row r="409">
      <c r="A409" s="8"/>
      <c r="E409" s="8"/>
      <c r="I409" s="8"/>
    </row>
    <row r="410">
      <c r="A410" s="8"/>
      <c r="E410" s="8"/>
      <c r="I410" s="8"/>
    </row>
    <row r="411">
      <c r="A411" s="8"/>
      <c r="E411" s="8"/>
      <c r="I411" s="8"/>
    </row>
    <row r="412">
      <c r="A412" s="8"/>
      <c r="E412" s="8"/>
      <c r="I412" s="8"/>
    </row>
    <row r="413">
      <c r="A413" s="8"/>
      <c r="E413" s="8"/>
      <c r="I413" s="8"/>
    </row>
    <row r="414">
      <c r="A414" s="8"/>
      <c r="E414" s="8"/>
      <c r="I414" s="8"/>
    </row>
    <row r="415">
      <c r="A415" s="8"/>
      <c r="E415" s="8"/>
      <c r="I415" s="8"/>
    </row>
    <row r="416">
      <c r="A416" s="8"/>
      <c r="E416" s="8"/>
      <c r="I416" s="8"/>
    </row>
    <row r="417">
      <c r="A417" s="8"/>
      <c r="E417" s="8"/>
      <c r="I417" s="8"/>
    </row>
    <row r="418">
      <c r="A418" s="8"/>
      <c r="E418" s="8"/>
      <c r="I418" s="8"/>
    </row>
    <row r="419">
      <c r="A419" s="8"/>
      <c r="E419" s="8"/>
      <c r="I419" s="8"/>
    </row>
    <row r="420">
      <c r="A420" s="8"/>
      <c r="E420" s="8"/>
      <c r="I420" s="8"/>
    </row>
    <row r="421">
      <c r="A421" s="8"/>
      <c r="E421" s="8"/>
      <c r="I421" s="8"/>
    </row>
    <row r="422">
      <c r="A422" s="8"/>
      <c r="E422" s="8"/>
      <c r="I422" s="8"/>
    </row>
    <row r="423">
      <c r="A423" s="8"/>
      <c r="E423" s="8"/>
      <c r="I423" s="8"/>
    </row>
    <row r="424">
      <c r="A424" s="8"/>
      <c r="E424" s="8"/>
      <c r="I424" s="8"/>
    </row>
    <row r="425">
      <c r="A425" s="8"/>
      <c r="E425" s="8"/>
      <c r="I425" s="8"/>
    </row>
    <row r="426">
      <c r="A426" s="8"/>
      <c r="E426" s="8"/>
      <c r="I426" s="8"/>
    </row>
    <row r="427">
      <c r="A427" s="8"/>
      <c r="E427" s="8"/>
      <c r="I427" s="8"/>
    </row>
    <row r="428">
      <c r="A428" s="8"/>
      <c r="E428" s="8"/>
      <c r="I428" s="8"/>
    </row>
    <row r="429">
      <c r="A429" s="8"/>
      <c r="E429" s="8"/>
      <c r="I429" s="8"/>
    </row>
    <row r="430">
      <c r="A430" s="8"/>
      <c r="E430" s="8"/>
      <c r="I430" s="8"/>
    </row>
    <row r="431">
      <c r="A431" s="8"/>
      <c r="E431" s="8"/>
      <c r="I431" s="8"/>
    </row>
    <row r="432">
      <c r="A432" s="8"/>
      <c r="E432" s="8"/>
      <c r="I432" s="8"/>
    </row>
    <row r="433">
      <c r="A433" s="8"/>
      <c r="E433" s="8"/>
      <c r="I433" s="8"/>
    </row>
    <row r="434">
      <c r="A434" s="8"/>
      <c r="E434" s="8"/>
      <c r="I434" s="8"/>
    </row>
    <row r="435">
      <c r="A435" s="8"/>
      <c r="E435" s="8"/>
      <c r="I435" s="8"/>
    </row>
    <row r="436">
      <c r="A436" s="8"/>
      <c r="E436" s="8"/>
      <c r="I436" s="8"/>
    </row>
    <row r="437">
      <c r="A437" s="8"/>
      <c r="E437" s="8"/>
      <c r="I437" s="8"/>
    </row>
    <row r="438">
      <c r="A438" s="8"/>
      <c r="E438" s="8"/>
      <c r="I438" s="8"/>
    </row>
    <row r="439">
      <c r="A439" s="8"/>
      <c r="E439" s="8"/>
      <c r="I439" s="8"/>
    </row>
    <row r="440">
      <c r="A440" s="8"/>
      <c r="E440" s="8"/>
      <c r="I440" s="8"/>
    </row>
    <row r="441">
      <c r="A441" s="8"/>
      <c r="E441" s="8"/>
      <c r="I441" s="8"/>
    </row>
    <row r="442">
      <c r="A442" s="8"/>
      <c r="E442" s="8"/>
      <c r="I442" s="8"/>
    </row>
    <row r="443">
      <c r="A443" s="8"/>
      <c r="E443" s="8"/>
      <c r="I443" s="8"/>
    </row>
    <row r="444">
      <c r="A444" s="8"/>
      <c r="E444" s="8"/>
      <c r="I444" s="8"/>
    </row>
    <row r="445">
      <c r="A445" s="8"/>
      <c r="E445" s="8"/>
      <c r="I445" s="8"/>
    </row>
    <row r="446">
      <c r="A446" s="8"/>
      <c r="E446" s="8"/>
      <c r="I446" s="8"/>
    </row>
    <row r="447">
      <c r="A447" s="8"/>
      <c r="E447" s="8"/>
      <c r="I447" s="8"/>
    </row>
    <row r="448">
      <c r="A448" s="8"/>
      <c r="E448" s="8"/>
      <c r="I448" s="8"/>
    </row>
    <row r="449">
      <c r="A449" s="8"/>
      <c r="E449" s="8"/>
      <c r="I449" s="8"/>
    </row>
    <row r="450">
      <c r="A450" s="8"/>
      <c r="E450" s="8"/>
      <c r="I450" s="8"/>
    </row>
    <row r="451">
      <c r="A451" s="8"/>
      <c r="E451" s="8"/>
      <c r="I451" s="8"/>
    </row>
    <row r="452">
      <c r="A452" s="8"/>
      <c r="E452" s="8"/>
      <c r="I452" s="8"/>
    </row>
    <row r="453">
      <c r="A453" s="8"/>
      <c r="E453" s="8"/>
      <c r="I453" s="8"/>
    </row>
    <row r="454">
      <c r="A454" s="8"/>
      <c r="I454" s="8"/>
    </row>
    <row r="455">
      <c r="A455" s="8"/>
      <c r="I455" s="8"/>
    </row>
    <row r="456">
      <c r="A456" s="8"/>
      <c r="I456" s="8"/>
    </row>
    <row r="457">
      <c r="A457" s="8"/>
      <c r="I457" s="8"/>
    </row>
    <row r="458">
      <c r="A458" s="8"/>
      <c r="I458" s="8"/>
    </row>
    <row r="459">
      <c r="A459" s="8"/>
      <c r="I459" s="8"/>
    </row>
    <row r="460">
      <c r="A460" s="8"/>
      <c r="I460" s="8"/>
    </row>
    <row r="461">
      <c r="A461" s="8"/>
      <c r="I461" s="8"/>
    </row>
    <row r="462">
      <c r="A462" s="8"/>
      <c r="I462" s="8"/>
    </row>
    <row r="463">
      <c r="A463" s="8"/>
      <c r="I463" s="8"/>
    </row>
    <row r="464">
      <c r="A464" s="8"/>
      <c r="I464" s="8"/>
    </row>
    <row r="465">
      <c r="A465" s="8"/>
      <c r="I465" s="8"/>
    </row>
    <row r="466">
      <c r="A466" s="8"/>
      <c r="I466" s="8"/>
    </row>
    <row r="467">
      <c r="A467" s="8"/>
      <c r="I467" s="8"/>
    </row>
    <row r="468">
      <c r="A468" s="8"/>
      <c r="I468" s="8"/>
    </row>
    <row r="469">
      <c r="A469" s="8"/>
      <c r="I469" s="8"/>
    </row>
    <row r="470">
      <c r="A470" s="8"/>
      <c r="I470" s="8"/>
    </row>
    <row r="471">
      <c r="A471" s="8"/>
      <c r="I471" s="8"/>
    </row>
    <row r="472">
      <c r="A472" s="8"/>
      <c r="I472" s="8"/>
    </row>
    <row r="473">
      <c r="A473" s="8"/>
      <c r="I473" s="8"/>
    </row>
    <row r="474">
      <c r="A474" s="8"/>
      <c r="I474" s="8"/>
    </row>
    <row r="475">
      <c r="A475" s="8"/>
      <c r="I475" s="8"/>
    </row>
    <row r="476">
      <c r="A476" s="8"/>
      <c r="I476" s="8"/>
    </row>
    <row r="477">
      <c r="A477" s="8"/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</sheetData>
  <mergeCells count="5">
    <mergeCell ref="A1:C1"/>
    <mergeCell ref="E1:G1"/>
    <mergeCell ref="I1:K1"/>
    <mergeCell ref="M1:O1"/>
    <mergeCell ref="Q1:S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7.57"/>
    <col customWidth="1" min="3" max="3" width="10.57"/>
  </cols>
  <sheetData>
    <row r="1"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B2" s="185" t="s">
        <v>149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186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187" t="s">
        <v>6</v>
      </c>
      <c r="B6" s="188" t="s">
        <v>150</v>
      </c>
      <c r="C6" s="189" t="s">
        <v>151</v>
      </c>
      <c r="D6" s="189" t="s">
        <v>152</v>
      </c>
      <c r="E6" s="189" t="s">
        <v>153</v>
      </c>
      <c r="F6" s="190" t="s">
        <v>154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10">
        <v>147985.0</v>
      </c>
      <c r="B7" s="11" t="s">
        <v>9</v>
      </c>
      <c r="C7" s="191" t="s">
        <v>155</v>
      </c>
      <c r="D7" s="191" t="s">
        <v>155</v>
      </c>
      <c r="E7" s="109" t="s">
        <v>155</v>
      </c>
      <c r="F7" s="109" t="s">
        <v>155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10">
        <v>20877.0</v>
      </c>
      <c r="B8" s="11" t="s">
        <v>11</v>
      </c>
      <c r="C8" s="191" t="s">
        <v>155</v>
      </c>
      <c r="D8" s="191" t="s">
        <v>155</v>
      </c>
      <c r="E8" s="109" t="s">
        <v>155</v>
      </c>
      <c r="F8" s="109" t="s">
        <v>155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10">
        <v>10690.0</v>
      </c>
      <c r="B9" s="11" t="s">
        <v>12</v>
      </c>
      <c r="C9" s="191" t="s">
        <v>155</v>
      </c>
      <c r="D9" s="191" t="s">
        <v>155</v>
      </c>
      <c r="E9" s="109" t="s">
        <v>155</v>
      </c>
      <c r="F9" s="109" t="s">
        <v>155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10">
        <v>110724.0</v>
      </c>
      <c r="B10" s="11" t="s">
        <v>13</v>
      </c>
      <c r="C10" s="191" t="s">
        <v>155</v>
      </c>
      <c r="D10" s="191" t="s">
        <v>155</v>
      </c>
      <c r="E10" s="109" t="s">
        <v>155</v>
      </c>
      <c r="F10" s="109" t="s">
        <v>155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10">
        <v>107283.0</v>
      </c>
      <c r="B11" s="11" t="s">
        <v>14</v>
      </c>
      <c r="C11" s="52"/>
      <c r="D11" s="52"/>
      <c r="E11" s="52"/>
      <c r="F11" s="109" t="s">
        <v>155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10">
        <v>111289.0</v>
      </c>
      <c r="B12" s="11" t="s">
        <v>15</v>
      </c>
      <c r="C12" s="191" t="s">
        <v>155</v>
      </c>
      <c r="D12" s="191" t="s">
        <v>155</v>
      </c>
      <c r="E12" s="109" t="s">
        <v>155</v>
      </c>
      <c r="F12" s="109" t="s">
        <v>155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10">
        <v>112300.0</v>
      </c>
      <c r="B13" s="11" t="s">
        <v>16</v>
      </c>
      <c r="C13" s="191" t="s">
        <v>155</v>
      </c>
      <c r="D13" s="191" t="s">
        <v>155</v>
      </c>
      <c r="E13" s="109" t="s">
        <v>155</v>
      </c>
      <c r="F13" s="109" t="s">
        <v>155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10">
        <v>10742.0</v>
      </c>
      <c r="B14" s="11" t="s">
        <v>17</v>
      </c>
      <c r="C14" s="191" t="s">
        <v>155</v>
      </c>
      <c r="D14" s="191" t="s">
        <v>155</v>
      </c>
      <c r="E14" s="109" t="s">
        <v>155</v>
      </c>
      <c r="F14" s="109" t="s">
        <v>155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10">
        <v>10914.0</v>
      </c>
      <c r="B15" s="11" t="s">
        <v>21</v>
      </c>
      <c r="C15" s="191" t="s">
        <v>155</v>
      </c>
      <c r="D15" s="191" t="s">
        <v>155</v>
      </c>
      <c r="E15" s="109" t="s">
        <v>155</v>
      </c>
      <c r="F15" s="109" t="s">
        <v>155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10">
        <v>24137.0</v>
      </c>
      <c r="B16" s="11" t="s">
        <v>18</v>
      </c>
      <c r="C16" s="191" t="s">
        <v>155</v>
      </c>
      <c r="D16" s="191" t="s">
        <v>155</v>
      </c>
      <c r="E16" s="109" t="s">
        <v>155</v>
      </c>
      <c r="F16" s="109" t="s">
        <v>155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10">
        <v>24136.0</v>
      </c>
      <c r="B17" s="11" t="s">
        <v>20</v>
      </c>
      <c r="C17" s="191" t="s">
        <v>155</v>
      </c>
      <c r="D17" s="191" t="s">
        <v>155</v>
      </c>
      <c r="E17" s="109" t="s">
        <v>155</v>
      </c>
      <c r="F17" s="109" t="s">
        <v>155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20">
        <v>112970.0</v>
      </c>
      <c r="B18" s="21" t="s">
        <v>22</v>
      </c>
      <c r="C18" s="191" t="s">
        <v>155</v>
      </c>
      <c r="D18" s="191" t="s">
        <v>155</v>
      </c>
      <c r="E18" s="109" t="s">
        <v>155</v>
      </c>
      <c r="F18" s="109" t="s">
        <v>155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10">
        <v>10920.0</v>
      </c>
      <c r="B19" s="11" t="s">
        <v>23</v>
      </c>
      <c r="C19" s="191" t="s">
        <v>156</v>
      </c>
      <c r="D19" s="191" t="s">
        <v>156</v>
      </c>
      <c r="E19" s="109" t="s">
        <v>156</v>
      </c>
      <c r="F19" s="109" t="s">
        <v>155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10">
        <v>10658.0</v>
      </c>
      <c r="B20" s="11" t="s">
        <v>24</v>
      </c>
      <c r="C20" s="191" t="s">
        <v>155</v>
      </c>
      <c r="D20" s="191" t="s">
        <v>155</v>
      </c>
      <c r="E20" s="109" t="s">
        <v>155</v>
      </c>
      <c r="F20" s="109" t="s">
        <v>155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10">
        <v>10866.0</v>
      </c>
      <c r="B21" s="11" t="s">
        <v>25</v>
      </c>
      <c r="C21" s="191" t="s">
        <v>156</v>
      </c>
      <c r="D21" s="191" t="s">
        <v>156</v>
      </c>
      <c r="E21" s="109" t="s">
        <v>156</v>
      </c>
      <c r="F21" s="109" t="s">
        <v>156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10">
        <v>10662.0</v>
      </c>
      <c r="B22" s="11" t="s">
        <v>26</v>
      </c>
      <c r="C22" s="191" t="s">
        <v>155</v>
      </c>
      <c r="D22" s="191" t="s">
        <v>155</v>
      </c>
      <c r="E22" s="109" t="s">
        <v>155</v>
      </c>
      <c r="F22" s="109" t="s">
        <v>155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10">
        <v>112126.0</v>
      </c>
      <c r="B23" s="22" t="s">
        <v>27</v>
      </c>
      <c r="C23" s="191" t="s">
        <v>155</v>
      </c>
      <c r="D23" s="191" t="s">
        <v>155</v>
      </c>
      <c r="E23" s="109" t="s">
        <v>155</v>
      </c>
      <c r="F23" s="109" t="s">
        <v>155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10">
        <v>10685.0</v>
      </c>
      <c r="B24" s="11" t="s">
        <v>28</v>
      </c>
      <c r="C24" s="191" t="s">
        <v>155</v>
      </c>
      <c r="D24" s="191" t="s">
        <v>155</v>
      </c>
      <c r="E24" s="109" t="s">
        <v>155</v>
      </c>
      <c r="F24" s="109" t="s">
        <v>155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10">
        <v>10427.0</v>
      </c>
      <c r="B25" s="11" t="s">
        <v>29</v>
      </c>
      <c r="C25" s="191" t="s">
        <v>155</v>
      </c>
      <c r="D25" s="191" t="s">
        <v>155</v>
      </c>
      <c r="E25" s="109" t="s">
        <v>155</v>
      </c>
      <c r="F25" s="109" t="s">
        <v>155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10">
        <v>146757.0</v>
      </c>
      <c r="B26" s="11" t="s">
        <v>30</v>
      </c>
      <c r="C26" s="52"/>
      <c r="D26" s="52"/>
      <c r="E26" s="52"/>
      <c r="F26" s="109" t="s">
        <v>155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10">
        <v>21301.0</v>
      </c>
      <c r="B27" s="11" t="s">
        <v>31</v>
      </c>
      <c r="C27" s="191" t="s">
        <v>155</v>
      </c>
      <c r="D27" s="191" t="s">
        <v>155</v>
      </c>
      <c r="E27" s="109" t="s">
        <v>155</v>
      </c>
      <c r="F27" s="109" t="s">
        <v>155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10">
        <v>10427.0</v>
      </c>
      <c r="B28" s="11" t="s">
        <v>32</v>
      </c>
      <c r="C28" s="191" t="s">
        <v>155</v>
      </c>
      <c r="D28" s="191" t="s">
        <v>155</v>
      </c>
      <c r="E28" s="109" t="s">
        <v>155</v>
      </c>
      <c r="F28" s="109" t="s">
        <v>155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10">
        <v>10398.0</v>
      </c>
      <c r="B29" s="11" t="s">
        <v>33</v>
      </c>
      <c r="C29" s="191" t="s">
        <v>155</v>
      </c>
      <c r="D29" s="191" t="s">
        <v>155</v>
      </c>
      <c r="E29" s="109" t="s">
        <v>155</v>
      </c>
      <c r="F29" s="109" t="s">
        <v>155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10">
        <v>20870.0</v>
      </c>
      <c r="B30" s="11" t="s">
        <v>34</v>
      </c>
      <c r="C30" s="191" t="s">
        <v>155</v>
      </c>
      <c r="D30" s="191" t="s">
        <v>155</v>
      </c>
      <c r="E30" s="109" t="s">
        <v>155</v>
      </c>
      <c r="F30" s="109" t="s">
        <v>155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10">
        <v>112457.0</v>
      </c>
      <c r="B31" s="11" t="s">
        <v>35</v>
      </c>
      <c r="C31" s="191" t="s">
        <v>155</v>
      </c>
      <c r="D31" s="191" t="s">
        <v>155</v>
      </c>
      <c r="E31" s="109" t="s">
        <v>155</v>
      </c>
      <c r="F31" s="109" t="s">
        <v>155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10">
        <v>111508.0</v>
      </c>
      <c r="B32" s="11" t="s">
        <v>36</v>
      </c>
      <c r="C32" s="191" t="s">
        <v>155</v>
      </c>
      <c r="D32" s="191" t="s">
        <v>155</v>
      </c>
      <c r="E32" s="109" t="s">
        <v>155</v>
      </c>
      <c r="F32" s="109" t="s">
        <v>155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10">
        <v>18688.0</v>
      </c>
      <c r="B33" s="11" t="s">
        <v>37</v>
      </c>
      <c r="C33" s="191" t="s">
        <v>155</v>
      </c>
      <c r="D33" s="191" t="s">
        <v>155</v>
      </c>
      <c r="E33" s="109" t="s">
        <v>155</v>
      </c>
      <c r="F33" s="109" t="s">
        <v>155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23">
        <v>111148.0</v>
      </c>
      <c r="B34" s="24" t="s">
        <v>38</v>
      </c>
      <c r="C34" s="191" t="s">
        <v>155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23">
        <v>112654.0</v>
      </c>
      <c r="B35" s="24" t="s">
        <v>39</v>
      </c>
      <c r="C35" s="191" t="s">
        <v>155</v>
      </c>
      <c r="D35" s="191" t="s">
        <v>155</v>
      </c>
      <c r="E35" s="109" t="s">
        <v>155</v>
      </c>
      <c r="F35" s="109" t="s">
        <v>155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23">
        <v>10337.0</v>
      </c>
      <c r="B36" s="24" t="s">
        <v>40</v>
      </c>
      <c r="C36" s="191" t="s">
        <v>155</v>
      </c>
      <c r="D36" s="191" t="s">
        <v>155</v>
      </c>
      <c r="E36" s="109" t="s">
        <v>155</v>
      </c>
      <c r="F36" s="109" t="s">
        <v>155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23">
        <v>111535.0</v>
      </c>
      <c r="B37" s="24" t="s">
        <v>41</v>
      </c>
      <c r="C37" s="191" t="s">
        <v>155</v>
      </c>
      <c r="D37" s="191" t="s">
        <v>155</v>
      </c>
      <c r="E37" s="109" t="s">
        <v>155</v>
      </c>
      <c r="F37" s="109" t="s">
        <v>155</v>
      </c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155"/>
      <c r="B38" s="191"/>
      <c r="C38" s="191"/>
      <c r="D38" s="191"/>
      <c r="E38" s="109"/>
      <c r="F38" s="109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155"/>
      <c r="B39" s="191"/>
      <c r="C39" s="191"/>
      <c r="D39" s="191"/>
      <c r="E39" s="109"/>
      <c r="F39" s="109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155"/>
      <c r="B40" s="191"/>
      <c r="C40" s="191"/>
      <c r="D40" s="191"/>
      <c r="E40" s="109"/>
      <c r="F40" s="109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155"/>
      <c r="B41" s="191"/>
      <c r="C41" s="191"/>
      <c r="D41" s="191"/>
      <c r="E41" s="109"/>
      <c r="F41" s="109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192" t="s">
        <v>157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193">
        <v>17192.0</v>
      </c>
      <c r="B46" s="140" t="s">
        <v>158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8">
        <v>51256.0</v>
      </c>
      <c r="B47" s="52" t="s">
        <v>159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8">
        <v>16619.0</v>
      </c>
      <c r="B48" s="52" t="s">
        <v>160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8">
        <v>16647.0</v>
      </c>
      <c r="B49" s="52" t="s">
        <v>161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8">
        <v>16633.0</v>
      </c>
      <c r="B50" s="52" t="s">
        <v>162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8">
        <v>16648.0</v>
      </c>
      <c r="B51" s="52" t="s">
        <v>163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8">
        <v>17908.0</v>
      </c>
      <c r="B52" s="52" t="s">
        <v>164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8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8">
        <v>42071.0</v>
      </c>
      <c r="B54" s="52" t="s">
        <v>165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8">
        <v>16642.0</v>
      </c>
      <c r="B55" s="52" t="s">
        <v>166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8">
        <v>20027.0</v>
      </c>
      <c r="B56" s="52" t="s">
        <v>167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8">
        <v>33325.0</v>
      </c>
      <c r="B57" s="52" t="s">
        <v>168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8">
        <v>53682.0</v>
      </c>
      <c r="B58" s="52" t="s">
        <v>169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8">
        <v>51258.0</v>
      </c>
      <c r="B59" s="52" t="s">
        <v>170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8">
        <v>38517.0</v>
      </c>
      <c r="B60" s="52" t="s">
        <v>171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8">
        <v>101196.0</v>
      </c>
      <c r="B61" s="52" t="s">
        <v>172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8">
        <v>31537.0</v>
      </c>
      <c r="B62" s="52" t="s">
        <v>173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8">
        <v>16637.0</v>
      </c>
      <c r="B63" s="52" t="s">
        <v>174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8">
        <v>83933.0</v>
      </c>
      <c r="B64" s="52" t="s">
        <v>175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8">
        <v>57874.0</v>
      </c>
      <c r="B65" s="52" t="s">
        <v>176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8">
        <v>16757.0</v>
      </c>
      <c r="B66" s="52" t="s">
        <v>177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8">
        <v>107493.0</v>
      </c>
      <c r="B67" s="52" t="s">
        <v>178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8">
        <v>108866.0</v>
      </c>
      <c r="B68" s="52" t="s">
        <v>179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8">
        <v>105410.0</v>
      </c>
      <c r="B69" s="52" t="s">
        <v>180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8">
        <v>52789.0</v>
      </c>
      <c r="B70" s="52" t="s">
        <v>181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8">
        <v>16653.0</v>
      </c>
      <c r="B71" s="52" t="s">
        <v>182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8">
        <v>16766.0</v>
      </c>
      <c r="B72" s="52" t="s">
        <v>183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8">
        <v>16627.0</v>
      </c>
      <c r="B73" s="52" t="s">
        <v>184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8">
        <v>83944.0</v>
      </c>
      <c r="B74" s="52" t="s">
        <v>185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8">
        <v>101670.0</v>
      </c>
      <c r="B75" s="52" t="s">
        <v>186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8">
        <v>51103.0</v>
      </c>
      <c r="B76" s="52" t="s">
        <v>187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8">
        <v>101671.0</v>
      </c>
      <c r="B77" s="52" t="s">
        <v>188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8">
        <v>18401.0</v>
      </c>
      <c r="B78" s="52" t="s">
        <v>189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8">
        <v>18400.0</v>
      </c>
      <c r="B79" s="52" t="s">
        <v>190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8">
        <v>53668.0</v>
      </c>
      <c r="B80" s="52" t="s">
        <v>191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8">
        <v>53667.0</v>
      </c>
      <c r="B81" s="52" t="s">
        <v>192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8">
        <v>109616.0</v>
      </c>
      <c r="B82" s="52" t="s">
        <v>193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8">
        <v>109617.0</v>
      </c>
      <c r="B83" s="52" t="s">
        <v>194</v>
      </c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8">
        <v>109502.0</v>
      </c>
      <c r="B84" s="52" t="s">
        <v>195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8">
        <v>109503.0</v>
      </c>
      <c r="B85" s="52" t="s">
        <v>196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8">
        <v>109504.0</v>
      </c>
      <c r="B86" s="52" t="s">
        <v>197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8">
        <v>101347.0</v>
      </c>
      <c r="B87" s="52" t="s">
        <v>198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8">
        <v>105411.0</v>
      </c>
      <c r="B88" s="52" t="s">
        <v>199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8">
        <v>16628.0</v>
      </c>
      <c r="B89" s="52" t="s">
        <v>200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8">
        <v>32748.0</v>
      </c>
      <c r="B90" s="52" t="s">
        <v>201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8">
        <v>102801.0</v>
      </c>
      <c r="B91" s="52" t="s">
        <v>202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8">
        <v>12196.0</v>
      </c>
      <c r="B92" s="52" t="s">
        <v>203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8">
        <v>16672.0</v>
      </c>
      <c r="B93" s="52" t="s">
        <v>204</v>
      </c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8">
        <v>16626.0</v>
      </c>
      <c r="B94" s="52" t="s">
        <v>205</v>
      </c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8">
        <v>16855.0</v>
      </c>
      <c r="B95" s="52" t="s">
        <v>206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8">
        <v>51430.0</v>
      </c>
      <c r="B96" s="52" t="s">
        <v>207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8">
        <v>51429.0</v>
      </c>
      <c r="B97" s="52" t="s">
        <v>208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8">
        <v>66844.0</v>
      </c>
      <c r="B98" s="52" t="s">
        <v>209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8">
        <v>21845.0</v>
      </c>
      <c r="B99" s="52" t="s">
        <v>210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8">
        <v>112835.0</v>
      </c>
      <c r="B100" s="52" t="s">
        <v>211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8">
        <v>112836.0</v>
      </c>
      <c r="B101" s="52" t="s">
        <v>212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8">
        <v>112837.0</v>
      </c>
      <c r="B102" s="52" t="s">
        <v>213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8">
        <v>112838.0</v>
      </c>
      <c r="B103" s="52" t="s">
        <v>214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8">
        <v>112846.0</v>
      </c>
      <c r="B104" s="52" t="s">
        <v>215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8">
        <v>112847.0</v>
      </c>
      <c r="B105" s="52" t="s">
        <v>216</v>
      </c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8">
        <v>112849.0</v>
      </c>
      <c r="B106" s="52" t="s">
        <v>217</v>
      </c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8">
        <v>112875.0</v>
      </c>
      <c r="B107" s="52" t="s">
        <v>218</v>
      </c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8">
        <v>112876.0</v>
      </c>
      <c r="B108" s="52" t="s">
        <v>219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8">
        <v>112877.0</v>
      </c>
      <c r="B109" s="52" t="s">
        <v>220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8">
        <v>112878.0</v>
      </c>
      <c r="B110" s="52" t="s">
        <v>221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8" t="s">
        <v>222</v>
      </c>
      <c r="B111" s="52" t="s">
        <v>223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194">
        <v>155333.0</v>
      </c>
      <c r="B112" s="52" t="s">
        <v>224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5.29"/>
    <col customWidth="1" min="3" max="3" width="10.14"/>
    <col customWidth="1" min="4" max="4" width="8.71"/>
    <col customWidth="1" min="5" max="5" width="13.57"/>
    <col customWidth="1" min="6" max="6" width="52.0"/>
    <col customWidth="1" min="7" max="42" width="8.71"/>
  </cols>
  <sheetData>
    <row r="1">
      <c r="A1" s="159"/>
      <c r="B1" s="159"/>
      <c r="C1" s="159"/>
      <c r="D1" s="195"/>
      <c r="E1" s="159"/>
      <c r="F1" s="196" t="s">
        <v>225</v>
      </c>
      <c r="G1" s="159"/>
      <c r="H1" s="159"/>
      <c r="I1" s="159"/>
      <c r="J1" s="159"/>
      <c r="K1" s="159"/>
      <c r="L1" s="197"/>
      <c r="M1" s="159"/>
      <c r="N1" s="197"/>
      <c r="O1" s="197"/>
      <c r="P1" s="198"/>
      <c r="Q1" s="198"/>
      <c r="R1" s="198"/>
      <c r="S1" s="198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</row>
    <row r="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97"/>
      <c r="M2" s="159"/>
      <c r="N2" s="197"/>
      <c r="O2" s="197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>
      <c r="A3" s="159"/>
      <c r="B3" s="199" t="s">
        <v>226</v>
      </c>
      <c r="C3" s="199" t="s">
        <v>227</v>
      </c>
      <c r="D3" s="199" t="s">
        <v>228</v>
      </c>
      <c r="E3" s="200" t="s">
        <v>150</v>
      </c>
      <c r="F3" s="199" t="s">
        <v>229</v>
      </c>
      <c r="G3" s="201" t="s">
        <v>230</v>
      </c>
      <c r="H3" s="201" t="s">
        <v>231</v>
      </c>
      <c r="I3" s="202" t="s">
        <v>232</v>
      </c>
      <c r="J3" s="203" t="s">
        <v>233</v>
      </c>
      <c r="K3" s="204" t="s">
        <v>234</v>
      </c>
      <c r="L3" s="205" t="s">
        <v>235</v>
      </c>
      <c r="M3" s="199" t="s">
        <v>236</v>
      </c>
      <c r="N3" s="206" t="s">
        <v>237</v>
      </c>
      <c r="O3" s="204" t="s">
        <v>238</v>
      </c>
      <c r="P3" s="207" t="s">
        <v>239</v>
      </c>
      <c r="Q3" s="207" t="s">
        <v>240</v>
      </c>
      <c r="R3" s="207" t="s">
        <v>241</v>
      </c>
      <c r="S3" s="207" t="s">
        <v>154</v>
      </c>
      <c r="T3" s="208" t="s">
        <v>242</v>
      </c>
      <c r="U3" s="208" t="s">
        <v>243</v>
      </c>
      <c r="V3" s="109" t="s">
        <v>244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</row>
    <row r="4" ht="30.0" customHeight="1">
      <c r="A4" s="209"/>
      <c r="B4" s="210" t="s">
        <v>245</v>
      </c>
      <c r="C4" s="211"/>
      <c r="D4" s="211"/>
      <c r="E4" s="212"/>
      <c r="F4" s="213"/>
      <c r="G4" s="213"/>
      <c r="H4" s="213"/>
      <c r="I4" s="212"/>
      <c r="J4" s="212"/>
      <c r="K4" s="214"/>
      <c r="L4" s="214"/>
      <c r="M4" s="214"/>
      <c r="N4" s="214"/>
      <c r="O4" s="215"/>
      <c r="P4" s="216"/>
      <c r="Q4" s="216"/>
      <c r="R4" s="216"/>
      <c r="S4" s="216"/>
      <c r="T4" s="217"/>
      <c r="U4" s="217"/>
      <c r="V4" s="217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</row>
    <row r="5" ht="30.0" customHeight="1">
      <c r="A5" s="159"/>
      <c r="B5" s="218" t="s">
        <v>246</v>
      </c>
      <c r="C5" s="218" t="s">
        <v>247</v>
      </c>
      <c r="D5" s="218" t="s">
        <v>245</v>
      </c>
      <c r="E5" s="219">
        <v>14457.0</v>
      </c>
      <c r="F5" s="220" t="s">
        <v>248</v>
      </c>
      <c r="G5" s="221" t="s">
        <v>249</v>
      </c>
      <c r="H5" s="222" t="s">
        <v>250</v>
      </c>
      <c r="I5" s="221" t="s">
        <v>42</v>
      </c>
      <c r="J5" s="222" t="s">
        <v>250</v>
      </c>
      <c r="K5" s="223">
        <v>2.0</v>
      </c>
      <c r="L5" s="223" t="b">
        <v>1</v>
      </c>
      <c r="M5" s="223" t="s">
        <v>42</v>
      </c>
      <c r="N5" s="223">
        <v>22.33431578947368</v>
      </c>
      <c r="O5" s="224" t="s">
        <v>238</v>
      </c>
      <c r="P5" s="225" t="s">
        <v>155</v>
      </c>
      <c r="Q5" s="225" t="s">
        <v>155</v>
      </c>
      <c r="R5" s="225" t="s">
        <v>155</v>
      </c>
      <c r="S5" s="225" t="s">
        <v>155</v>
      </c>
      <c r="T5" s="226"/>
      <c r="U5" s="227"/>
      <c r="V5" s="52" t="s">
        <v>250</v>
      </c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</row>
    <row r="6" ht="30.0" customHeight="1">
      <c r="A6" s="159"/>
      <c r="B6" s="218" t="s">
        <v>246</v>
      </c>
      <c r="C6" s="218" t="s">
        <v>247</v>
      </c>
      <c r="D6" s="218" t="s">
        <v>245</v>
      </c>
      <c r="E6" s="219">
        <v>37382.0</v>
      </c>
      <c r="F6" s="220" t="s">
        <v>251</v>
      </c>
      <c r="G6" s="221" t="s">
        <v>249</v>
      </c>
      <c r="H6" s="222" t="s">
        <v>250</v>
      </c>
      <c r="I6" s="221" t="s">
        <v>252</v>
      </c>
      <c r="J6" s="222" t="s">
        <v>250</v>
      </c>
      <c r="K6" s="223">
        <v>2.0</v>
      </c>
      <c r="L6" s="223" t="b">
        <v>0</v>
      </c>
      <c r="M6" s="228"/>
      <c r="N6" s="228"/>
      <c r="O6" s="224"/>
      <c r="P6" s="225" t="s">
        <v>155</v>
      </c>
      <c r="Q6" s="225" t="s">
        <v>155</v>
      </c>
      <c r="R6" s="225" t="s">
        <v>155</v>
      </c>
      <c r="S6" s="225" t="s">
        <v>155</v>
      </c>
      <c r="T6" s="229" t="s">
        <v>253</v>
      </c>
      <c r="U6" s="227"/>
      <c r="V6" s="52" t="s">
        <v>250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</row>
    <row r="7" ht="30.0" customHeight="1">
      <c r="A7" s="159"/>
      <c r="B7" s="218" t="s">
        <v>246</v>
      </c>
      <c r="C7" s="218" t="s">
        <v>247</v>
      </c>
      <c r="D7" s="218" t="s">
        <v>245</v>
      </c>
      <c r="E7" s="219">
        <v>14383.0</v>
      </c>
      <c r="F7" s="220" t="s">
        <v>254</v>
      </c>
      <c r="G7" s="221" t="s">
        <v>249</v>
      </c>
      <c r="H7" s="222" t="s">
        <v>250</v>
      </c>
      <c r="I7" s="221" t="s">
        <v>42</v>
      </c>
      <c r="J7" s="222" t="s">
        <v>250</v>
      </c>
      <c r="K7" s="223">
        <v>3.0</v>
      </c>
      <c r="L7" s="223" t="b">
        <v>0</v>
      </c>
      <c r="M7" s="223" t="s">
        <v>42</v>
      </c>
      <c r="N7" s="223">
        <v>6.004464285714286</v>
      </c>
      <c r="O7" s="224"/>
      <c r="P7" s="225" t="s">
        <v>155</v>
      </c>
      <c r="Q7" s="225" t="s">
        <v>155</v>
      </c>
      <c r="R7" s="225" t="s">
        <v>155</v>
      </c>
      <c r="S7" s="225" t="s">
        <v>155</v>
      </c>
      <c r="T7" s="226"/>
      <c r="U7" s="227"/>
      <c r="V7" s="52" t="s">
        <v>250</v>
      </c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</row>
    <row r="8" ht="30.0" customHeight="1">
      <c r="A8" s="159"/>
      <c r="B8" s="218" t="s">
        <v>246</v>
      </c>
      <c r="C8" s="218" t="s">
        <v>247</v>
      </c>
      <c r="D8" s="218" t="s">
        <v>245</v>
      </c>
      <c r="E8" s="219">
        <v>34727.0</v>
      </c>
      <c r="F8" s="220" t="s">
        <v>255</v>
      </c>
      <c r="G8" s="221" t="s">
        <v>249</v>
      </c>
      <c r="H8" s="221" t="s">
        <v>256</v>
      </c>
      <c r="I8" s="221" t="s">
        <v>42</v>
      </c>
      <c r="J8" s="222" t="s">
        <v>250</v>
      </c>
      <c r="K8" s="223">
        <v>2.0</v>
      </c>
      <c r="L8" s="223" t="b">
        <v>0</v>
      </c>
      <c r="M8" s="223" t="s">
        <v>42</v>
      </c>
      <c r="N8" s="228"/>
      <c r="O8" s="224"/>
      <c r="P8" s="225" t="s">
        <v>155</v>
      </c>
      <c r="Q8" s="225" t="s">
        <v>155</v>
      </c>
      <c r="R8" s="225" t="s">
        <v>155</v>
      </c>
      <c r="S8" s="225" t="s">
        <v>155</v>
      </c>
      <c r="T8" s="226"/>
      <c r="U8" s="227"/>
      <c r="V8" s="109" t="s">
        <v>257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 ht="30.0" customHeight="1">
      <c r="A9" s="159"/>
      <c r="B9" s="218" t="s">
        <v>246</v>
      </c>
      <c r="C9" s="218" t="s">
        <v>247</v>
      </c>
      <c r="D9" s="218" t="s">
        <v>245</v>
      </c>
      <c r="E9" s="219">
        <v>111076.0</v>
      </c>
      <c r="F9" s="220" t="s">
        <v>258</v>
      </c>
      <c r="G9" s="221" t="s">
        <v>249</v>
      </c>
      <c r="H9" s="221" t="s">
        <v>259</v>
      </c>
      <c r="I9" s="221" t="s">
        <v>42</v>
      </c>
      <c r="J9" s="222" t="s">
        <v>250</v>
      </c>
      <c r="K9" s="223">
        <v>2.0</v>
      </c>
      <c r="L9" s="223" t="b">
        <v>0</v>
      </c>
      <c r="M9" s="223" t="s">
        <v>42</v>
      </c>
      <c r="N9" s="223">
        <v>4.6306666666666665</v>
      </c>
      <c r="O9" s="224"/>
      <c r="P9" s="230"/>
      <c r="Q9" s="230"/>
      <c r="R9" s="225" t="s">
        <v>155</v>
      </c>
      <c r="S9" s="230"/>
      <c r="T9" s="229" t="s">
        <v>260</v>
      </c>
      <c r="U9" s="227"/>
      <c r="V9" s="109" t="s">
        <v>261</v>
      </c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</row>
    <row r="10" ht="30.0" customHeight="1">
      <c r="A10" s="159"/>
      <c r="B10" s="218" t="s">
        <v>246</v>
      </c>
      <c r="C10" s="218" t="s">
        <v>247</v>
      </c>
      <c r="D10" s="218" t="s">
        <v>245</v>
      </c>
      <c r="E10" s="219">
        <v>11189.0</v>
      </c>
      <c r="F10" s="220" t="s">
        <v>262</v>
      </c>
      <c r="G10" s="221" t="s">
        <v>249</v>
      </c>
      <c r="H10" s="221" t="s">
        <v>263</v>
      </c>
      <c r="I10" s="221" t="s">
        <v>42</v>
      </c>
      <c r="J10" s="222" t="s">
        <v>250</v>
      </c>
      <c r="K10" s="223">
        <v>4.0</v>
      </c>
      <c r="L10" s="223" t="b">
        <v>1</v>
      </c>
      <c r="M10" s="223" t="s">
        <v>42</v>
      </c>
      <c r="N10" s="223">
        <v>3.9444210526315797</v>
      </c>
      <c r="O10" s="224" t="s">
        <v>238</v>
      </c>
      <c r="P10" s="225" t="s">
        <v>155</v>
      </c>
      <c r="Q10" s="225" t="s">
        <v>155</v>
      </c>
      <c r="R10" s="225" t="s">
        <v>155</v>
      </c>
      <c r="S10" s="225" t="s">
        <v>155</v>
      </c>
      <c r="T10" s="226"/>
      <c r="U10" s="227"/>
      <c r="V10" s="52" t="s">
        <v>250</v>
      </c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</row>
    <row r="11" ht="30.0" customHeight="1">
      <c r="A11" s="159"/>
      <c r="B11" s="218" t="s">
        <v>246</v>
      </c>
      <c r="C11" s="218" t="s">
        <v>247</v>
      </c>
      <c r="D11" s="218" t="s">
        <v>245</v>
      </c>
      <c r="E11" s="219">
        <v>53802.0</v>
      </c>
      <c r="F11" s="220" t="s">
        <v>264</v>
      </c>
      <c r="G11" s="221" t="s">
        <v>249</v>
      </c>
      <c r="H11" s="222" t="s">
        <v>250</v>
      </c>
      <c r="I11" s="221" t="s">
        <v>42</v>
      </c>
      <c r="J11" s="222" t="s">
        <v>250</v>
      </c>
      <c r="K11" s="223">
        <v>2.0</v>
      </c>
      <c r="L11" s="223" t="b">
        <v>1</v>
      </c>
      <c r="M11" s="223" t="s">
        <v>42</v>
      </c>
      <c r="N11" s="223">
        <v>5.226391304347826</v>
      </c>
      <c r="O11" s="224" t="s">
        <v>238</v>
      </c>
      <c r="P11" s="225" t="s">
        <v>155</v>
      </c>
      <c r="Q11" s="225" t="s">
        <v>155</v>
      </c>
      <c r="R11" s="225" t="s">
        <v>155</v>
      </c>
      <c r="S11" s="225" t="s">
        <v>155</v>
      </c>
      <c r="T11" s="226"/>
      <c r="U11" s="227"/>
      <c r="V11" s="52" t="s">
        <v>250</v>
      </c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</row>
    <row r="12" ht="30.0" customHeight="1">
      <c r="A12" s="159"/>
      <c r="B12" s="218" t="s">
        <v>246</v>
      </c>
      <c r="C12" s="218" t="s">
        <v>247</v>
      </c>
      <c r="D12" s="218" t="s">
        <v>245</v>
      </c>
      <c r="E12" s="219">
        <v>34782.0</v>
      </c>
      <c r="F12" s="220" t="s">
        <v>265</v>
      </c>
      <c r="G12" s="221" t="s">
        <v>249</v>
      </c>
      <c r="H12" s="222" t="s">
        <v>250</v>
      </c>
      <c r="I12" s="221" t="s">
        <v>42</v>
      </c>
      <c r="J12" s="222" t="s">
        <v>250</v>
      </c>
      <c r="K12" s="223">
        <v>2.0</v>
      </c>
      <c r="L12" s="223" t="b">
        <v>0</v>
      </c>
      <c r="M12" s="223" t="s">
        <v>42</v>
      </c>
      <c r="N12" s="223">
        <v>8.930230769230768</v>
      </c>
      <c r="O12" s="224"/>
      <c r="P12" s="225" t="s">
        <v>155</v>
      </c>
      <c r="Q12" s="225" t="s">
        <v>155</v>
      </c>
      <c r="R12" s="225" t="s">
        <v>155</v>
      </c>
      <c r="S12" s="225" t="s">
        <v>155</v>
      </c>
      <c r="T12" s="226"/>
      <c r="U12" s="227"/>
      <c r="V12" s="52" t="s">
        <v>250</v>
      </c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</row>
    <row r="13" ht="30.0" customHeight="1">
      <c r="A13" s="159"/>
      <c r="B13" s="218" t="s">
        <v>246</v>
      </c>
      <c r="C13" s="218" t="s">
        <v>247</v>
      </c>
      <c r="D13" s="218" t="s">
        <v>245</v>
      </c>
      <c r="E13" s="219">
        <v>14369.0</v>
      </c>
      <c r="F13" s="220" t="s">
        <v>266</v>
      </c>
      <c r="G13" s="221" t="s">
        <v>249</v>
      </c>
      <c r="H13" s="222" t="s">
        <v>250</v>
      </c>
      <c r="I13" s="221" t="s">
        <v>42</v>
      </c>
      <c r="J13" s="222" t="s">
        <v>250</v>
      </c>
      <c r="K13" s="223">
        <v>2.0</v>
      </c>
      <c r="L13" s="223" t="b">
        <v>0</v>
      </c>
      <c r="M13" s="223" t="s">
        <v>42</v>
      </c>
      <c r="N13" s="223">
        <v>4.2735</v>
      </c>
      <c r="O13" s="224" t="s">
        <v>238</v>
      </c>
      <c r="P13" s="225" t="s">
        <v>155</v>
      </c>
      <c r="Q13" s="225" t="s">
        <v>155</v>
      </c>
      <c r="R13" s="225" t="s">
        <v>155</v>
      </c>
      <c r="S13" s="225" t="s">
        <v>155</v>
      </c>
      <c r="T13" s="226"/>
      <c r="U13" s="227"/>
      <c r="V13" s="52" t="s">
        <v>250</v>
      </c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</row>
    <row r="14" ht="30.0" customHeight="1">
      <c r="A14" s="159"/>
      <c r="B14" s="218" t="s">
        <v>246</v>
      </c>
      <c r="C14" s="218" t="s">
        <v>247</v>
      </c>
      <c r="D14" s="218" t="s">
        <v>245</v>
      </c>
      <c r="E14" s="219">
        <v>112880.0</v>
      </c>
      <c r="F14" s="220" t="s">
        <v>267</v>
      </c>
      <c r="G14" s="221" t="s">
        <v>249</v>
      </c>
      <c r="H14" s="221" t="s">
        <v>268</v>
      </c>
      <c r="I14" s="221" t="s">
        <v>269</v>
      </c>
      <c r="J14" s="222" t="s">
        <v>250</v>
      </c>
      <c r="K14" s="223">
        <v>2.0</v>
      </c>
      <c r="L14" s="223" t="b">
        <v>0</v>
      </c>
      <c r="M14" s="223" t="s">
        <v>269</v>
      </c>
      <c r="N14" s="223">
        <v>1499.1672941176469</v>
      </c>
      <c r="O14" s="224"/>
      <c r="P14" s="225" t="s">
        <v>155</v>
      </c>
      <c r="Q14" s="225" t="s">
        <v>155</v>
      </c>
      <c r="R14" s="225" t="s">
        <v>155</v>
      </c>
      <c r="S14" s="225" t="s">
        <v>155</v>
      </c>
      <c r="T14" s="226"/>
      <c r="U14" s="227"/>
      <c r="V14" s="52" t="s">
        <v>250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</row>
    <row r="15" ht="30.0" customHeight="1">
      <c r="A15" s="159"/>
      <c r="B15" s="218" t="s">
        <v>246</v>
      </c>
      <c r="C15" s="218" t="s">
        <v>247</v>
      </c>
      <c r="D15" s="218" t="s">
        <v>245</v>
      </c>
      <c r="E15" s="219">
        <v>14389.0</v>
      </c>
      <c r="F15" s="220" t="s">
        <v>270</v>
      </c>
      <c r="G15" s="221" t="s">
        <v>249</v>
      </c>
      <c r="H15" s="222" t="s">
        <v>250</v>
      </c>
      <c r="I15" s="221" t="s">
        <v>42</v>
      </c>
      <c r="J15" s="222" t="s">
        <v>250</v>
      </c>
      <c r="K15" s="223">
        <v>4.0</v>
      </c>
      <c r="L15" s="223" t="b">
        <v>0</v>
      </c>
      <c r="M15" s="223" t="s">
        <v>42</v>
      </c>
      <c r="N15" s="223">
        <v>5.245705882352943</v>
      </c>
      <c r="O15" s="224"/>
      <c r="P15" s="225" t="s">
        <v>155</v>
      </c>
      <c r="Q15" s="225" t="s">
        <v>155</v>
      </c>
      <c r="R15" s="225" t="s">
        <v>155</v>
      </c>
      <c r="S15" s="225" t="s">
        <v>155</v>
      </c>
      <c r="T15" s="229" t="s">
        <v>271</v>
      </c>
      <c r="U15" s="227"/>
      <c r="V15" s="109" t="s">
        <v>272</v>
      </c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</row>
    <row r="16" ht="30.0" customHeight="1">
      <c r="A16" s="159"/>
      <c r="B16" s="218" t="s">
        <v>246</v>
      </c>
      <c r="C16" s="218" t="s">
        <v>247</v>
      </c>
      <c r="D16" s="218" t="s">
        <v>245</v>
      </c>
      <c r="E16" s="219">
        <v>102748.0</v>
      </c>
      <c r="F16" s="220" t="s">
        <v>273</v>
      </c>
      <c r="G16" s="221" t="s">
        <v>249</v>
      </c>
      <c r="H16" s="221" t="s">
        <v>268</v>
      </c>
      <c r="I16" s="221" t="s">
        <v>42</v>
      </c>
      <c r="J16" s="222" t="s">
        <v>250</v>
      </c>
      <c r="K16" s="223">
        <v>4.0</v>
      </c>
      <c r="L16" s="223" t="b">
        <v>1</v>
      </c>
      <c r="M16" s="228"/>
      <c r="N16" s="228"/>
      <c r="O16" s="224"/>
      <c r="P16" s="225" t="s">
        <v>155</v>
      </c>
      <c r="Q16" s="225" t="s">
        <v>155</v>
      </c>
      <c r="R16" s="225" t="s">
        <v>155</v>
      </c>
      <c r="S16" s="225" t="s">
        <v>155</v>
      </c>
      <c r="T16" s="226"/>
      <c r="U16" s="227"/>
      <c r="V16" s="52" t="s">
        <v>250</v>
      </c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</row>
    <row r="17" ht="30.0" customHeight="1">
      <c r="A17" s="159"/>
      <c r="B17" s="218" t="s">
        <v>246</v>
      </c>
      <c r="C17" s="218" t="s">
        <v>247</v>
      </c>
      <c r="D17" s="218" t="s">
        <v>245</v>
      </c>
      <c r="E17" s="219">
        <v>108513.0</v>
      </c>
      <c r="F17" s="220" t="s">
        <v>274</v>
      </c>
      <c r="G17" s="221" t="s">
        <v>249</v>
      </c>
      <c r="H17" s="221" t="s">
        <v>275</v>
      </c>
      <c r="I17" s="221" t="s">
        <v>42</v>
      </c>
      <c r="J17" s="222" t="s">
        <v>250</v>
      </c>
      <c r="K17" s="223">
        <v>1.0</v>
      </c>
      <c r="L17" s="223" t="b">
        <v>0</v>
      </c>
      <c r="M17" s="228"/>
      <c r="N17" s="228"/>
      <c r="O17" s="224"/>
      <c r="P17" s="225" t="s">
        <v>155</v>
      </c>
      <c r="Q17" s="225" t="s">
        <v>155</v>
      </c>
      <c r="R17" s="225" t="s">
        <v>155</v>
      </c>
      <c r="S17" s="225" t="s">
        <v>155</v>
      </c>
      <c r="T17" s="229" t="s">
        <v>276</v>
      </c>
      <c r="U17" s="227"/>
      <c r="V17" s="52" t="s">
        <v>250</v>
      </c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</row>
    <row r="18" ht="30.0" customHeight="1">
      <c r="A18" s="159"/>
      <c r="B18" s="218" t="s">
        <v>246</v>
      </c>
      <c r="C18" s="218" t="s">
        <v>247</v>
      </c>
      <c r="D18" s="218" t="s">
        <v>245</v>
      </c>
      <c r="E18" s="219">
        <v>108511.0</v>
      </c>
      <c r="F18" s="220" t="s">
        <v>277</v>
      </c>
      <c r="G18" s="221" t="s">
        <v>249</v>
      </c>
      <c r="H18" s="221" t="s">
        <v>278</v>
      </c>
      <c r="I18" s="221" t="s">
        <v>42</v>
      </c>
      <c r="J18" s="222" t="s">
        <v>250</v>
      </c>
      <c r="K18" s="223">
        <v>3.0</v>
      </c>
      <c r="L18" s="223" t="b">
        <v>0</v>
      </c>
      <c r="M18" s="223" t="s">
        <v>42</v>
      </c>
      <c r="N18" s="223">
        <v>16.078</v>
      </c>
      <c r="O18" s="224"/>
      <c r="P18" s="225" t="s">
        <v>155</v>
      </c>
      <c r="Q18" s="225" t="s">
        <v>155</v>
      </c>
      <c r="R18" s="225" t="s">
        <v>155</v>
      </c>
      <c r="S18" s="225" t="s">
        <v>155</v>
      </c>
      <c r="T18" s="229" t="s">
        <v>276</v>
      </c>
      <c r="U18" s="227"/>
      <c r="V18" s="109" t="s">
        <v>279</v>
      </c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</row>
    <row r="19" ht="30.0" customHeight="1">
      <c r="A19" s="159"/>
      <c r="B19" s="218" t="s">
        <v>246</v>
      </c>
      <c r="C19" s="218" t="s">
        <v>247</v>
      </c>
      <c r="D19" s="218" t="s">
        <v>245</v>
      </c>
      <c r="E19" s="219">
        <v>110970.0</v>
      </c>
      <c r="F19" s="220" t="s">
        <v>280</v>
      </c>
      <c r="G19" s="221" t="s">
        <v>249</v>
      </c>
      <c r="H19" s="221" t="s">
        <v>268</v>
      </c>
      <c r="I19" s="221" t="s">
        <v>42</v>
      </c>
      <c r="J19" s="222" t="s">
        <v>250</v>
      </c>
      <c r="K19" s="223">
        <v>2.0</v>
      </c>
      <c r="L19" s="223" t="b">
        <v>0</v>
      </c>
      <c r="M19" s="223" t="s">
        <v>42</v>
      </c>
      <c r="N19" s="223">
        <v>8.622363636363637</v>
      </c>
      <c r="O19" s="224"/>
      <c r="P19" s="225" t="s">
        <v>155</v>
      </c>
      <c r="Q19" s="225" t="s">
        <v>155</v>
      </c>
      <c r="R19" s="225" t="s">
        <v>155</v>
      </c>
      <c r="S19" s="225" t="s">
        <v>155</v>
      </c>
      <c r="T19" s="226"/>
      <c r="U19" s="227"/>
      <c r="V19" s="109" t="s">
        <v>281</v>
      </c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</row>
    <row r="20" ht="30.0" customHeight="1">
      <c r="A20" s="159"/>
      <c r="B20" s="218" t="s">
        <v>246</v>
      </c>
      <c r="C20" s="218" t="s">
        <v>247</v>
      </c>
      <c r="D20" s="218" t="s">
        <v>245</v>
      </c>
      <c r="E20" s="219">
        <v>148887.0</v>
      </c>
      <c r="F20" s="220" t="s">
        <v>282</v>
      </c>
      <c r="G20" s="221" t="s">
        <v>249</v>
      </c>
      <c r="H20" s="221" t="s">
        <v>283</v>
      </c>
      <c r="I20" s="221" t="s">
        <v>42</v>
      </c>
      <c r="J20" s="222" t="s">
        <v>250</v>
      </c>
      <c r="K20" s="223">
        <v>4.0</v>
      </c>
      <c r="L20" s="223" t="b">
        <v>0</v>
      </c>
      <c r="M20" s="228"/>
      <c r="N20" s="228"/>
      <c r="O20" s="224"/>
      <c r="P20" s="225" t="s">
        <v>155</v>
      </c>
      <c r="Q20" s="225" t="s">
        <v>155</v>
      </c>
      <c r="R20" s="225" t="s">
        <v>155</v>
      </c>
      <c r="S20" s="225" t="s">
        <v>155</v>
      </c>
      <c r="T20" s="226"/>
      <c r="U20" s="227"/>
      <c r="V20" s="109" t="s">
        <v>284</v>
      </c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</row>
    <row r="21" ht="30.0" customHeight="1">
      <c r="A21" s="159"/>
      <c r="B21" s="218" t="s">
        <v>246</v>
      </c>
      <c r="C21" s="218" t="s">
        <v>247</v>
      </c>
      <c r="D21" s="218" t="s">
        <v>245</v>
      </c>
      <c r="E21" s="219">
        <v>34728.0</v>
      </c>
      <c r="F21" s="220" t="s">
        <v>285</v>
      </c>
      <c r="G21" s="221" t="s">
        <v>249</v>
      </c>
      <c r="H21" s="221" t="s">
        <v>286</v>
      </c>
      <c r="I21" s="221" t="s">
        <v>42</v>
      </c>
      <c r="J21" s="222" t="s">
        <v>250</v>
      </c>
      <c r="K21" s="223">
        <v>2.0</v>
      </c>
      <c r="L21" s="223" t="b">
        <v>0</v>
      </c>
      <c r="M21" s="223" t="s">
        <v>42</v>
      </c>
      <c r="N21" s="228"/>
      <c r="O21" s="224"/>
      <c r="P21" s="225" t="s">
        <v>155</v>
      </c>
      <c r="Q21" s="225" t="s">
        <v>155</v>
      </c>
      <c r="R21" s="225" t="s">
        <v>155</v>
      </c>
      <c r="S21" s="225" t="s">
        <v>155</v>
      </c>
      <c r="T21" s="226"/>
      <c r="U21" s="227"/>
      <c r="V21" s="109" t="s">
        <v>257</v>
      </c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</row>
    <row r="22" ht="30.0" customHeight="1">
      <c r="A22" s="159"/>
      <c r="B22" s="218" t="s">
        <v>246</v>
      </c>
      <c r="C22" s="218" t="s">
        <v>247</v>
      </c>
      <c r="D22" s="218" t="s">
        <v>245</v>
      </c>
      <c r="E22" s="219">
        <v>38308.0</v>
      </c>
      <c r="F22" s="220" t="s">
        <v>287</v>
      </c>
      <c r="G22" s="221" t="s">
        <v>249</v>
      </c>
      <c r="H22" s="222" t="s">
        <v>250</v>
      </c>
      <c r="I22" s="221" t="s">
        <v>42</v>
      </c>
      <c r="J22" s="222" t="s">
        <v>250</v>
      </c>
      <c r="K22" s="223">
        <v>2.0</v>
      </c>
      <c r="L22" s="223" t="b">
        <v>0</v>
      </c>
      <c r="M22" s="223" t="s">
        <v>42</v>
      </c>
      <c r="N22" s="223">
        <v>6.634545454545454</v>
      </c>
      <c r="O22" s="224" t="s">
        <v>238</v>
      </c>
      <c r="P22" s="225" t="s">
        <v>155</v>
      </c>
      <c r="Q22" s="225" t="s">
        <v>155</v>
      </c>
      <c r="R22" s="225" t="s">
        <v>155</v>
      </c>
      <c r="S22" s="225" t="s">
        <v>155</v>
      </c>
      <c r="T22" s="226"/>
      <c r="U22" s="227"/>
      <c r="V22" s="52" t="s">
        <v>250</v>
      </c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</row>
    <row r="23" ht="30.0" customHeight="1">
      <c r="A23" s="159"/>
      <c r="B23" s="218" t="s">
        <v>246</v>
      </c>
      <c r="C23" s="218" t="s">
        <v>247</v>
      </c>
      <c r="D23" s="218" t="s">
        <v>245</v>
      </c>
      <c r="E23" s="219">
        <v>14386.0</v>
      </c>
      <c r="F23" s="220" t="s">
        <v>288</v>
      </c>
      <c r="G23" s="221" t="s">
        <v>249</v>
      </c>
      <c r="H23" s="222" t="s">
        <v>250</v>
      </c>
      <c r="I23" s="221" t="s">
        <v>289</v>
      </c>
      <c r="J23" s="222" t="s">
        <v>250</v>
      </c>
      <c r="K23" s="223">
        <v>1.0</v>
      </c>
      <c r="L23" s="223" t="b">
        <v>0</v>
      </c>
      <c r="M23" s="228"/>
      <c r="N23" s="228"/>
      <c r="O23" s="224"/>
      <c r="P23" s="225" t="s">
        <v>155</v>
      </c>
      <c r="Q23" s="225" t="s">
        <v>155</v>
      </c>
      <c r="R23" s="225" t="s">
        <v>155</v>
      </c>
      <c r="S23" s="225" t="s">
        <v>155</v>
      </c>
      <c r="T23" s="226"/>
      <c r="U23" s="227"/>
      <c r="V23" s="52" t="s">
        <v>250</v>
      </c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</row>
    <row r="24" ht="30.0" customHeight="1">
      <c r="A24" s="209"/>
      <c r="B24" s="210" t="s">
        <v>290</v>
      </c>
      <c r="C24" s="210" t="s">
        <v>291</v>
      </c>
      <c r="D24" s="211"/>
      <c r="E24" s="212"/>
      <c r="F24" s="213"/>
      <c r="G24" s="213"/>
      <c r="H24" s="213"/>
      <c r="I24" s="212"/>
      <c r="J24" s="212"/>
      <c r="K24" s="214"/>
      <c r="L24" s="214"/>
      <c r="M24" s="214"/>
      <c r="N24" s="214"/>
      <c r="O24" s="215"/>
      <c r="P24" s="216"/>
      <c r="Q24" s="216"/>
      <c r="R24" s="216"/>
      <c r="S24" s="216"/>
      <c r="T24" s="217"/>
      <c r="U24" s="217"/>
      <c r="V24" s="217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</row>
    <row r="25" ht="30.0" customHeight="1">
      <c r="A25" s="159"/>
      <c r="B25" s="218" t="s">
        <v>246</v>
      </c>
      <c r="C25" s="218" t="s">
        <v>247</v>
      </c>
      <c r="D25" s="218" t="s">
        <v>290</v>
      </c>
      <c r="E25" s="219">
        <v>20844.0</v>
      </c>
      <c r="F25" s="220" t="s">
        <v>292</v>
      </c>
      <c r="G25" s="221" t="s">
        <v>249</v>
      </c>
      <c r="H25" s="221" t="s">
        <v>293</v>
      </c>
      <c r="I25" s="221" t="s">
        <v>42</v>
      </c>
      <c r="J25" s="221" t="s">
        <v>294</v>
      </c>
      <c r="K25" s="223">
        <v>4.0</v>
      </c>
      <c r="L25" s="223" t="b">
        <v>1</v>
      </c>
      <c r="M25" s="223" t="s">
        <v>42</v>
      </c>
      <c r="N25" s="223">
        <v>7.578909090909092</v>
      </c>
      <c r="O25" s="224"/>
      <c r="P25" s="225" t="s">
        <v>155</v>
      </c>
      <c r="Q25" s="225" t="s">
        <v>155</v>
      </c>
      <c r="R25" s="225" t="s">
        <v>155</v>
      </c>
      <c r="S25" s="225" t="s">
        <v>155</v>
      </c>
      <c r="T25" s="226"/>
      <c r="U25" s="227"/>
      <c r="V25" s="52" t="s">
        <v>250</v>
      </c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</row>
    <row r="26" ht="30.0" customHeight="1">
      <c r="A26" s="159"/>
      <c r="B26" s="218" t="s">
        <v>246</v>
      </c>
      <c r="C26" s="218" t="s">
        <v>247</v>
      </c>
      <c r="D26" s="218" t="s">
        <v>291</v>
      </c>
      <c r="E26" s="219">
        <v>14443.0</v>
      </c>
      <c r="F26" s="220" t="s">
        <v>295</v>
      </c>
      <c r="G26" s="221" t="s">
        <v>249</v>
      </c>
      <c r="H26" s="222" t="s">
        <v>250</v>
      </c>
      <c r="I26" s="221" t="s">
        <v>42</v>
      </c>
      <c r="J26" s="222" t="s">
        <v>250</v>
      </c>
      <c r="K26" s="223">
        <v>3.0</v>
      </c>
      <c r="L26" s="223" t="b">
        <v>0</v>
      </c>
      <c r="M26" s="223" t="s">
        <v>42</v>
      </c>
      <c r="N26" s="223">
        <v>7.569000000000001</v>
      </c>
      <c r="O26" s="224"/>
      <c r="P26" s="225" t="s">
        <v>155</v>
      </c>
      <c r="Q26" s="225" t="s">
        <v>155</v>
      </c>
      <c r="R26" s="225" t="s">
        <v>155</v>
      </c>
      <c r="S26" s="225" t="s">
        <v>155</v>
      </c>
      <c r="T26" s="226"/>
      <c r="U26" s="227"/>
      <c r="V26" s="109" t="s">
        <v>296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</row>
    <row r="27" ht="30.0" customHeight="1">
      <c r="A27" s="159"/>
      <c r="B27" s="218" t="s">
        <v>246</v>
      </c>
      <c r="C27" s="218" t="s">
        <v>247</v>
      </c>
      <c r="D27" s="218" t="s">
        <v>291</v>
      </c>
      <c r="E27" s="219">
        <v>24773.0</v>
      </c>
      <c r="F27" s="220" t="s">
        <v>297</v>
      </c>
      <c r="G27" s="221" t="s">
        <v>249</v>
      </c>
      <c r="H27" s="222" t="s">
        <v>250</v>
      </c>
      <c r="I27" s="221" t="s">
        <v>42</v>
      </c>
      <c r="J27" s="222" t="s">
        <v>250</v>
      </c>
      <c r="K27" s="223">
        <v>2.0</v>
      </c>
      <c r="L27" s="223" t="b">
        <v>0</v>
      </c>
      <c r="M27" s="223" t="s">
        <v>42</v>
      </c>
      <c r="N27" s="223">
        <v>9.010941176470588</v>
      </c>
      <c r="O27" s="224" t="s">
        <v>238</v>
      </c>
      <c r="P27" s="225" t="s">
        <v>155</v>
      </c>
      <c r="Q27" s="225" t="s">
        <v>155</v>
      </c>
      <c r="R27" s="225" t="s">
        <v>155</v>
      </c>
      <c r="S27" s="225" t="s">
        <v>155</v>
      </c>
      <c r="T27" s="226"/>
      <c r="U27" s="227"/>
      <c r="V27" s="109" t="s">
        <v>298</v>
      </c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</row>
    <row r="28" ht="30.0" customHeight="1">
      <c r="A28" s="159"/>
      <c r="B28" s="218" t="s">
        <v>246</v>
      </c>
      <c r="C28" s="218" t="s">
        <v>247</v>
      </c>
      <c r="D28" s="218" t="s">
        <v>291</v>
      </c>
      <c r="E28" s="219">
        <v>112199.0</v>
      </c>
      <c r="F28" s="220" t="s">
        <v>299</v>
      </c>
      <c r="G28" s="221" t="s">
        <v>249</v>
      </c>
      <c r="H28" s="221" t="s">
        <v>300</v>
      </c>
      <c r="I28" s="221" t="s">
        <v>301</v>
      </c>
      <c r="J28" s="222" t="s">
        <v>250</v>
      </c>
      <c r="K28" s="223">
        <v>2.0</v>
      </c>
      <c r="L28" s="223" t="b">
        <v>0</v>
      </c>
      <c r="M28" s="223" t="s">
        <v>301</v>
      </c>
      <c r="N28" s="223">
        <v>142.99380000000002</v>
      </c>
      <c r="O28" s="224"/>
      <c r="P28" s="225" t="s">
        <v>155</v>
      </c>
      <c r="Q28" s="225" t="s">
        <v>155</v>
      </c>
      <c r="R28" s="225" t="s">
        <v>155</v>
      </c>
      <c r="S28" s="225" t="s">
        <v>155</v>
      </c>
      <c r="T28" s="226"/>
      <c r="U28" s="227"/>
      <c r="V28" s="109" t="s">
        <v>296</v>
      </c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</row>
    <row r="29" ht="30.0" customHeight="1">
      <c r="A29" s="159"/>
      <c r="B29" s="218" t="s">
        <v>246</v>
      </c>
      <c r="C29" s="218" t="s">
        <v>247</v>
      </c>
      <c r="D29" s="218" t="s">
        <v>291</v>
      </c>
      <c r="E29" s="219">
        <v>18997.0</v>
      </c>
      <c r="F29" s="220" t="s">
        <v>302</v>
      </c>
      <c r="G29" s="221" t="s">
        <v>249</v>
      </c>
      <c r="H29" s="222" t="s">
        <v>250</v>
      </c>
      <c r="I29" s="221" t="s">
        <v>303</v>
      </c>
      <c r="J29" s="222" t="s">
        <v>250</v>
      </c>
      <c r="K29" s="223">
        <v>3.0</v>
      </c>
      <c r="L29" s="223" t="b">
        <v>0</v>
      </c>
      <c r="M29" s="223" t="s">
        <v>303</v>
      </c>
      <c r="N29" s="223">
        <v>184.64466666666667</v>
      </c>
      <c r="O29" s="224"/>
      <c r="P29" s="225" t="s">
        <v>155</v>
      </c>
      <c r="Q29" s="225" t="s">
        <v>155</v>
      </c>
      <c r="R29" s="225" t="s">
        <v>155</v>
      </c>
      <c r="S29" s="225" t="s">
        <v>155</v>
      </c>
      <c r="T29" s="226"/>
      <c r="U29" s="227"/>
      <c r="V29" s="109" t="s">
        <v>296</v>
      </c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</row>
    <row r="30" ht="30.0" customHeight="1">
      <c r="A30" s="159"/>
      <c r="B30" s="218" t="s">
        <v>246</v>
      </c>
      <c r="C30" s="218" t="s">
        <v>247</v>
      </c>
      <c r="D30" s="218" t="s">
        <v>291</v>
      </c>
      <c r="E30" s="219">
        <v>37392.0</v>
      </c>
      <c r="F30" s="220" t="s">
        <v>304</v>
      </c>
      <c r="G30" s="221" t="s">
        <v>249</v>
      </c>
      <c r="H30" s="221" t="s">
        <v>305</v>
      </c>
      <c r="I30" s="221" t="s">
        <v>42</v>
      </c>
      <c r="J30" s="222" t="s">
        <v>250</v>
      </c>
      <c r="K30" s="223">
        <v>2.0</v>
      </c>
      <c r="L30" s="223" t="b">
        <v>0</v>
      </c>
      <c r="M30" s="223" t="s">
        <v>42</v>
      </c>
      <c r="N30" s="223">
        <v>3.066181818181818</v>
      </c>
      <c r="O30" s="224"/>
      <c r="P30" s="225" t="s">
        <v>155</v>
      </c>
      <c r="Q30" s="225" t="s">
        <v>155</v>
      </c>
      <c r="R30" s="225" t="s">
        <v>155</v>
      </c>
      <c r="S30" s="225" t="s">
        <v>155</v>
      </c>
      <c r="T30" s="226"/>
      <c r="U30" s="227"/>
      <c r="V30" s="109" t="s">
        <v>296</v>
      </c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</row>
    <row r="31" ht="30.0" customHeight="1">
      <c r="A31" s="159"/>
      <c r="B31" s="218" t="s">
        <v>246</v>
      </c>
      <c r="C31" s="218" t="s">
        <v>247</v>
      </c>
      <c r="D31" s="218" t="s">
        <v>291</v>
      </c>
      <c r="E31" s="219">
        <v>11681.0</v>
      </c>
      <c r="F31" s="220" t="s">
        <v>306</v>
      </c>
      <c r="G31" s="221" t="s">
        <v>249</v>
      </c>
      <c r="H31" s="222" t="s">
        <v>250</v>
      </c>
      <c r="I31" s="221" t="s">
        <v>42</v>
      </c>
      <c r="J31" s="222" t="s">
        <v>250</v>
      </c>
      <c r="K31" s="223">
        <v>3.0</v>
      </c>
      <c r="L31" s="223" t="b">
        <v>0</v>
      </c>
      <c r="M31" s="223" t="s">
        <v>42</v>
      </c>
      <c r="N31" s="223">
        <v>3.5219230769230765</v>
      </c>
      <c r="O31" s="224" t="s">
        <v>238</v>
      </c>
      <c r="P31" s="225" t="s">
        <v>155</v>
      </c>
      <c r="Q31" s="225" t="s">
        <v>155</v>
      </c>
      <c r="R31" s="225" t="s">
        <v>155</v>
      </c>
      <c r="S31" s="225" t="s">
        <v>155</v>
      </c>
      <c r="T31" s="226"/>
      <c r="U31" s="227"/>
      <c r="V31" s="109" t="s">
        <v>307</v>
      </c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</row>
    <row r="32" ht="30.0" customHeight="1">
      <c r="A32" s="159"/>
      <c r="B32" s="218" t="s">
        <v>246</v>
      </c>
      <c r="C32" s="218" t="s">
        <v>247</v>
      </c>
      <c r="D32" s="218" t="s">
        <v>291</v>
      </c>
      <c r="E32" s="219">
        <v>14399.0</v>
      </c>
      <c r="F32" s="220" t="s">
        <v>308</v>
      </c>
      <c r="G32" s="221" t="s">
        <v>249</v>
      </c>
      <c r="H32" s="222" t="s">
        <v>250</v>
      </c>
      <c r="I32" s="221" t="s">
        <v>42</v>
      </c>
      <c r="J32" s="222" t="s">
        <v>250</v>
      </c>
      <c r="K32" s="223">
        <v>2.0</v>
      </c>
      <c r="L32" s="223" t="b">
        <v>0</v>
      </c>
      <c r="M32" s="223" t="s">
        <v>42</v>
      </c>
      <c r="N32" s="223">
        <v>2.674125</v>
      </c>
      <c r="O32" s="224" t="s">
        <v>238</v>
      </c>
      <c r="P32" s="225" t="s">
        <v>155</v>
      </c>
      <c r="Q32" s="225" t="s">
        <v>155</v>
      </c>
      <c r="R32" s="225" t="s">
        <v>155</v>
      </c>
      <c r="S32" s="225" t="s">
        <v>155</v>
      </c>
      <c r="T32" s="226"/>
      <c r="U32" s="227"/>
      <c r="V32" s="109" t="s">
        <v>296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</row>
    <row r="33" ht="30.0" customHeight="1">
      <c r="A33" s="159"/>
      <c r="B33" s="218" t="s">
        <v>246</v>
      </c>
      <c r="C33" s="218" t="s">
        <v>247</v>
      </c>
      <c r="D33" s="218" t="s">
        <v>291</v>
      </c>
      <c r="E33" s="219">
        <v>10533.0</v>
      </c>
      <c r="F33" s="220" t="s">
        <v>309</v>
      </c>
      <c r="G33" s="221" t="s">
        <v>249</v>
      </c>
      <c r="H33" s="222" t="s">
        <v>250</v>
      </c>
      <c r="I33" s="221" t="s">
        <v>42</v>
      </c>
      <c r="J33" s="222" t="s">
        <v>250</v>
      </c>
      <c r="K33" s="223">
        <v>2.0</v>
      </c>
      <c r="L33" s="223" t="b">
        <v>0</v>
      </c>
      <c r="M33" s="223" t="s">
        <v>42</v>
      </c>
      <c r="N33" s="223">
        <v>2.5690000000000004</v>
      </c>
      <c r="O33" s="224" t="s">
        <v>238</v>
      </c>
      <c r="P33" s="225" t="s">
        <v>155</v>
      </c>
      <c r="Q33" s="225" t="s">
        <v>155</v>
      </c>
      <c r="R33" s="225" t="s">
        <v>155</v>
      </c>
      <c r="S33" s="225" t="s">
        <v>155</v>
      </c>
      <c r="T33" s="226"/>
      <c r="U33" s="227"/>
      <c r="V33" s="109" t="s">
        <v>310</v>
      </c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</row>
    <row r="34" ht="30.0" customHeight="1">
      <c r="A34" s="159"/>
      <c r="B34" s="218" t="s">
        <v>246</v>
      </c>
      <c r="C34" s="218" t="s">
        <v>247</v>
      </c>
      <c r="D34" s="218" t="s">
        <v>291</v>
      </c>
      <c r="E34" s="219">
        <v>14397.0</v>
      </c>
      <c r="F34" s="220" t="s">
        <v>311</v>
      </c>
      <c r="G34" s="221" t="s">
        <v>249</v>
      </c>
      <c r="H34" s="221" t="s">
        <v>312</v>
      </c>
      <c r="I34" s="221" t="s">
        <v>42</v>
      </c>
      <c r="J34" s="222" t="s">
        <v>250</v>
      </c>
      <c r="K34" s="223">
        <v>3.0</v>
      </c>
      <c r="L34" s="223" t="b">
        <v>0</v>
      </c>
      <c r="M34" s="223" t="s">
        <v>42</v>
      </c>
      <c r="N34" s="223">
        <v>8.472892857142858</v>
      </c>
      <c r="O34" s="224" t="s">
        <v>238</v>
      </c>
      <c r="P34" s="225" t="s">
        <v>155</v>
      </c>
      <c r="Q34" s="225" t="s">
        <v>155</v>
      </c>
      <c r="R34" s="225" t="s">
        <v>155</v>
      </c>
      <c r="S34" s="225" t="s">
        <v>155</v>
      </c>
      <c r="T34" s="226"/>
      <c r="U34" s="227"/>
      <c r="V34" s="109" t="s">
        <v>296</v>
      </c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</row>
    <row r="35" ht="30.0" customHeight="1">
      <c r="A35" s="159"/>
      <c r="B35" s="218" t="s">
        <v>246</v>
      </c>
      <c r="C35" s="218" t="s">
        <v>247</v>
      </c>
      <c r="D35" s="218" t="s">
        <v>291</v>
      </c>
      <c r="E35" s="219">
        <v>14400.0</v>
      </c>
      <c r="F35" s="220" t="s">
        <v>313</v>
      </c>
      <c r="G35" s="221" t="s">
        <v>249</v>
      </c>
      <c r="H35" s="222" t="s">
        <v>250</v>
      </c>
      <c r="I35" s="221" t="s">
        <v>42</v>
      </c>
      <c r="J35" s="222" t="s">
        <v>250</v>
      </c>
      <c r="K35" s="223">
        <v>3.0</v>
      </c>
      <c r="L35" s="223" t="b">
        <v>0</v>
      </c>
      <c r="M35" s="223" t="s">
        <v>42</v>
      </c>
      <c r="N35" s="223">
        <v>6.610791666666667</v>
      </c>
      <c r="O35" s="224" t="s">
        <v>238</v>
      </c>
      <c r="P35" s="225" t="s">
        <v>155</v>
      </c>
      <c r="Q35" s="225" t="s">
        <v>155</v>
      </c>
      <c r="R35" s="225" t="s">
        <v>155</v>
      </c>
      <c r="S35" s="225" t="s">
        <v>155</v>
      </c>
      <c r="T35" s="226"/>
      <c r="U35" s="227"/>
      <c r="V35" s="109" t="s">
        <v>296</v>
      </c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</row>
    <row r="36" ht="30.0" customHeight="1">
      <c r="A36" s="209"/>
      <c r="B36" s="210" t="s">
        <v>314</v>
      </c>
      <c r="C36" s="211"/>
      <c r="D36" s="211"/>
      <c r="E36" s="212"/>
      <c r="F36" s="213"/>
      <c r="G36" s="213"/>
      <c r="H36" s="213"/>
      <c r="I36" s="212"/>
      <c r="J36" s="212"/>
      <c r="K36" s="214"/>
      <c r="L36" s="214"/>
      <c r="M36" s="214"/>
      <c r="N36" s="214"/>
      <c r="O36" s="215"/>
      <c r="P36" s="216"/>
      <c r="Q36" s="216"/>
      <c r="R36" s="216"/>
      <c r="S36" s="216"/>
      <c r="T36" s="217"/>
      <c r="U36" s="217"/>
      <c r="V36" s="217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</row>
    <row r="37" ht="30.0" customHeight="1">
      <c r="A37" s="159"/>
      <c r="B37" s="218" t="s">
        <v>246</v>
      </c>
      <c r="C37" s="218" t="s">
        <v>247</v>
      </c>
      <c r="D37" s="218" t="s">
        <v>314</v>
      </c>
      <c r="E37" s="219">
        <v>14407.0</v>
      </c>
      <c r="F37" s="220" t="s">
        <v>315</v>
      </c>
      <c r="G37" s="221" t="s">
        <v>249</v>
      </c>
      <c r="H37" s="222" t="s">
        <v>250</v>
      </c>
      <c r="I37" s="221" t="s">
        <v>42</v>
      </c>
      <c r="J37" s="222" t="s">
        <v>250</v>
      </c>
      <c r="K37" s="223">
        <v>3.0</v>
      </c>
      <c r="L37" s="223" t="b">
        <v>0</v>
      </c>
      <c r="M37" s="223" t="s">
        <v>42</v>
      </c>
      <c r="N37" s="223">
        <v>4.753714285714286</v>
      </c>
      <c r="O37" s="224"/>
      <c r="P37" s="225" t="s">
        <v>155</v>
      </c>
      <c r="Q37" s="225" t="s">
        <v>155</v>
      </c>
      <c r="R37" s="225" t="s">
        <v>155</v>
      </c>
      <c r="S37" s="225" t="s">
        <v>155</v>
      </c>
      <c r="T37" s="226"/>
      <c r="U37" s="227"/>
      <c r="V37" s="109" t="s">
        <v>316</v>
      </c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</row>
    <row r="38" ht="30.0" customHeight="1">
      <c r="A38" s="159"/>
      <c r="B38" s="218" t="s">
        <v>246</v>
      </c>
      <c r="C38" s="218" t="s">
        <v>247</v>
      </c>
      <c r="D38" s="218" t="s">
        <v>314</v>
      </c>
      <c r="E38" s="219">
        <v>10051.0</v>
      </c>
      <c r="F38" s="220" t="s">
        <v>317</v>
      </c>
      <c r="G38" s="221" t="s">
        <v>249</v>
      </c>
      <c r="H38" s="222" t="s">
        <v>250</v>
      </c>
      <c r="I38" s="221" t="s">
        <v>42</v>
      </c>
      <c r="J38" s="222" t="s">
        <v>250</v>
      </c>
      <c r="K38" s="223">
        <v>4.0</v>
      </c>
      <c r="L38" s="223" t="b">
        <v>0</v>
      </c>
      <c r="M38" s="223" t="s">
        <v>42</v>
      </c>
      <c r="N38" s="223">
        <v>4.4611875</v>
      </c>
      <c r="O38" s="224"/>
      <c r="P38" s="230"/>
      <c r="Q38" s="225" t="s">
        <v>155</v>
      </c>
      <c r="R38" s="225" t="s">
        <v>155</v>
      </c>
      <c r="S38" s="225" t="s">
        <v>155</v>
      </c>
      <c r="T38" s="229" t="s">
        <v>318</v>
      </c>
      <c r="U38" s="227"/>
      <c r="V38" s="109" t="s">
        <v>319</v>
      </c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</row>
    <row r="39" ht="30.0" customHeight="1">
      <c r="A39" s="159"/>
      <c r="B39" s="218" t="s">
        <v>246</v>
      </c>
      <c r="C39" s="218" t="s">
        <v>247</v>
      </c>
      <c r="D39" s="218" t="s">
        <v>314</v>
      </c>
      <c r="E39" s="219">
        <v>27414.0</v>
      </c>
      <c r="F39" s="220" t="s">
        <v>320</v>
      </c>
      <c r="G39" s="221" t="s">
        <v>249</v>
      </c>
      <c r="H39" s="222" t="s">
        <v>250</v>
      </c>
      <c r="I39" s="221" t="s">
        <v>42</v>
      </c>
      <c r="J39" s="222" t="s">
        <v>250</v>
      </c>
      <c r="K39" s="223">
        <v>3.0</v>
      </c>
      <c r="L39" s="223" t="b">
        <v>0</v>
      </c>
      <c r="M39" s="223" t="s">
        <v>42</v>
      </c>
      <c r="N39" s="223">
        <v>24.091903225806444</v>
      </c>
      <c r="O39" s="224"/>
      <c r="P39" s="225" t="s">
        <v>155</v>
      </c>
      <c r="Q39" s="225" t="s">
        <v>155</v>
      </c>
      <c r="R39" s="225" t="s">
        <v>155</v>
      </c>
      <c r="S39" s="225" t="s">
        <v>155</v>
      </c>
      <c r="T39" s="226"/>
      <c r="U39" s="227"/>
      <c r="V39" s="52" t="s">
        <v>250</v>
      </c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</row>
    <row r="40" ht="30.0" customHeight="1">
      <c r="A40" s="159"/>
      <c r="B40" s="218" t="s">
        <v>246</v>
      </c>
      <c r="C40" s="218" t="s">
        <v>247</v>
      </c>
      <c r="D40" s="218" t="s">
        <v>314</v>
      </c>
      <c r="E40" s="219">
        <v>14424.0</v>
      </c>
      <c r="F40" s="220" t="s">
        <v>321</v>
      </c>
      <c r="G40" s="221" t="s">
        <v>249</v>
      </c>
      <c r="H40" s="222" t="s">
        <v>250</v>
      </c>
      <c r="I40" s="221" t="s">
        <v>42</v>
      </c>
      <c r="J40" s="222" t="s">
        <v>250</v>
      </c>
      <c r="K40" s="223">
        <v>3.0</v>
      </c>
      <c r="L40" s="223" t="b">
        <v>0</v>
      </c>
      <c r="M40" s="223" t="s">
        <v>42</v>
      </c>
      <c r="N40" s="223">
        <v>4.465470588235295</v>
      </c>
      <c r="O40" s="224" t="s">
        <v>238</v>
      </c>
      <c r="P40" s="225" t="s">
        <v>155</v>
      </c>
      <c r="Q40" s="225" t="s">
        <v>155</v>
      </c>
      <c r="R40" s="225" t="s">
        <v>155</v>
      </c>
      <c r="S40" s="225" t="s">
        <v>155</v>
      </c>
      <c r="T40" s="226"/>
      <c r="U40" s="227"/>
      <c r="V40" s="109" t="s">
        <v>316</v>
      </c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</row>
    <row r="41" ht="30.0" customHeight="1">
      <c r="A41" s="209"/>
      <c r="B41" s="209" t="s">
        <v>322</v>
      </c>
      <c r="C41" s="209" t="s">
        <v>323</v>
      </c>
      <c r="D41" s="211"/>
      <c r="E41" s="212"/>
      <c r="F41" s="213"/>
      <c r="G41" s="213"/>
      <c r="H41" s="213"/>
      <c r="I41" s="212"/>
      <c r="J41" s="212"/>
      <c r="K41" s="214"/>
      <c r="L41" s="214"/>
      <c r="M41" s="214"/>
      <c r="N41" s="214"/>
      <c r="O41" s="215"/>
      <c r="P41" s="216"/>
      <c r="Q41" s="216"/>
      <c r="R41" s="216"/>
      <c r="S41" s="216"/>
      <c r="T41" s="217"/>
      <c r="U41" s="217"/>
      <c r="V41" s="217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</row>
    <row r="42" ht="30.0" customHeight="1">
      <c r="A42" s="159"/>
      <c r="B42" s="218" t="s">
        <v>246</v>
      </c>
      <c r="C42" s="218" t="s">
        <v>247</v>
      </c>
      <c r="D42" s="218" t="s">
        <v>322</v>
      </c>
      <c r="E42" s="219">
        <v>14579.0</v>
      </c>
      <c r="F42" s="220" t="s">
        <v>324</v>
      </c>
      <c r="G42" s="221" t="s">
        <v>249</v>
      </c>
      <c r="H42" s="222" t="s">
        <v>250</v>
      </c>
      <c r="I42" s="221" t="s">
        <v>325</v>
      </c>
      <c r="J42" s="222" t="s">
        <v>250</v>
      </c>
      <c r="K42" s="223">
        <v>2.0</v>
      </c>
      <c r="L42" s="223" t="b">
        <v>1</v>
      </c>
      <c r="M42" s="223" t="s">
        <v>325</v>
      </c>
      <c r="N42" s="223">
        <v>73.6935</v>
      </c>
      <c r="O42" s="224"/>
      <c r="P42" s="225" t="s">
        <v>155</v>
      </c>
      <c r="Q42" s="225" t="s">
        <v>155</v>
      </c>
      <c r="R42" s="225" t="s">
        <v>155</v>
      </c>
      <c r="S42" s="225" t="s">
        <v>155</v>
      </c>
      <c r="T42" s="226"/>
      <c r="U42" s="227"/>
      <c r="V42" s="52" t="s">
        <v>250</v>
      </c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</row>
    <row r="43" ht="30.0" customHeight="1">
      <c r="A43" s="159"/>
      <c r="B43" s="218" t="s">
        <v>246</v>
      </c>
      <c r="C43" s="218" t="s">
        <v>247</v>
      </c>
      <c r="D43" s="218" t="s">
        <v>322</v>
      </c>
      <c r="E43" s="219">
        <v>45649.0</v>
      </c>
      <c r="F43" s="220" t="s">
        <v>326</v>
      </c>
      <c r="G43" s="221" t="s">
        <v>249</v>
      </c>
      <c r="H43" s="222" t="s">
        <v>250</v>
      </c>
      <c r="I43" s="221" t="s">
        <v>42</v>
      </c>
      <c r="J43" s="221" t="s">
        <v>327</v>
      </c>
      <c r="K43" s="223">
        <v>3.0</v>
      </c>
      <c r="L43" s="223" t="b">
        <v>0</v>
      </c>
      <c r="M43" s="223" t="s">
        <v>42</v>
      </c>
      <c r="N43" s="223">
        <v>4.736056074766355</v>
      </c>
      <c r="O43" s="224" t="s">
        <v>238</v>
      </c>
      <c r="P43" s="225" t="s">
        <v>155</v>
      </c>
      <c r="Q43" s="225" t="s">
        <v>155</v>
      </c>
      <c r="R43" s="225" t="s">
        <v>155</v>
      </c>
      <c r="S43" s="225" t="s">
        <v>155</v>
      </c>
      <c r="T43" s="226"/>
      <c r="U43" s="227"/>
      <c r="V43" s="109" t="s">
        <v>328</v>
      </c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</row>
    <row r="44" ht="30.0" customHeight="1">
      <c r="A44" s="159"/>
      <c r="B44" s="218" t="s">
        <v>246</v>
      </c>
      <c r="C44" s="218" t="s">
        <v>247</v>
      </c>
      <c r="D44" s="218" t="s">
        <v>322</v>
      </c>
      <c r="E44" s="219">
        <v>11690.0</v>
      </c>
      <c r="F44" s="220" t="s">
        <v>329</v>
      </c>
      <c r="G44" s="221" t="s">
        <v>249</v>
      </c>
      <c r="H44" s="222" t="s">
        <v>250</v>
      </c>
      <c r="I44" s="221" t="s">
        <v>42</v>
      </c>
      <c r="J44" s="222" t="s">
        <v>250</v>
      </c>
      <c r="K44" s="223">
        <v>3.0</v>
      </c>
      <c r="L44" s="223" t="b">
        <v>0</v>
      </c>
      <c r="M44" s="223" t="s">
        <v>42</v>
      </c>
      <c r="N44" s="223">
        <v>4.1697266666666675</v>
      </c>
      <c r="O44" s="224" t="s">
        <v>238</v>
      </c>
      <c r="P44" s="225" t="s">
        <v>155</v>
      </c>
      <c r="Q44" s="225" t="s">
        <v>155</v>
      </c>
      <c r="R44" s="225" t="s">
        <v>155</v>
      </c>
      <c r="S44" s="225" t="s">
        <v>155</v>
      </c>
      <c r="T44" s="226"/>
      <c r="U44" s="227"/>
      <c r="V44" s="52" t="s">
        <v>250</v>
      </c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</row>
    <row r="45" ht="30.0" customHeight="1">
      <c r="A45" s="159"/>
      <c r="B45" s="218" t="s">
        <v>246</v>
      </c>
      <c r="C45" s="218" t="s">
        <v>247</v>
      </c>
      <c r="D45" s="218" t="s">
        <v>322</v>
      </c>
      <c r="E45" s="219">
        <v>14581.0</v>
      </c>
      <c r="F45" s="220" t="s">
        <v>330</v>
      </c>
      <c r="G45" s="221" t="s">
        <v>249</v>
      </c>
      <c r="H45" s="222" t="s">
        <v>250</v>
      </c>
      <c r="I45" s="221" t="s">
        <v>42</v>
      </c>
      <c r="J45" s="222" t="s">
        <v>250</v>
      </c>
      <c r="K45" s="223">
        <v>3.0</v>
      </c>
      <c r="L45" s="223" t="b">
        <v>0</v>
      </c>
      <c r="M45" s="223" t="s">
        <v>42</v>
      </c>
      <c r="N45" s="223">
        <v>1.557623456790123</v>
      </c>
      <c r="O45" s="224" t="s">
        <v>238</v>
      </c>
      <c r="P45" s="225" t="s">
        <v>155</v>
      </c>
      <c r="Q45" s="225" t="s">
        <v>155</v>
      </c>
      <c r="R45" s="225" t="s">
        <v>155</v>
      </c>
      <c r="S45" s="225" t="s">
        <v>155</v>
      </c>
      <c r="T45" s="226"/>
      <c r="U45" s="227"/>
      <c r="V45" s="52" t="s">
        <v>250</v>
      </c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</row>
    <row r="46" ht="30.0" customHeight="1">
      <c r="A46" s="159"/>
      <c r="B46" s="218" t="s">
        <v>246</v>
      </c>
      <c r="C46" s="218" t="s">
        <v>247</v>
      </c>
      <c r="D46" s="218" t="s">
        <v>322</v>
      </c>
      <c r="E46" s="219">
        <v>11695.0</v>
      </c>
      <c r="F46" s="220" t="s">
        <v>331</v>
      </c>
      <c r="G46" s="221" t="s">
        <v>249</v>
      </c>
      <c r="H46" s="222" t="s">
        <v>250</v>
      </c>
      <c r="I46" s="221" t="s">
        <v>42</v>
      </c>
      <c r="J46" s="222" t="s">
        <v>250</v>
      </c>
      <c r="K46" s="223">
        <v>3.0</v>
      </c>
      <c r="L46" s="223" t="b">
        <v>1</v>
      </c>
      <c r="M46" s="223" t="s">
        <v>42</v>
      </c>
      <c r="N46" s="223">
        <v>3.862480000000001</v>
      </c>
      <c r="O46" s="224"/>
      <c r="P46" s="225" t="s">
        <v>155</v>
      </c>
      <c r="Q46" s="225" t="s">
        <v>155</v>
      </c>
      <c r="R46" s="225" t="s">
        <v>155</v>
      </c>
      <c r="S46" s="225" t="s">
        <v>155</v>
      </c>
      <c r="T46" s="226"/>
      <c r="U46" s="227"/>
      <c r="V46" s="52" t="s">
        <v>250</v>
      </c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</row>
    <row r="47" ht="30.0" customHeight="1">
      <c r="A47" s="159"/>
      <c r="B47" s="218" t="s">
        <v>246</v>
      </c>
      <c r="C47" s="218" t="s">
        <v>247</v>
      </c>
      <c r="D47" s="218" t="s">
        <v>322</v>
      </c>
      <c r="E47" s="219">
        <v>14580.0</v>
      </c>
      <c r="F47" s="220" t="s">
        <v>332</v>
      </c>
      <c r="G47" s="221" t="s">
        <v>249</v>
      </c>
      <c r="H47" s="222" t="s">
        <v>250</v>
      </c>
      <c r="I47" s="221" t="s">
        <v>42</v>
      </c>
      <c r="J47" s="222" t="s">
        <v>250</v>
      </c>
      <c r="K47" s="223">
        <v>3.0</v>
      </c>
      <c r="L47" s="223" t="b">
        <v>1</v>
      </c>
      <c r="M47" s="223" t="s">
        <v>42</v>
      </c>
      <c r="N47" s="223">
        <v>1.7189642857142857</v>
      </c>
      <c r="O47" s="224"/>
      <c r="P47" s="225" t="s">
        <v>155</v>
      </c>
      <c r="Q47" s="225" t="s">
        <v>155</v>
      </c>
      <c r="R47" s="225" t="s">
        <v>155</v>
      </c>
      <c r="S47" s="225" t="s">
        <v>155</v>
      </c>
      <c r="T47" s="226"/>
      <c r="U47" s="227"/>
      <c r="V47" s="52" t="s">
        <v>250</v>
      </c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</row>
    <row r="48" ht="30.0" customHeight="1">
      <c r="A48" s="159"/>
      <c r="B48" s="218" t="s">
        <v>246</v>
      </c>
      <c r="C48" s="218" t="s">
        <v>247</v>
      </c>
      <c r="D48" s="218" t="s">
        <v>322</v>
      </c>
      <c r="E48" s="219">
        <v>14502.0</v>
      </c>
      <c r="F48" s="220" t="s">
        <v>333</v>
      </c>
      <c r="G48" s="221" t="s">
        <v>249</v>
      </c>
      <c r="H48" s="222" t="s">
        <v>250</v>
      </c>
      <c r="I48" s="221" t="s">
        <v>42</v>
      </c>
      <c r="J48" s="222" t="s">
        <v>250</v>
      </c>
      <c r="K48" s="223">
        <v>4.0</v>
      </c>
      <c r="L48" s="223" t="b">
        <v>0</v>
      </c>
      <c r="M48" s="223" t="s">
        <v>334</v>
      </c>
      <c r="N48" s="223">
        <v>41.7263787878788</v>
      </c>
      <c r="O48" s="224"/>
      <c r="P48" s="225" t="s">
        <v>155</v>
      </c>
      <c r="Q48" s="225" t="s">
        <v>155</v>
      </c>
      <c r="R48" s="225" t="s">
        <v>155</v>
      </c>
      <c r="S48" s="225" t="s">
        <v>155</v>
      </c>
      <c r="T48" s="226"/>
      <c r="U48" s="227"/>
      <c r="V48" s="52" t="s">
        <v>250</v>
      </c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</row>
    <row r="49" ht="30.0" customHeight="1">
      <c r="A49" s="159"/>
      <c r="B49" s="218" t="s">
        <v>246</v>
      </c>
      <c r="C49" s="218" t="s">
        <v>247</v>
      </c>
      <c r="D49" s="218" t="s">
        <v>322</v>
      </c>
      <c r="E49" s="219">
        <v>108520.0</v>
      </c>
      <c r="F49" s="220" t="s">
        <v>335</v>
      </c>
      <c r="G49" s="221" t="s">
        <v>249</v>
      </c>
      <c r="H49" s="221" t="s">
        <v>336</v>
      </c>
      <c r="I49" s="221" t="s">
        <v>42</v>
      </c>
      <c r="J49" s="222" t="s">
        <v>250</v>
      </c>
      <c r="K49" s="223">
        <v>3.0</v>
      </c>
      <c r="L49" s="223" t="b">
        <v>0</v>
      </c>
      <c r="M49" s="228"/>
      <c r="N49" s="228"/>
      <c r="O49" s="224"/>
      <c r="P49" s="225" t="s">
        <v>155</v>
      </c>
      <c r="Q49" s="225" t="s">
        <v>155</v>
      </c>
      <c r="R49" s="225" t="s">
        <v>155</v>
      </c>
      <c r="S49" s="225" t="s">
        <v>155</v>
      </c>
      <c r="T49" s="226"/>
      <c r="U49" s="227"/>
      <c r="V49" s="52" t="s">
        <v>250</v>
      </c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</row>
    <row r="50" ht="30.0" customHeight="1">
      <c r="A50" s="159"/>
      <c r="B50" s="218" t="s">
        <v>246</v>
      </c>
      <c r="C50" s="218" t="s">
        <v>247</v>
      </c>
      <c r="D50" s="218" t="s">
        <v>322</v>
      </c>
      <c r="E50" s="219">
        <v>14523.0</v>
      </c>
      <c r="F50" s="220" t="s">
        <v>337</v>
      </c>
      <c r="G50" s="221" t="s">
        <v>249</v>
      </c>
      <c r="H50" s="222" t="s">
        <v>250</v>
      </c>
      <c r="I50" s="221" t="s">
        <v>42</v>
      </c>
      <c r="J50" s="222" t="s">
        <v>250</v>
      </c>
      <c r="K50" s="223">
        <v>3.0</v>
      </c>
      <c r="L50" s="223" t="b">
        <v>0</v>
      </c>
      <c r="M50" s="223" t="s">
        <v>42</v>
      </c>
      <c r="N50" s="223">
        <v>1.8713169014084514</v>
      </c>
      <c r="O50" s="224" t="s">
        <v>238</v>
      </c>
      <c r="P50" s="225" t="s">
        <v>155</v>
      </c>
      <c r="Q50" s="225" t="s">
        <v>155</v>
      </c>
      <c r="R50" s="225" t="s">
        <v>155</v>
      </c>
      <c r="S50" s="225" t="s">
        <v>155</v>
      </c>
      <c r="T50" s="226"/>
      <c r="U50" s="227"/>
      <c r="V50" s="52" t="s">
        <v>250</v>
      </c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</row>
    <row r="51" ht="30.0" customHeight="1">
      <c r="A51" s="159"/>
      <c r="B51" s="218" t="s">
        <v>246</v>
      </c>
      <c r="C51" s="218" t="s">
        <v>247</v>
      </c>
      <c r="D51" s="218" t="s">
        <v>322</v>
      </c>
      <c r="E51" s="219">
        <v>62645.0</v>
      </c>
      <c r="F51" s="220" t="s">
        <v>338</v>
      </c>
      <c r="G51" s="221" t="s">
        <v>249</v>
      </c>
      <c r="H51" s="221" t="s">
        <v>339</v>
      </c>
      <c r="I51" s="221" t="s">
        <v>42</v>
      </c>
      <c r="J51" s="222" t="s">
        <v>250</v>
      </c>
      <c r="K51" s="223">
        <v>3.0</v>
      </c>
      <c r="L51" s="223" t="b">
        <v>0</v>
      </c>
      <c r="M51" s="223" t="s">
        <v>340</v>
      </c>
      <c r="N51" s="223">
        <v>7.414999999999999</v>
      </c>
      <c r="O51" s="224"/>
      <c r="P51" s="225" t="s">
        <v>155</v>
      </c>
      <c r="Q51" s="225" t="s">
        <v>155</v>
      </c>
      <c r="R51" s="225" t="s">
        <v>155</v>
      </c>
      <c r="S51" s="225" t="s">
        <v>155</v>
      </c>
      <c r="T51" s="226"/>
      <c r="U51" s="227"/>
      <c r="V51" s="52" t="s">
        <v>250</v>
      </c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</row>
    <row r="52" ht="30.0" customHeight="1">
      <c r="A52" s="159"/>
      <c r="B52" s="218" t="s">
        <v>246</v>
      </c>
      <c r="C52" s="218" t="s">
        <v>247</v>
      </c>
      <c r="D52" s="218" t="s">
        <v>322</v>
      </c>
      <c r="E52" s="219">
        <v>14576.0</v>
      </c>
      <c r="F52" s="220" t="s">
        <v>341</v>
      </c>
      <c r="G52" s="221" t="s">
        <v>249</v>
      </c>
      <c r="H52" s="222" t="s">
        <v>250</v>
      </c>
      <c r="I52" s="221" t="s">
        <v>334</v>
      </c>
      <c r="J52" s="222" t="s">
        <v>250</v>
      </c>
      <c r="K52" s="223">
        <v>2.0</v>
      </c>
      <c r="L52" s="223" t="b">
        <v>1</v>
      </c>
      <c r="M52" s="223" t="s">
        <v>334</v>
      </c>
      <c r="N52" s="223">
        <v>65.09314965986391</v>
      </c>
      <c r="O52" s="224" t="s">
        <v>238</v>
      </c>
      <c r="P52" s="225" t="s">
        <v>155</v>
      </c>
      <c r="Q52" s="225" t="s">
        <v>155</v>
      </c>
      <c r="R52" s="225" t="s">
        <v>155</v>
      </c>
      <c r="S52" s="225" t="s">
        <v>155</v>
      </c>
      <c r="T52" s="226"/>
      <c r="U52" s="227"/>
      <c r="V52" s="52" t="s">
        <v>250</v>
      </c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</row>
    <row r="53" ht="30.0" customHeight="1">
      <c r="A53" s="159"/>
      <c r="B53" s="218" t="s">
        <v>246</v>
      </c>
      <c r="C53" s="218" t="s">
        <v>247</v>
      </c>
      <c r="D53" s="218" t="s">
        <v>322</v>
      </c>
      <c r="E53" s="219">
        <v>107107.0</v>
      </c>
      <c r="F53" s="220" t="s">
        <v>342</v>
      </c>
      <c r="G53" s="221" t="s">
        <v>249</v>
      </c>
      <c r="H53" s="222" t="s">
        <v>250</v>
      </c>
      <c r="I53" s="221" t="s">
        <v>42</v>
      </c>
      <c r="J53" s="222" t="s">
        <v>250</v>
      </c>
      <c r="K53" s="223">
        <v>4.0</v>
      </c>
      <c r="L53" s="223" t="b">
        <v>0</v>
      </c>
      <c r="M53" s="228"/>
      <c r="N53" s="228"/>
      <c r="O53" s="224"/>
      <c r="P53" s="225" t="s">
        <v>155</v>
      </c>
      <c r="Q53" s="225" t="s">
        <v>155</v>
      </c>
      <c r="R53" s="225" t="s">
        <v>155</v>
      </c>
      <c r="S53" s="225" t="s">
        <v>155</v>
      </c>
      <c r="T53" s="226"/>
      <c r="U53" s="227"/>
      <c r="V53" s="52" t="s">
        <v>250</v>
      </c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</row>
    <row r="54" ht="30.0" customHeight="1">
      <c r="A54" s="159"/>
      <c r="B54" s="218" t="s">
        <v>246</v>
      </c>
      <c r="C54" s="218" t="s">
        <v>247</v>
      </c>
      <c r="D54" s="218" t="s">
        <v>322</v>
      </c>
      <c r="E54" s="219">
        <v>14573.0</v>
      </c>
      <c r="F54" s="220" t="s">
        <v>343</v>
      </c>
      <c r="G54" s="221" t="s">
        <v>249</v>
      </c>
      <c r="H54" s="222" t="s">
        <v>250</v>
      </c>
      <c r="I54" s="221" t="s">
        <v>42</v>
      </c>
      <c r="J54" s="222" t="s">
        <v>250</v>
      </c>
      <c r="K54" s="223">
        <v>3.0</v>
      </c>
      <c r="L54" s="223" t="b">
        <v>0</v>
      </c>
      <c r="M54" s="223" t="s">
        <v>42</v>
      </c>
      <c r="N54" s="223">
        <v>2.935764705882353</v>
      </c>
      <c r="O54" s="224"/>
      <c r="P54" s="225" t="s">
        <v>155</v>
      </c>
      <c r="Q54" s="225" t="s">
        <v>155</v>
      </c>
      <c r="R54" s="225" t="s">
        <v>155</v>
      </c>
      <c r="S54" s="225" t="s">
        <v>155</v>
      </c>
      <c r="T54" s="226"/>
      <c r="U54" s="227"/>
      <c r="V54" s="52" t="s">
        <v>250</v>
      </c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</row>
    <row r="55" ht="30.0" customHeight="1">
      <c r="A55" s="159"/>
      <c r="B55" s="218" t="s">
        <v>246</v>
      </c>
      <c r="C55" s="218" t="s">
        <v>247</v>
      </c>
      <c r="D55" s="218" t="s">
        <v>322</v>
      </c>
      <c r="E55" s="219">
        <v>14524.0</v>
      </c>
      <c r="F55" s="220" t="s">
        <v>344</v>
      </c>
      <c r="G55" s="221" t="s">
        <v>249</v>
      </c>
      <c r="H55" s="222" t="s">
        <v>250</v>
      </c>
      <c r="I55" s="221" t="s">
        <v>42</v>
      </c>
      <c r="J55" s="222" t="s">
        <v>250</v>
      </c>
      <c r="K55" s="223">
        <v>3.0</v>
      </c>
      <c r="L55" s="223" t="b">
        <v>1</v>
      </c>
      <c r="M55" s="223" t="s">
        <v>42</v>
      </c>
      <c r="N55" s="223">
        <v>5.1813529411764705</v>
      </c>
      <c r="O55" s="224" t="s">
        <v>238</v>
      </c>
      <c r="P55" s="225" t="s">
        <v>155</v>
      </c>
      <c r="Q55" s="225" t="s">
        <v>155</v>
      </c>
      <c r="R55" s="225" t="s">
        <v>155</v>
      </c>
      <c r="S55" s="225" t="s">
        <v>155</v>
      </c>
      <c r="T55" s="226"/>
      <c r="U55" s="227"/>
      <c r="V55" s="109" t="s">
        <v>345</v>
      </c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</row>
    <row r="56" ht="30.0" customHeight="1">
      <c r="A56" s="159"/>
      <c r="B56" s="218" t="s">
        <v>246</v>
      </c>
      <c r="C56" s="218" t="s">
        <v>247</v>
      </c>
      <c r="D56" s="218" t="s">
        <v>322</v>
      </c>
      <c r="E56" s="219">
        <v>14577.0</v>
      </c>
      <c r="F56" s="220" t="s">
        <v>346</v>
      </c>
      <c r="G56" s="221" t="s">
        <v>249</v>
      </c>
      <c r="H56" s="222" t="s">
        <v>250</v>
      </c>
      <c r="I56" s="221" t="s">
        <v>42</v>
      </c>
      <c r="J56" s="222" t="s">
        <v>250</v>
      </c>
      <c r="K56" s="223">
        <v>2.0</v>
      </c>
      <c r="L56" s="223" t="b">
        <v>0</v>
      </c>
      <c r="M56" s="223" t="s">
        <v>42</v>
      </c>
      <c r="N56" s="223">
        <v>7.112240000000001</v>
      </c>
      <c r="O56" s="224" t="s">
        <v>238</v>
      </c>
      <c r="P56" s="225" t="s">
        <v>155</v>
      </c>
      <c r="Q56" s="225" t="s">
        <v>155</v>
      </c>
      <c r="R56" s="225" t="s">
        <v>155</v>
      </c>
      <c r="S56" s="225" t="s">
        <v>155</v>
      </c>
      <c r="T56" s="226"/>
      <c r="U56" s="227"/>
      <c r="V56" s="109" t="s">
        <v>345</v>
      </c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</row>
    <row r="57" ht="30.0" customHeight="1">
      <c r="A57" s="159"/>
      <c r="B57" s="218" t="s">
        <v>246</v>
      </c>
      <c r="C57" s="218" t="s">
        <v>247</v>
      </c>
      <c r="D57" s="218" t="s">
        <v>323</v>
      </c>
      <c r="E57" s="219">
        <v>42345.0</v>
      </c>
      <c r="F57" s="220" t="s">
        <v>347</v>
      </c>
      <c r="G57" s="221" t="s">
        <v>249</v>
      </c>
      <c r="H57" s="221" t="s">
        <v>348</v>
      </c>
      <c r="I57" s="221" t="s">
        <v>349</v>
      </c>
      <c r="J57" s="222" t="s">
        <v>250</v>
      </c>
      <c r="K57" s="223">
        <v>1.0</v>
      </c>
      <c r="L57" s="223" t="b">
        <v>0</v>
      </c>
      <c r="M57" s="223" t="s">
        <v>349</v>
      </c>
      <c r="N57" s="223">
        <v>297.6169411764706</v>
      </c>
      <c r="O57" s="224"/>
      <c r="P57" s="225" t="s">
        <v>155</v>
      </c>
      <c r="Q57" s="225" t="s">
        <v>155</v>
      </c>
      <c r="R57" s="225" t="s">
        <v>155</v>
      </c>
      <c r="S57" s="225" t="s">
        <v>155</v>
      </c>
      <c r="T57" s="226"/>
      <c r="U57" s="227"/>
      <c r="V57" s="52" t="s">
        <v>250</v>
      </c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</row>
    <row r="58" ht="30.0" customHeight="1">
      <c r="A58" s="209"/>
      <c r="B58" s="209" t="s">
        <v>350</v>
      </c>
      <c r="C58" s="209"/>
      <c r="D58" s="211"/>
      <c r="E58" s="212"/>
      <c r="F58" s="213"/>
      <c r="G58" s="213"/>
      <c r="H58" s="213"/>
      <c r="I58" s="212"/>
      <c r="J58" s="212"/>
      <c r="K58" s="214"/>
      <c r="L58" s="214"/>
      <c r="M58" s="214"/>
      <c r="N58" s="214"/>
      <c r="O58" s="215"/>
      <c r="P58" s="216"/>
      <c r="Q58" s="216"/>
      <c r="R58" s="216"/>
      <c r="S58" s="216"/>
      <c r="T58" s="217"/>
      <c r="U58" s="217"/>
      <c r="V58" s="217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</row>
    <row r="59" ht="30.0" customHeight="1">
      <c r="A59" s="159"/>
      <c r="B59" s="218" t="s">
        <v>246</v>
      </c>
      <c r="C59" s="218" t="s">
        <v>351</v>
      </c>
      <c r="D59" s="218" t="s">
        <v>350</v>
      </c>
      <c r="E59" s="219">
        <v>14498.0</v>
      </c>
      <c r="F59" s="220" t="s">
        <v>352</v>
      </c>
      <c r="G59" s="221" t="s">
        <v>249</v>
      </c>
      <c r="H59" s="222"/>
      <c r="I59" s="221" t="s">
        <v>42</v>
      </c>
      <c r="J59" s="222" t="s">
        <v>250</v>
      </c>
      <c r="K59" s="223">
        <v>4.0</v>
      </c>
      <c r="L59" s="223" t="b">
        <v>0</v>
      </c>
      <c r="M59" s="223" t="s">
        <v>42</v>
      </c>
      <c r="N59" s="223">
        <v>4.7435</v>
      </c>
      <c r="O59" s="224"/>
      <c r="P59" s="230"/>
      <c r="Q59" s="225" t="s">
        <v>155</v>
      </c>
      <c r="R59" s="225" t="s">
        <v>155</v>
      </c>
      <c r="S59" s="230"/>
      <c r="T59" s="229" t="s">
        <v>353</v>
      </c>
      <c r="U59" s="227"/>
      <c r="V59" s="52" t="s">
        <v>250</v>
      </c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</row>
    <row r="60" ht="30.0" customHeight="1">
      <c r="A60" s="159"/>
      <c r="B60" s="218" t="s">
        <v>246</v>
      </c>
      <c r="C60" s="218" t="s">
        <v>351</v>
      </c>
      <c r="D60" s="218" t="s">
        <v>350</v>
      </c>
      <c r="E60" s="219">
        <v>14603.0</v>
      </c>
      <c r="F60" s="220" t="s">
        <v>354</v>
      </c>
      <c r="G60" s="221" t="s">
        <v>249</v>
      </c>
      <c r="H60" s="221" t="s">
        <v>355</v>
      </c>
      <c r="I60" s="221" t="s">
        <v>42</v>
      </c>
      <c r="J60" s="221" t="s">
        <v>356</v>
      </c>
      <c r="K60" s="223">
        <v>3.0</v>
      </c>
      <c r="L60" s="223" t="b">
        <v>0</v>
      </c>
      <c r="M60" s="223" t="s">
        <v>42</v>
      </c>
      <c r="N60" s="223">
        <v>3.941999999999999</v>
      </c>
      <c r="O60" s="224" t="s">
        <v>238</v>
      </c>
      <c r="P60" s="225" t="s">
        <v>155</v>
      </c>
      <c r="Q60" s="225" t="s">
        <v>155</v>
      </c>
      <c r="R60" s="225" t="s">
        <v>155</v>
      </c>
      <c r="S60" s="225" t="s">
        <v>155</v>
      </c>
      <c r="T60" s="226"/>
      <c r="U60" s="227"/>
      <c r="V60" s="109" t="s">
        <v>357</v>
      </c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</row>
    <row r="61" ht="30.0" customHeight="1">
      <c r="A61" s="159"/>
      <c r="B61" s="218" t="s">
        <v>246</v>
      </c>
      <c r="C61" s="218" t="s">
        <v>351</v>
      </c>
      <c r="D61" s="218" t="s">
        <v>350</v>
      </c>
      <c r="E61" s="219">
        <v>14609.0</v>
      </c>
      <c r="F61" s="220" t="s">
        <v>358</v>
      </c>
      <c r="G61" s="221" t="s">
        <v>249</v>
      </c>
      <c r="H61" s="222"/>
      <c r="I61" s="221" t="s">
        <v>42</v>
      </c>
      <c r="J61" s="222" t="s">
        <v>250</v>
      </c>
      <c r="K61" s="223">
        <v>4.0</v>
      </c>
      <c r="L61" s="223" t="b">
        <v>0</v>
      </c>
      <c r="M61" s="223" t="s">
        <v>42</v>
      </c>
      <c r="N61" s="223">
        <v>3.9370833333333337</v>
      </c>
      <c r="O61" s="224" t="s">
        <v>238</v>
      </c>
      <c r="P61" s="225" t="s">
        <v>155</v>
      </c>
      <c r="Q61" s="225" t="s">
        <v>155</v>
      </c>
      <c r="R61" s="225" t="s">
        <v>155</v>
      </c>
      <c r="S61" s="225" t="s">
        <v>155</v>
      </c>
      <c r="T61" s="226"/>
      <c r="U61" s="227"/>
      <c r="V61" s="109" t="s">
        <v>296</v>
      </c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</row>
    <row r="62" ht="30.0" customHeight="1">
      <c r="A62" s="159"/>
      <c r="B62" s="218" t="s">
        <v>246</v>
      </c>
      <c r="C62" s="218" t="s">
        <v>351</v>
      </c>
      <c r="D62" s="218" t="s">
        <v>350</v>
      </c>
      <c r="E62" s="219">
        <v>14501.0</v>
      </c>
      <c r="F62" s="220" t="s">
        <v>359</v>
      </c>
      <c r="G62" s="221" t="s">
        <v>249</v>
      </c>
      <c r="H62" s="222"/>
      <c r="I62" s="221" t="s">
        <v>42</v>
      </c>
      <c r="J62" s="222" t="s">
        <v>250</v>
      </c>
      <c r="K62" s="223">
        <v>4.0</v>
      </c>
      <c r="L62" s="223" t="b">
        <v>0</v>
      </c>
      <c r="M62" s="223" t="s">
        <v>42</v>
      </c>
      <c r="N62" s="223">
        <v>4.647058823529412</v>
      </c>
      <c r="O62" s="224" t="s">
        <v>238</v>
      </c>
      <c r="P62" s="225" t="s">
        <v>155</v>
      </c>
      <c r="Q62" s="225" t="s">
        <v>155</v>
      </c>
      <c r="R62" s="225" t="s">
        <v>155</v>
      </c>
      <c r="S62" s="225" t="s">
        <v>155</v>
      </c>
      <c r="T62" s="226"/>
      <c r="U62" s="227"/>
      <c r="V62" s="52" t="s">
        <v>250</v>
      </c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</row>
    <row r="63" ht="30.0" customHeight="1">
      <c r="A63" s="159"/>
      <c r="B63" s="218" t="s">
        <v>246</v>
      </c>
      <c r="C63" s="218" t="s">
        <v>351</v>
      </c>
      <c r="D63" s="218" t="s">
        <v>350</v>
      </c>
      <c r="E63" s="219">
        <v>147889.0</v>
      </c>
      <c r="F63" s="220" t="s">
        <v>360</v>
      </c>
      <c r="G63" s="221" t="s">
        <v>249</v>
      </c>
      <c r="H63" s="221" t="s">
        <v>361</v>
      </c>
      <c r="I63" s="221" t="s">
        <v>42</v>
      </c>
      <c r="J63" s="222" t="s">
        <v>250</v>
      </c>
      <c r="K63" s="223">
        <v>3.0</v>
      </c>
      <c r="L63" s="223" t="b">
        <v>0</v>
      </c>
      <c r="M63" s="228"/>
      <c r="N63" s="228"/>
      <c r="O63" s="224"/>
      <c r="P63" s="225" t="s">
        <v>155</v>
      </c>
      <c r="Q63" s="225" t="s">
        <v>155</v>
      </c>
      <c r="R63" s="225" t="s">
        <v>155</v>
      </c>
      <c r="S63" s="225" t="s">
        <v>155</v>
      </c>
      <c r="T63" s="226"/>
      <c r="U63" s="227"/>
      <c r="V63" s="52" t="s">
        <v>250</v>
      </c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</row>
    <row r="64" ht="30.0" customHeight="1">
      <c r="A64" s="159"/>
      <c r="B64" s="218" t="s">
        <v>246</v>
      </c>
      <c r="C64" s="218" t="s">
        <v>351</v>
      </c>
      <c r="D64" s="218" t="s">
        <v>350</v>
      </c>
      <c r="E64" s="219">
        <v>14565.0</v>
      </c>
      <c r="F64" s="220" t="s">
        <v>362</v>
      </c>
      <c r="G64" s="221" t="s">
        <v>249</v>
      </c>
      <c r="H64" s="221" t="s">
        <v>363</v>
      </c>
      <c r="I64" s="221" t="s">
        <v>42</v>
      </c>
      <c r="J64" s="221" t="s">
        <v>364</v>
      </c>
      <c r="K64" s="223">
        <v>3.0</v>
      </c>
      <c r="L64" s="223" t="b">
        <v>1</v>
      </c>
      <c r="M64" s="223" t="s">
        <v>42</v>
      </c>
      <c r="N64" s="223">
        <v>4.280133333333334</v>
      </c>
      <c r="O64" s="224" t="s">
        <v>238</v>
      </c>
      <c r="P64" s="225" t="s">
        <v>155</v>
      </c>
      <c r="Q64" s="225" t="s">
        <v>155</v>
      </c>
      <c r="R64" s="225" t="s">
        <v>155</v>
      </c>
      <c r="S64" s="225" t="s">
        <v>155</v>
      </c>
      <c r="T64" s="226"/>
      <c r="U64" s="227"/>
      <c r="V64" s="52" t="s">
        <v>250</v>
      </c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</row>
    <row r="65" ht="30.0" customHeight="1">
      <c r="A65" s="159"/>
      <c r="B65" s="218" t="s">
        <v>246</v>
      </c>
      <c r="C65" s="218" t="s">
        <v>351</v>
      </c>
      <c r="D65" s="218" t="s">
        <v>350</v>
      </c>
      <c r="E65" s="219">
        <v>14560.0</v>
      </c>
      <c r="F65" s="220" t="s">
        <v>365</v>
      </c>
      <c r="G65" s="221" t="s">
        <v>249</v>
      </c>
      <c r="H65" s="222"/>
      <c r="I65" s="221" t="s">
        <v>42</v>
      </c>
      <c r="J65" s="221" t="s">
        <v>366</v>
      </c>
      <c r="K65" s="223">
        <v>2.0</v>
      </c>
      <c r="L65" s="223" t="b">
        <v>1</v>
      </c>
      <c r="M65" s="223" t="s">
        <v>42</v>
      </c>
      <c r="N65" s="223">
        <v>3.4333125</v>
      </c>
      <c r="O65" s="224" t="s">
        <v>238</v>
      </c>
      <c r="P65" s="225" t="s">
        <v>155</v>
      </c>
      <c r="Q65" s="225" t="s">
        <v>155</v>
      </c>
      <c r="R65" s="225" t="s">
        <v>155</v>
      </c>
      <c r="S65" s="225" t="s">
        <v>155</v>
      </c>
      <c r="T65" s="226"/>
      <c r="U65" s="227"/>
      <c r="V65" s="109" t="s">
        <v>367</v>
      </c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</row>
    <row r="66" ht="30.0" customHeight="1">
      <c r="A66" s="159"/>
      <c r="B66" s="218" t="s">
        <v>246</v>
      </c>
      <c r="C66" s="218" t="s">
        <v>351</v>
      </c>
      <c r="D66" s="218" t="s">
        <v>350</v>
      </c>
      <c r="E66" s="219">
        <v>14555.0</v>
      </c>
      <c r="F66" s="220" t="s">
        <v>368</v>
      </c>
      <c r="G66" s="221" t="s">
        <v>369</v>
      </c>
      <c r="H66" s="221" t="s">
        <v>370</v>
      </c>
      <c r="I66" s="221" t="s">
        <v>42</v>
      </c>
      <c r="J66" s="221" t="s">
        <v>371</v>
      </c>
      <c r="K66" s="223">
        <v>4.0</v>
      </c>
      <c r="L66" s="223" t="b">
        <v>1</v>
      </c>
      <c r="M66" s="223" t="s">
        <v>42</v>
      </c>
      <c r="N66" s="223">
        <v>4.664375000000001</v>
      </c>
      <c r="O66" s="224" t="s">
        <v>238</v>
      </c>
      <c r="P66" s="225" t="s">
        <v>155</v>
      </c>
      <c r="Q66" s="225" t="s">
        <v>155</v>
      </c>
      <c r="R66" s="225" t="s">
        <v>155</v>
      </c>
      <c r="S66" s="225" t="s">
        <v>155</v>
      </c>
      <c r="T66" s="226"/>
      <c r="U66" s="227"/>
      <c r="V66" s="109" t="s">
        <v>296</v>
      </c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</row>
    <row r="67" ht="30.0" customHeight="1">
      <c r="A67" s="159"/>
      <c r="B67" s="218" t="s">
        <v>246</v>
      </c>
      <c r="C67" s="218" t="s">
        <v>351</v>
      </c>
      <c r="D67" s="218" t="s">
        <v>350</v>
      </c>
      <c r="E67" s="219">
        <v>117350.0</v>
      </c>
      <c r="F67" s="220" t="s">
        <v>372</v>
      </c>
      <c r="G67" s="221" t="s">
        <v>249</v>
      </c>
      <c r="H67" s="221" t="s">
        <v>373</v>
      </c>
      <c r="I67" s="221" t="s">
        <v>42</v>
      </c>
      <c r="J67" s="222" t="s">
        <v>250</v>
      </c>
      <c r="K67" s="223">
        <v>3.0</v>
      </c>
      <c r="L67" s="223" t="b">
        <v>1</v>
      </c>
      <c r="M67" s="228"/>
      <c r="N67" s="228"/>
      <c r="O67" s="224"/>
      <c r="P67" s="230"/>
      <c r="Q67" s="230"/>
      <c r="R67" s="225" t="s">
        <v>155</v>
      </c>
      <c r="S67" s="230"/>
      <c r="T67" s="226"/>
      <c r="U67" s="227"/>
      <c r="V67" s="109" t="s">
        <v>296</v>
      </c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</row>
    <row r="68" ht="30.0" customHeight="1">
      <c r="A68" s="159"/>
      <c r="B68" s="218" t="s">
        <v>246</v>
      </c>
      <c r="C68" s="218" t="s">
        <v>351</v>
      </c>
      <c r="D68" s="218" t="s">
        <v>350</v>
      </c>
      <c r="E68" s="219">
        <v>101542.0</v>
      </c>
      <c r="F68" s="220" t="s">
        <v>374</v>
      </c>
      <c r="G68" s="221" t="s">
        <v>369</v>
      </c>
      <c r="H68" s="222"/>
      <c r="I68" s="221" t="s">
        <v>269</v>
      </c>
      <c r="J68" s="222" t="s">
        <v>250</v>
      </c>
      <c r="K68" s="223">
        <v>3.0</v>
      </c>
      <c r="L68" s="223" t="b">
        <v>0</v>
      </c>
      <c r="M68" s="223" t="s">
        <v>269</v>
      </c>
      <c r="N68" s="223">
        <v>50.339</v>
      </c>
      <c r="O68" s="224"/>
      <c r="P68" s="225" t="s">
        <v>155</v>
      </c>
      <c r="Q68" s="225" t="s">
        <v>155</v>
      </c>
      <c r="R68" s="225" t="s">
        <v>155</v>
      </c>
      <c r="S68" s="225" t="s">
        <v>155</v>
      </c>
      <c r="T68" s="226"/>
      <c r="U68" s="227"/>
      <c r="V68" s="52" t="s">
        <v>250</v>
      </c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</row>
    <row r="69" ht="30.0" customHeight="1">
      <c r="A69" s="159"/>
      <c r="B69" s="218" t="s">
        <v>246</v>
      </c>
      <c r="C69" s="218" t="s">
        <v>351</v>
      </c>
      <c r="D69" s="218" t="s">
        <v>350</v>
      </c>
      <c r="E69" s="219">
        <v>42945.0</v>
      </c>
      <c r="F69" s="220" t="s">
        <v>375</v>
      </c>
      <c r="G69" s="221" t="s">
        <v>369</v>
      </c>
      <c r="H69" s="221" t="s">
        <v>376</v>
      </c>
      <c r="I69" s="221" t="s">
        <v>42</v>
      </c>
      <c r="J69" s="222" t="s">
        <v>250</v>
      </c>
      <c r="K69" s="223">
        <v>4.0</v>
      </c>
      <c r="L69" s="223" t="b">
        <v>1</v>
      </c>
      <c r="M69" s="223" t="s">
        <v>42</v>
      </c>
      <c r="N69" s="223">
        <v>8.352857142857141</v>
      </c>
      <c r="O69" s="224" t="s">
        <v>238</v>
      </c>
      <c r="P69" s="225" t="s">
        <v>155</v>
      </c>
      <c r="Q69" s="225" t="s">
        <v>155</v>
      </c>
      <c r="R69" s="225" t="s">
        <v>155</v>
      </c>
      <c r="S69" s="225" t="s">
        <v>155</v>
      </c>
      <c r="T69" s="226"/>
      <c r="U69" s="227"/>
      <c r="V69" s="109" t="s">
        <v>296</v>
      </c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</row>
    <row r="70" ht="30.0" customHeight="1">
      <c r="A70" s="159"/>
      <c r="B70" s="218" t="s">
        <v>246</v>
      </c>
      <c r="C70" s="218" t="s">
        <v>351</v>
      </c>
      <c r="D70" s="218" t="s">
        <v>350</v>
      </c>
      <c r="E70" s="219">
        <v>106535.0</v>
      </c>
      <c r="F70" s="220" t="s">
        <v>377</v>
      </c>
      <c r="G70" s="221" t="s">
        <v>369</v>
      </c>
      <c r="H70" s="221" t="s">
        <v>378</v>
      </c>
      <c r="I70" s="221" t="s">
        <v>42</v>
      </c>
      <c r="J70" s="222" t="s">
        <v>250</v>
      </c>
      <c r="K70" s="223">
        <v>4.0</v>
      </c>
      <c r="L70" s="223" t="b">
        <v>1</v>
      </c>
      <c r="M70" s="228"/>
      <c r="N70" s="228"/>
      <c r="O70" s="224"/>
      <c r="P70" s="225" t="s">
        <v>155</v>
      </c>
      <c r="Q70" s="225" t="s">
        <v>155</v>
      </c>
      <c r="R70" s="225" t="s">
        <v>155</v>
      </c>
      <c r="S70" s="225" t="s">
        <v>155</v>
      </c>
      <c r="T70" s="226"/>
      <c r="U70" s="227"/>
      <c r="V70" s="109" t="s">
        <v>379</v>
      </c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</row>
    <row r="71" ht="30.0" customHeight="1">
      <c r="A71" s="159"/>
      <c r="B71" s="218" t="s">
        <v>246</v>
      </c>
      <c r="C71" s="218" t="s">
        <v>351</v>
      </c>
      <c r="D71" s="218" t="s">
        <v>350</v>
      </c>
      <c r="E71" s="219">
        <v>23373.0</v>
      </c>
      <c r="F71" s="220" t="s">
        <v>380</v>
      </c>
      <c r="G71" s="221" t="s">
        <v>249</v>
      </c>
      <c r="H71" s="221" t="s">
        <v>381</v>
      </c>
      <c r="I71" s="221" t="s">
        <v>42</v>
      </c>
      <c r="J71" s="222" t="s">
        <v>250</v>
      </c>
      <c r="K71" s="223">
        <v>3.0</v>
      </c>
      <c r="L71" s="223" t="b">
        <v>0</v>
      </c>
      <c r="M71" s="223" t="s">
        <v>42</v>
      </c>
      <c r="N71" s="223">
        <v>3.4551818181818175</v>
      </c>
      <c r="O71" s="224" t="s">
        <v>238</v>
      </c>
      <c r="P71" s="225" t="s">
        <v>155</v>
      </c>
      <c r="Q71" s="225" t="s">
        <v>155</v>
      </c>
      <c r="R71" s="225" t="s">
        <v>155</v>
      </c>
      <c r="S71" s="225" t="s">
        <v>155</v>
      </c>
      <c r="T71" s="226"/>
      <c r="U71" s="227"/>
      <c r="V71" s="109" t="s">
        <v>296</v>
      </c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</row>
    <row r="72" ht="30.0" customHeight="1">
      <c r="A72" s="159"/>
      <c r="B72" s="218" t="s">
        <v>246</v>
      </c>
      <c r="C72" s="218" t="s">
        <v>351</v>
      </c>
      <c r="D72" s="218" t="s">
        <v>350</v>
      </c>
      <c r="E72" s="219">
        <v>142852.0</v>
      </c>
      <c r="F72" s="220" t="s">
        <v>382</v>
      </c>
      <c r="G72" s="221" t="s">
        <v>249</v>
      </c>
      <c r="H72" s="221" t="s">
        <v>383</v>
      </c>
      <c r="I72" s="221" t="s">
        <v>42</v>
      </c>
      <c r="J72" s="222" t="s">
        <v>250</v>
      </c>
      <c r="K72" s="223">
        <v>2.0</v>
      </c>
      <c r="L72" s="223" t="b">
        <v>0</v>
      </c>
      <c r="M72" s="223" t="s">
        <v>42</v>
      </c>
      <c r="N72" s="223">
        <v>4.607230769230769</v>
      </c>
      <c r="O72" s="224"/>
      <c r="P72" s="225" t="s">
        <v>155</v>
      </c>
      <c r="Q72" s="225" t="s">
        <v>155</v>
      </c>
      <c r="R72" s="225" t="s">
        <v>155</v>
      </c>
      <c r="S72" s="225" t="s">
        <v>155</v>
      </c>
      <c r="T72" s="226"/>
      <c r="U72" s="227"/>
      <c r="V72" s="109" t="s">
        <v>384</v>
      </c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</row>
    <row r="73" ht="30.0" customHeight="1">
      <c r="A73" s="159"/>
      <c r="B73" s="218" t="s">
        <v>246</v>
      </c>
      <c r="C73" s="218" t="s">
        <v>351</v>
      </c>
      <c r="D73" s="218" t="s">
        <v>350</v>
      </c>
      <c r="E73" s="219">
        <v>62668.0</v>
      </c>
      <c r="F73" s="220" t="s">
        <v>385</v>
      </c>
      <c r="G73" s="221" t="s">
        <v>249</v>
      </c>
      <c r="H73" s="222" t="s">
        <v>250</v>
      </c>
      <c r="I73" s="221" t="s">
        <v>42</v>
      </c>
      <c r="J73" s="222" t="s">
        <v>250</v>
      </c>
      <c r="K73" s="223">
        <v>0.0</v>
      </c>
      <c r="L73" s="223" t="b">
        <v>0</v>
      </c>
      <c r="M73" s="228"/>
      <c r="N73" s="228"/>
      <c r="O73" s="224"/>
      <c r="P73" s="225" t="s">
        <v>155</v>
      </c>
      <c r="Q73" s="230"/>
      <c r="R73" s="225" t="s">
        <v>155</v>
      </c>
      <c r="S73" s="225" t="s">
        <v>155</v>
      </c>
      <c r="T73" s="229" t="s">
        <v>386</v>
      </c>
      <c r="U73" s="227"/>
      <c r="V73" s="109" t="s">
        <v>387</v>
      </c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</row>
    <row r="74" ht="30.0" customHeight="1">
      <c r="A74" s="159"/>
      <c r="B74" s="218" t="s">
        <v>246</v>
      </c>
      <c r="C74" s="218" t="s">
        <v>351</v>
      </c>
      <c r="D74" s="218" t="s">
        <v>350</v>
      </c>
      <c r="E74" s="219">
        <v>42209.0</v>
      </c>
      <c r="F74" s="220" t="s">
        <v>388</v>
      </c>
      <c r="G74" s="221" t="s">
        <v>249</v>
      </c>
      <c r="H74" s="222" t="s">
        <v>250</v>
      </c>
      <c r="I74" s="221" t="s">
        <v>389</v>
      </c>
      <c r="J74" s="221" t="s">
        <v>390</v>
      </c>
      <c r="K74" s="223">
        <v>3.0</v>
      </c>
      <c r="L74" s="223" t="b">
        <v>0</v>
      </c>
      <c r="M74" s="223" t="s">
        <v>389</v>
      </c>
      <c r="N74" s="223">
        <v>8.2095</v>
      </c>
      <c r="O74" s="224" t="s">
        <v>238</v>
      </c>
      <c r="P74" s="225" t="s">
        <v>155</v>
      </c>
      <c r="Q74" s="225" t="s">
        <v>155</v>
      </c>
      <c r="R74" s="225" t="s">
        <v>155</v>
      </c>
      <c r="S74" s="225" t="s">
        <v>155</v>
      </c>
      <c r="T74" s="226"/>
      <c r="U74" s="227"/>
      <c r="V74" s="52" t="s">
        <v>250</v>
      </c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</row>
    <row r="75" ht="30.0" customHeight="1">
      <c r="A75" s="209"/>
      <c r="B75" s="209" t="s">
        <v>391</v>
      </c>
      <c r="C75" s="209"/>
      <c r="D75" s="211"/>
      <c r="E75" s="212"/>
      <c r="F75" s="213"/>
      <c r="G75" s="213"/>
      <c r="H75" s="213"/>
      <c r="I75" s="212"/>
      <c r="J75" s="212"/>
      <c r="K75" s="214"/>
      <c r="L75" s="214"/>
      <c r="M75" s="214"/>
      <c r="N75" s="214"/>
      <c r="O75" s="215"/>
      <c r="P75" s="216"/>
      <c r="Q75" s="216"/>
      <c r="R75" s="216"/>
      <c r="S75" s="216"/>
      <c r="T75" s="217"/>
      <c r="U75" s="217"/>
      <c r="V75" s="217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</row>
    <row r="76" ht="30.0" customHeight="1">
      <c r="A76" s="159"/>
      <c r="B76" s="218" t="s">
        <v>246</v>
      </c>
      <c r="C76" s="218" t="s">
        <v>351</v>
      </c>
      <c r="D76" s="218" t="s">
        <v>391</v>
      </c>
      <c r="E76" s="219">
        <v>38173.0</v>
      </c>
      <c r="F76" s="220" t="s">
        <v>392</v>
      </c>
      <c r="G76" s="221" t="s">
        <v>249</v>
      </c>
      <c r="H76" s="222" t="s">
        <v>250</v>
      </c>
      <c r="I76" s="221" t="s">
        <v>42</v>
      </c>
      <c r="J76" s="222" t="s">
        <v>250</v>
      </c>
      <c r="K76" s="223">
        <v>2.0</v>
      </c>
      <c r="L76" s="223" t="b">
        <v>1</v>
      </c>
      <c r="M76" s="228"/>
      <c r="N76" s="228"/>
      <c r="O76" s="224"/>
      <c r="P76" s="225" t="s">
        <v>155</v>
      </c>
      <c r="Q76" s="230"/>
      <c r="R76" s="225" t="s">
        <v>155</v>
      </c>
      <c r="S76" s="225" t="s">
        <v>155</v>
      </c>
      <c r="T76" s="229" t="s">
        <v>386</v>
      </c>
      <c r="U76" s="227"/>
      <c r="V76" s="52" t="s">
        <v>250</v>
      </c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</row>
    <row r="77" ht="30.0" customHeight="1">
      <c r="A77" s="159"/>
      <c r="B77" s="218" t="s">
        <v>246</v>
      </c>
      <c r="C77" s="218" t="s">
        <v>351</v>
      </c>
      <c r="D77" s="218" t="s">
        <v>391</v>
      </c>
      <c r="E77" s="219">
        <v>38172.0</v>
      </c>
      <c r="F77" s="220" t="s">
        <v>393</v>
      </c>
      <c r="G77" s="221" t="s">
        <v>249</v>
      </c>
      <c r="H77" s="221" t="s">
        <v>394</v>
      </c>
      <c r="I77" s="221" t="s">
        <v>42</v>
      </c>
      <c r="J77" s="222" t="s">
        <v>250</v>
      </c>
      <c r="K77" s="223">
        <v>4.0</v>
      </c>
      <c r="L77" s="223" t="b">
        <v>1</v>
      </c>
      <c r="M77" s="223" t="s">
        <v>42</v>
      </c>
      <c r="N77" s="223">
        <v>4.691869565217391</v>
      </c>
      <c r="O77" s="224" t="s">
        <v>238</v>
      </c>
      <c r="P77" s="225" t="s">
        <v>155</v>
      </c>
      <c r="Q77" s="225" t="s">
        <v>155</v>
      </c>
      <c r="R77" s="225" t="s">
        <v>155</v>
      </c>
      <c r="S77" s="225" t="s">
        <v>155</v>
      </c>
      <c r="T77" s="226"/>
      <c r="U77" s="227"/>
      <c r="V77" s="109" t="s">
        <v>395</v>
      </c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</row>
    <row r="78" ht="30.0" customHeight="1">
      <c r="A78" s="159"/>
      <c r="B78" s="218" t="s">
        <v>246</v>
      </c>
      <c r="C78" s="218" t="s">
        <v>351</v>
      </c>
      <c r="D78" s="218" t="s">
        <v>391</v>
      </c>
      <c r="E78" s="219">
        <v>14570.0</v>
      </c>
      <c r="F78" s="220" t="s">
        <v>396</v>
      </c>
      <c r="G78" s="221" t="s">
        <v>249</v>
      </c>
      <c r="H78" s="222" t="s">
        <v>250</v>
      </c>
      <c r="I78" s="221" t="s">
        <v>42</v>
      </c>
      <c r="J78" s="222" t="s">
        <v>250</v>
      </c>
      <c r="K78" s="223">
        <v>4.0</v>
      </c>
      <c r="L78" s="223" t="b">
        <v>1</v>
      </c>
      <c r="M78" s="223" t="s">
        <v>42</v>
      </c>
      <c r="N78" s="223">
        <v>3.9222500000000005</v>
      </c>
      <c r="O78" s="224" t="s">
        <v>238</v>
      </c>
      <c r="P78" s="225" t="s">
        <v>155</v>
      </c>
      <c r="Q78" s="225" t="s">
        <v>155</v>
      </c>
      <c r="R78" s="225" t="s">
        <v>155</v>
      </c>
      <c r="S78" s="225" t="s">
        <v>155</v>
      </c>
      <c r="T78" s="226"/>
      <c r="U78" s="227"/>
      <c r="V78" s="109" t="s">
        <v>397</v>
      </c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</row>
    <row r="79" ht="30.0" customHeight="1">
      <c r="A79" s="159"/>
      <c r="B79" s="218" t="s">
        <v>246</v>
      </c>
      <c r="C79" s="218" t="s">
        <v>351</v>
      </c>
      <c r="D79" s="218" t="s">
        <v>391</v>
      </c>
      <c r="E79" s="219">
        <v>109686.0</v>
      </c>
      <c r="F79" s="220" t="s">
        <v>398</v>
      </c>
      <c r="G79" s="221" t="s">
        <v>249</v>
      </c>
      <c r="H79" s="221" t="s">
        <v>399</v>
      </c>
      <c r="I79" s="221" t="s">
        <v>42</v>
      </c>
      <c r="J79" s="222" t="s">
        <v>250</v>
      </c>
      <c r="K79" s="223">
        <v>2.0</v>
      </c>
      <c r="L79" s="223" t="b">
        <v>1</v>
      </c>
      <c r="M79" s="223" t="s">
        <v>42</v>
      </c>
      <c r="N79" s="223">
        <v>5.755599999999999</v>
      </c>
      <c r="O79" s="224"/>
      <c r="P79" s="225" t="s">
        <v>155</v>
      </c>
      <c r="Q79" s="225" t="s">
        <v>155</v>
      </c>
      <c r="R79" s="225" t="s">
        <v>155</v>
      </c>
      <c r="S79" s="225" t="s">
        <v>155</v>
      </c>
      <c r="T79" s="226"/>
      <c r="U79" s="227"/>
      <c r="V79" s="52" t="s">
        <v>250</v>
      </c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</row>
    <row r="80" ht="30.0" customHeight="1">
      <c r="A80" s="159"/>
      <c r="B80" s="218" t="s">
        <v>246</v>
      </c>
      <c r="C80" s="218" t="s">
        <v>351</v>
      </c>
      <c r="D80" s="218" t="s">
        <v>391</v>
      </c>
      <c r="E80" s="219">
        <v>14546.0</v>
      </c>
      <c r="F80" s="220" t="s">
        <v>400</v>
      </c>
      <c r="G80" s="221" t="s">
        <v>369</v>
      </c>
      <c r="H80" s="222" t="s">
        <v>250</v>
      </c>
      <c r="I80" s="221" t="s">
        <v>42</v>
      </c>
      <c r="J80" s="222" t="s">
        <v>250</v>
      </c>
      <c r="K80" s="223">
        <v>4.0</v>
      </c>
      <c r="L80" s="223" t="b">
        <v>1</v>
      </c>
      <c r="M80" s="223" t="s">
        <v>42</v>
      </c>
      <c r="N80" s="223">
        <v>3.32026923076923</v>
      </c>
      <c r="O80" s="224" t="s">
        <v>238</v>
      </c>
      <c r="P80" s="225" t="s">
        <v>155</v>
      </c>
      <c r="Q80" s="225" t="s">
        <v>155</v>
      </c>
      <c r="R80" s="225" t="s">
        <v>155</v>
      </c>
      <c r="S80" s="225" t="s">
        <v>155</v>
      </c>
      <c r="T80" s="226"/>
      <c r="U80" s="227"/>
      <c r="V80" s="109" t="s">
        <v>296</v>
      </c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</row>
    <row r="81" ht="30.0" customHeight="1">
      <c r="A81" s="159"/>
      <c r="B81" s="218" t="s">
        <v>246</v>
      </c>
      <c r="C81" s="218" t="s">
        <v>351</v>
      </c>
      <c r="D81" s="218" t="s">
        <v>391</v>
      </c>
      <c r="E81" s="219">
        <v>111055.0</v>
      </c>
      <c r="F81" s="220" t="s">
        <v>401</v>
      </c>
      <c r="G81" s="221" t="s">
        <v>249</v>
      </c>
      <c r="H81" s="221" t="s">
        <v>402</v>
      </c>
      <c r="I81" s="221" t="s">
        <v>42</v>
      </c>
      <c r="J81" s="222" t="s">
        <v>250</v>
      </c>
      <c r="K81" s="223">
        <v>2.0</v>
      </c>
      <c r="L81" s="223" t="b">
        <v>1</v>
      </c>
      <c r="M81" s="223" t="s">
        <v>42</v>
      </c>
      <c r="N81" s="223">
        <v>8.411800000000001</v>
      </c>
      <c r="O81" s="224"/>
      <c r="P81" s="225" t="s">
        <v>155</v>
      </c>
      <c r="Q81" s="225" t="s">
        <v>155</v>
      </c>
      <c r="R81" s="225" t="s">
        <v>155</v>
      </c>
      <c r="S81" s="225" t="s">
        <v>155</v>
      </c>
      <c r="T81" s="226"/>
      <c r="U81" s="227"/>
      <c r="V81" s="109" t="s">
        <v>296</v>
      </c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</row>
    <row r="82" ht="30.0" customHeight="1">
      <c r="A82" s="159"/>
      <c r="B82" s="218" t="s">
        <v>246</v>
      </c>
      <c r="C82" s="218" t="s">
        <v>351</v>
      </c>
      <c r="D82" s="218" t="s">
        <v>391</v>
      </c>
      <c r="E82" s="219">
        <v>27410.0</v>
      </c>
      <c r="F82" s="220" t="s">
        <v>403</v>
      </c>
      <c r="G82" s="221" t="s">
        <v>369</v>
      </c>
      <c r="H82" s="221" t="s">
        <v>404</v>
      </c>
      <c r="I82" s="221" t="s">
        <v>42</v>
      </c>
      <c r="J82" s="222" t="s">
        <v>250</v>
      </c>
      <c r="K82" s="223">
        <v>3.0</v>
      </c>
      <c r="L82" s="223" t="b">
        <v>0</v>
      </c>
      <c r="M82" s="223" t="s">
        <v>42</v>
      </c>
      <c r="N82" s="223">
        <v>6.606583333333333</v>
      </c>
      <c r="O82" s="224"/>
      <c r="P82" s="225" t="s">
        <v>155</v>
      </c>
      <c r="Q82" s="225" t="s">
        <v>155</v>
      </c>
      <c r="R82" s="225" t="s">
        <v>155</v>
      </c>
      <c r="S82" s="225" t="s">
        <v>155</v>
      </c>
      <c r="T82" s="226"/>
      <c r="U82" s="227"/>
      <c r="V82" s="109" t="s">
        <v>405</v>
      </c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</row>
    <row r="83" ht="30.0" customHeight="1">
      <c r="A83" s="159"/>
      <c r="B83" s="218" t="s">
        <v>246</v>
      </c>
      <c r="C83" s="218" t="s">
        <v>351</v>
      </c>
      <c r="D83" s="218" t="s">
        <v>391</v>
      </c>
      <c r="E83" s="219">
        <v>14543.0</v>
      </c>
      <c r="F83" s="220" t="s">
        <v>406</v>
      </c>
      <c r="G83" s="221" t="s">
        <v>249</v>
      </c>
      <c r="H83" s="222" t="s">
        <v>250</v>
      </c>
      <c r="I83" s="221" t="s">
        <v>334</v>
      </c>
      <c r="J83" s="222" t="s">
        <v>250</v>
      </c>
      <c r="K83" s="223">
        <v>2.0</v>
      </c>
      <c r="L83" s="223" t="b">
        <v>1</v>
      </c>
      <c r="M83" s="223" t="s">
        <v>334</v>
      </c>
      <c r="N83" s="223">
        <v>141.0478823529412</v>
      </c>
      <c r="O83" s="224" t="s">
        <v>238</v>
      </c>
      <c r="P83" s="225" t="s">
        <v>155</v>
      </c>
      <c r="Q83" s="225" t="s">
        <v>155</v>
      </c>
      <c r="R83" s="225" t="s">
        <v>155</v>
      </c>
      <c r="S83" s="225" t="s">
        <v>155</v>
      </c>
      <c r="T83" s="226"/>
      <c r="U83" s="227"/>
      <c r="V83" s="109" t="s">
        <v>407</v>
      </c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</row>
    <row r="84" ht="30.0" customHeight="1">
      <c r="A84" s="159"/>
      <c r="B84" s="218" t="s">
        <v>246</v>
      </c>
      <c r="C84" s="218" t="s">
        <v>351</v>
      </c>
      <c r="D84" s="218" t="s">
        <v>391</v>
      </c>
      <c r="E84" s="219">
        <v>42948.0</v>
      </c>
      <c r="F84" s="220" t="s">
        <v>408</v>
      </c>
      <c r="G84" s="221" t="s">
        <v>249</v>
      </c>
      <c r="H84" s="221" t="s">
        <v>370</v>
      </c>
      <c r="I84" s="221" t="s">
        <v>42</v>
      </c>
      <c r="J84" s="222" t="s">
        <v>250</v>
      </c>
      <c r="K84" s="223">
        <v>4.0</v>
      </c>
      <c r="L84" s="223" t="b">
        <v>0</v>
      </c>
      <c r="M84" s="223" t="s">
        <v>42</v>
      </c>
      <c r="N84" s="223">
        <v>8.392999999999999</v>
      </c>
      <c r="O84" s="224"/>
      <c r="P84" s="225" t="s">
        <v>155</v>
      </c>
      <c r="Q84" s="225" t="s">
        <v>155</v>
      </c>
      <c r="R84" s="225" t="s">
        <v>155</v>
      </c>
      <c r="S84" s="225" t="s">
        <v>155</v>
      </c>
      <c r="T84" s="226"/>
      <c r="U84" s="227"/>
      <c r="V84" s="109" t="s">
        <v>409</v>
      </c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</row>
    <row r="85" ht="30.0" customHeight="1">
      <c r="A85" s="159"/>
      <c r="B85" s="218" t="s">
        <v>246</v>
      </c>
      <c r="C85" s="218" t="s">
        <v>351</v>
      </c>
      <c r="D85" s="218" t="s">
        <v>391</v>
      </c>
      <c r="E85" s="219">
        <v>14557.0</v>
      </c>
      <c r="F85" s="220" t="s">
        <v>410</v>
      </c>
      <c r="G85" s="221" t="s">
        <v>369</v>
      </c>
      <c r="H85" s="221" t="s">
        <v>411</v>
      </c>
      <c r="I85" s="221" t="s">
        <v>42</v>
      </c>
      <c r="J85" s="222" t="s">
        <v>250</v>
      </c>
      <c r="K85" s="223">
        <v>3.0</v>
      </c>
      <c r="L85" s="223" t="b">
        <v>0</v>
      </c>
      <c r="M85" s="228"/>
      <c r="N85" s="228"/>
      <c r="O85" s="224"/>
      <c r="P85" s="225" t="s">
        <v>155</v>
      </c>
      <c r="Q85" s="225" t="s">
        <v>155</v>
      </c>
      <c r="R85" s="225" t="s">
        <v>155</v>
      </c>
      <c r="S85" s="225" t="s">
        <v>155</v>
      </c>
      <c r="T85" s="226"/>
      <c r="U85" s="227"/>
      <c r="V85" s="109" t="s">
        <v>296</v>
      </c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</row>
    <row r="86" ht="30.0" customHeight="1">
      <c r="A86" s="159"/>
      <c r="B86" s="218" t="s">
        <v>246</v>
      </c>
      <c r="C86" s="218" t="s">
        <v>351</v>
      </c>
      <c r="D86" s="218" t="s">
        <v>391</v>
      </c>
      <c r="E86" s="219">
        <v>14541.0</v>
      </c>
      <c r="F86" s="220" t="s">
        <v>412</v>
      </c>
      <c r="G86" s="221" t="s">
        <v>249</v>
      </c>
      <c r="H86" s="221" t="s">
        <v>312</v>
      </c>
      <c r="I86" s="221" t="s">
        <v>269</v>
      </c>
      <c r="J86" s="222" t="s">
        <v>250</v>
      </c>
      <c r="K86" s="223">
        <v>2.0</v>
      </c>
      <c r="L86" s="223" t="b">
        <v>1</v>
      </c>
      <c r="M86" s="223" t="s">
        <v>269</v>
      </c>
      <c r="N86" s="223">
        <v>40.60571428571428</v>
      </c>
      <c r="O86" s="224"/>
      <c r="P86" s="225" t="s">
        <v>155</v>
      </c>
      <c r="Q86" s="225" t="s">
        <v>155</v>
      </c>
      <c r="R86" s="225" t="s">
        <v>155</v>
      </c>
      <c r="S86" s="225" t="s">
        <v>155</v>
      </c>
      <c r="T86" s="226"/>
      <c r="U86" s="227"/>
      <c r="V86" s="109" t="s">
        <v>413</v>
      </c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</row>
    <row r="87" ht="30.0" customHeight="1">
      <c r="A87" s="159"/>
      <c r="B87" s="218" t="s">
        <v>246</v>
      </c>
      <c r="C87" s="218" t="s">
        <v>351</v>
      </c>
      <c r="D87" s="218" t="s">
        <v>391</v>
      </c>
      <c r="E87" s="219">
        <v>101442.0</v>
      </c>
      <c r="F87" s="220" t="s">
        <v>414</v>
      </c>
      <c r="G87" s="221" t="s">
        <v>369</v>
      </c>
      <c r="H87" s="221" t="s">
        <v>378</v>
      </c>
      <c r="I87" s="221" t="s">
        <v>42</v>
      </c>
      <c r="J87" s="222" t="s">
        <v>250</v>
      </c>
      <c r="K87" s="223">
        <v>4.0</v>
      </c>
      <c r="L87" s="223" t="b">
        <v>1</v>
      </c>
      <c r="M87" s="228"/>
      <c r="N87" s="228"/>
      <c r="O87" s="224"/>
      <c r="P87" s="225" t="s">
        <v>155</v>
      </c>
      <c r="Q87" s="225" t="s">
        <v>155</v>
      </c>
      <c r="R87" s="225" t="s">
        <v>155</v>
      </c>
      <c r="S87" s="225" t="s">
        <v>155</v>
      </c>
      <c r="T87" s="226"/>
      <c r="U87" s="227"/>
      <c r="V87" s="109" t="s">
        <v>415</v>
      </c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</row>
    <row r="88" ht="30.0" customHeight="1">
      <c r="A88" s="159"/>
      <c r="B88" s="218" t="s">
        <v>246</v>
      </c>
      <c r="C88" s="218" t="s">
        <v>351</v>
      </c>
      <c r="D88" s="218" t="s">
        <v>391</v>
      </c>
      <c r="E88" s="219">
        <v>44287.0</v>
      </c>
      <c r="F88" s="220" t="s">
        <v>416</v>
      </c>
      <c r="G88" s="221" t="s">
        <v>369</v>
      </c>
      <c r="H88" s="221" t="s">
        <v>417</v>
      </c>
      <c r="I88" s="221" t="s">
        <v>42</v>
      </c>
      <c r="J88" s="222" t="s">
        <v>250</v>
      </c>
      <c r="K88" s="223">
        <v>4.0</v>
      </c>
      <c r="L88" s="223" t="b">
        <v>0</v>
      </c>
      <c r="M88" s="228"/>
      <c r="N88" s="228"/>
      <c r="O88" s="224"/>
      <c r="P88" s="230"/>
      <c r="Q88" s="230"/>
      <c r="R88" s="230"/>
      <c r="S88" s="225" t="s">
        <v>155</v>
      </c>
      <c r="T88" s="229" t="s">
        <v>418</v>
      </c>
      <c r="U88" s="227"/>
      <c r="V88" s="52" t="s">
        <v>250</v>
      </c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</row>
    <row r="89" ht="30.0" customHeight="1">
      <c r="A89" s="159"/>
      <c r="B89" s="218" t="s">
        <v>246</v>
      </c>
      <c r="C89" s="218" t="s">
        <v>351</v>
      </c>
      <c r="D89" s="218" t="s">
        <v>391</v>
      </c>
      <c r="E89" s="219">
        <v>14482.0</v>
      </c>
      <c r="F89" s="220" t="s">
        <v>419</v>
      </c>
      <c r="G89" s="221" t="s">
        <v>369</v>
      </c>
      <c r="H89" s="222" t="s">
        <v>250</v>
      </c>
      <c r="I89" s="221" t="s">
        <v>42</v>
      </c>
      <c r="J89" s="221" t="s">
        <v>420</v>
      </c>
      <c r="K89" s="223">
        <v>3.0</v>
      </c>
      <c r="L89" s="223" t="b">
        <v>1</v>
      </c>
      <c r="M89" s="228"/>
      <c r="N89" s="228"/>
      <c r="O89" s="224"/>
      <c r="P89" s="225" t="s">
        <v>155</v>
      </c>
      <c r="Q89" s="225" t="s">
        <v>155</v>
      </c>
      <c r="R89" s="225" t="s">
        <v>155</v>
      </c>
      <c r="S89" s="225" t="s">
        <v>155</v>
      </c>
      <c r="T89" s="226"/>
      <c r="U89" s="227"/>
      <c r="V89" s="109" t="s">
        <v>421</v>
      </c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</row>
    <row r="90" ht="30.0" customHeight="1">
      <c r="A90" s="209"/>
      <c r="B90" s="210" t="s">
        <v>422</v>
      </c>
      <c r="C90" s="211"/>
      <c r="D90" s="211"/>
      <c r="E90" s="212"/>
      <c r="F90" s="213"/>
      <c r="G90" s="213"/>
      <c r="H90" s="213"/>
      <c r="I90" s="212"/>
      <c r="J90" s="212"/>
      <c r="K90" s="214"/>
      <c r="L90" s="214"/>
      <c r="M90" s="214"/>
      <c r="N90" s="214"/>
      <c r="O90" s="215"/>
      <c r="P90" s="216"/>
      <c r="Q90" s="216"/>
      <c r="R90" s="216"/>
      <c r="S90" s="216"/>
      <c r="T90" s="217"/>
      <c r="U90" s="217"/>
      <c r="V90" s="217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</row>
    <row r="91" ht="30.0" customHeight="1">
      <c r="A91" s="159"/>
      <c r="B91" s="218" t="s">
        <v>246</v>
      </c>
      <c r="C91" s="218" t="s">
        <v>423</v>
      </c>
      <c r="D91" s="218" t="s">
        <v>422</v>
      </c>
      <c r="E91" s="219">
        <v>10251.0</v>
      </c>
      <c r="F91" s="220" t="s">
        <v>424</v>
      </c>
      <c r="G91" s="221" t="s">
        <v>249</v>
      </c>
      <c r="H91" s="221" t="s">
        <v>425</v>
      </c>
      <c r="I91" s="221" t="s">
        <v>42</v>
      </c>
      <c r="J91" s="221" t="s">
        <v>426</v>
      </c>
      <c r="K91" s="223">
        <v>0.0</v>
      </c>
      <c r="L91" s="223" t="b">
        <v>0</v>
      </c>
      <c r="M91" s="228"/>
      <c r="N91" s="228"/>
      <c r="O91" s="224"/>
      <c r="P91" s="230"/>
      <c r="Q91" s="230"/>
      <c r="R91" s="230"/>
      <c r="S91" s="225" t="s">
        <v>155</v>
      </c>
      <c r="T91" s="229" t="s">
        <v>418</v>
      </c>
      <c r="U91" s="227"/>
      <c r="V91" s="109" t="s">
        <v>427</v>
      </c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</row>
    <row r="92" ht="30.0" customHeight="1">
      <c r="A92" s="159"/>
      <c r="B92" s="218" t="s">
        <v>246</v>
      </c>
      <c r="C92" s="218" t="s">
        <v>423</v>
      </c>
      <c r="D92" s="218" t="s">
        <v>422</v>
      </c>
      <c r="E92" s="219">
        <v>19396.0</v>
      </c>
      <c r="F92" s="220" t="s">
        <v>428</v>
      </c>
      <c r="G92" s="221" t="s">
        <v>249</v>
      </c>
      <c r="H92" s="221" t="s">
        <v>429</v>
      </c>
      <c r="I92" s="221" t="s">
        <v>42</v>
      </c>
      <c r="J92" s="221" t="s">
        <v>426</v>
      </c>
      <c r="K92" s="223">
        <v>2.0</v>
      </c>
      <c r="L92" s="223" t="b">
        <v>1</v>
      </c>
      <c r="M92" s="223" t="s">
        <v>42</v>
      </c>
      <c r="N92" s="223">
        <v>6.5</v>
      </c>
      <c r="O92" s="224"/>
      <c r="P92" s="225" t="s">
        <v>155</v>
      </c>
      <c r="Q92" s="225" t="s">
        <v>155</v>
      </c>
      <c r="R92" s="225" t="s">
        <v>155</v>
      </c>
      <c r="S92" s="225" t="s">
        <v>155</v>
      </c>
      <c r="T92" s="229" t="s">
        <v>430</v>
      </c>
      <c r="U92" s="227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</row>
    <row r="93" ht="30.0" customHeight="1">
      <c r="A93" s="159"/>
      <c r="B93" s="218" t="s">
        <v>246</v>
      </c>
      <c r="C93" s="218" t="s">
        <v>423</v>
      </c>
      <c r="D93" s="218" t="s">
        <v>422</v>
      </c>
      <c r="E93" s="219">
        <v>10052.0</v>
      </c>
      <c r="F93" s="220" t="s">
        <v>431</v>
      </c>
      <c r="G93" s="221" t="s">
        <v>249</v>
      </c>
      <c r="H93" s="222" t="s">
        <v>250</v>
      </c>
      <c r="I93" s="221" t="s">
        <v>432</v>
      </c>
      <c r="J93" s="221" t="s">
        <v>426</v>
      </c>
      <c r="K93" s="223">
        <v>2.0</v>
      </c>
      <c r="L93" s="223" t="b">
        <v>1</v>
      </c>
      <c r="M93" s="223" t="s">
        <v>432</v>
      </c>
      <c r="N93" s="223">
        <v>361.7515882352941</v>
      </c>
      <c r="O93" s="224"/>
      <c r="P93" s="225" t="s">
        <v>155</v>
      </c>
      <c r="Q93" s="225" t="s">
        <v>155</v>
      </c>
      <c r="R93" s="225" t="s">
        <v>155</v>
      </c>
      <c r="S93" s="225" t="s">
        <v>155</v>
      </c>
      <c r="T93" s="226"/>
      <c r="U93" s="227"/>
      <c r="V93" s="52" t="s">
        <v>250</v>
      </c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</row>
    <row r="94" ht="30.0" customHeight="1">
      <c r="A94" s="159"/>
      <c r="B94" s="218" t="s">
        <v>246</v>
      </c>
      <c r="C94" s="218" t="s">
        <v>423</v>
      </c>
      <c r="D94" s="218" t="s">
        <v>422</v>
      </c>
      <c r="E94" s="219">
        <v>14804.0</v>
      </c>
      <c r="F94" s="220" t="s">
        <v>433</v>
      </c>
      <c r="G94" s="221" t="s">
        <v>249</v>
      </c>
      <c r="H94" s="222"/>
      <c r="I94" s="221" t="s">
        <v>42</v>
      </c>
      <c r="J94" s="221" t="s">
        <v>426</v>
      </c>
      <c r="K94" s="223">
        <v>2.0</v>
      </c>
      <c r="L94" s="223" t="b">
        <v>1</v>
      </c>
      <c r="M94" s="223" t="s">
        <v>42</v>
      </c>
      <c r="N94" s="223">
        <v>5.17</v>
      </c>
      <c r="O94" s="224"/>
      <c r="P94" s="225" t="s">
        <v>155</v>
      </c>
      <c r="Q94" s="225" t="s">
        <v>155</v>
      </c>
      <c r="R94" s="225" t="s">
        <v>155</v>
      </c>
      <c r="S94" s="225" t="s">
        <v>155</v>
      </c>
      <c r="T94" s="229" t="s">
        <v>430</v>
      </c>
      <c r="U94" s="227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</row>
    <row r="95" ht="30.0" customHeight="1">
      <c r="A95" s="159"/>
      <c r="B95" s="218" t="s">
        <v>246</v>
      </c>
      <c r="C95" s="218" t="s">
        <v>423</v>
      </c>
      <c r="D95" s="218" t="s">
        <v>422</v>
      </c>
      <c r="E95" s="219">
        <v>11757.0</v>
      </c>
      <c r="F95" s="220" t="s">
        <v>434</v>
      </c>
      <c r="G95" s="221" t="s">
        <v>249</v>
      </c>
      <c r="H95" s="222" t="s">
        <v>250</v>
      </c>
      <c r="I95" s="221" t="s">
        <v>42</v>
      </c>
      <c r="J95" s="221" t="s">
        <v>435</v>
      </c>
      <c r="K95" s="223">
        <v>3.0</v>
      </c>
      <c r="L95" s="223" t="b">
        <v>1</v>
      </c>
      <c r="M95" s="223" t="s">
        <v>42</v>
      </c>
      <c r="N95" s="223">
        <v>9.338833333333334</v>
      </c>
      <c r="O95" s="224" t="s">
        <v>238</v>
      </c>
      <c r="P95" s="225" t="s">
        <v>155</v>
      </c>
      <c r="Q95" s="225" t="s">
        <v>155</v>
      </c>
      <c r="R95" s="225" t="s">
        <v>155</v>
      </c>
      <c r="S95" s="225" t="s">
        <v>155</v>
      </c>
      <c r="T95" s="226"/>
      <c r="U95" s="227"/>
      <c r="V95" s="109" t="s">
        <v>436</v>
      </c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</row>
    <row r="96" ht="30.0" customHeight="1">
      <c r="A96" s="159"/>
      <c r="B96" s="218" t="s">
        <v>246</v>
      </c>
      <c r="C96" s="218" t="s">
        <v>423</v>
      </c>
      <c r="D96" s="218" t="s">
        <v>422</v>
      </c>
      <c r="E96" s="219">
        <v>35163.0</v>
      </c>
      <c r="F96" s="220" t="s">
        <v>437</v>
      </c>
      <c r="G96" s="221" t="s">
        <v>249</v>
      </c>
      <c r="H96" s="221" t="s">
        <v>438</v>
      </c>
      <c r="I96" s="221" t="s">
        <v>42</v>
      </c>
      <c r="J96" s="222" t="s">
        <v>250</v>
      </c>
      <c r="K96" s="223">
        <v>2.0</v>
      </c>
      <c r="L96" s="223" t="b">
        <v>0</v>
      </c>
      <c r="M96" s="223" t="s">
        <v>42</v>
      </c>
      <c r="N96" s="223">
        <v>20.5362</v>
      </c>
      <c r="O96" s="224"/>
      <c r="P96" s="225" t="s">
        <v>155</v>
      </c>
      <c r="Q96" s="225" t="s">
        <v>155</v>
      </c>
      <c r="R96" s="225" t="s">
        <v>155</v>
      </c>
      <c r="S96" s="225" t="s">
        <v>155</v>
      </c>
      <c r="T96" s="226"/>
      <c r="U96" s="227"/>
      <c r="V96" s="52" t="s">
        <v>250</v>
      </c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</row>
    <row r="97" ht="30.0" customHeight="1">
      <c r="A97" s="159"/>
      <c r="B97" s="218" t="s">
        <v>246</v>
      </c>
      <c r="C97" s="218" t="s">
        <v>423</v>
      </c>
      <c r="D97" s="218" t="s">
        <v>422</v>
      </c>
      <c r="E97" s="219">
        <v>14630.0</v>
      </c>
      <c r="F97" s="220" t="s">
        <v>439</v>
      </c>
      <c r="G97" s="221" t="s">
        <v>249</v>
      </c>
      <c r="H97" s="221" t="s">
        <v>440</v>
      </c>
      <c r="I97" s="221" t="s">
        <v>42</v>
      </c>
      <c r="J97" s="221" t="s">
        <v>426</v>
      </c>
      <c r="K97" s="223">
        <v>2.0</v>
      </c>
      <c r="L97" s="223" t="b">
        <v>1</v>
      </c>
      <c r="M97" s="223" t="s">
        <v>42</v>
      </c>
      <c r="N97" s="223">
        <v>4.355035714285714</v>
      </c>
      <c r="O97" s="224" t="s">
        <v>238</v>
      </c>
      <c r="P97" s="225" t="s">
        <v>155</v>
      </c>
      <c r="Q97" s="225" t="s">
        <v>155</v>
      </c>
      <c r="R97" s="225" t="s">
        <v>155</v>
      </c>
      <c r="S97" s="225" t="s">
        <v>155</v>
      </c>
      <c r="T97" s="226"/>
      <c r="U97" s="227"/>
      <c r="V97" s="52" t="s">
        <v>250</v>
      </c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</row>
    <row r="98" ht="30.0" customHeight="1">
      <c r="A98" s="159"/>
      <c r="B98" s="218" t="s">
        <v>246</v>
      </c>
      <c r="C98" s="218" t="s">
        <v>423</v>
      </c>
      <c r="D98" s="218" t="s">
        <v>422</v>
      </c>
      <c r="E98" s="219">
        <v>14752.0</v>
      </c>
      <c r="F98" s="220" t="s">
        <v>441</v>
      </c>
      <c r="G98" s="221" t="s">
        <v>249</v>
      </c>
      <c r="H98" s="222" t="s">
        <v>250</v>
      </c>
      <c r="I98" s="221" t="s">
        <v>42</v>
      </c>
      <c r="J98" s="221" t="s">
        <v>426</v>
      </c>
      <c r="K98" s="223">
        <v>2.0</v>
      </c>
      <c r="L98" s="223" t="b">
        <v>0</v>
      </c>
      <c r="M98" s="228"/>
      <c r="N98" s="228"/>
      <c r="O98" s="224"/>
      <c r="P98" s="230"/>
      <c r="Q98" s="225" t="s">
        <v>155</v>
      </c>
      <c r="R98" s="225" t="s">
        <v>155</v>
      </c>
      <c r="S98" s="230"/>
      <c r="T98" s="226"/>
      <c r="U98" s="227"/>
      <c r="V98" s="52" t="s">
        <v>250</v>
      </c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</row>
    <row r="99" ht="30.0" customHeight="1">
      <c r="A99" s="159"/>
      <c r="B99" s="218" t="s">
        <v>246</v>
      </c>
      <c r="C99" s="218" t="s">
        <v>423</v>
      </c>
      <c r="D99" s="218" t="s">
        <v>422</v>
      </c>
      <c r="E99" s="219">
        <v>112635.0</v>
      </c>
      <c r="F99" s="220" t="s">
        <v>442</v>
      </c>
      <c r="G99" s="221" t="s">
        <v>249</v>
      </c>
      <c r="H99" s="221" t="s">
        <v>443</v>
      </c>
      <c r="I99" s="221" t="s">
        <v>444</v>
      </c>
      <c r="J99" s="221" t="s">
        <v>426</v>
      </c>
      <c r="K99" s="223">
        <v>3.0</v>
      </c>
      <c r="L99" s="223" t="b">
        <v>0</v>
      </c>
      <c r="M99" s="223" t="s">
        <v>444</v>
      </c>
      <c r="N99" s="223">
        <v>1050.7783333333334</v>
      </c>
      <c r="O99" s="224"/>
      <c r="P99" s="225" t="s">
        <v>155</v>
      </c>
      <c r="Q99" s="225" t="s">
        <v>155</v>
      </c>
      <c r="R99" s="225" t="s">
        <v>155</v>
      </c>
      <c r="S99" s="225" t="s">
        <v>155</v>
      </c>
      <c r="T99" s="226"/>
      <c r="U99" s="227"/>
      <c r="V99" s="52" t="s">
        <v>250</v>
      </c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</row>
    <row r="100" ht="30.0" customHeight="1">
      <c r="A100" s="159"/>
      <c r="B100" s="218" t="s">
        <v>246</v>
      </c>
      <c r="C100" s="218" t="s">
        <v>423</v>
      </c>
      <c r="D100" s="218" t="s">
        <v>422</v>
      </c>
      <c r="E100" s="219">
        <v>11826.0</v>
      </c>
      <c r="F100" s="220" t="s">
        <v>445</v>
      </c>
      <c r="G100" s="221" t="s">
        <v>249</v>
      </c>
      <c r="H100" s="222" t="s">
        <v>250</v>
      </c>
      <c r="I100" s="221" t="s">
        <v>42</v>
      </c>
      <c r="J100" s="221" t="s">
        <v>426</v>
      </c>
      <c r="K100" s="223">
        <v>3.0</v>
      </c>
      <c r="L100" s="223" t="b">
        <v>1</v>
      </c>
      <c r="M100" s="223" t="s">
        <v>42</v>
      </c>
      <c r="N100" s="223">
        <v>5.972272727272728</v>
      </c>
      <c r="O100" s="224" t="s">
        <v>238</v>
      </c>
      <c r="P100" s="225" t="s">
        <v>155</v>
      </c>
      <c r="Q100" s="225" t="s">
        <v>155</v>
      </c>
      <c r="R100" s="225" t="s">
        <v>155</v>
      </c>
      <c r="S100" s="225" t="s">
        <v>155</v>
      </c>
      <c r="T100" s="226"/>
      <c r="U100" s="227"/>
      <c r="V100" s="52" t="s">
        <v>250</v>
      </c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</row>
    <row r="101" ht="30.0" customHeight="1">
      <c r="A101" s="159"/>
      <c r="B101" s="218" t="s">
        <v>246</v>
      </c>
      <c r="C101" s="218" t="s">
        <v>423</v>
      </c>
      <c r="D101" s="218" t="s">
        <v>422</v>
      </c>
      <c r="E101" s="219">
        <v>150122.0</v>
      </c>
      <c r="F101" s="220" t="s">
        <v>446</v>
      </c>
      <c r="G101" s="221" t="s">
        <v>249</v>
      </c>
      <c r="H101" s="222" t="s">
        <v>250</v>
      </c>
      <c r="I101" s="221" t="s">
        <v>42</v>
      </c>
      <c r="J101" s="222" t="s">
        <v>250</v>
      </c>
      <c r="K101" s="223">
        <v>1.0</v>
      </c>
      <c r="L101" s="223" t="b">
        <v>0</v>
      </c>
      <c r="M101" s="228"/>
      <c r="N101" s="228"/>
      <c r="O101" s="224"/>
      <c r="P101" s="230"/>
      <c r="Q101" s="225" t="s">
        <v>155</v>
      </c>
      <c r="R101" s="230"/>
      <c r="S101" s="225" t="s">
        <v>155</v>
      </c>
      <c r="T101" s="229" t="s">
        <v>447</v>
      </c>
      <c r="U101" s="227"/>
      <c r="V101" s="52" t="s">
        <v>250</v>
      </c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</row>
    <row r="102" ht="30.0" customHeight="1">
      <c r="A102" s="159"/>
      <c r="B102" s="218" t="s">
        <v>246</v>
      </c>
      <c r="C102" s="218" t="s">
        <v>423</v>
      </c>
      <c r="D102" s="218" t="s">
        <v>422</v>
      </c>
      <c r="E102" s="219">
        <v>49645.0</v>
      </c>
      <c r="F102" s="220" t="s">
        <v>448</v>
      </c>
      <c r="G102" s="221" t="s">
        <v>249</v>
      </c>
      <c r="H102" s="222" t="s">
        <v>250</v>
      </c>
      <c r="I102" s="221" t="s">
        <v>42</v>
      </c>
      <c r="J102" s="221" t="s">
        <v>426</v>
      </c>
      <c r="K102" s="223">
        <v>2.0</v>
      </c>
      <c r="L102" s="223" t="b">
        <v>1</v>
      </c>
      <c r="M102" s="223" t="s">
        <v>42</v>
      </c>
      <c r="N102" s="223">
        <v>6.46525</v>
      </c>
      <c r="O102" s="224" t="s">
        <v>238</v>
      </c>
      <c r="P102" s="225" t="s">
        <v>155</v>
      </c>
      <c r="Q102" s="225" t="s">
        <v>155</v>
      </c>
      <c r="R102" s="225" t="s">
        <v>155</v>
      </c>
      <c r="S102" s="225" t="s">
        <v>155</v>
      </c>
      <c r="T102" s="226"/>
      <c r="U102" s="227"/>
      <c r="V102" s="52" t="s">
        <v>250</v>
      </c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</row>
    <row r="103" ht="30.0" customHeight="1">
      <c r="A103" s="159"/>
      <c r="B103" s="218" t="s">
        <v>246</v>
      </c>
      <c r="C103" s="218" t="s">
        <v>423</v>
      </c>
      <c r="D103" s="218" t="s">
        <v>422</v>
      </c>
      <c r="E103" s="219">
        <v>14670.0</v>
      </c>
      <c r="F103" s="220" t="s">
        <v>449</v>
      </c>
      <c r="G103" s="221" t="s">
        <v>249</v>
      </c>
      <c r="H103" s="222" t="s">
        <v>250</v>
      </c>
      <c r="I103" s="221" t="s">
        <v>42</v>
      </c>
      <c r="J103" s="221" t="s">
        <v>426</v>
      </c>
      <c r="K103" s="223">
        <v>2.0</v>
      </c>
      <c r="L103" s="223" t="b">
        <v>1</v>
      </c>
      <c r="M103" s="223" t="s">
        <v>42</v>
      </c>
      <c r="N103" s="223">
        <v>12.5399</v>
      </c>
      <c r="O103" s="224"/>
      <c r="P103" s="225" t="s">
        <v>155</v>
      </c>
      <c r="Q103" s="225" t="s">
        <v>155</v>
      </c>
      <c r="R103" s="225" t="s">
        <v>155</v>
      </c>
      <c r="S103" s="225" t="s">
        <v>155</v>
      </c>
      <c r="T103" s="226"/>
      <c r="U103" s="227"/>
      <c r="V103" s="52" t="s">
        <v>250</v>
      </c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</row>
    <row r="104" ht="30.0" customHeight="1">
      <c r="A104" s="159"/>
      <c r="B104" s="218" t="s">
        <v>246</v>
      </c>
      <c r="C104" s="218" t="s">
        <v>423</v>
      </c>
      <c r="D104" s="218" t="s">
        <v>422</v>
      </c>
      <c r="E104" s="219">
        <v>53625.0</v>
      </c>
      <c r="F104" s="220" t="s">
        <v>450</v>
      </c>
      <c r="G104" s="221" t="s">
        <v>249</v>
      </c>
      <c r="H104" s="222" t="s">
        <v>250</v>
      </c>
      <c r="I104" s="221" t="s">
        <v>42</v>
      </c>
      <c r="J104" s="221" t="s">
        <v>426</v>
      </c>
      <c r="K104" s="223">
        <v>4.0</v>
      </c>
      <c r="L104" s="223" t="b">
        <v>0</v>
      </c>
      <c r="M104" s="223" t="s">
        <v>42</v>
      </c>
      <c r="N104" s="223">
        <v>10.027863636363637</v>
      </c>
      <c r="O104" s="224"/>
      <c r="P104" s="225" t="s">
        <v>155</v>
      </c>
      <c r="Q104" s="225" t="s">
        <v>155</v>
      </c>
      <c r="R104" s="225" t="s">
        <v>155</v>
      </c>
      <c r="S104" s="225" t="s">
        <v>155</v>
      </c>
      <c r="T104" s="226"/>
      <c r="U104" s="227"/>
      <c r="V104" s="109" t="s">
        <v>451</v>
      </c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</row>
    <row r="105" ht="30.0" customHeight="1">
      <c r="A105" s="159"/>
      <c r="B105" s="218" t="s">
        <v>246</v>
      </c>
      <c r="C105" s="218" t="s">
        <v>423</v>
      </c>
      <c r="D105" s="218" t="s">
        <v>422</v>
      </c>
      <c r="E105" s="219">
        <v>23371.0</v>
      </c>
      <c r="F105" s="220" t="s">
        <v>452</v>
      </c>
      <c r="G105" s="221" t="s">
        <v>249</v>
      </c>
      <c r="H105" s="222" t="s">
        <v>250</v>
      </c>
      <c r="I105" s="221" t="s">
        <v>42</v>
      </c>
      <c r="J105" s="221" t="s">
        <v>426</v>
      </c>
      <c r="K105" s="223">
        <v>3.0</v>
      </c>
      <c r="L105" s="223" t="b">
        <v>0</v>
      </c>
      <c r="M105" s="223" t="s">
        <v>42</v>
      </c>
      <c r="N105" s="223">
        <v>6.3625</v>
      </c>
      <c r="O105" s="224" t="s">
        <v>238</v>
      </c>
      <c r="P105" s="225" t="s">
        <v>155</v>
      </c>
      <c r="Q105" s="225" t="s">
        <v>155</v>
      </c>
      <c r="R105" s="225" t="s">
        <v>155</v>
      </c>
      <c r="S105" s="225" t="s">
        <v>155</v>
      </c>
      <c r="T105" s="226"/>
      <c r="U105" s="227"/>
      <c r="V105" s="52" t="s">
        <v>250</v>
      </c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</row>
    <row r="106" ht="30.0" customHeight="1">
      <c r="A106" s="159"/>
      <c r="B106" s="218" t="s">
        <v>246</v>
      </c>
      <c r="C106" s="218" t="s">
        <v>423</v>
      </c>
      <c r="D106" s="218" t="s">
        <v>422</v>
      </c>
      <c r="E106" s="219">
        <v>45475.0</v>
      </c>
      <c r="F106" s="220" t="s">
        <v>453</v>
      </c>
      <c r="G106" s="221" t="s">
        <v>249</v>
      </c>
      <c r="H106" s="222" t="s">
        <v>250</v>
      </c>
      <c r="I106" s="221" t="s">
        <v>389</v>
      </c>
      <c r="J106" s="221" t="s">
        <v>426</v>
      </c>
      <c r="K106" s="223">
        <v>2.0</v>
      </c>
      <c r="L106" s="223" t="b">
        <v>1</v>
      </c>
      <c r="M106" s="223" t="s">
        <v>389</v>
      </c>
      <c r="N106" s="223">
        <v>4.330272727272727</v>
      </c>
      <c r="O106" s="224" t="s">
        <v>238</v>
      </c>
      <c r="P106" s="225" t="s">
        <v>155</v>
      </c>
      <c r="Q106" s="225" t="s">
        <v>155</v>
      </c>
      <c r="R106" s="225" t="s">
        <v>155</v>
      </c>
      <c r="S106" s="225" t="s">
        <v>155</v>
      </c>
      <c r="T106" s="226"/>
      <c r="U106" s="227"/>
      <c r="V106" s="52" t="s">
        <v>250</v>
      </c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</row>
    <row r="107" ht="30.0" customHeight="1">
      <c r="A107" s="159"/>
      <c r="B107" s="218" t="s">
        <v>246</v>
      </c>
      <c r="C107" s="218" t="s">
        <v>423</v>
      </c>
      <c r="D107" s="218" t="s">
        <v>422</v>
      </c>
      <c r="E107" s="219">
        <v>14852.0</v>
      </c>
      <c r="F107" s="220" t="s">
        <v>454</v>
      </c>
      <c r="G107" s="221" t="s">
        <v>249</v>
      </c>
      <c r="H107" s="222" t="s">
        <v>250</v>
      </c>
      <c r="I107" s="221" t="s">
        <v>455</v>
      </c>
      <c r="J107" s="221" t="s">
        <v>426</v>
      </c>
      <c r="K107" s="223">
        <v>4.0</v>
      </c>
      <c r="L107" s="223" t="b">
        <v>1</v>
      </c>
      <c r="M107" s="223" t="s">
        <v>455</v>
      </c>
      <c r="N107" s="223">
        <v>131.8685</v>
      </c>
      <c r="O107" s="224"/>
      <c r="P107" s="225" t="s">
        <v>155</v>
      </c>
      <c r="Q107" s="225" t="s">
        <v>155</v>
      </c>
      <c r="R107" s="225" t="s">
        <v>155</v>
      </c>
      <c r="S107" s="225" t="s">
        <v>155</v>
      </c>
      <c r="T107" s="226"/>
      <c r="U107" s="227"/>
      <c r="V107" s="52" t="s">
        <v>250</v>
      </c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</row>
    <row r="108" ht="30.0" customHeight="1">
      <c r="A108" s="159"/>
      <c r="B108" s="218" t="s">
        <v>246</v>
      </c>
      <c r="C108" s="218" t="s">
        <v>423</v>
      </c>
      <c r="D108" s="218" t="s">
        <v>422</v>
      </c>
      <c r="E108" s="219">
        <v>33209.0</v>
      </c>
      <c r="F108" s="220" t="s">
        <v>456</v>
      </c>
      <c r="G108" s="221" t="s">
        <v>249</v>
      </c>
      <c r="H108" s="222" t="s">
        <v>250</v>
      </c>
      <c r="I108" s="221" t="s">
        <v>334</v>
      </c>
      <c r="J108" s="221" t="s">
        <v>426</v>
      </c>
      <c r="K108" s="223">
        <v>2.0</v>
      </c>
      <c r="L108" s="223" t="b">
        <v>1</v>
      </c>
      <c r="M108" s="223" t="s">
        <v>334</v>
      </c>
      <c r="N108" s="223">
        <v>195.0460833333333</v>
      </c>
      <c r="O108" s="224" t="s">
        <v>238</v>
      </c>
      <c r="P108" s="225" t="s">
        <v>155</v>
      </c>
      <c r="Q108" s="225" t="s">
        <v>155</v>
      </c>
      <c r="R108" s="225" t="s">
        <v>155</v>
      </c>
      <c r="S108" s="225" t="s">
        <v>155</v>
      </c>
      <c r="T108" s="226"/>
      <c r="U108" s="227"/>
      <c r="V108" s="52" t="s">
        <v>250</v>
      </c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</row>
    <row r="109" ht="30.0" customHeight="1">
      <c r="A109" s="159"/>
      <c r="B109" s="218" t="s">
        <v>246</v>
      </c>
      <c r="C109" s="218" t="s">
        <v>423</v>
      </c>
      <c r="D109" s="218" t="s">
        <v>422</v>
      </c>
      <c r="E109" s="219">
        <v>14714.0</v>
      </c>
      <c r="F109" s="220" t="s">
        <v>457</v>
      </c>
      <c r="G109" s="221" t="s">
        <v>249</v>
      </c>
      <c r="H109" s="222" t="s">
        <v>250</v>
      </c>
      <c r="I109" s="221" t="s">
        <v>42</v>
      </c>
      <c r="J109" s="221" t="s">
        <v>426</v>
      </c>
      <c r="K109" s="223">
        <v>3.0</v>
      </c>
      <c r="L109" s="223" t="b">
        <v>1</v>
      </c>
      <c r="M109" s="223" t="s">
        <v>42</v>
      </c>
      <c r="N109" s="223">
        <v>15.594</v>
      </c>
      <c r="O109" s="224" t="s">
        <v>238</v>
      </c>
      <c r="P109" s="225" t="s">
        <v>155</v>
      </c>
      <c r="Q109" s="225" t="s">
        <v>155</v>
      </c>
      <c r="R109" s="225" t="s">
        <v>155</v>
      </c>
      <c r="S109" s="225" t="s">
        <v>155</v>
      </c>
      <c r="T109" s="226"/>
      <c r="U109" s="227"/>
      <c r="V109" s="52" t="s">
        <v>250</v>
      </c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</row>
    <row r="110" ht="30.0" customHeight="1">
      <c r="A110" s="159"/>
      <c r="B110" s="218" t="s">
        <v>246</v>
      </c>
      <c r="C110" s="218" t="s">
        <v>423</v>
      </c>
      <c r="D110" s="218" t="s">
        <v>422</v>
      </c>
      <c r="E110" s="219">
        <v>53677.0</v>
      </c>
      <c r="F110" s="220" t="s">
        <v>458</v>
      </c>
      <c r="G110" s="221" t="s">
        <v>249</v>
      </c>
      <c r="H110" s="222" t="s">
        <v>250</v>
      </c>
      <c r="I110" s="221" t="s">
        <v>42</v>
      </c>
      <c r="J110" s="221" t="s">
        <v>426</v>
      </c>
      <c r="K110" s="223">
        <v>3.0</v>
      </c>
      <c r="L110" s="223" t="b">
        <v>0</v>
      </c>
      <c r="M110" s="223" t="s">
        <v>42</v>
      </c>
      <c r="N110" s="223">
        <v>10.112833333333334</v>
      </c>
      <c r="O110" s="224"/>
      <c r="P110" s="225" t="s">
        <v>155</v>
      </c>
      <c r="Q110" s="225" t="s">
        <v>155</v>
      </c>
      <c r="R110" s="225" t="s">
        <v>155</v>
      </c>
      <c r="S110" s="225" t="s">
        <v>155</v>
      </c>
      <c r="T110" s="226"/>
      <c r="U110" s="227"/>
      <c r="V110" s="52" t="s">
        <v>250</v>
      </c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</row>
    <row r="111" ht="30.0" customHeight="1">
      <c r="A111" s="159"/>
      <c r="B111" s="218" t="s">
        <v>246</v>
      </c>
      <c r="C111" s="218" t="s">
        <v>423</v>
      </c>
      <c r="D111" s="218" t="s">
        <v>422</v>
      </c>
      <c r="E111" s="219">
        <v>14758.0</v>
      </c>
      <c r="F111" s="220" t="s">
        <v>459</v>
      </c>
      <c r="G111" s="221" t="s">
        <v>249</v>
      </c>
      <c r="H111" s="222" t="s">
        <v>250</v>
      </c>
      <c r="I111" s="221" t="s">
        <v>42</v>
      </c>
      <c r="J111" s="221" t="s">
        <v>426</v>
      </c>
      <c r="K111" s="223">
        <v>2.0</v>
      </c>
      <c r="L111" s="223" t="b">
        <v>1</v>
      </c>
      <c r="M111" s="228"/>
      <c r="N111" s="228"/>
      <c r="O111" s="224"/>
      <c r="P111" s="230"/>
      <c r="Q111" s="230"/>
      <c r="R111" s="230"/>
      <c r="S111" s="225" t="s">
        <v>155</v>
      </c>
      <c r="T111" s="229" t="s">
        <v>460</v>
      </c>
      <c r="U111" s="227"/>
      <c r="V111" s="109" t="s">
        <v>461</v>
      </c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</row>
    <row r="112" ht="30.0" customHeight="1">
      <c r="A112" s="159"/>
      <c r="B112" s="218" t="s">
        <v>246</v>
      </c>
      <c r="C112" s="218" t="s">
        <v>423</v>
      </c>
      <c r="D112" s="218" t="s">
        <v>422</v>
      </c>
      <c r="E112" s="219">
        <v>111079.0</v>
      </c>
      <c r="F112" s="220" t="s">
        <v>462</v>
      </c>
      <c r="G112" s="221" t="s">
        <v>369</v>
      </c>
      <c r="H112" s="221" t="s">
        <v>463</v>
      </c>
      <c r="I112" s="221" t="s">
        <v>464</v>
      </c>
      <c r="J112" s="221" t="s">
        <v>426</v>
      </c>
      <c r="K112" s="223">
        <v>3.0</v>
      </c>
      <c r="L112" s="223" t="b">
        <v>0</v>
      </c>
      <c r="M112" s="223" t="s">
        <v>464</v>
      </c>
      <c r="N112" s="223">
        <v>200.08919999999998</v>
      </c>
      <c r="O112" s="224"/>
      <c r="P112" s="225" t="s">
        <v>155</v>
      </c>
      <c r="Q112" s="225" t="s">
        <v>155</v>
      </c>
      <c r="R112" s="225" t="s">
        <v>155</v>
      </c>
      <c r="S112" s="225" t="s">
        <v>155</v>
      </c>
      <c r="T112" s="226"/>
      <c r="U112" s="227"/>
      <c r="V112" s="52" t="s">
        <v>250</v>
      </c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</row>
    <row r="113" ht="30.0" customHeight="1">
      <c r="A113" s="159"/>
      <c r="B113" s="218" t="s">
        <v>246</v>
      </c>
      <c r="C113" s="218" t="s">
        <v>423</v>
      </c>
      <c r="D113" s="218" t="s">
        <v>422</v>
      </c>
      <c r="E113" s="219">
        <v>112204.0</v>
      </c>
      <c r="F113" s="220" t="s">
        <v>465</v>
      </c>
      <c r="G113" s="221" t="s">
        <v>249</v>
      </c>
      <c r="H113" s="221" t="s">
        <v>463</v>
      </c>
      <c r="I113" s="221" t="s">
        <v>466</v>
      </c>
      <c r="J113" s="221" t="s">
        <v>426</v>
      </c>
      <c r="K113" s="223">
        <v>4.0</v>
      </c>
      <c r="L113" s="223" t="b">
        <v>0</v>
      </c>
      <c r="M113" s="223" t="s">
        <v>466</v>
      </c>
      <c r="N113" s="223">
        <v>177.1</v>
      </c>
      <c r="O113" s="224"/>
      <c r="P113" s="225" t="s">
        <v>155</v>
      </c>
      <c r="Q113" s="225" t="s">
        <v>155</v>
      </c>
      <c r="R113" s="225" t="s">
        <v>155</v>
      </c>
      <c r="S113" s="225" t="s">
        <v>155</v>
      </c>
      <c r="T113" s="226"/>
      <c r="U113" s="227"/>
      <c r="V113" s="52" t="s">
        <v>250</v>
      </c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</row>
    <row r="114" ht="30.0" customHeight="1">
      <c r="A114" s="159"/>
      <c r="B114" s="218" t="s">
        <v>246</v>
      </c>
      <c r="C114" s="218" t="s">
        <v>423</v>
      </c>
      <c r="D114" s="218" t="s">
        <v>422</v>
      </c>
      <c r="E114" s="219">
        <v>14651.0</v>
      </c>
      <c r="F114" s="220" t="s">
        <v>467</v>
      </c>
      <c r="G114" s="221" t="s">
        <v>249</v>
      </c>
      <c r="H114" s="222" t="s">
        <v>250</v>
      </c>
      <c r="I114" s="221" t="s">
        <v>42</v>
      </c>
      <c r="J114" s="221" t="s">
        <v>426</v>
      </c>
      <c r="K114" s="223">
        <v>2.0</v>
      </c>
      <c r="L114" s="223" t="b">
        <v>1</v>
      </c>
      <c r="M114" s="223" t="s">
        <v>42</v>
      </c>
      <c r="N114" s="223">
        <v>10.431111111111113</v>
      </c>
      <c r="O114" s="224"/>
      <c r="P114" s="225" t="s">
        <v>155</v>
      </c>
      <c r="Q114" s="225" t="s">
        <v>155</v>
      </c>
      <c r="R114" s="225" t="s">
        <v>155</v>
      </c>
      <c r="S114" s="225" t="s">
        <v>155</v>
      </c>
      <c r="T114" s="226"/>
      <c r="U114" s="227"/>
      <c r="V114" s="52" t="s">
        <v>250</v>
      </c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</row>
    <row r="115" ht="30.0" customHeight="1">
      <c r="A115" s="159"/>
      <c r="B115" s="218" t="s">
        <v>246</v>
      </c>
      <c r="C115" s="218" t="s">
        <v>423</v>
      </c>
      <c r="D115" s="218" t="s">
        <v>422</v>
      </c>
      <c r="E115" s="219">
        <v>14721.0</v>
      </c>
      <c r="F115" s="220" t="s">
        <v>468</v>
      </c>
      <c r="G115" s="221" t="s">
        <v>249</v>
      </c>
      <c r="H115" s="222" t="s">
        <v>250</v>
      </c>
      <c r="I115" s="221" t="s">
        <v>42</v>
      </c>
      <c r="J115" s="221" t="s">
        <v>426</v>
      </c>
      <c r="K115" s="223">
        <v>2.0</v>
      </c>
      <c r="L115" s="223" t="b">
        <v>1</v>
      </c>
      <c r="M115" s="223" t="s">
        <v>42</v>
      </c>
      <c r="N115" s="223">
        <v>5.632299999999999</v>
      </c>
      <c r="O115" s="224" t="s">
        <v>238</v>
      </c>
      <c r="P115" s="225" t="s">
        <v>155</v>
      </c>
      <c r="Q115" s="225" t="s">
        <v>155</v>
      </c>
      <c r="R115" s="225" t="s">
        <v>155</v>
      </c>
      <c r="S115" s="225" t="s">
        <v>155</v>
      </c>
      <c r="T115" s="226"/>
      <c r="U115" s="227"/>
      <c r="V115" s="52" t="s">
        <v>250</v>
      </c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</row>
    <row r="116" ht="30.0" customHeight="1">
      <c r="A116" s="159"/>
      <c r="B116" s="218" t="s">
        <v>246</v>
      </c>
      <c r="C116" s="218" t="s">
        <v>423</v>
      </c>
      <c r="D116" s="218" t="s">
        <v>422</v>
      </c>
      <c r="E116" s="219">
        <v>33510.0</v>
      </c>
      <c r="F116" s="220" t="s">
        <v>469</v>
      </c>
      <c r="G116" s="221" t="s">
        <v>249</v>
      </c>
      <c r="H116" s="222" t="s">
        <v>250</v>
      </c>
      <c r="I116" s="221" t="s">
        <v>42</v>
      </c>
      <c r="J116" s="222" t="s">
        <v>250</v>
      </c>
      <c r="K116" s="223">
        <v>1.0</v>
      </c>
      <c r="L116" s="223" t="b">
        <v>0</v>
      </c>
      <c r="M116" s="228"/>
      <c r="N116" s="228"/>
      <c r="O116" s="224"/>
      <c r="P116" s="225" t="s">
        <v>155</v>
      </c>
      <c r="Q116" s="230"/>
      <c r="R116" s="230"/>
      <c r="S116" s="230"/>
      <c r="T116" s="229" t="s">
        <v>470</v>
      </c>
      <c r="U116" s="227"/>
      <c r="V116" s="52" t="s">
        <v>250</v>
      </c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</row>
    <row r="117" ht="30.0" customHeight="1">
      <c r="A117" s="159"/>
      <c r="B117" s="218" t="s">
        <v>246</v>
      </c>
      <c r="C117" s="218" t="s">
        <v>423</v>
      </c>
      <c r="D117" s="218" t="s">
        <v>422</v>
      </c>
      <c r="E117" s="219">
        <v>20913.0</v>
      </c>
      <c r="F117" s="220" t="s">
        <v>471</v>
      </c>
      <c r="G117" s="221" t="s">
        <v>249</v>
      </c>
      <c r="H117" s="221" t="s">
        <v>472</v>
      </c>
      <c r="I117" s="221" t="s">
        <v>42</v>
      </c>
      <c r="J117" s="221" t="s">
        <v>426</v>
      </c>
      <c r="K117" s="223">
        <v>4.0</v>
      </c>
      <c r="L117" s="223" t="b">
        <v>1</v>
      </c>
      <c r="M117" s="223" t="s">
        <v>42</v>
      </c>
      <c r="N117" s="223">
        <v>15.993714285714285</v>
      </c>
      <c r="O117" s="224"/>
      <c r="P117" s="225" t="s">
        <v>155</v>
      </c>
      <c r="Q117" s="225" t="s">
        <v>155</v>
      </c>
      <c r="R117" s="225" t="s">
        <v>155</v>
      </c>
      <c r="S117" s="225" t="s">
        <v>155</v>
      </c>
      <c r="T117" s="226"/>
      <c r="U117" s="227"/>
      <c r="V117" s="52" t="s">
        <v>250</v>
      </c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</row>
    <row r="118" ht="30.0" customHeight="1">
      <c r="A118" s="209"/>
      <c r="B118" s="209" t="s">
        <v>473</v>
      </c>
      <c r="C118" s="211"/>
      <c r="D118" s="211"/>
      <c r="E118" s="212"/>
      <c r="F118" s="213"/>
      <c r="G118" s="213"/>
      <c r="H118" s="213"/>
      <c r="I118" s="212"/>
      <c r="J118" s="212"/>
      <c r="K118" s="214"/>
      <c r="L118" s="214"/>
      <c r="M118" s="214"/>
      <c r="N118" s="214"/>
      <c r="O118" s="215"/>
      <c r="P118" s="216"/>
      <c r="Q118" s="216"/>
      <c r="R118" s="216"/>
      <c r="S118" s="216"/>
      <c r="T118" s="217"/>
      <c r="U118" s="217"/>
      <c r="V118" s="217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</row>
    <row r="119" ht="30.0" customHeight="1">
      <c r="A119" s="159"/>
      <c r="B119" s="218" t="s">
        <v>246</v>
      </c>
      <c r="C119" s="218" t="s">
        <v>423</v>
      </c>
      <c r="D119" s="218" t="s">
        <v>473</v>
      </c>
      <c r="E119" s="219">
        <v>41100.0</v>
      </c>
      <c r="F119" s="220" t="s">
        <v>474</v>
      </c>
      <c r="G119" s="221" t="s">
        <v>249</v>
      </c>
      <c r="H119" s="221" t="s">
        <v>475</v>
      </c>
      <c r="I119" s="221" t="s">
        <v>42</v>
      </c>
      <c r="J119" s="221" t="s">
        <v>476</v>
      </c>
      <c r="K119" s="223">
        <v>3.0</v>
      </c>
      <c r="L119" s="223" t="b">
        <v>0</v>
      </c>
      <c r="M119" s="223" t="s">
        <v>42</v>
      </c>
      <c r="N119" s="223">
        <v>4.581076923076923</v>
      </c>
      <c r="O119" s="224"/>
      <c r="P119" s="225" t="s">
        <v>155</v>
      </c>
      <c r="Q119" s="225" t="s">
        <v>155</v>
      </c>
      <c r="R119" s="225" t="s">
        <v>155</v>
      </c>
      <c r="S119" s="225" t="s">
        <v>155</v>
      </c>
      <c r="T119" s="226"/>
      <c r="U119" s="227"/>
      <c r="V119" s="109" t="s">
        <v>477</v>
      </c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</row>
    <row r="120" ht="30.0" customHeight="1">
      <c r="A120" s="159"/>
      <c r="B120" s="218" t="s">
        <v>246</v>
      </c>
      <c r="C120" s="218" t="s">
        <v>423</v>
      </c>
      <c r="D120" s="218" t="s">
        <v>473</v>
      </c>
      <c r="E120" s="219">
        <v>11171.0</v>
      </c>
      <c r="F120" s="220" t="s">
        <v>478</v>
      </c>
      <c r="G120" s="221" t="s">
        <v>249</v>
      </c>
      <c r="H120" s="221" t="s">
        <v>479</v>
      </c>
      <c r="I120" s="221" t="s">
        <v>480</v>
      </c>
      <c r="J120" s="221" t="s">
        <v>481</v>
      </c>
      <c r="K120" s="223">
        <v>4.0</v>
      </c>
      <c r="L120" s="223" t="b">
        <v>1</v>
      </c>
      <c r="M120" s="223" t="s">
        <v>480</v>
      </c>
      <c r="N120" s="223">
        <v>440.6878888888889</v>
      </c>
      <c r="O120" s="224"/>
      <c r="P120" s="225" t="s">
        <v>155</v>
      </c>
      <c r="Q120" s="225" t="s">
        <v>155</v>
      </c>
      <c r="R120" s="225" t="s">
        <v>155</v>
      </c>
      <c r="S120" s="225" t="s">
        <v>155</v>
      </c>
      <c r="T120" s="229" t="s">
        <v>276</v>
      </c>
      <c r="U120" s="227"/>
      <c r="V120" s="52" t="s">
        <v>250</v>
      </c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</row>
    <row r="121" ht="30.0" customHeight="1">
      <c r="A121" s="159"/>
      <c r="B121" s="218" t="s">
        <v>246</v>
      </c>
      <c r="C121" s="218" t="s">
        <v>423</v>
      </c>
      <c r="D121" s="218" t="s">
        <v>473</v>
      </c>
      <c r="E121" s="219">
        <v>11172.0</v>
      </c>
      <c r="F121" s="220" t="s">
        <v>482</v>
      </c>
      <c r="G121" s="221" t="s">
        <v>249</v>
      </c>
      <c r="H121" s="221" t="s">
        <v>483</v>
      </c>
      <c r="I121" s="221" t="s">
        <v>42</v>
      </c>
      <c r="J121" s="221" t="s">
        <v>481</v>
      </c>
      <c r="K121" s="223">
        <v>4.0</v>
      </c>
      <c r="L121" s="223" t="b">
        <v>1</v>
      </c>
      <c r="M121" s="223" t="s">
        <v>42</v>
      </c>
      <c r="N121" s="223">
        <v>31.815777777777775</v>
      </c>
      <c r="O121" s="224"/>
      <c r="P121" s="225" t="s">
        <v>155</v>
      </c>
      <c r="Q121" s="225" t="s">
        <v>155</v>
      </c>
      <c r="R121" s="225" t="s">
        <v>155</v>
      </c>
      <c r="S121" s="225" t="s">
        <v>155</v>
      </c>
      <c r="T121" s="229" t="s">
        <v>276</v>
      </c>
      <c r="U121" s="227"/>
      <c r="V121" s="52" t="s">
        <v>250</v>
      </c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</row>
    <row r="122" ht="30.0" customHeight="1">
      <c r="A122" s="159"/>
      <c r="B122" s="218" t="s">
        <v>246</v>
      </c>
      <c r="C122" s="218" t="s">
        <v>423</v>
      </c>
      <c r="D122" s="218" t="s">
        <v>473</v>
      </c>
      <c r="E122" s="219">
        <v>11773.0</v>
      </c>
      <c r="F122" s="220" t="s">
        <v>484</v>
      </c>
      <c r="G122" s="221" t="s">
        <v>249</v>
      </c>
      <c r="H122" s="222" t="s">
        <v>250</v>
      </c>
      <c r="I122" s="221" t="s">
        <v>485</v>
      </c>
      <c r="J122" s="221" t="s">
        <v>481</v>
      </c>
      <c r="K122" s="223">
        <v>4.0</v>
      </c>
      <c r="L122" s="223" t="b">
        <v>1</v>
      </c>
      <c r="M122" s="223" t="s">
        <v>485</v>
      </c>
      <c r="N122" s="223">
        <v>30.647</v>
      </c>
      <c r="O122" s="224"/>
      <c r="P122" s="225" t="s">
        <v>155</v>
      </c>
      <c r="Q122" s="225" t="s">
        <v>155</v>
      </c>
      <c r="R122" s="225" t="s">
        <v>155</v>
      </c>
      <c r="S122" s="225" t="s">
        <v>155</v>
      </c>
      <c r="T122" s="226"/>
      <c r="U122" s="227"/>
      <c r="V122" s="52" t="s">
        <v>250</v>
      </c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</row>
    <row r="123" ht="30.0" customHeight="1">
      <c r="A123" s="159"/>
      <c r="B123" s="218" t="s">
        <v>246</v>
      </c>
      <c r="C123" s="218" t="s">
        <v>423</v>
      </c>
      <c r="D123" s="218" t="s">
        <v>473</v>
      </c>
      <c r="E123" s="219">
        <v>86609.0</v>
      </c>
      <c r="F123" s="220" t="s">
        <v>486</v>
      </c>
      <c r="G123" s="221" t="s">
        <v>249</v>
      </c>
      <c r="H123" s="222" t="s">
        <v>250</v>
      </c>
      <c r="I123" s="221" t="s">
        <v>349</v>
      </c>
      <c r="J123" s="221" t="s">
        <v>426</v>
      </c>
      <c r="K123" s="223">
        <v>3.0</v>
      </c>
      <c r="L123" s="223" t="b">
        <v>0</v>
      </c>
      <c r="M123" s="223" t="s">
        <v>349</v>
      </c>
      <c r="N123" s="223">
        <v>84.554</v>
      </c>
      <c r="O123" s="224"/>
      <c r="P123" s="225" t="s">
        <v>155</v>
      </c>
      <c r="Q123" s="225" t="s">
        <v>155</v>
      </c>
      <c r="R123" s="225" t="s">
        <v>155</v>
      </c>
      <c r="S123" s="225" t="s">
        <v>155</v>
      </c>
      <c r="T123" s="229" t="s">
        <v>276</v>
      </c>
      <c r="U123" s="227"/>
      <c r="V123" s="52" t="s">
        <v>250</v>
      </c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</row>
    <row r="124" ht="30.0" customHeight="1">
      <c r="A124" s="159"/>
      <c r="B124" s="218" t="s">
        <v>246</v>
      </c>
      <c r="C124" s="218" t="s">
        <v>423</v>
      </c>
      <c r="D124" s="218" t="s">
        <v>473</v>
      </c>
      <c r="E124" s="219">
        <v>148490.0</v>
      </c>
      <c r="F124" s="220" t="s">
        <v>487</v>
      </c>
      <c r="G124" s="221" t="s">
        <v>249</v>
      </c>
      <c r="H124" s="221" t="s">
        <v>463</v>
      </c>
      <c r="I124" s="221" t="s">
        <v>488</v>
      </c>
      <c r="J124" s="222" t="s">
        <v>250</v>
      </c>
      <c r="K124" s="223">
        <v>4.0</v>
      </c>
      <c r="L124" s="223" t="b">
        <v>0</v>
      </c>
      <c r="M124" s="228"/>
      <c r="N124" s="228"/>
      <c r="O124" s="224"/>
      <c r="P124" s="225" t="s">
        <v>155</v>
      </c>
      <c r="Q124" s="225" t="s">
        <v>155</v>
      </c>
      <c r="R124" s="225" t="s">
        <v>155</v>
      </c>
      <c r="S124" s="225" t="s">
        <v>155</v>
      </c>
      <c r="T124" s="226"/>
      <c r="U124" s="227"/>
      <c r="V124" s="52" t="s">
        <v>250</v>
      </c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</row>
    <row r="125" ht="30.0" customHeight="1">
      <c r="A125" s="159"/>
      <c r="B125" s="218" t="s">
        <v>246</v>
      </c>
      <c r="C125" s="218" t="s">
        <v>423</v>
      </c>
      <c r="D125" s="218" t="s">
        <v>473</v>
      </c>
      <c r="E125" s="219">
        <v>19121.0</v>
      </c>
      <c r="F125" s="220" t="s">
        <v>489</v>
      </c>
      <c r="G125" s="221" t="s">
        <v>249</v>
      </c>
      <c r="H125" s="222" t="s">
        <v>250</v>
      </c>
      <c r="I125" s="221" t="s">
        <v>490</v>
      </c>
      <c r="J125" s="221" t="s">
        <v>481</v>
      </c>
      <c r="K125" s="223">
        <v>2.0</v>
      </c>
      <c r="L125" s="223" t="b">
        <v>0</v>
      </c>
      <c r="M125" s="223" t="s">
        <v>490</v>
      </c>
      <c r="N125" s="223">
        <v>405.48614285714285</v>
      </c>
      <c r="O125" s="224"/>
      <c r="P125" s="225" t="s">
        <v>155</v>
      </c>
      <c r="Q125" s="225" t="s">
        <v>155</v>
      </c>
      <c r="R125" s="225" t="s">
        <v>155</v>
      </c>
      <c r="S125" s="225" t="s">
        <v>155</v>
      </c>
      <c r="T125" s="229" t="s">
        <v>276</v>
      </c>
      <c r="U125" s="227"/>
      <c r="V125" s="52" t="s">
        <v>250</v>
      </c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</row>
    <row r="126" ht="30.0" customHeight="1">
      <c r="A126" s="159"/>
      <c r="B126" s="218" t="s">
        <v>246</v>
      </c>
      <c r="C126" s="218" t="s">
        <v>423</v>
      </c>
      <c r="D126" s="218" t="s">
        <v>473</v>
      </c>
      <c r="E126" s="219">
        <v>14793.0</v>
      </c>
      <c r="F126" s="220" t="s">
        <v>491</v>
      </c>
      <c r="G126" s="221" t="s">
        <v>249</v>
      </c>
      <c r="H126" s="222" t="s">
        <v>250</v>
      </c>
      <c r="I126" s="221" t="s">
        <v>42</v>
      </c>
      <c r="J126" s="221" t="s">
        <v>476</v>
      </c>
      <c r="K126" s="223">
        <v>2.0</v>
      </c>
      <c r="L126" s="223" t="b">
        <v>1</v>
      </c>
      <c r="M126" s="223" t="s">
        <v>42</v>
      </c>
      <c r="N126" s="223">
        <v>6.6689333333333325</v>
      </c>
      <c r="O126" s="224" t="s">
        <v>238</v>
      </c>
      <c r="P126" s="225" t="s">
        <v>155</v>
      </c>
      <c r="Q126" s="225" t="s">
        <v>155</v>
      </c>
      <c r="R126" s="225" t="s">
        <v>155</v>
      </c>
      <c r="S126" s="225" t="s">
        <v>155</v>
      </c>
      <c r="T126" s="226"/>
      <c r="U126" s="227"/>
      <c r="V126" s="52" t="s">
        <v>250</v>
      </c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</row>
    <row r="127" ht="30.0" customHeight="1">
      <c r="A127" s="159"/>
      <c r="B127" s="218" t="s">
        <v>246</v>
      </c>
      <c r="C127" s="218" t="s">
        <v>423</v>
      </c>
      <c r="D127" s="218" t="s">
        <v>473</v>
      </c>
      <c r="E127" s="219">
        <v>53699.0</v>
      </c>
      <c r="F127" s="220" t="s">
        <v>492</v>
      </c>
      <c r="G127" s="221" t="s">
        <v>249</v>
      </c>
      <c r="H127" s="222" t="s">
        <v>250</v>
      </c>
      <c r="I127" s="221" t="s">
        <v>42</v>
      </c>
      <c r="J127" s="221" t="s">
        <v>476</v>
      </c>
      <c r="K127" s="223">
        <v>3.0</v>
      </c>
      <c r="L127" s="223" t="b">
        <v>0</v>
      </c>
      <c r="M127" s="223" t="s">
        <v>42</v>
      </c>
      <c r="N127" s="223">
        <v>6.735722222222222</v>
      </c>
      <c r="O127" s="224"/>
      <c r="P127" s="225" t="s">
        <v>155</v>
      </c>
      <c r="Q127" s="225" t="s">
        <v>155</v>
      </c>
      <c r="R127" s="225" t="s">
        <v>155</v>
      </c>
      <c r="S127" s="225" t="s">
        <v>155</v>
      </c>
      <c r="T127" s="226"/>
      <c r="U127" s="227"/>
      <c r="V127" s="52" t="s">
        <v>250</v>
      </c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</row>
    <row r="128" ht="30.0" customHeight="1">
      <c r="A128" s="159"/>
      <c r="B128" s="218" t="s">
        <v>246</v>
      </c>
      <c r="C128" s="218" t="s">
        <v>423</v>
      </c>
      <c r="D128" s="218" t="s">
        <v>473</v>
      </c>
      <c r="E128" s="219">
        <v>42269.0</v>
      </c>
      <c r="F128" s="220" t="s">
        <v>493</v>
      </c>
      <c r="G128" s="221" t="s">
        <v>249</v>
      </c>
      <c r="H128" s="221" t="s">
        <v>494</v>
      </c>
      <c r="I128" s="221" t="s">
        <v>42</v>
      </c>
      <c r="J128" s="221" t="s">
        <v>481</v>
      </c>
      <c r="K128" s="223">
        <v>2.0</v>
      </c>
      <c r="L128" s="223" t="b">
        <v>1</v>
      </c>
      <c r="M128" s="223" t="s">
        <v>42</v>
      </c>
      <c r="N128" s="223">
        <v>9.343500000000002</v>
      </c>
      <c r="O128" s="224"/>
      <c r="P128" s="225" t="s">
        <v>155</v>
      </c>
      <c r="Q128" s="225" t="s">
        <v>155</v>
      </c>
      <c r="R128" s="225" t="s">
        <v>155</v>
      </c>
      <c r="S128" s="225" t="s">
        <v>155</v>
      </c>
      <c r="T128" s="226"/>
      <c r="U128" s="227"/>
      <c r="V128" s="52" t="s">
        <v>250</v>
      </c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</row>
    <row r="129" ht="30.0" customHeight="1">
      <c r="A129" s="159"/>
      <c r="B129" s="218" t="s">
        <v>246</v>
      </c>
      <c r="C129" s="218" t="s">
        <v>423</v>
      </c>
      <c r="D129" s="218" t="s">
        <v>473</v>
      </c>
      <c r="E129" s="219">
        <v>143810.0</v>
      </c>
      <c r="F129" s="220" t="s">
        <v>495</v>
      </c>
      <c r="G129" s="221" t="s">
        <v>249</v>
      </c>
      <c r="H129" s="222" t="s">
        <v>250</v>
      </c>
      <c r="I129" s="221" t="s">
        <v>496</v>
      </c>
      <c r="J129" s="222" t="s">
        <v>250</v>
      </c>
      <c r="K129" s="223">
        <v>1.0</v>
      </c>
      <c r="L129" s="223" t="b">
        <v>0</v>
      </c>
      <c r="M129" s="228"/>
      <c r="N129" s="228"/>
      <c r="O129" s="224"/>
      <c r="P129" s="230"/>
      <c r="Q129" s="230"/>
      <c r="R129" s="230"/>
      <c r="S129" s="230"/>
      <c r="T129" s="229" t="s">
        <v>497</v>
      </c>
      <c r="U129" s="227"/>
      <c r="V129" s="52" t="s">
        <v>250</v>
      </c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</row>
    <row r="130" ht="30.0" customHeight="1">
      <c r="A130" s="159"/>
      <c r="B130" s="218" t="s">
        <v>246</v>
      </c>
      <c r="C130" s="218" t="s">
        <v>423</v>
      </c>
      <c r="D130" s="218" t="s">
        <v>473</v>
      </c>
      <c r="E130" s="219">
        <v>14686.0</v>
      </c>
      <c r="F130" s="220" t="s">
        <v>498</v>
      </c>
      <c r="G130" s="221" t="s">
        <v>249</v>
      </c>
      <c r="H130" s="222" t="s">
        <v>250</v>
      </c>
      <c r="I130" s="221" t="s">
        <v>42</v>
      </c>
      <c r="J130" s="221" t="s">
        <v>481</v>
      </c>
      <c r="K130" s="223">
        <v>4.0</v>
      </c>
      <c r="L130" s="223" t="b">
        <v>1</v>
      </c>
      <c r="M130" s="228"/>
      <c r="N130" s="228"/>
      <c r="O130" s="224"/>
      <c r="P130" s="225" t="s">
        <v>155</v>
      </c>
      <c r="Q130" s="225" t="s">
        <v>155</v>
      </c>
      <c r="R130" s="225" t="s">
        <v>155</v>
      </c>
      <c r="S130" s="225" t="s">
        <v>155</v>
      </c>
      <c r="T130" s="226"/>
      <c r="U130" s="227"/>
      <c r="V130" s="52" t="s">
        <v>250</v>
      </c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</row>
    <row r="131" ht="30.0" customHeight="1">
      <c r="A131" s="159"/>
      <c r="B131" s="218" t="s">
        <v>246</v>
      </c>
      <c r="C131" s="218" t="s">
        <v>423</v>
      </c>
      <c r="D131" s="218" t="s">
        <v>473</v>
      </c>
      <c r="E131" s="219">
        <v>112205.0</v>
      </c>
      <c r="F131" s="220" t="s">
        <v>499</v>
      </c>
      <c r="G131" s="221" t="s">
        <v>249</v>
      </c>
      <c r="H131" s="221" t="s">
        <v>463</v>
      </c>
      <c r="I131" s="221" t="s">
        <v>500</v>
      </c>
      <c r="J131" s="221" t="s">
        <v>476</v>
      </c>
      <c r="K131" s="223">
        <v>3.0</v>
      </c>
      <c r="L131" s="223" t="b">
        <v>0</v>
      </c>
      <c r="M131" s="223" t="s">
        <v>500</v>
      </c>
      <c r="N131" s="223">
        <v>56.13316666666666</v>
      </c>
      <c r="O131" s="224"/>
      <c r="P131" s="225" t="s">
        <v>155</v>
      </c>
      <c r="Q131" s="225" t="s">
        <v>155</v>
      </c>
      <c r="R131" s="225" t="s">
        <v>155</v>
      </c>
      <c r="S131" s="225" t="s">
        <v>155</v>
      </c>
      <c r="T131" s="226"/>
      <c r="U131" s="227"/>
      <c r="V131" s="52" t="s">
        <v>250</v>
      </c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</row>
    <row r="132" ht="30.0" customHeight="1">
      <c r="A132" s="159"/>
      <c r="B132" s="218" t="s">
        <v>246</v>
      </c>
      <c r="C132" s="218" t="s">
        <v>423</v>
      </c>
      <c r="D132" s="218" t="s">
        <v>473</v>
      </c>
      <c r="E132" s="219">
        <v>102829.0</v>
      </c>
      <c r="F132" s="220" t="s">
        <v>501</v>
      </c>
      <c r="G132" s="221" t="s">
        <v>249</v>
      </c>
      <c r="H132" s="222"/>
      <c r="I132" s="221" t="s">
        <v>269</v>
      </c>
      <c r="J132" s="221" t="s">
        <v>476</v>
      </c>
      <c r="K132" s="223">
        <v>3.0</v>
      </c>
      <c r="L132" s="223" t="b">
        <v>0</v>
      </c>
      <c r="M132" s="223" t="s">
        <v>269</v>
      </c>
      <c r="N132" s="223">
        <v>125.03</v>
      </c>
      <c r="O132" s="224"/>
      <c r="P132" s="225" t="s">
        <v>155</v>
      </c>
      <c r="Q132" s="225" t="s">
        <v>155</v>
      </c>
      <c r="R132" s="225" t="s">
        <v>155</v>
      </c>
      <c r="S132" s="225" t="s">
        <v>155</v>
      </c>
      <c r="T132" s="226"/>
      <c r="U132" s="227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</row>
    <row r="133" ht="30.0" customHeight="1">
      <c r="A133" s="159"/>
      <c r="B133" s="218" t="s">
        <v>246</v>
      </c>
      <c r="C133" s="218" t="s">
        <v>423</v>
      </c>
      <c r="D133" s="218" t="s">
        <v>473</v>
      </c>
      <c r="E133" s="219">
        <v>27275.0</v>
      </c>
      <c r="F133" s="220" t="s">
        <v>502</v>
      </c>
      <c r="G133" s="221" t="s">
        <v>249</v>
      </c>
      <c r="H133" s="222" t="s">
        <v>250</v>
      </c>
      <c r="I133" s="221" t="s">
        <v>42</v>
      </c>
      <c r="J133" s="221" t="s">
        <v>476</v>
      </c>
      <c r="K133" s="223">
        <v>4.0</v>
      </c>
      <c r="L133" s="223" t="b">
        <v>1</v>
      </c>
      <c r="M133" s="223" t="s">
        <v>42</v>
      </c>
      <c r="N133" s="223">
        <v>6.089458333333333</v>
      </c>
      <c r="O133" s="224" t="s">
        <v>238</v>
      </c>
      <c r="P133" s="225" t="s">
        <v>155</v>
      </c>
      <c r="Q133" s="225" t="s">
        <v>155</v>
      </c>
      <c r="R133" s="225" t="s">
        <v>155</v>
      </c>
      <c r="S133" s="225" t="s">
        <v>155</v>
      </c>
      <c r="T133" s="226"/>
      <c r="U133" s="227"/>
      <c r="V133" s="52" t="s">
        <v>250</v>
      </c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</row>
    <row r="134" ht="30.0" customHeight="1">
      <c r="A134" s="159"/>
      <c r="B134" s="218" t="s">
        <v>246</v>
      </c>
      <c r="C134" s="218" t="s">
        <v>423</v>
      </c>
      <c r="D134" s="218" t="s">
        <v>473</v>
      </c>
      <c r="E134" s="219">
        <v>14830.0</v>
      </c>
      <c r="F134" s="220" t="s">
        <v>503</v>
      </c>
      <c r="G134" s="221" t="s">
        <v>249</v>
      </c>
      <c r="H134" s="221" t="s">
        <v>504</v>
      </c>
      <c r="I134" s="221" t="s">
        <v>42</v>
      </c>
      <c r="J134" s="221" t="s">
        <v>476</v>
      </c>
      <c r="K134" s="223">
        <v>4.0</v>
      </c>
      <c r="L134" s="223" t="b">
        <v>0</v>
      </c>
      <c r="M134" s="223" t="s">
        <v>42</v>
      </c>
      <c r="N134" s="223">
        <v>5.176235294117648</v>
      </c>
      <c r="O134" s="224" t="s">
        <v>238</v>
      </c>
      <c r="P134" s="225" t="s">
        <v>155</v>
      </c>
      <c r="Q134" s="225" t="s">
        <v>155</v>
      </c>
      <c r="R134" s="225" t="s">
        <v>155</v>
      </c>
      <c r="S134" s="225" t="s">
        <v>155</v>
      </c>
      <c r="T134" s="226"/>
      <c r="U134" s="227"/>
      <c r="V134" s="109" t="s">
        <v>505</v>
      </c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</row>
    <row r="135" ht="30.0" customHeight="1">
      <c r="A135" s="159"/>
      <c r="B135" s="218" t="s">
        <v>246</v>
      </c>
      <c r="C135" s="218" t="s">
        <v>423</v>
      </c>
      <c r="D135" s="218" t="s">
        <v>473</v>
      </c>
      <c r="E135" s="219">
        <v>20115.0</v>
      </c>
      <c r="F135" s="220" t="s">
        <v>506</v>
      </c>
      <c r="G135" s="221" t="s">
        <v>249</v>
      </c>
      <c r="H135" s="221" t="s">
        <v>507</v>
      </c>
      <c r="I135" s="221" t="s">
        <v>42</v>
      </c>
      <c r="J135" s="221" t="s">
        <v>508</v>
      </c>
      <c r="K135" s="223">
        <v>3.0</v>
      </c>
      <c r="L135" s="223" t="b">
        <v>1</v>
      </c>
      <c r="M135" s="223" t="s">
        <v>42</v>
      </c>
      <c r="N135" s="223">
        <v>3.0441333333333334</v>
      </c>
      <c r="O135" s="224"/>
      <c r="P135" s="225" t="s">
        <v>155</v>
      </c>
      <c r="Q135" s="225" t="s">
        <v>155</v>
      </c>
      <c r="R135" s="225" t="s">
        <v>155</v>
      </c>
      <c r="S135" s="225" t="s">
        <v>155</v>
      </c>
      <c r="T135" s="226"/>
      <c r="U135" s="227"/>
      <c r="V135" s="52" t="s">
        <v>250</v>
      </c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</row>
    <row r="136" ht="30.0" customHeight="1">
      <c r="A136" s="209"/>
      <c r="B136" s="209" t="s">
        <v>509</v>
      </c>
      <c r="C136" s="209"/>
      <c r="D136" s="209"/>
      <c r="E136" s="209"/>
      <c r="F136" s="209"/>
      <c r="G136" s="213"/>
      <c r="H136" s="213"/>
      <c r="I136" s="212"/>
      <c r="J136" s="212"/>
      <c r="K136" s="214"/>
      <c r="L136" s="214"/>
      <c r="M136" s="214"/>
      <c r="N136" s="214"/>
      <c r="O136" s="215"/>
      <c r="P136" s="216"/>
      <c r="Q136" s="216"/>
      <c r="R136" s="216"/>
      <c r="S136" s="216"/>
      <c r="T136" s="217"/>
      <c r="U136" s="217"/>
      <c r="V136" s="217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</row>
    <row r="137" ht="30.0" customHeight="1">
      <c r="A137" s="159"/>
      <c r="B137" s="218" t="s">
        <v>246</v>
      </c>
      <c r="C137" s="218" t="s">
        <v>423</v>
      </c>
      <c r="D137" s="218" t="s">
        <v>510</v>
      </c>
      <c r="E137" s="219">
        <v>112703.0</v>
      </c>
      <c r="F137" s="220" t="s">
        <v>511</v>
      </c>
      <c r="G137" s="221" t="s">
        <v>369</v>
      </c>
      <c r="H137" s="221" t="s">
        <v>512</v>
      </c>
      <c r="I137" s="221" t="s">
        <v>42</v>
      </c>
      <c r="J137" s="221" t="s">
        <v>426</v>
      </c>
      <c r="K137" s="223">
        <v>0.0</v>
      </c>
      <c r="L137" s="223" t="b">
        <v>0</v>
      </c>
      <c r="M137" s="223" t="s">
        <v>42</v>
      </c>
      <c r="N137" s="223">
        <v>3.155</v>
      </c>
      <c r="O137" s="224"/>
      <c r="P137" s="225" t="s">
        <v>155</v>
      </c>
      <c r="Q137" s="225" t="s">
        <v>155</v>
      </c>
      <c r="R137" s="225" t="s">
        <v>155</v>
      </c>
      <c r="S137" s="225" t="s">
        <v>155</v>
      </c>
      <c r="T137" s="226"/>
      <c r="U137" s="227"/>
      <c r="V137" s="52" t="s">
        <v>250</v>
      </c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</row>
    <row r="138" ht="30.0" customHeight="1">
      <c r="A138" s="159"/>
      <c r="B138" s="218" t="s">
        <v>246</v>
      </c>
      <c r="C138" s="218" t="s">
        <v>423</v>
      </c>
      <c r="D138" s="218" t="s">
        <v>510</v>
      </c>
      <c r="E138" s="219">
        <v>17340.0</v>
      </c>
      <c r="F138" s="220" t="s">
        <v>513</v>
      </c>
      <c r="G138" s="221" t="s">
        <v>369</v>
      </c>
      <c r="H138" s="222" t="s">
        <v>250</v>
      </c>
      <c r="I138" s="221" t="s">
        <v>42</v>
      </c>
      <c r="J138" s="221" t="s">
        <v>476</v>
      </c>
      <c r="K138" s="223">
        <v>3.0</v>
      </c>
      <c r="L138" s="223" t="b">
        <v>0</v>
      </c>
      <c r="M138" s="223" t="s">
        <v>42</v>
      </c>
      <c r="N138" s="223">
        <v>3.5636</v>
      </c>
      <c r="O138" s="224"/>
      <c r="P138" s="225" t="s">
        <v>155</v>
      </c>
      <c r="Q138" s="225" t="s">
        <v>155</v>
      </c>
      <c r="R138" s="225" t="s">
        <v>155</v>
      </c>
      <c r="S138" s="225" t="s">
        <v>155</v>
      </c>
      <c r="T138" s="226"/>
      <c r="U138" s="227"/>
      <c r="V138" s="52" t="s">
        <v>250</v>
      </c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</row>
    <row r="139" ht="30.0" customHeight="1">
      <c r="A139" s="159"/>
      <c r="B139" s="218" t="s">
        <v>246</v>
      </c>
      <c r="C139" s="218" t="s">
        <v>423</v>
      </c>
      <c r="D139" s="218" t="s">
        <v>510</v>
      </c>
      <c r="E139" s="219">
        <v>111054.0</v>
      </c>
      <c r="F139" s="220" t="s">
        <v>514</v>
      </c>
      <c r="G139" s="221" t="s">
        <v>369</v>
      </c>
      <c r="H139" s="222" t="s">
        <v>250</v>
      </c>
      <c r="I139" s="221" t="s">
        <v>42</v>
      </c>
      <c r="J139" s="221" t="s">
        <v>476</v>
      </c>
      <c r="K139" s="223">
        <v>2.0</v>
      </c>
      <c r="L139" s="223" t="b">
        <v>0</v>
      </c>
      <c r="M139" s="223" t="s">
        <v>42</v>
      </c>
      <c r="N139" s="223">
        <v>5.271</v>
      </c>
      <c r="O139" s="224"/>
      <c r="P139" s="225" t="s">
        <v>155</v>
      </c>
      <c r="Q139" s="225" t="s">
        <v>155</v>
      </c>
      <c r="R139" s="225" t="s">
        <v>155</v>
      </c>
      <c r="S139" s="225" t="s">
        <v>155</v>
      </c>
      <c r="T139" s="226"/>
      <c r="U139" s="227"/>
      <c r="V139" s="52" t="s">
        <v>250</v>
      </c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</row>
    <row r="140" ht="30.0" customHeight="1">
      <c r="A140" s="159"/>
      <c r="B140" s="218" t="s">
        <v>246</v>
      </c>
      <c r="C140" s="218" t="s">
        <v>423</v>
      </c>
      <c r="D140" s="218" t="s">
        <v>510</v>
      </c>
      <c r="E140" s="219">
        <v>22642.0</v>
      </c>
      <c r="F140" s="220" t="s">
        <v>515</v>
      </c>
      <c r="G140" s="221" t="s">
        <v>369</v>
      </c>
      <c r="H140" s="222" t="s">
        <v>250</v>
      </c>
      <c r="I140" s="221" t="s">
        <v>289</v>
      </c>
      <c r="J140" s="221" t="s">
        <v>476</v>
      </c>
      <c r="K140" s="223">
        <v>0.0</v>
      </c>
      <c r="L140" s="223" t="b">
        <v>0</v>
      </c>
      <c r="M140" s="223" t="s">
        <v>289</v>
      </c>
      <c r="N140" s="223">
        <v>3.575</v>
      </c>
      <c r="O140" s="224"/>
      <c r="P140" s="225" t="s">
        <v>155</v>
      </c>
      <c r="Q140" s="225" t="s">
        <v>155</v>
      </c>
      <c r="R140" s="225" t="s">
        <v>155</v>
      </c>
      <c r="S140" s="225" t="s">
        <v>155</v>
      </c>
      <c r="T140" s="229" t="s">
        <v>276</v>
      </c>
      <c r="U140" s="227"/>
      <c r="V140" s="52" t="s">
        <v>250</v>
      </c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</row>
    <row r="141" ht="30.0" customHeight="1">
      <c r="A141" s="159"/>
      <c r="B141" s="218" t="s">
        <v>246</v>
      </c>
      <c r="C141" s="218" t="s">
        <v>423</v>
      </c>
      <c r="D141" s="218" t="s">
        <v>516</v>
      </c>
      <c r="E141" s="219">
        <v>111194.0</v>
      </c>
      <c r="F141" s="220" t="s">
        <v>517</v>
      </c>
      <c r="G141" s="221" t="s">
        <v>518</v>
      </c>
      <c r="H141" s="221" t="s">
        <v>519</v>
      </c>
      <c r="I141" s="221" t="s">
        <v>42</v>
      </c>
      <c r="J141" s="221" t="s">
        <v>481</v>
      </c>
      <c r="K141" s="223">
        <v>2.0</v>
      </c>
      <c r="L141" s="223" t="b">
        <v>0</v>
      </c>
      <c r="M141" s="223" t="s">
        <v>42</v>
      </c>
      <c r="N141" s="223">
        <v>4.3445</v>
      </c>
      <c r="O141" s="224"/>
      <c r="P141" s="225" t="s">
        <v>155</v>
      </c>
      <c r="Q141" s="225" t="s">
        <v>155</v>
      </c>
      <c r="R141" s="225" t="s">
        <v>155</v>
      </c>
      <c r="S141" s="225" t="s">
        <v>155</v>
      </c>
      <c r="T141" s="226"/>
      <c r="U141" s="227"/>
      <c r="V141" s="52" t="s">
        <v>250</v>
      </c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</row>
    <row r="142" ht="30.0" customHeight="1">
      <c r="A142" s="209"/>
      <c r="B142" s="209" t="s">
        <v>520</v>
      </c>
      <c r="C142" s="211"/>
      <c r="D142" s="211"/>
      <c r="E142" s="212"/>
      <c r="F142" s="213"/>
      <c r="G142" s="213"/>
      <c r="H142" s="213"/>
      <c r="I142" s="212"/>
      <c r="J142" s="212"/>
      <c r="K142" s="214"/>
      <c r="L142" s="214"/>
      <c r="M142" s="214"/>
      <c r="N142" s="214"/>
      <c r="O142" s="215"/>
      <c r="P142" s="216"/>
      <c r="Q142" s="216"/>
      <c r="R142" s="216"/>
      <c r="S142" s="216"/>
      <c r="T142" s="217"/>
      <c r="U142" s="217"/>
      <c r="V142" s="217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</row>
    <row r="143" ht="30.0" customHeight="1">
      <c r="A143" s="159"/>
      <c r="B143" s="218" t="s">
        <v>246</v>
      </c>
      <c r="C143" s="218" t="s">
        <v>520</v>
      </c>
      <c r="D143" s="218" t="s">
        <v>521</v>
      </c>
      <c r="E143" s="219">
        <v>15032.0</v>
      </c>
      <c r="F143" s="220" t="s">
        <v>522</v>
      </c>
      <c r="G143" s="221" t="s">
        <v>369</v>
      </c>
      <c r="H143" s="221" t="s">
        <v>523</v>
      </c>
      <c r="I143" s="221" t="s">
        <v>524</v>
      </c>
      <c r="J143" s="222" t="s">
        <v>250</v>
      </c>
      <c r="K143" s="223">
        <v>3.0</v>
      </c>
      <c r="L143" s="223" t="b">
        <v>1</v>
      </c>
      <c r="M143" s="223" t="s">
        <v>524</v>
      </c>
      <c r="N143" s="223">
        <v>60.34581746031744</v>
      </c>
      <c r="O143" s="224" t="s">
        <v>238</v>
      </c>
      <c r="P143" s="225" t="s">
        <v>155</v>
      </c>
      <c r="Q143" s="225" t="s">
        <v>155</v>
      </c>
      <c r="R143" s="225" t="s">
        <v>155</v>
      </c>
      <c r="S143" s="225" t="s">
        <v>155</v>
      </c>
      <c r="T143" s="226"/>
      <c r="U143" s="227"/>
      <c r="V143" s="109" t="s">
        <v>525</v>
      </c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</row>
    <row r="144" ht="30.0" customHeight="1">
      <c r="A144" s="159"/>
      <c r="B144" s="218" t="s">
        <v>246</v>
      </c>
      <c r="C144" s="218" t="s">
        <v>520</v>
      </c>
      <c r="D144" s="218" t="s">
        <v>526</v>
      </c>
      <c r="E144" s="219">
        <v>15022.0</v>
      </c>
      <c r="F144" s="220" t="s">
        <v>527</v>
      </c>
      <c r="G144" s="221" t="s">
        <v>369</v>
      </c>
      <c r="H144" s="222"/>
      <c r="I144" s="221" t="s">
        <v>528</v>
      </c>
      <c r="J144" s="221" t="s">
        <v>529</v>
      </c>
      <c r="K144" s="223">
        <v>3.0</v>
      </c>
      <c r="L144" s="223" t="b">
        <v>0</v>
      </c>
      <c r="M144" s="223" t="s">
        <v>528</v>
      </c>
      <c r="N144" s="223">
        <v>37.95</v>
      </c>
      <c r="O144" s="224" t="s">
        <v>238</v>
      </c>
      <c r="P144" s="225" t="s">
        <v>155</v>
      </c>
      <c r="Q144" s="225" t="s">
        <v>155</v>
      </c>
      <c r="R144" s="225" t="s">
        <v>155</v>
      </c>
      <c r="S144" s="225" t="s">
        <v>155</v>
      </c>
      <c r="T144" s="226"/>
      <c r="U144" s="227"/>
      <c r="V144" s="52" t="s">
        <v>250</v>
      </c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</row>
    <row r="145" ht="30.0" customHeight="1">
      <c r="A145" s="159"/>
      <c r="B145" s="218" t="s">
        <v>246</v>
      </c>
      <c r="C145" s="218" t="s">
        <v>520</v>
      </c>
      <c r="D145" s="218" t="s">
        <v>526</v>
      </c>
      <c r="E145" s="219">
        <v>108535.0</v>
      </c>
      <c r="F145" s="220" t="s">
        <v>530</v>
      </c>
      <c r="G145" s="221" t="s">
        <v>369</v>
      </c>
      <c r="H145" s="222"/>
      <c r="I145" s="221" t="s">
        <v>531</v>
      </c>
      <c r="J145" s="221" t="s">
        <v>529</v>
      </c>
      <c r="K145" s="228"/>
      <c r="L145" s="228"/>
      <c r="M145" s="221" t="s">
        <v>531</v>
      </c>
      <c r="N145" s="223">
        <v>43.5</v>
      </c>
      <c r="O145" s="224"/>
      <c r="P145" s="230"/>
      <c r="Q145" s="230"/>
      <c r="R145" s="230"/>
      <c r="S145" s="230"/>
      <c r="T145" s="226"/>
      <c r="U145" s="227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</row>
    <row r="146" ht="30.0" customHeight="1">
      <c r="A146" s="159"/>
      <c r="B146" s="218" t="s">
        <v>246</v>
      </c>
      <c r="C146" s="218" t="s">
        <v>520</v>
      </c>
      <c r="D146" s="218" t="s">
        <v>532</v>
      </c>
      <c r="E146" s="219">
        <v>15025.0</v>
      </c>
      <c r="F146" s="220" t="s">
        <v>533</v>
      </c>
      <c r="G146" s="221" t="s">
        <v>249</v>
      </c>
      <c r="H146" s="221" t="s">
        <v>534</v>
      </c>
      <c r="I146" s="221" t="s">
        <v>535</v>
      </c>
      <c r="J146" s="221" t="s">
        <v>529</v>
      </c>
      <c r="K146" s="223">
        <v>4.0</v>
      </c>
      <c r="L146" s="223" t="b">
        <v>0</v>
      </c>
      <c r="M146" s="223" t="s">
        <v>535</v>
      </c>
      <c r="N146" s="223">
        <v>51.89415789473684</v>
      </c>
      <c r="O146" s="224" t="s">
        <v>238</v>
      </c>
      <c r="P146" s="225" t="s">
        <v>155</v>
      </c>
      <c r="Q146" s="225" t="s">
        <v>155</v>
      </c>
      <c r="R146" s="225" t="s">
        <v>155</v>
      </c>
      <c r="S146" s="225" t="s">
        <v>155</v>
      </c>
      <c r="T146" s="226"/>
      <c r="U146" s="227"/>
      <c r="V146" s="52" t="s">
        <v>250</v>
      </c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</row>
    <row r="147" ht="30.0" customHeight="1">
      <c r="A147" s="159"/>
      <c r="B147" s="218" t="s">
        <v>246</v>
      </c>
      <c r="C147" s="218" t="s">
        <v>520</v>
      </c>
      <c r="D147" s="218" t="s">
        <v>532</v>
      </c>
      <c r="E147" s="219">
        <v>15027.0</v>
      </c>
      <c r="F147" s="220" t="s">
        <v>536</v>
      </c>
      <c r="G147" s="221" t="s">
        <v>249</v>
      </c>
      <c r="H147" s="221" t="s">
        <v>537</v>
      </c>
      <c r="I147" s="221" t="s">
        <v>535</v>
      </c>
      <c r="J147" s="221" t="s">
        <v>529</v>
      </c>
      <c r="K147" s="223">
        <v>4.0</v>
      </c>
      <c r="L147" s="223" t="b">
        <v>1</v>
      </c>
      <c r="M147" s="223" t="s">
        <v>535</v>
      </c>
      <c r="N147" s="223">
        <v>94.61195000000001</v>
      </c>
      <c r="O147" s="224" t="s">
        <v>238</v>
      </c>
      <c r="P147" s="225" t="s">
        <v>155</v>
      </c>
      <c r="Q147" s="225" t="s">
        <v>155</v>
      </c>
      <c r="R147" s="225" t="s">
        <v>155</v>
      </c>
      <c r="S147" s="225" t="s">
        <v>155</v>
      </c>
      <c r="T147" s="226"/>
      <c r="U147" s="227"/>
      <c r="V147" s="52" t="s">
        <v>250</v>
      </c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</row>
    <row r="148" ht="30.0" customHeight="1">
      <c r="A148" s="159"/>
      <c r="B148" s="218" t="s">
        <v>246</v>
      </c>
      <c r="C148" s="218" t="s">
        <v>520</v>
      </c>
      <c r="D148" s="218" t="s">
        <v>532</v>
      </c>
      <c r="E148" s="219">
        <v>15026.0</v>
      </c>
      <c r="F148" s="220" t="s">
        <v>538</v>
      </c>
      <c r="G148" s="221" t="s">
        <v>249</v>
      </c>
      <c r="H148" s="222" t="s">
        <v>250</v>
      </c>
      <c r="I148" s="221" t="s">
        <v>42</v>
      </c>
      <c r="J148" s="221" t="s">
        <v>529</v>
      </c>
      <c r="K148" s="223">
        <v>4.0</v>
      </c>
      <c r="L148" s="223" t="b">
        <v>1</v>
      </c>
      <c r="M148" s="223" t="s">
        <v>42</v>
      </c>
      <c r="N148" s="223">
        <v>1.772181818181818</v>
      </c>
      <c r="O148" s="224" t="s">
        <v>238</v>
      </c>
      <c r="P148" s="225" t="s">
        <v>155</v>
      </c>
      <c r="Q148" s="225" t="s">
        <v>155</v>
      </c>
      <c r="R148" s="225" t="s">
        <v>155</v>
      </c>
      <c r="S148" s="225" t="s">
        <v>155</v>
      </c>
      <c r="T148" s="226"/>
      <c r="U148" s="227"/>
      <c r="V148" s="52" t="s">
        <v>250</v>
      </c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</row>
    <row r="149" ht="30.0" customHeight="1">
      <c r="A149" s="159"/>
      <c r="B149" s="218" t="s">
        <v>246</v>
      </c>
      <c r="C149" s="218" t="s">
        <v>520</v>
      </c>
      <c r="D149" s="218" t="s">
        <v>539</v>
      </c>
      <c r="E149" s="219">
        <v>54020.0</v>
      </c>
      <c r="F149" s="220" t="s">
        <v>540</v>
      </c>
      <c r="G149" s="221" t="s">
        <v>518</v>
      </c>
      <c r="H149" s="221" t="s">
        <v>541</v>
      </c>
      <c r="I149" s="221" t="s">
        <v>542</v>
      </c>
      <c r="J149" s="221" t="s">
        <v>371</v>
      </c>
      <c r="K149" s="223">
        <v>3.0</v>
      </c>
      <c r="L149" s="223" t="b">
        <v>1</v>
      </c>
      <c r="M149" s="223" t="s">
        <v>542</v>
      </c>
      <c r="N149" s="223">
        <v>34.84666666666667</v>
      </c>
      <c r="O149" s="224" t="s">
        <v>238</v>
      </c>
      <c r="P149" s="225" t="s">
        <v>155</v>
      </c>
      <c r="Q149" s="225" t="s">
        <v>155</v>
      </c>
      <c r="R149" s="225" t="s">
        <v>155</v>
      </c>
      <c r="S149" s="225" t="s">
        <v>155</v>
      </c>
      <c r="T149" s="229" t="s">
        <v>543</v>
      </c>
      <c r="U149" s="227"/>
      <c r="V149" s="52" t="s">
        <v>250</v>
      </c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</row>
    <row r="150" ht="30.0" customHeight="1">
      <c r="A150" s="159"/>
      <c r="B150" s="218" t="s">
        <v>246</v>
      </c>
      <c r="C150" s="218" t="s">
        <v>520</v>
      </c>
      <c r="D150" s="218" t="s">
        <v>539</v>
      </c>
      <c r="E150" s="219">
        <v>14893.0</v>
      </c>
      <c r="F150" s="220" t="s">
        <v>544</v>
      </c>
      <c r="G150" s="221" t="s">
        <v>369</v>
      </c>
      <c r="H150" s="222" t="s">
        <v>250</v>
      </c>
      <c r="I150" s="221" t="s">
        <v>545</v>
      </c>
      <c r="J150" s="221" t="s">
        <v>390</v>
      </c>
      <c r="K150" s="223">
        <v>3.0</v>
      </c>
      <c r="L150" s="223" t="b">
        <v>1</v>
      </c>
      <c r="M150" s="223" t="s">
        <v>545</v>
      </c>
      <c r="N150" s="223">
        <v>33.91807272727273</v>
      </c>
      <c r="O150" s="224"/>
      <c r="P150" s="225" t="s">
        <v>155</v>
      </c>
      <c r="Q150" s="225" t="s">
        <v>155</v>
      </c>
      <c r="R150" s="225" t="s">
        <v>155</v>
      </c>
      <c r="S150" s="225" t="s">
        <v>155</v>
      </c>
      <c r="T150" s="226"/>
      <c r="U150" s="227"/>
      <c r="V150" s="109" t="s">
        <v>525</v>
      </c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</row>
    <row r="151" ht="30.0" customHeight="1">
      <c r="A151" s="159"/>
      <c r="B151" s="218" t="s">
        <v>246</v>
      </c>
      <c r="C151" s="218" t="s">
        <v>520</v>
      </c>
      <c r="D151" s="218" t="s">
        <v>539</v>
      </c>
      <c r="E151" s="219">
        <v>11882.0</v>
      </c>
      <c r="F151" s="220" t="s">
        <v>546</v>
      </c>
      <c r="G151" s="221" t="s">
        <v>369</v>
      </c>
      <c r="H151" s="222" t="s">
        <v>250</v>
      </c>
      <c r="I151" s="221" t="s">
        <v>547</v>
      </c>
      <c r="J151" s="221" t="s">
        <v>390</v>
      </c>
      <c r="K151" s="223">
        <v>3.0</v>
      </c>
      <c r="L151" s="223" t="b">
        <v>0</v>
      </c>
      <c r="M151" s="223" t="s">
        <v>547</v>
      </c>
      <c r="N151" s="223">
        <v>12.878289156626503</v>
      </c>
      <c r="O151" s="224"/>
      <c r="P151" s="225" t="s">
        <v>155</v>
      </c>
      <c r="Q151" s="225" t="s">
        <v>155</v>
      </c>
      <c r="R151" s="225" t="s">
        <v>155</v>
      </c>
      <c r="S151" s="225" t="s">
        <v>155</v>
      </c>
      <c r="T151" s="226"/>
      <c r="U151" s="227"/>
      <c r="V151" s="52" t="s">
        <v>250</v>
      </c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</row>
    <row r="152" ht="30.0" customHeight="1">
      <c r="A152" s="159"/>
      <c r="B152" s="218" t="s">
        <v>246</v>
      </c>
      <c r="C152" s="218" t="s">
        <v>520</v>
      </c>
      <c r="D152" s="218" t="s">
        <v>539</v>
      </c>
      <c r="E152" s="219">
        <v>14922.0</v>
      </c>
      <c r="F152" s="127" t="s">
        <v>548</v>
      </c>
      <c r="G152" s="221" t="s">
        <v>518</v>
      </c>
      <c r="H152" s="222"/>
      <c r="I152" s="221" t="s">
        <v>549</v>
      </c>
      <c r="J152" s="221" t="s">
        <v>390</v>
      </c>
      <c r="K152" s="223">
        <v>1.0</v>
      </c>
      <c r="L152" s="223" t="b">
        <v>1</v>
      </c>
      <c r="M152" s="223" t="s">
        <v>549</v>
      </c>
      <c r="N152" s="223">
        <v>3.983898550724638</v>
      </c>
      <c r="O152" s="224" t="s">
        <v>238</v>
      </c>
      <c r="P152" s="225" t="s">
        <v>155</v>
      </c>
      <c r="Q152" s="225" t="s">
        <v>155</v>
      </c>
      <c r="R152" s="225" t="s">
        <v>155</v>
      </c>
      <c r="S152" s="225" t="s">
        <v>155</v>
      </c>
      <c r="T152" s="229" t="s">
        <v>550</v>
      </c>
      <c r="U152" s="227"/>
      <c r="V152" s="52" t="s">
        <v>250</v>
      </c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</row>
    <row r="153" ht="30.0" customHeight="1">
      <c r="A153" s="159"/>
      <c r="B153" s="218" t="s">
        <v>246</v>
      </c>
      <c r="C153" s="218" t="s">
        <v>520</v>
      </c>
      <c r="D153" s="218" t="s">
        <v>539</v>
      </c>
      <c r="E153" s="219">
        <v>110948.0</v>
      </c>
      <c r="F153" s="220" t="s">
        <v>551</v>
      </c>
      <c r="G153" s="221" t="s">
        <v>518</v>
      </c>
      <c r="H153" s="221" t="s">
        <v>552</v>
      </c>
      <c r="I153" s="221" t="s">
        <v>553</v>
      </c>
      <c r="J153" s="221" t="s">
        <v>371</v>
      </c>
      <c r="K153" s="223">
        <v>2.0</v>
      </c>
      <c r="L153" s="223" t="b">
        <v>1</v>
      </c>
      <c r="M153" s="223" t="s">
        <v>553</v>
      </c>
      <c r="N153" s="223">
        <v>60.4818</v>
      </c>
      <c r="O153" s="224"/>
      <c r="P153" s="225" t="s">
        <v>155</v>
      </c>
      <c r="Q153" s="225" t="s">
        <v>155</v>
      </c>
      <c r="R153" s="225" t="s">
        <v>155</v>
      </c>
      <c r="S153" s="225" t="s">
        <v>155</v>
      </c>
      <c r="T153" s="229" t="s">
        <v>554</v>
      </c>
      <c r="U153" s="227"/>
      <c r="V153" s="52" t="s">
        <v>250</v>
      </c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</row>
    <row r="154" ht="30.0" customHeight="1">
      <c r="A154" s="159"/>
      <c r="B154" s="218" t="s">
        <v>246</v>
      </c>
      <c r="C154" s="218" t="s">
        <v>520</v>
      </c>
      <c r="D154" s="218" t="s">
        <v>539</v>
      </c>
      <c r="E154" s="219">
        <v>111984.0</v>
      </c>
      <c r="F154" s="220" t="s">
        <v>555</v>
      </c>
      <c r="G154" s="221" t="s">
        <v>518</v>
      </c>
      <c r="H154" s="222"/>
      <c r="I154" s="221" t="s">
        <v>542</v>
      </c>
      <c r="J154" s="221" t="s">
        <v>390</v>
      </c>
      <c r="K154" s="223">
        <v>3.0</v>
      </c>
      <c r="L154" s="223" t="b">
        <v>0</v>
      </c>
      <c r="M154" s="223" t="s">
        <v>542</v>
      </c>
      <c r="N154" s="223">
        <v>58.85857142857143</v>
      </c>
      <c r="O154" s="224"/>
      <c r="P154" s="225" t="s">
        <v>155</v>
      </c>
      <c r="Q154" s="225" t="s">
        <v>155</v>
      </c>
      <c r="R154" s="225" t="s">
        <v>155</v>
      </c>
      <c r="S154" s="225" t="s">
        <v>155</v>
      </c>
      <c r="T154" s="226"/>
      <c r="U154" s="227"/>
      <c r="V154" s="52" t="s">
        <v>250</v>
      </c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</row>
    <row r="155" ht="30.0" customHeight="1">
      <c r="A155" s="159"/>
      <c r="B155" s="218" t="s">
        <v>246</v>
      </c>
      <c r="C155" s="218" t="s">
        <v>520</v>
      </c>
      <c r="D155" s="218" t="s">
        <v>539</v>
      </c>
      <c r="E155" s="219">
        <v>110947.0</v>
      </c>
      <c r="F155" s="220" t="s">
        <v>556</v>
      </c>
      <c r="G155" s="221" t="s">
        <v>518</v>
      </c>
      <c r="H155" s="221" t="s">
        <v>552</v>
      </c>
      <c r="I155" s="221" t="s">
        <v>557</v>
      </c>
      <c r="J155" s="222" t="s">
        <v>250</v>
      </c>
      <c r="K155" s="223">
        <v>2.0</v>
      </c>
      <c r="L155" s="223" t="b">
        <v>1</v>
      </c>
      <c r="M155" s="223" t="s">
        <v>557</v>
      </c>
      <c r="N155" s="223">
        <v>37.08293333333334</v>
      </c>
      <c r="O155" s="224"/>
      <c r="P155" s="225" t="s">
        <v>155</v>
      </c>
      <c r="Q155" s="225" t="s">
        <v>155</v>
      </c>
      <c r="R155" s="225" t="s">
        <v>155</v>
      </c>
      <c r="S155" s="225" t="s">
        <v>155</v>
      </c>
      <c r="T155" s="229" t="s">
        <v>550</v>
      </c>
      <c r="U155" s="227"/>
      <c r="V155" s="52" t="s">
        <v>250</v>
      </c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</row>
    <row r="156" ht="30.0" customHeight="1">
      <c r="A156" s="159"/>
      <c r="B156" s="218" t="s">
        <v>246</v>
      </c>
      <c r="C156" s="218" t="s">
        <v>520</v>
      </c>
      <c r="D156" s="218" t="s">
        <v>539</v>
      </c>
      <c r="E156" s="219">
        <v>110932.0</v>
      </c>
      <c r="F156" s="220" t="s">
        <v>558</v>
      </c>
      <c r="G156" s="221" t="s">
        <v>518</v>
      </c>
      <c r="H156" s="221" t="s">
        <v>559</v>
      </c>
      <c r="I156" s="221" t="s">
        <v>42</v>
      </c>
      <c r="J156" s="222" t="s">
        <v>250</v>
      </c>
      <c r="K156" s="223">
        <v>2.0</v>
      </c>
      <c r="L156" s="223" t="b">
        <v>1</v>
      </c>
      <c r="M156" s="223" t="s">
        <v>42</v>
      </c>
      <c r="N156" s="223">
        <v>5.6736</v>
      </c>
      <c r="O156" s="224"/>
      <c r="P156" s="225" t="s">
        <v>155</v>
      </c>
      <c r="Q156" s="225" t="s">
        <v>155</v>
      </c>
      <c r="R156" s="225" t="s">
        <v>155</v>
      </c>
      <c r="S156" s="225" t="s">
        <v>155</v>
      </c>
      <c r="T156" s="226"/>
      <c r="U156" s="227"/>
      <c r="V156" s="52" t="s">
        <v>250</v>
      </c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</row>
    <row r="157" ht="30.0" customHeight="1">
      <c r="A157" s="159"/>
      <c r="B157" s="218" t="s">
        <v>246</v>
      </c>
      <c r="C157" s="218" t="s">
        <v>520</v>
      </c>
      <c r="D157" s="218" t="s">
        <v>539</v>
      </c>
      <c r="E157" s="219">
        <v>14871.0</v>
      </c>
      <c r="F157" s="220" t="s">
        <v>560</v>
      </c>
      <c r="G157" s="221" t="s">
        <v>518</v>
      </c>
      <c r="H157" s="221" t="s">
        <v>561</v>
      </c>
      <c r="I157" s="221" t="s">
        <v>562</v>
      </c>
      <c r="J157" s="221" t="s">
        <v>390</v>
      </c>
      <c r="K157" s="223">
        <v>3.0</v>
      </c>
      <c r="L157" s="223" t="b">
        <v>1</v>
      </c>
      <c r="M157" s="223" t="s">
        <v>562</v>
      </c>
      <c r="N157" s="223">
        <v>19.348820689655174</v>
      </c>
      <c r="O157" s="224" t="s">
        <v>238</v>
      </c>
      <c r="P157" s="225" t="s">
        <v>155</v>
      </c>
      <c r="Q157" s="225" t="s">
        <v>155</v>
      </c>
      <c r="R157" s="225" t="s">
        <v>155</v>
      </c>
      <c r="S157" s="225" t="s">
        <v>155</v>
      </c>
      <c r="T157" s="229" t="s">
        <v>554</v>
      </c>
      <c r="U157" s="227"/>
      <c r="V157" s="52" t="s">
        <v>250</v>
      </c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</row>
    <row r="158" ht="30.0" customHeight="1">
      <c r="A158" s="159"/>
      <c r="B158" s="218" t="s">
        <v>246</v>
      </c>
      <c r="C158" s="218" t="s">
        <v>520</v>
      </c>
      <c r="D158" s="218" t="s">
        <v>539</v>
      </c>
      <c r="E158" s="219">
        <v>14869.0</v>
      </c>
      <c r="F158" s="220" t="s">
        <v>563</v>
      </c>
      <c r="G158" s="221" t="s">
        <v>518</v>
      </c>
      <c r="H158" s="221" t="s">
        <v>561</v>
      </c>
      <c r="I158" s="221" t="s">
        <v>562</v>
      </c>
      <c r="J158" s="221" t="s">
        <v>390</v>
      </c>
      <c r="K158" s="223">
        <v>3.0</v>
      </c>
      <c r="L158" s="223" t="b">
        <v>1</v>
      </c>
      <c r="M158" s="223" t="s">
        <v>562</v>
      </c>
      <c r="N158" s="223">
        <v>18.353295698924743</v>
      </c>
      <c r="O158" s="224" t="s">
        <v>238</v>
      </c>
      <c r="P158" s="225" t="s">
        <v>155</v>
      </c>
      <c r="Q158" s="225" t="s">
        <v>155</v>
      </c>
      <c r="R158" s="225" t="s">
        <v>155</v>
      </c>
      <c r="S158" s="225" t="s">
        <v>155</v>
      </c>
      <c r="T158" s="229" t="s">
        <v>543</v>
      </c>
      <c r="U158" s="227"/>
      <c r="V158" s="52" t="s">
        <v>250</v>
      </c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</row>
    <row r="159" ht="30.0" customHeight="1">
      <c r="A159" s="159"/>
      <c r="B159" s="218" t="s">
        <v>246</v>
      </c>
      <c r="C159" s="218" t="s">
        <v>520</v>
      </c>
      <c r="D159" s="218" t="s">
        <v>539</v>
      </c>
      <c r="E159" s="219">
        <v>16945.0</v>
      </c>
      <c r="F159" s="220" t="s">
        <v>564</v>
      </c>
      <c r="G159" s="221" t="s">
        <v>518</v>
      </c>
      <c r="H159" s="221" t="s">
        <v>565</v>
      </c>
      <c r="I159" s="221" t="s">
        <v>566</v>
      </c>
      <c r="J159" s="221" t="s">
        <v>364</v>
      </c>
      <c r="K159" s="223">
        <v>3.0</v>
      </c>
      <c r="L159" s="223" t="b">
        <v>1</v>
      </c>
      <c r="M159" s="223" t="s">
        <v>566</v>
      </c>
      <c r="N159" s="223">
        <v>3.3633124999999997</v>
      </c>
      <c r="O159" s="224" t="s">
        <v>238</v>
      </c>
      <c r="P159" s="225" t="s">
        <v>155</v>
      </c>
      <c r="Q159" s="225" t="s">
        <v>155</v>
      </c>
      <c r="R159" s="225" t="s">
        <v>155</v>
      </c>
      <c r="S159" s="225" t="s">
        <v>155</v>
      </c>
      <c r="T159" s="229" t="s">
        <v>550</v>
      </c>
      <c r="U159" s="227"/>
      <c r="V159" s="52" t="s">
        <v>250</v>
      </c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</row>
    <row r="160" ht="30.0" customHeight="1">
      <c r="A160" s="159"/>
      <c r="B160" s="218" t="s">
        <v>246</v>
      </c>
      <c r="C160" s="218" t="s">
        <v>520</v>
      </c>
      <c r="D160" s="218" t="s">
        <v>567</v>
      </c>
      <c r="E160" s="219">
        <v>14906.0</v>
      </c>
      <c r="F160" s="220" t="s">
        <v>568</v>
      </c>
      <c r="G160" s="221" t="s">
        <v>369</v>
      </c>
      <c r="H160" s="222" t="s">
        <v>250</v>
      </c>
      <c r="I160" s="221" t="s">
        <v>535</v>
      </c>
      <c r="J160" s="221" t="s">
        <v>390</v>
      </c>
      <c r="K160" s="223">
        <v>3.0</v>
      </c>
      <c r="L160" s="223" t="b">
        <v>1</v>
      </c>
      <c r="M160" s="223" t="s">
        <v>535</v>
      </c>
      <c r="N160" s="223">
        <v>49.19797183098591</v>
      </c>
      <c r="O160" s="224" t="s">
        <v>238</v>
      </c>
      <c r="P160" s="225" t="s">
        <v>155</v>
      </c>
      <c r="Q160" s="225" t="s">
        <v>155</v>
      </c>
      <c r="R160" s="225" t="s">
        <v>155</v>
      </c>
      <c r="S160" s="225" t="s">
        <v>155</v>
      </c>
      <c r="T160" s="226"/>
      <c r="U160" s="227"/>
      <c r="V160" s="52" t="s">
        <v>250</v>
      </c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</row>
    <row r="161" ht="30.0" customHeight="1">
      <c r="A161" s="159"/>
      <c r="B161" s="218" t="s">
        <v>246</v>
      </c>
      <c r="C161" s="218" t="s">
        <v>520</v>
      </c>
      <c r="D161" s="218" t="s">
        <v>567</v>
      </c>
      <c r="E161" s="219">
        <v>109846.0</v>
      </c>
      <c r="F161" s="220" t="s">
        <v>569</v>
      </c>
      <c r="G161" s="221" t="s">
        <v>369</v>
      </c>
      <c r="H161" s="221" t="s">
        <v>570</v>
      </c>
      <c r="I161" s="221" t="s">
        <v>42</v>
      </c>
      <c r="J161" s="221" t="s">
        <v>390</v>
      </c>
      <c r="K161" s="223">
        <v>2.0</v>
      </c>
      <c r="L161" s="223" t="b">
        <v>1</v>
      </c>
      <c r="M161" s="223" t="s">
        <v>42</v>
      </c>
      <c r="N161" s="223">
        <v>3.8125</v>
      </c>
      <c r="O161" s="224"/>
      <c r="P161" s="225" t="s">
        <v>155</v>
      </c>
      <c r="Q161" s="225" t="s">
        <v>155</v>
      </c>
      <c r="R161" s="225" t="s">
        <v>155</v>
      </c>
      <c r="S161" s="225" t="s">
        <v>155</v>
      </c>
      <c r="T161" s="226"/>
      <c r="U161" s="227"/>
      <c r="V161" s="52" t="s">
        <v>250</v>
      </c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</row>
    <row r="162" ht="30.0" customHeight="1">
      <c r="A162" s="159"/>
      <c r="B162" s="218" t="s">
        <v>246</v>
      </c>
      <c r="C162" s="218" t="s">
        <v>520</v>
      </c>
      <c r="D162" s="218" t="s">
        <v>571</v>
      </c>
      <c r="E162" s="219">
        <v>30011.0</v>
      </c>
      <c r="F162" s="220" t="s">
        <v>572</v>
      </c>
      <c r="G162" s="221" t="s">
        <v>369</v>
      </c>
      <c r="H162" s="221" t="s">
        <v>573</v>
      </c>
      <c r="I162" s="221" t="s">
        <v>574</v>
      </c>
      <c r="J162" s="221" t="s">
        <v>390</v>
      </c>
      <c r="K162" s="223">
        <v>3.0</v>
      </c>
      <c r="L162" s="223" t="b">
        <v>1</v>
      </c>
      <c r="M162" s="223" t="s">
        <v>574</v>
      </c>
      <c r="N162" s="223">
        <v>15.979916666666668</v>
      </c>
      <c r="O162" s="224"/>
      <c r="P162" s="225" t="s">
        <v>155</v>
      </c>
      <c r="Q162" s="225" t="s">
        <v>155</v>
      </c>
      <c r="R162" s="225" t="s">
        <v>155</v>
      </c>
      <c r="S162" s="225" t="s">
        <v>155</v>
      </c>
      <c r="T162" s="226"/>
      <c r="U162" s="227"/>
      <c r="V162" s="109" t="s">
        <v>575</v>
      </c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</row>
    <row r="163" ht="30.0" customHeight="1">
      <c r="A163" s="159"/>
      <c r="B163" s="218" t="s">
        <v>246</v>
      </c>
      <c r="C163" s="218" t="s">
        <v>520</v>
      </c>
      <c r="D163" s="218" t="s">
        <v>571</v>
      </c>
      <c r="E163" s="219">
        <v>14907.0</v>
      </c>
      <c r="F163" s="220" t="s">
        <v>576</v>
      </c>
      <c r="G163" s="221" t="s">
        <v>369</v>
      </c>
      <c r="H163" s="222" t="s">
        <v>250</v>
      </c>
      <c r="I163" s="221" t="s">
        <v>562</v>
      </c>
      <c r="J163" s="221" t="s">
        <v>390</v>
      </c>
      <c r="K163" s="223">
        <v>3.0</v>
      </c>
      <c r="L163" s="223" t="b">
        <v>1</v>
      </c>
      <c r="M163" s="223" t="s">
        <v>562</v>
      </c>
      <c r="N163" s="223">
        <v>73.99083333333336</v>
      </c>
      <c r="O163" s="224"/>
      <c r="P163" s="225" t="s">
        <v>155</v>
      </c>
      <c r="Q163" s="225" t="s">
        <v>155</v>
      </c>
      <c r="R163" s="225" t="s">
        <v>155</v>
      </c>
      <c r="S163" s="225" t="s">
        <v>155</v>
      </c>
      <c r="T163" s="226"/>
      <c r="U163" s="227"/>
      <c r="V163" s="52" t="s">
        <v>250</v>
      </c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</row>
    <row r="164" ht="30.0" customHeight="1">
      <c r="A164" s="159"/>
      <c r="B164" s="218" t="s">
        <v>246</v>
      </c>
      <c r="C164" s="218" t="s">
        <v>520</v>
      </c>
      <c r="D164" s="218" t="s">
        <v>571</v>
      </c>
      <c r="E164" s="219">
        <v>14883.0</v>
      </c>
      <c r="F164" s="220" t="s">
        <v>577</v>
      </c>
      <c r="G164" s="221" t="s">
        <v>369</v>
      </c>
      <c r="H164" s="222" t="s">
        <v>250</v>
      </c>
      <c r="I164" s="221" t="s">
        <v>535</v>
      </c>
      <c r="J164" s="221" t="s">
        <v>390</v>
      </c>
      <c r="K164" s="223">
        <v>3.0</v>
      </c>
      <c r="L164" s="223" t="b">
        <v>1</v>
      </c>
      <c r="M164" s="223" t="s">
        <v>535</v>
      </c>
      <c r="N164" s="223">
        <v>106.07972727272731</v>
      </c>
      <c r="O164" s="224" t="s">
        <v>238</v>
      </c>
      <c r="P164" s="225" t="s">
        <v>155</v>
      </c>
      <c r="Q164" s="225" t="s">
        <v>155</v>
      </c>
      <c r="R164" s="225" t="s">
        <v>155</v>
      </c>
      <c r="S164" s="225" t="s">
        <v>155</v>
      </c>
      <c r="T164" s="226"/>
      <c r="U164" s="227"/>
      <c r="V164" s="52" t="s">
        <v>250</v>
      </c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</row>
    <row r="165" ht="30.0" customHeight="1">
      <c r="A165" s="159"/>
      <c r="B165" s="218" t="s">
        <v>246</v>
      </c>
      <c r="C165" s="218" t="s">
        <v>520</v>
      </c>
      <c r="D165" s="218" t="s">
        <v>571</v>
      </c>
      <c r="E165" s="219">
        <v>49450.0</v>
      </c>
      <c r="F165" s="220" t="s">
        <v>578</v>
      </c>
      <c r="G165" s="221" t="s">
        <v>369</v>
      </c>
      <c r="H165" s="222" t="s">
        <v>250</v>
      </c>
      <c r="I165" s="221" t="s">
        <v>542</v>
      </c>
      <c r="J165" s="221" t="s">
        <v>390</v>
      </c>
      <c r="K165" s="223">
        <v>3.0</v>
      </c>
      <c r="L165" s="223" t="b">
        <v>1</v>
      </c>
      <c r="M165" s="223" t="s">
        <v>542</v>
      </c>
      <c r="N165" s="223">
        <v>62.92985405405407</v>
      </c>
      <c r="O165" s="224" t="s">
        <v>238</v>
      </c>
      <c r="P165" s="225" t="s">
        <v>155</v>
      </c>
      <c r="Q165" s="225" t="s">
        <v>155</v>
      </c>
      <c r="R165" s="225" t="s">
        <v>155</v>
      </c>
      <c r="S165" s="225" t="s">
        <v>155</v>
      </c>
      <c r="T165" s="229" t="s">
        <v>554</v>
      </c>
      <c r="U165" s="227"/>
      <c r="V165" s="52" t="s">
        <v>250</v>
      </c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</row>
    <row r="166" ht="30.0" customHeight="1">
      <c r="A166" s="209"/>
      <c r="B166" s="209" t="s">
        <v>579</v>
      </c>
      <c r="C166" s="211"/>
      <c r="D166" s="211"/>
      <c r="E166" s="212"/>
      <c r="F166" s="213"/>
      <c r="G166" s="213"/>
      <c r="H166" s="213"/>
      <c r="I166" s="212"/>
      <c r="J166" s="212"/>
      <c r="K166" s="214"/>
      <c r="L166" s="214"/>
      <c r="M166" s="214"/>
      <c r="N166" s="214"/>
      <c r="O166" s="215"/>
      <c r="P166" s="216"/>
      <c r="Q166" s="216"/>
      <c r="R166" s="216"/>
      <c r="S166" s="216"/>
      <c r="T166" s="217"/>
      <c r="U166" s="217"/>
      <c r="V166" s="217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</row>
    <row r="167" ht="30.0" customHeight="1">
      <c r="A167" s="159"/>
      <c r="B167" s="218" t="s">
        <v>246</v>
      </c>
      <c r="C167" s="218" t="s">
        <v>579</v>
      </c>
      <c r="D167" s="218" t="s">
        <v>580</v>
      </c>
      <c r="E167" s="219">
        <v>15016.0</v>
      </c>
      <c r="F167" s="220" t="s">
        <v>581</v>
      </c>
      <c r="G167" s="221" t="s">
        <v>249</v>
      </c>
      <c r="H167" s="222"/>
      <c r="I167" s="221" t="s">
        <v>42</v>
      </c>
      <c r="J167" s="221" t="s">
        <v>390</v>
      </c>
      <c r="K167" s="223">
        <v>2.0</v>
      </c>
      <c r="L167" s="223" t="b">
        <v>1</v>
      </c>
      <c r="M167" s="223" t="s">
        <v>42</v>
      </c>
      <c r="N167" s="223">
        <v>6.085585635359115</v>
      </c>
      <c r="O167" s="224" t="s">
        <v>238</v>
      </c>
      <c r="P167" s="225" t="s">
        <v>155</v>
      </c>
      <c r="Q167" s="225" t="s">
        <v>155</v>
      </c>
      <c r="R167" s="225" t="s">
        <v>155</v>
      </c>
      <c r="S167" s="225" t="s">
        <v>155</v>
      </c>
      <c r="T167" s="229" t="s">
        <v>550</v>
      </c>
      <c r="U167" s="227"/>
      <c r="V167" s="109" t="s">
        <v>582</v>
      </c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</row>
    <row r="168" ht="30.0" customHeight="1">
      <c r="A168" s="159"/>
      <c r="B168" s="218" t="s">
        <v>246</v>
      </c>
      <c r="C168" s="218" t="s">
        <v>579</v>
      </c>
      <c r="D168" s="218" t="s">
        <v>580</v>
      </c>
      <c r="E168" s="219">
        <v>43176.0</v>
      </c>
      <c r="F168" s="220" t="s">
        <v>583</v>
      </c>
      <c r="G168" s="221" t="s">
        <v>369</v>
      </c>
      <c r="H168" s="221" t="s">
        <v>584</v>
      </c>
      <c r="I168" s="221" t="s">
        <v>389</v>
      </c>
      <c r="J168" s="221" t="s">
        <v>390</v>
      </c>
      <c r="K168" s="223">
        <v>3.0</v>
      </c>
      <c r="L168" s="223" t="b">
        <v>0</v>
      </c>
      <c r="M168" s="223" t="s">
        <v>389</v>
      </c>
      <c r="N168" s="223">
        <v>30.162033898305083</v>
      </c>
      <c r="O168" s="224"/>
      <c r="P168" s="225" t="s">
        <v>155</v>
      </c>
      <c r="Q168" s="225" t="s">
        <v>155</v>
      </c>
      <c r="R168" s="225" t="s">
        <v>155</v>
      </c>
      <c r="S168" s="225" t="s">
        <v>155</v>
      </c>
      <c r="T168" s="226"/>
      <c r="U168" s="227"/>
      <c r="V168" s="52" t="s">
        <v>250</v>
      </c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</row>
    <row r="169" ht="30.0" customHeight="1">
      <c r="A169" s="159"/>
      <c r="B169" s="218" t="s">
        <v>246</v>
      </c>
      <c r="C169" s="218" t="s">
        <v>579</v>
      </c>
      <c r="D169" s="218" t="s">
        <v>585</v>
      </c>
      <c r="E169" s="219">
        <v>15020.0</v>
      </c>
      <c r="F169" s="220" t="s">
        <v>586</v>
      </c>
      <c r="G169" s="221" t="s">
        <v>369</v>
      </c>
      <c r="H169" s="222" t="s">
        <v>250</v>
      </c>
      <c r="I169" s="221" t="s">
        <v>535</v>
      </c>
      <c r="J169" s="221" t="s">
        <v>587</v>
      </c>
      <c r="K169" s="223">
        <v>3.0</v>
      </c>
      <c r="L169" s="223" t="b">
        <v>0</v>
      </c>
      <c r="M169" s="223" t="s">
        <v>535</v>
      </c>
      <c r="N169" s="223">
        <v>57.36016853932583</v>
      </c>
      <c r="O169" s="224" t="s">
        <v>238</v>
      </c>
      <c r="P169" s="225" t="s">
        <v>155</v>
      </c>
      <c r="Q169" s="225" t="s">
        <v>155</v>
      </c>
      <c r="R169" s="225" t="s">
        <v>155</v>
      </c>
      <c r="S169" s="225" t="s">
        <v>155</v>
      </c>
      <c r="T169" s="226"/>
      <c r="U169" s="227"/>
      <c r="V169" s="52" t="s">
        <v>250</v>
      </c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</row>
    <row r="170" ht="30.0" customHeight="1">
      <c r="A170" s="159"/>
      <c r="B170" s="218" t="s">
        <v>246</v>
      </c>
      <c r="C170" s="218" t="s">
        <v>579</v>
      </c>
      <c r="D170" s="218" t="s">
        <v>588</v>
      </c>
      <c r="E170" s="219">
        <v>112823.0</v>
      </c>
      <c r="F170" s="220" t="s">
        <v>589</v>
      </c>
      <c r="G170" s="221" t="s">
        <v>369</v>
      </c>
      <c r="H170" s="222"/>
      <c r="I170" s="221" t="s">
        <v>389</v>
      </c>
      <c r="J170" s="221" t="b">
        <v>0</v>
      </c>
      <c r="K170" s="223">
        <v>1.0</v>
      </c>
      <c r="L170" s="223" t="b">
        <v>0</v>
      </c>
      <c r="M170" s="223" t="s">
        <v>590</v>
      </c>
      <c r="N170" s="223" t="s">
        <v>591</v>
      </c>
      <c r="O170" s="224"/>
      <c r="P170" s="230"/>
      <c r="Q170" s="225" t="s">
        <v>155</v>
      </c>
      <c r="R170" s="230"/>
      <c r="S170" s="230"/>
      <c r="T170" s="229" t="s">
        <v>592</v>
      </c>
      <c r="U170" s="227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</row>
    <row r="171" ht="30.0" customHeight="1">
      <c r="A171" s="159"/>
      <c r="B171" s="218" t="s">
        <v>246</v>
      </c>
      <c r="C171" s="218" t="s">
        <v>579</v>
      </c>
      <c r="D171" s="218" t="s">
        <v>588</v>
      </c>
      <c r="E171" s="219">
        <v>14978.0</v>
      </c>
      <c r="F171" s="220" t="s">
        <v>593</v>
      </c>
      <c r="G171" s="221" t="s">
        <v>369</v>
      </c>
      <c r="H171" s="221" t="s">
        <v>594</v>
      </c>
      <c r="I171" s="221" t="s">
        <v>349</v>
      </c>
      <c r="J171" s="221" t="s">
        <v>595</v>
      </c>
      <c r="K171" s="223">
        <v>3.0</v>
      </c>
      <c r="L171" s="223" t="b">
        <v>1</v>
      </c>
      <c r="M171" s="223" t="s">
        <v>349</v>
      </c>
      <c r="N171" s="223">
        <v>100.98813076923076</v>
      </c>
      <c r="O171" s="224" t="s">
        <v>238</v>
      </c>
      <c r="P171" s="225" t="s">
        <v>155</v>
      </c>
      <c r="Q171" s="225" t="s">
        <v>155</v>
      </c>
      <c r="R171" s="225" t="s">
        <v>155</v>
      </c>
      <c r="S171" s="225" t="s">
        <v>155</v>
      </c>
      <c r="T171" s="226"/>
      <c r="U171" s="227"/>
      <c r="V171" s="52" t="s">
        <v>250</v>
      </c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</row>
    <row r="172" ht="30.0" customHeight="1">
      <c r="A172" s="159"/>
      <c r="B172" s="218" t="s">
        <v>246</v>
      </c>
      <c r="C172" s="218" t="s">
        <v>579</v>
      </c>
      <c r="D172" s="218" t="s">
        <v>588</v>
      </c>
      <c r="E172" s="219">
        <v>15038.0</v>
      </c>
      <c r="F172" s="220" t="s">
        <v>596</v>
      </c>
      <c r="G172" s="221" t="s">
        <v>369</v>
      </c>
      <c r="H172" s="222" t="s">
        <v>250</v>
      </c>
      <c r="I172" s="221" t="s">
        <v>42</v>
      </c>
      <c r="J172" s="222" t="s">
        <v>250</v>
      </c>
      <c r="K172" s="223">
        <v>4.0</v>
      </c>
      <c r="L172" s="223" t="b">
        <v>0</v>
      </c>
      <c r="M172" s="228"/>
      <c r="N172" s="228"/>
      <c r="O172" s="224"/>
      <c r="P172" s="230"/>
      <c r="Q172" s="230"/>
      <c r="R172" s="230"/>
      <c r="S172" s="225" t="s">
        <v>155</v>
      </c>
      <c r="T172" s="229" t="s">
        <v>418</v>
      </c>
      <c r="U172" s="227"/>
      <c r="V172" s="52" t="s">
        <v>250</v>
      </c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</row>
    <row r="173" ht="30.0" customHeight="1">
      <c r="A173" s="159"/>
      <c r="B173" s="218" t="s">
        <v>246</v>
      </c>
      <c r="C173" s="218" t="s">
        <v>579</v>
      </c>
      <c r="D173" s="218" t="s">
        <v>588</v>
      </c>
      <c r="E173" s="219">
        <v>14984.0</v>
      </c>
      <c r="F173" s="220" t="s">
        <v>597</v>
      </c>
      <c r="G173" s="221" t="s">
        <v>369</v>
      </c>
      <c r="H173" s="222" t="s">
        <v>250</v>
      </c>
      <c r="I173" s="221" t="s">
        <v>334</v>
      </c>
      <c r="J173" s="221" t="s">
        <v>390</v>
      </c>
      <c r="K173" s="223">
        <v>4.0</v>
      </c>
      <c r="L173" s="223" t="b">
        <v>1</v>
      </c>
      <c r="M173" s="223" t="s">
        <v>334</v>
      </c>
      <c r="N173" s="223">
        <v>190.08700819672129</v>
      </c>
      <c r="O173" s="224" t="s">
        <v>238</v>
      </c>
      <c r="P173" s="225" t="s">
        <v>155</v>
      </c>
      <c r="Q173" s="225" t="s">
        <v>155</v>
      </c>
      <c r="R173" s="225" t="s">
        <v>155</v>
      </c>
      <c r="S173" s="225" t="s">
        <v>155</v>
      </c>
      <c r="T173" s="226"/>
      <c r="U173" s="227"/>
      <c r="V173" s="52" t="s">
        <v>250</v>
      </c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</row>
    <row r="174" ht="30.0" customHeight="1">
      <c r="A174" s="159"/>
      <c r="B174" s="218" t="s">
        <v>246</v>
      </c>
      <c r="C174" s="218" t="s">
        <v>579</v>
      </c>
      <c r="D174" s="218" t="s">
        <v>588</v>
      </c>
      <c r="E174" s="219">
        <v>110974.0</v>
      </c>
      <c r="F174" s="220" t="s">
        <v>598</v>
      </c>
      <c r="G174" s="221" t="s">
        <v>369</v>
      </c>
      <c r="H174" s="221" t="s">
        <v>599</v>
      </c>
      <c r="I174" s="221" t="s">
        <v>600</v>
      </c>
      <c r="J174" s="221" t="s">
        <v>390</v>
      </c>
      <c r="K174" s="223">
        <v>2.0</v>
      </c>
      <c r="L174" s="223" t="b">
        <v>0</v>
      </c>
      <c r="M174" s="223" t="s">
        <v>600</v>
      </c>
      <c r="N174" s="223">
        <v>66.09578125</v>
      </c>
      <c r="O174" s="224"/>
      <c r="P174" s="225" t="s">
        <v>155</v>
      </c>
      <c r="Q174" s="225" t="s">
        <v>155</v>
      </c>
      <c r="R174" s="225" t="s">
        <v>155</v>
      </c>
      <c r="S174" s="225" t="s">
        <v>155</v>
      </c>
      <c r="T174" s="226"/>
      <c r="U174" s="227"/>
      <c r="V174" s="109" t="s">
        <v>601</v>
      </c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</row>
    <row r="175" ht="30.0" customHeight="1">
      <c r="A175" s="159"/>
      <c r="B175" s="218" t="s">
        <v>246</v>
      </c>
      <c r="C175" s="218" t="s">
        <v>579</v>
      </c>
      <c r="D175" s="218" t="s">
        <v>588</v>
      </c>
      <c r="E175" s="219">
        <v>111144.0</v>
      </c>
      <c r="F175" s="220" t="s">
        <v>602</v>
      </c>
      <c r="G175" s="221" t="s">
        <v>369</v>
      </c>
      <c r="H175" s="221" t="s">
        <v>603</v>
      </c>
      <c r="I175" s="221" t="s">
        <v>42</v>
      </c>
      <c r="J175" s="221" t="s">
        <v>390</v>
      </c>
      <c r="K175" s="223">
        <v>3.0</v>
      </c>
      <c r="L175" s="223" t="b">
        <v>0</v>
      </c>
      <c r="M175" s="223" t="s">
        <v>42</v>
      </c>
      <c r="N175" s="223">
        <v>9.055896551724137</v>
      </c>
      <c r="O175" s="224"/>
      <c r="P175" s="225" t="s">
        <v>155</v>
      </c>
      <c r="Q175" s="225" t="s">
        <v>155</v>
      </c>
      <c r="R175" s="225" t="s">
        <v>155</v>
      </c>
      <c r="S175" s="225" t="s">
        <v>155</v>
      </c>
      <c r="T175" s="226"/>
      <c r="U175" s="227"/>
      <c r="V175" s="52" t="s">
        <v>250</v>
      </c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</row>
    <row r="176" ht="30.0" customHeight="1">
      <c r="A176" s="159"/>
      <c r="B176" s="218" t="s">
        <v>246</v>
      </c>
      <c r="C176" s="218" t="s">
        <v>579</v>
      </c>
      <c r="D176" s="218" t="s">
        <v>588</v>
      </c>
      <c r="E176" s="219">
        <v>111964.0</v>
      </c>
      <c r="F176" s="220" t="s">
        <v>604</v>
      </c>
      <c r="G176" s="221" t="s">
        <v>369</v>
      </c>
      <c r="H176" s="221" t="s">
        <v>605</v>
      </c>
      <c r="I176" s="221" t="s">
        <v>600</v>
      </c>
      <c r="J176" s="221" t="s">
        <v>390</v>
      </c>
      <c r="K176" s="223">
        <v>3.0</v>
      </c>
      <c r="L176" s="223" t="b">
        <v>0</v>
      </c>
      <c r="M176" s="223" t="s">
        <v>600</v>
      </c>
      <c r="N176" s="223">
        <v>66.69796296296298</v>
      </c>
      <c r="O176" s="224"/>
      <c r="P176" s="225" t="s">
        <v>155</v>
      </c>
      <c r="Q176" s="225" t="s">
        <v>155</v>
      </c>
      <c r="R176" s="225" t="s">
        <v>155</v>
      </c>
      <c r="S176" s="225" t="s">
        <v>155</v>
      </c>
      <c r="T176" s="226"/>
      <c r="U176" s="227"/>
      <c r="V176" s="52" t="s">
        <v>250</v>
      </c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</row>
    <row r="177" ht="30.0" customHeight="1">
      <c r="A177" s="159"/>
      <c r="B177" s="218" t="s">
        <v>246</v>
      </c>
      <c r="C177" s="218" t="s">
        <v>579</v>
      </c>
      <c r="D177" s="218" t="s">
        <v>588</v>
      </c>
      <c r="E177" s="219">
        <v>111930.0</v>
      </c>
      <c r="F177" s="220" t="s">
        <v>606</v>
      </c>
      <c r="G177" s="221" t="s">
        <v>369</v>
      </c>
      <c r="H177" s="221" t="s">
        <v>605</v>
      </c>
      <c r="I177" s="221" t="s">
        <v>600</v>
      </c>
      <c r="J177" s="221" t="s">
        <v>390</v>
      </c>
      <c r="K177" s="223">
        <v>3.0</v>
      </c>
      <c r="L177" s="223" t="b">
        <v>0</v>
      </c>
      <c r="M177" s="223" t="s">
        <v>600</v>
      </c>
      <c r="N177" s="223">
        <v>57.29455</v>
      </c>
      <c r="O177" s="224"/>
      <c r="P177" s="225" t="s">
        <v>155</v>
      </c>
      <c r="Q177" s="225" t="s">
        <v>155</v>
      </c>
      <c r="R177" s="225" t="s">
        <v>155</v>
      </c>
      <c r="S177" s="225" t="s">
        <v>155</v>
      </c>
      <c r="T177" s="226"/>
      <c r="U177" s="227"/>
      <c r="V177" s="52" t="s">
        <v>250</v>
      </c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</row>
    <row r="178" ht="30.0" customHeight="1">
      <c r="A178" s="159"/>
      <c r="B178" s="218" t="s">
        <v>246</v>
      </c>
      <c r="C178" s="218" t="s">
        <v>579</v>
      </c>
      <c r="D178" s="218" t="s">
        <v>588</v>
      </c>
      <c r="E178" s="219">
        <v>15035.0</v>
      </c>
      <c r="F178" s="220" t="s">
        <v>607</v>
      </c>
      <c r="G178" s="221" t="s">
        <v>369</v>
      </c>
      <c r="H178" s="222" t="s">
        <v>250</v>
      </c>
      <c r="I178" s="221" t="s">
        <v>535</v>
      </c>
      <c r="J178" s="221" t="s">
        <v>390</v>
      </c>
      <c r="K178" s="223">
        <v>3.0</v>
      </c>
      <c r="L178" s="223" t="b">
        <v>1</v>
      </c>
      <c r="M178" s="223" t="s">
        <v>535</v>
      </c>
      <c r="N178" s="223">
        <v>153.8963913043478</v>
      </c>
      <c r="O178" s="224" t="s">
        <v>238</v>
      </c>
      <c r="P178" s="225" t="s">
        <v>155</v>
      </c>
      <c r="Q178" s="225" t="s">
        <v>155</v>
      </c>
      <c r="R178" s="225" t="s">
        <v>155</v>
      </c>
      <c r="S178" s="225" t="s">
        <v>155</v>
      </c>
      <c r="T178" s="226"/>
      <c r="U178" s="227"/>
      <c r="V178" s="52" t="s">
        <v>250</v>
      </c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</row>
    <row r="179" ht="30.0" customHeight="1">
      <c r="A179" s="159"/>
      <c r="B179" s="218" t="s">
        <v>246</v>
      </c>
      <c r="C179" s="218" t="s">
        <v>579</v>
      </c>
      <c r="D179" s="218" t="s">
        <v>588</v>
      </c>
      <c r="E179" s="219">
        <v>14890.0</v>
      </c>
      <c r="F179" s="220" t="s">
        <v>608</v>
      </c>
      <c r="G179" s="221" t="s">
        <v>369</v>
      </c>
      <c r="H179" s="222" t="s">
        <v>250</v>
      </c>
      <c r="I179" s="221" t="s">
        <v>42</v>
      </c>
      <c r="J179" s="221" t="s">
        <v>390</v>
      </c>
      <c r="K179" s="223">
        <v>3.0</v>
      </c>
      <c r="L179" s="223" t="b">
        <v>1</v>
      </c>
      <c r="M179" s="223" t="s">
        <v>42</v>
      </c>
      <c r="N179" s="223">
        <v>4.705153153153153</v>
      </c>
      <c r="O179" s="224" t="s">
        <v>238</v>
      </c>
      <c r="P179" s="225" t="s">
        <v>155</v>
      </c>
      <c r="Q179" s="225" t="s">
        <v>155</v>
      </c>
      <c r="R179" s="225" t="s">
        <v>155</v>
      </c>
      <c r="S179" s="225" t="s">
        <v>155</v>
      </c>
      <c r="T179" s="226"/>
      <c r="U179" s="227"/>
      <c r="V179" s="52" t="s">
        <v>250</v>
      </c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</row>
    <row r="180" ht="30.0" customHeight="1">
      <c r="A180" s="159"/>
      <c r="B180" s="218" t="s">
        <v>246</v>
      </c>
      <c r="C180" s="218" t="s">
        <v>579</v>
      </c>
      <c r="D180" s="218" t="s">
        <v>588</v>
      </c>
      <c r="E180" s="219">
        <v>14987.0</v>
      </c>
      <c r="F180" s="220" t="s">
        <v>609</v>
      </c>
      <c r="G180" s="221" t="s">
        <v>369</v>
      </c>
      <c r="H180" s="221" t="s">
        <v>610</v>
      </c>
      <c r="I180" s="221" t="s">
        <v>611</v>
      </c>
      <c r="J180" s="221" t="s">
        <v>390</v>
      </c>
      <c r="K180" s="223">
        <v>3.0</v>
      </c>
      <c r="L180" s="223" t="b">
        <v>1</v>
      </c>
      <c r="M180" s="223" t="s">
        <v>611</v>
      </c>
      <c r="N180" s="223">
        <v>76.84628440366973</v>
      </c>
      <c r="O180" s="224"/>
      <c r="P180" s="225" t="s">
        <v>155</v>
      </c>
      <c r="Q180" s="225" t="s">
        <v>155</v>
      </c>
      <c r="R180" s="225" t="s">
        <v>155</v>
      </c>
      <c r="S180" s="225" t="s">
        <v>155</v>
      </c>
      <c r="T180" s="226"/>
      <c r="U180" s="227"/>
      <c r="V180" s="52" t="s">
        <v>250</v>
      </c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</row>
    <row r="181" ht="30.0" customHeight="1">
      <c r="A181" s="159"/>
      <c r="B181" s="218" t="s">
        <v>246</v>
      </c>
      <c r="C181" s="218" t="s">
        <v>579</v>
      </c>
      <c r="D181" s="218" t="s">
        <v>588</v>
      </c>
      <c r="E181" s="219">
        <v>14997.0</v>
      </c>
      <c r="F181" s="220" t="s">
        <v>612</v>
      </c>
      <c r="G181" s="221" t="s">
        <v>369</v>
      </c>
      <c r="H181" s="222" t="s">
        <v>250</v>
      </c>
      <c r="I181" s="221" t="s">
        <v>613</v>
      </c>
      <c r="J181" s="221" t="s">
        <v>390</v>
      </c>
      <c r="K181" s="223">
        <v>4.0</v>
      </c>
      <c r="L181" s="223" t="b">
        <v>1</v>
      </c>
      <c r="M181" s="223" t="s">
        <v>613</v>
      </c>
      <c r="N181" s="223">
        <v>104.28230769230771</v>
      </c>
      <c r="O181" s="224" t="s">
        <v>238</v>
      </c>
      <c r="P181" s="225" t="s">
        <v>155</v>
      </c>
      <c r="Q181" s="225" t="s">
        <v>155</v>
      </c>
      <c r="R181" s="225" t="s">
        <v>155</v>
      </c>
      <c r="S181" s="225" t="s">
        <v>155</v>
      </c>
      <c r="T181" s="226"/>
      <c r="U181" s="227"/>
      <c r="V181" s="109" t="s">
        <v>614</v>
      </c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</row>
    <row r="182" ht="30.0" customHeight="1">
      <c r="A182" s="159"/>
      <c r="B182" s="218" t="s">
        <v>246</v>
      </c>
      <c r="C182" s="218" t="s">
        <v>579</v>
      </c>
      <c r="D182" s="218" t="s">
        <v>588</v>
      </c>
      <c r="E182" s="219">
        <v>14990.0</v>
      </c>
      <c r="F182" s="220" t="s">
        <v>615</v>
      </c>
      <c r="G182" s="221" t="s">
        <v>369</v>
      </c>
      <c r="H182" s="222" t="s">
        <v>250</v>
      </c>
      <c r="I182" s="221" t="s">
        <v>616</v>
      </c>
      <c r="J182" s="221" t="s">
        <v>390</v>
      </c>
      <c r="K182" s="223">
        <v>4.0</v>
      </c>
      <c r="L182" s="223" t="b">
        <v>1</v>
      </c>
      <c r="M182" s="223" t="s">
        <v>616</v>
      </c>
      <c r="N182" s="223">
        <v>167.42935294117646</v>
      </c>
      <c r="O182" s="224" t="s">
        <v>238</v>
      </c>
      <c r="P182" s="225" t="s">
        <v>155</v>
      </c>
      <c r="Q182" s="225" t="s">
        <v>155</v>
      </c>
      <c r="R182" s="225" t="s">
        <v>155</v>
      </c>
      <c r="S182" s="225" t="s">
        <v>155</v>
      </c>
      <c r="T182" s="226"/>
      <c r="U182" s="227"/>
      <c r="V182" s="109" t="s">
        <v>617</v>
      </c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</row>
    <row r="183" ht="30.0" customHeight="1">
      <c r="A183" s="159"/>
      <c r="B183" s="218" t="s">
        <v>246</v>
      </c>
      <c r="C183" s="218" t="s">
        <v>579</v>
      </c>
      <c r="D183" s="218" t="s">
        <v>588</v>
      </c>
      <c r="E183" s="219">
        <v>112068.0</v>
      </c>
      <c r="F183" s="220" t="s">
        <v>618</v>
      </c>
      <c r="G183" s="221" t="s">
        <v>369</v>
      </c>
      <c r="H183" s="221" t="s">
        <v>619</v>
      </c>
      <c r="I183" s="221" t="s">
        <v>620</v>
      </c>
      <c r="J183" s="221" t="s">
        <v>390</v>
      </c>
      <c r="K183" s="223">
        <v>3.0</v>
      </c>
      <c r="L183" s="223" t="b">
        <v>0</v>
      </c>
      <c r="M183" s="223" t="s">
        <v>620</v>
      </c>
      <c r="N183" s="223">
        <v>77.0985396825397</v>
      </c>
      <c r="O183" s="224"/>
      <c r="P183" s="225" t="s">
        <v>155</v>
      </c>
      <c r="Q183" s="225" t="s">
        <v>155</v>
      </c>
      <c r="R183" s="225" t="s">
        <v>155</v>
      </c>
      <c r="S183" s="225" t="s">
        <v>155</v>
      </c>
      <c r="T183" s="226"/>
      <c r="U183" s="227"/>
      <c r="V183" s="52" t="s">
        <v>250</v>
      </c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</row>
    <row r="184" ht="30.0" customHeight="1">
      <c r="A184" s="159"/>
      <c r="B184" s="218" t="s">
        <v>246</v>
      </c>
      <c r="C184" s="218" t="s">
        <v>579</v>
      </c>
      <c r="D184" s="218" t="s">
        <v>588</v>
      </c>
      <c r="E184" s="219">
        <v>14991.0</v>
      </c>
      <c r="F184" s="220" t="s">
        <v>621</v>
      </c>
      <c r="G184" s="221" t="s">
        <v>369</v>
      </c>
      <c r="H184" s="222" t="s">
        <v>250</v>
      </c>
      <c r="I184" s="221" t="s">
        <v>622</v>
      </c>
      <c r="J184" s="221" t="s">
        <v>390</v>
      </c>
      <c r="K184" s="223">
        <v>2.0</v>
      </c>
      <c r="L184" s="223" t="b">
        <v>1</v>
      </c>
      <c r="M184" s="223" t="s">
        <v>622</v>
      </c>
      <c r="N184" s="223">
        <v>51.41846093750001</v>
      </c>
      <c r="O184" s="224" t="s">
        <v>238</v>
      </c>
      <c r="P184" s="225" t="s">
        <v>155</v>
      </c>
      <c r="Q184" s="225" t="s">
        <v>155</v>
      </c>
      <c r="R184" s="225" t="s">
        <v>155</v>
      </c>
      <c r="S184" s="225" t="s">
        <v>155</v>
      </c>
      <c r="T184" s="226"/>
      <c r="U184" s="227"/>
      <c r="V184" s="52" t="s">
        <v>250</v>
      </c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</row>
    <row r="185" ht="30.0" customHeight="1">
      <c r="A185" s="159"/>
      <c r="B185" s="218" t="s">
        <v>246</v>
      </c>
      <c r="C185" s="218" t="s">
        <v>579</v>
      </c>
      <c r="D185" s="218" t="s">
        <v>588</v>
      </c>
      <c r="E185" s="219">
        <v>15058.0</v>
      </c>
      <c r="F185" s="220" t="s">
        <v>623</v>
      </c>
      <c r="G185" s="221" t="s">
        <v>369</v>
      </c>
      <c r="H185" s="221" t="s">
        <v>624</v>
      </c>
      <c r="I185" s="221" t="s">
        <v>625</v>
      </c>
      <c r="J185" s="221" t="s">
        <v>390</v>
      </c>
      <c r="K185" s="223">
        <v>3.0</v>
      </c>
      <c r="L185" s="223" t="b">
        <v>1</v>
      </c>
      <c r="M185" s="223" t="s">
        <v>625</v>
      </c>
      <c r="N185" s="223">
        <v>118.70747999999999</v>
      </c>
      <c r="O185" s="224" t="s">
        <v>238</v>
      </c>
      <c r="P185" s="225" t="s">
        <v>155</v>
      </c>
      <c r="Q185" s="225" t="s">
        <v>155</v>
      </c>
      <c r="R185" s="225" t="s">
        <v>155</v>
      </c>
      <c r="S185" s="225" t="s">
        <v>155</v>
      </c>
      <c r="T185" s="226"/>
      <c r="U185" s="227"/>
      <c r="V185" s="52" t="s">
        <v>250</v>
      </c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</row>
    <row r="186" ht="30.0" customHeight="1">
      <c r="A186" s="159"/>
      <c r="B186" s="218" t="s">
        <v>246</v>
      </c>
      <c r="C186" s="218" t="s">
        <v>579</v>
      </c>
      <c r="D186" s="218" t="s">
        <v>588</v>
      </c>
      <c r="E186" s="219">
        <v>15010.0</v>
      </c>
      <c r="F186" s="220" t="s">
        <v>626</v>
      </c>
      <c r="G186" s="221" t="s">
        <v>369</v>
      </c>
      <c r="H186" s="222" t="s">
        <v>250</v>
      </c>
      <c r="I186" s="221" t="s">
        <v>334</v>
      </c>
      <c r="J186" s="221" t="s">
        <v>390</v>
      </c>
      <c r="K186" s="223">
        <v>3.0</v>
      </c>
      <c r="L186" s="223" t="b">
        <v>0</v>
      </c>
      <c r="M186" s="223" t="s">
        <v>334</v>
      </c>
      <c r="N186" s="223">
        <v>245.60878571428574</v>
      </c>
      <c r="O186" s="224"/>
      <c r="P186" s="225" t="s">
        <v>155</v>
      </c>
      <c r="Q186" s="225" t="s">
        <v>155</v>
      </c>
      <c r="R186" s="225" t="s">
        <v>155</v>
      </c>
      <c r="S186" s="225" t="s">
        <v>155</v>
      </c>
      <c r="T186" s="226"/>
      <c r="U186" s="227"/>
      <c r="V186" s="52" t="s">
        <v>250</v>
      </c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</row>
    <row r="187" ht="30.0" customHeight="1">
      <c r="A187" s="159"/>
      <c r="B187" s="218" t="s">
        <v>246</v>
      </c>
      <c r="C187" s="218" t="s">
        <v>579</v>
      </c>
      <c r="D187" s="218" t="s">
        <v>588</v>
      </c>
      <c r="E187" s="219">
        <v>141988.0</v>
      </c>
      <c r="F187" s="220" t="s">
        <v>627</v>
      </c>
      <c r="G187" s="221" t="s">
        <v>369</v>
      </c>
      <c r="H187" s="221" t="s">
        <v>628</v>
      </c>
      <c r="I187" s="221" t="s">
        <v>629</v>
      </c>
      <c r="J187" s="221" t="s">
        <v>390</v>
      </c>
      <c r="K187" s="223">
        <v>1.0</v>
      </c>
      <c r="L187" s="223" t="b">
        <v>0</v>
      </c>
      <c r="M187" s="223" t="s">
        <v>629</v>
      </c>
      <c r="N187" s="223">
        <v>39.673028571428574</v>
      </c>
      <c r="O187" s="224"/>
      <c r="P187" s="225" t="s">
        <v>155</v>
      </c>
      <c r="Q187" s="225" t="s">
        <v>155</v>
      </c>
      <c r="R187" s="230"/>
      <c r="S187" s="230"/>
      <c r="T187" s="229" t="s">
        <v>630</v>
      </c>
      <c r="U187" s="227"/>
      <c r="V187" s="52" t="s">
        <v>250</v>
      </c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</row>
    <row r="188" ht="30.0" customHeight="1">
      <c r="A188" s="159"/>
      <c r="B188" s="218" t="s">
        <v>246</v>
      </c>
      <c r="C188" s="218" t="s">
        <v>579</v>
      </c>
      <c r="D188" s="218" t="s">
        <v>588</v>
      </c>
      <c r="E188" s="219">
        <v>15051.0</v>
      </c>
      <c r="F188" s="220" t="s">
        <v>631</v>
      </c>
      <c r="G188" s="221" t="s">
        <v>369</v>
      </c>
      <c r="H188" s="221" t="s">
        <v>632</v>
      </c>
      <c r="I188" s="221" t="s">
        <v>633</v>
      </c>
      <c r="J188" s="221" t="s">
        <v>390</v>
      </c>
      <c r="K188" s="223">
        <v>4.0</v>
      </c>
      <c r="L188" s="223" t="b">
        <v>1</v>
      </c>
      <c r="M188" s="223" t="s">
        <v>633</v>
      </c>
      <c r="N188" s="223">
        <v>68.59363503649638</v>
      </c>
      <c r="O188" s="224"/>
      <c r="P188" s="225" t="s">
        <v>155</v>
      </c>
      <c r="Q188" s="225" t="s">
        <v>155</v>
      </c>
      <c r="R188" s="225" t="s">
        <v>155</v>
      </c>
      <c r="S188" s="225" t="s">
        <v>155</v>
      </c>
      <c r="T188" s="226"/>
      <c r="U188" s="227"/>
      <c r="V188" s="109" t="s">
        <v>634</v>
      </c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</row>
    <row r="189" ht="30.0" customHeight="1">
      <c r="A189" s="159"/>
      <c r="B189" s="218" t="s">
        <v>246</v>
      </c>
      <c r="C189" s="218" t="s">
        <v>579</v>
      </c>
      <c r="D189" s="218" t="s">
        <v>588</v>
      </c>
      <c r="E189" s="219">
        <v>14995.0</v>
      </c>
      <c r="F189" s="220" t="s">
        <v>635</v>
      </c>
      <c r="G189" s="221" t="s">
        <v>369</v>
      </c>
      <c r="H189" s="221" t="s">
        <v>636</v>
      </c>
      <c r="I189" s="221" t="s">
        <v>637</v>
      </c>
      <c r="J189" s="221" t="s">
        <v>390</v>
      </c>
      <c r="K189" s="223">
        <v>2.0</v>
      </c>
      <c r="L189" s="223" t="b">
        <v>1</v>
      </c>
      <c r="M189" s="223" t="s">
        <v>637</v>
      </c>
      <c r="N189" s="223">
        <v>281.8230469798658</v>
      </c>
      <c r="O189" s="224" t="s">
        <v>238</v>
      </c>
      <c r="P189" s="225" t="s">
        <v>155</v>
      </c>
      <c r="Q189" s="225" t="s">
        <v>155</v>
      </c>
      <c r="R189" s="225" t="s">
        <v>155</v>
      </c>
      <c r="S189" s="225" t="s">
        <v>155</v>
      </c>
      <c r="T189" s="226"/>
      <c r="U189" s="227"/>
      <c r="V189" s="109" t="s">
        <v>638</v>
      </c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</row>
    <row r="190" ht="30.0" customHeight="1">
      <c r="A190" s="159"/>
      <c r="B190" s="218" t="s">
        <v>246</v>
      </c>
      <c r="C190" s="218" t="s">
        <v>579</v>
      </c>
      <c r="D190" s="218" t="s">
        <v>588</v>
      </c>
      <c r="E190" s="219">
        <v>14994.0</v>
      </c>
      <c r="F190" s="220" t="s">
        <v>639</v>
      </c>
      <c r="G190" s="221" t="s">
        <v>369</v>
      </c>
      <c r="H190" s="222" t="s">
        <v>250</v>
      </c>
      <c r="I190" s="221" t="s">
        <v>349</v>
      </c>
      <c r="J190" s="221" t="s">
        <v>390</v>
      </c>
      <c r="K190" s="223">
        <v>4.0</v>
      </c>
      <c r="L190" s="223" t="b">
        <v>1</v>
      </c>
      <c r="M190" s="223" t="s">
        <v>349</v>
      </c>
      <c r="N190" s="223">
        <v>86.39738181818178</v>
      </c>
      <c r="O190" s="224" t="s">
        <v>238</v>
      </c>
      <c r="P190" s="225" t="s">
        <v>155</v>
      </c>
      <c r="Q190" s="225" t="s">
        <v>155</v>
      </c>
      <c r="R190" s="225" t="s">
        <v>155</v>
      </c>
      <c r="S190" s="225" t="s">
        <v>155</v>
      </c>
      <c r="T190" s="226"/>
      <c r="U190" s="227"/>
      <c r="V190" s="52" t="s">
        <v>250</v>
      </c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</row>
    <row r="191" ht="30.0" customHeight="1">
      <c r="A191" s="159"/>
      <c r="B191" s="218" t="s">
        <v>246</v>
      </c>
      <c r="C191" s="218" t="s">
        <v>579</v>
      </c>
      <c r="D191" s="218" t="s">
        <v>588</v>
      </c>
      <c r="E191" s="219">
        <v>14993.0</v>
      </c>
      <c r="F191" s="220" t="s">
        <v>640</v>
      </c>
      <c r="G191" s="221" t="s">
        <v>369</v>
      </c>
      <c r="H191" s="222" t="s">
        <v>250</v>
      </c>
      <c r="I191" s="221" t="s">
        <v>269</v>
      </c>
      <c r="J191" s="221" t="s">
        <v>390</v>
      </c>
      <c r="K191" s="223">
        <v>3.0</v>
      </c>
      <c r="L191" s="223" t="b">
        <v>0</v>
      </c>
      <c r="M191" s="223" t="s">
        <v>269</v>
      </c>
      <c r="N191" s="223">
        <v>65.39645341614906</v>
      </c>
      <c r="O191" s="224" t="s">
        <v>238</v>
      </c>
      <c r="P191" s="225" t="s">
        <v>155</v>
      </c>
      <c r="Q191" s="225" t="s">
        <v>155</v>
      </c>
      <c r="R191" s="225" t="s">
        <v>155</v>
      </c>
      <c r="S191" s="225" t="s">
        <v>155</v>
      </c>
      <c r="T191" s="226"/>
      <c r="U191" s="227"/>
      <c r="V191" s="109" t="s">
        <v>641</v>
      </c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</row>
    <row r="192" ht="30.0" customHeight="1">
      <c r="A192" s="159"/>
      <c r="B192" s="218" t="s">
        <v>246</v>
      </c>
      <c r="C192" s="218" t="s">
        <v>579</v>
      </c>
      <c r="D192" s="218" t="s">
        <v>588</v>
      </c>
      <c r="E192" s="219">
        <v>15047.0</v>
      </c>
      <c r="F192" s="220" t="s">
        <v>642</v>
      </c>
      <c r="G192" s="221" t="s">
        <v>369</v>
      </c>
      <c r="H192" s="222" t="s">
        <v>250</v>
      </c>
      <c r="I192" s="221" t="s">
        <v>643</v>
      </c>
      <c r="J192" s="221" t="s">
        <v>390</v>
      </c>
      <c r="K192" s="223">
        <v>3.0</v>
      </c>
      <c r="L192" s="223" t="b">
        <v>1</v>
      </c>
      <c r="M192" s="223" t="s">
        <v>643</v>
      </c>
      <c r="N192" s="223">
        <v>222.07558598726115</v>
      </c>
      <c r="O192" s="224" t="s">
        <v>238</v>
      </c>
      <c r="P192" s="225" t="s">
        <v>155</v>
      </c>
      <c r="Q192" s="225" t="s">
        <v>155</v>
      </c>
      <c r="R192" s="225" t="s">
        <v>155</v>
      </c>
      <c r="S192" s="225" t="s">
        <v>155</v>
      </c>
      <c r="T192" s="226"/>
      <c r="U192" s="227"/>
      <c r="V192" s="52" t="s">
        <v>250</v>
      </c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</row>
    <row r="193" ht="30.0" customHeight="1">
      <c r="A193" s="159"/>
      <c r="B193" s="218" t="s">
        <v>246</v>
      </c>
      <c r="C193" s="218" t="s">
        <v>579</v>
      </c>
      <c r="D193" s="218" t="s">
        <v>588</v>
      </c>
      <c r="E193" s="219">
        <v>109653.0</v>
      </c>
      <c r="F193" s="220" t="s">
        <v>644</v>
      </c>
      <c r="G193" s="221" t="s">
        <v>369</v>
      </c>
      <c r="H193" s="221" t="s">
        <v>645</v>
      </c>
      <c r="I193" s="221" t="s">
        <v>646</v>
      </c>
      <c r="J193" s="221" t="s">
        <v>390</v>
      </c>
      <c r="K193" s="223">
        <v>2.0</v>
      </c>
      <c r="L193" s="223" t="b">
        <v>1</v>
      </c>
      <c r="M193" s="223" t="s">
        <v>646</v>
      </c>
      <c r="N193" s="223">
        <v>84.33373611111114</v>
      </c>
      <c r="O193" s="224"/>
      <c r="P193" s="225" t="s">
        <v>155</v>
      </c>
      <c r="Q193" s="225" t="s">
        <v>155</v>
      </c>
      <c r="R193" s="225" t="s">
        <v>155</v>
      </c>
      <c r="S193" s="225" t="s">
        <v>155</v>
      </c>
      <c r="T193" s="226"/>
      <c r="U193" s="227"/>
      <c r="V193" s="52" t="s">
        <v>250</v>
      </c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</row>
    <row r="194" ht="30.0" customHeight="1">
      <c r="A194" s="159"/>
      <c r="B194" s="218" t="s">
        <v>246</v>
      </c>
      <c r="C194" s="218" t="s">
        <v>579</v>
      </c>
      <c r="D194" s="218" t="s">
        <v>647</v>
      </c>
      <c r="E194" s="219">
        <v>16981.0</v>
      </c>
      <c r="F194" s="220" t="s">
        <v>648</v>
      </c>
      <c r="G194" s="221" t="s">
        <v>369</v>
      </c>
      <c r="H194" s="222" t="s">
        <v>250</v>
      </c>
      <c r="I194" s="221" t="s">
        <v>649</v>
      </c>
      <c r="J194" s="221" t="s">
        <v>390</v>
      </c>
      <c r="K194" s="223">
        <v>3.0</v>
      </c>
      <c r="L194" s="223" t="b">
        <v>1</v>
      </c>
      <c r="M194" s="223" t="s">
        <v>649</v>
      </c>
      <c r="N194" s="223">
        <v>53.310500000000005</v>
      </c>
      <c r="O194" s="224" t="s">
        <v>238</v>
      </c>
      <c r="P194" s="225" t="s">
        <v>155</v>
      </c>
      <c r="Q194" s="225" t="s">
        <v>155</v>
      </c>
      <c r="R194" s="225" t="s">
        <v>155</v>
      </c>
      <c r="S194" s="225" t="s">
        <v>155</v>
      </c>
      <c r="T194" s="226"/>
      <c r="U194" s="227"/>
      <c r="V194" s="52" t="s">
        <v>250</v>
      </c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</row>
    <row r="195" ht="30.0" customHeight="1">
      <c r="A195" s="159"/>
      <c r="B195" s="218" t="s">
        <v>246</v>
      </c>
      <c r="C195" s="218" t="s">
        <v>579</v>
      </c>
      <c r="D195" s="218" t="s">
        <v>647</v>
      </c>
      <c r="E195" s="219">
        <v>12748.0</v>
      </c>
      <c r="F195" s="220" t="s">
        <v>650</v>
      </c>
      <c r="G195" s="221" t="s">
        <v>369</v>
      </c>
      <c r="H195" s="222" t="s">
        <v>250</v>
      </c>
      <c r="I195" s="221" t="s">
        <v>42</v>
      </c>
      <c r="J195" s="221" t="s">
        <v>390</v>
      </c>
      <c r="K195" s="223">
        <v>3.0</v>
      </c>
      <c r="L195" s="223" t="b">
        <v>0</v>
      </c>
      <c r="M195" s="223" t="s">
        <v>42</v>
      </c>
      <c r="N195" s="223">
        <v>10.456436363636364</v>
      </c>
      <c r="O195" s="224"/>
      <c r="P195" s="230"/>
      <c r="Q195" s="225" t="s">
        <v>155</v>
      </c>
      <c r="R195" s="225" t="s">
        <v>155</v>
      </c>
      <c r="S195" s="230"/>
      <c r="T195" s="229" t="s">
        <v>651</v>
      </c>
      <c r="U195" s="227"/>
      <c r="V195" s="52" t="s">
        <v>250</v>
      </c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</row>
    <row r="196" ht="30.0" customHeight="1">
      <c r="A196" s="159"/>
      <c r="B196" s="218" t="s">
        <v>246</v>
      </c>
      <c r="C196" s="218" t="s">
        <v>579</v>
      </c>
      <c r="D196" s="218" t="s">
        <v>647</v>
      </c>
      <c r="E196" s="219">
        <v>27418.0</v>
      </c>
      <c r="F196" s="220" t="s">
        <v>652</v>
      </c>
      <c r="G196" s="221" t="s">
        <v>369</v>
      </c>
      <c r="H196" s="222" t="s">
        <v>250</v>
      </c>
      <c r="I196" s="221" t="s">
        <v>42</v>
      </c>
      <c r="J196" s="221" t="s">
        <v>390</v>
      </c>
      <c r="K196" s="223">
        <v>3.0</v>
      </c>
      <c r="L196" s="223" t="b">
        <v>1</v>
      </c>
      <c r="M196" s="223" t="s">
        <v>42</v>
      </c>
      <c r="N196" s="223">
        <v>10.49761111111111</v>
      </c>
      <c r="O196" s="224"/>
      <c r="P196" s="225" t="s">
        <v>155</v>
      </c>
      <c r="Q196" s="225" t="s">
        <v>155</v>
      </c>
      <c r="R196" s="225" t="s">
        <v>155</v>
      </c>
      <c r="S196" s="225" t="s">
        <v>155</v>
      </c>
      <c r="T196" s="226"/>
      <c r="U196" s="227"/>
      <c r="V196" s="52" t="s">
        <v>250</v>
      </c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</row>
    <row r="197" ht="30.0" customHeight="1">
      <c r="A197" s="159"/>
      <c r="B197" s="218" t="s">
        <v>246</v>
      </c>
      <c r="C197" s="218" t="s">
        <v>579</v>
      </c>
      <c r="D197" s="218" t="s">
        <v>647</v>
      </c>
      <c r="E197" s="219">
        <v>47179.0</v>
      </c>
      <c r="F197" s="220" t="s">
        <v>653</v>
      </c>
      <c r="G197" s="221" t="s">
        <v>369</v>
      </c>
      <c r="H197" s="222" t="s">
        <v>250</v>
      </c>
      <c r="I197" s="221" t="s">
        <v>389</v>
      </c>
      <c r="J197" s="221" t="s">
        <v>390</v>
      </c>
      <c r="K197" s="223">
        <v>2.0</v>
      </c>
      <c r="L197" s="223" t="b">
        <v>1</v>
      </c>
      <c r="M197" s="223" t="s">
        <v>389</v>
      </c>
      <c r="N197" s="223">
        <v>26.036492063492055</v>
      </c>
      <c r="O197" s="224"/>
      <c r="P197" s="225" t="s">
        <v>155</v>
      </c>
      <c r="Q197" s="225" t="s">
        <v>155</v>
      </c>
      <c r="R197" s="225" t="s">
        <v>155</v>
      </c>
      <c r="S197" s="225" t="s">
        <v>155</v>
      </c>
      <c r="T197" s="226"/>
      <c r="U197" s="227"/>
      <c r="V197" s="52" t="s">
        <v>250</v>
      </c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</row>
    <row r="198" ht="30.0" customHeight="1">
      <c r="A198" s="159"/>
      <c r="B198" s="218" t="s">
        <v>246</v>
      </c>
      <c r="C198" s="218" t="s">
        <v>579</v>
      </c>
      <c r="D198" s="218" t="s">
        <v>647</v>
      </c>
      <c r="E198" s="219">
        <v>43853.0</v>
      </c>
      <c r="F198" s="220" t="s">
        <v>654</v>
      </c>
      <c r="G198" s="221" t="s">
        <v>369</v>
      </c>
      <c r="H198" s="222" t="s">
        <v>250</v>
      </c>
      <c r="I198" s="221" t="s">
        <v>42</v>
      </c>
      <c r="J198" s="221" t="s">
        <v>390</v>
      </c>
      <c r="K198" s="223">
        <v>2.0</v>
      </c>
      <c r="L198" s="223" t="b">
        <v>1</v>
      </c>
      <c r="M198" s="223" t="s">
        <v>42</v>
      </c>
      <c r="N198" s="223">
        <v>11.69012820512821</v>
      </c>
      <c r="O198" s="224" t="s">
        <v>238</v>
      </c>
      <c r="P198" s="225" t="s">
        <v>155</v>
      </c>
      <c r="Q198" s="225" t="s">
        <v>155</v>
      </c>
      <c r="R198" s="225" t="s">
        <v>155</v>
      </c>
      <c r="S198" s="225" t="s">
        <v>155</v>
      </c>
      <c r="T198" s="226"/>
      <c r="U198" s="227"/>
      <c r="V198" s="52" t="s">
        <v>250</v>
      </c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</row>
    <row r="199" ht="30.0" customHeight="1">
      <c r="A199" s="159"/>
      <c r="B199" s="218" t="s">
        <v>246</v>
      </c>
      <c r="C199" s="218" t="s">
        <v>579</v>
      </c>
      <c r="D199" s="218" t="s">
        <v>647</v>
      </c>
      <c r="E199" s="219">
        <v>27417.0</v>
      </c>
      <c r="F199" s="220" t="s">
        <v>655</v>
      </c>
      <c r="G199" s="221" t="s">
        <v>369</v>
      </c>
      <c r="H199" s="222" t="s">
        <v>250</v>
      </c>
      <c r="I199" s="221" t="s">
        <v>42</v>
      </c>
      <c r="J199" s="221" t="s">
        <v>390</v>
      </c>
      <c r="K199" s="223">
        <v>3.0</v>
      </c>
      <c r="L199" s="223" t="b">
        <v>0</v>
      </c>
      <c r="M199" s="223" t="s">
        <v>42</v>
      </c>
      <c r="N199" s="223">
        <v>10.770439393939393</v>
      </c>
      <c r="O199" s="224"/>
      <c r="P199" s="225" t="s">
        <v>155</v>
      </c>
      <c r="Q199" s="225" t="s">
        <v>155</v>
      </c>
      <c r="R199" s="225" t="s">
        <v>155</v>
      </c>
      <c r="S199" s="225" t="s">
        <v>155</v>
      </c>
      <c r="T199" s="226"/>
      <c r="U199" s="227"/>
      <c r="V199" s="52" t="s">
        <v>250</v>
      </c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</row>
    <row r="200" ht="30.0" customHeight="1">
      <c r="A200" s="159"/>
      <c r="B200" s="218" t="s">
        <v>246</v>
      </c>
      <c r="C200" s="218" t="s">
        <v>579</v>
      </c>
      <c r="D200" s="218" t="s">
        <v>647</v>
      </c>
      <c r="E200" s="219">
        <v>28302.0</v>
      </c>
      <c r="F200" s="220" t="s">
        <v>656</v>
      </c>
      <c r="G200" s="221" t="s">
        <v>369</v>
      </c>
      <c r="H200" s="222" t="s">
        <v>250</v>
      </c>
      <c r="I200" s="221" t="s">
        <v>42</v>
      </c>
      <c r="J200" s="222" t="s">
        <v>250</v>
      </c>
      <c r="K200" s="223">
        <v>3.0</v>
      </c>
      <c r="L200" s="223" t="b">
        <v>0</v>
      </c>
      <c r="M200" s="228"/>
      <c r="N200" s="228"/>
      <c r="O200" s="224"/>
      <c r="P200" s="230"/>
      <c r="Q200" s="230"/>
      <c r="R200" s="230"/>
      <c r="S200" s="225" t="s">
        <v>155</v>
      </c>
      <c r="T200" s="229" t="s">
        <v>418</v>
      </c>
      <c r="U200" s="227"/>
      <c r="V200" s="52" t="s">
        <v>250</v>
      </c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</row>
    <row r="201" ht="30.0" customHeight="1">
      <c r="A201" s="159"/>
      <c r="B201" s="218" t="s">
        <v>246</v>
      </c>
      <c r="C201" s="218" t="s">
        <v>579</v>
      </c>
      <c r="D201" s="218" t="s">
        <v>647</v>
      </c>
      <c r="E201" s="219">
        <v>15057.0</v>
      </c>
      <c r="F201" s="220" t="s">
        <v>657</v>
      </c>
      <c r="G201" s="221" t="s">
        <v>369</v>
      </c>
      <c r="H201" s="222" t="s">
        <v>250</v>
      </c>
      <c r="I201" s="221" t="s">
        <v>42</v>
      </c>
      <c r="J201" s="221" t="s">
        <v>658</v>
      </c>
      <c r="K201" s="223">
        <v>4.0</v>
      </c>
      <c r="L201" s="223" t="b">
        <v>0</v>
      </c>
      <c r="M201" s="223" t="s">
        <v>659</v>
      </c>
      <c r="N201" s="223">
        <v>188.75389062499997</v>
      </c>
      <c r="O201" s="224"/>
      <c r="P201" s="225" t="s">
        <v>155</v>
      </c>
      <c r="Q201" s="225" t="s">
        <v>155</v>
      </c>
      <c r="R201" s="225" t="s">
        <v>155</v>
      </c>
      <c r="S201" s="225" t="s">
        <v>155</v>
      </c>
      <c r="T201" s="226"/>
      <c r="U201" s="227"/>
      <c r="V201" s="109" t="s">
        <v>660</v>
      </c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</row>
    <row r="202" ht="30.0" customHeight="1">
      <c r="A202" s="159"/>
      <c r="B202" s="218" t="s">
        <v>246</v>
      </c>
      <c r="C202" s="218" t="s">
        <v>579</v>
      </c>
      <c r="D202" s="218" t="s">
        <v>647</v>
      </c>
      <c r="E202" s="219">
        <v>15081.0</v>
      </c>
      <c r="F202" s="220" t="s">
        <v>661</v>
      </c>
      <c r="G202" s="221" t="s">
        <v>369</v>
      </c>
      <c r="H202" s="221" t="s">
        <v>376</v>
      </c>
      <c r="I202" s="221" t="s">
        <v>662</v>
      </c>
      <c r="J202" s="221" t="s">
        <v>390</v>
      </c>
      <c r="K202" s="223">
        <v>4.0</v>
      </c>
      <c r="L202" s="223" t="b">
        <v>1</v>
      </c>
      <c r="M202" s="223" t="s">
        <v>662</v>
      </c>
      <c r="N202" s="223">
        <v>48.0553125</v>
      </c>
      <c r="O202" s="224"/>
      <c r="P202" s="225" t="s">
        <v>155</v>
      </c>
      <c r="Q202" s="225" t="s">
        <v>155</v>
      </c>
      <c r="R202" s="225" t="s">
        <v>155</v>
      </c>
      <c r="S202" s="225" t="s">
        <v>155</v>
      </c>
      <c r="T202" s="226"/>
      <c r="U202" s="227"/>
      <c r="V202" s="52" t="s">
        <v>250</v>
      </c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</row>
    <row r="203" ht="30.0" customHeight="1">
      <c r="A203" s="159"/>
      <c r="B203" s="218" t="s">
        <v>246</v>
      </c>
      <c r="C203" s="218" t="s">
        <v>579</v>
      </c>
      <c r="D203" s="218" t="s">
        <v>647</v>
      </c>
      <c r="E203" s="219">
        <v>11745.0</v>
      </c>
      <c r="F203" s="220" t="s">
        <v>663</v>
      </c>
      <c r="G203" s="221" t="s">
        <v>369</v>
      </c>
      <c r="H203" s="221" t="s">
        <v>664</v>
      </c>
      <c r="I203" s="221" t="s">
        <v>665</v>
      </c>
      <c r="J203" s="221" t="s">
        <v>390</v>
      </c>
      <c r="K203" s="223">
        <v>2.0</v>
      </c>
      <c r="L203" s="223" t="b">
        <v>1</v>
      </c>
      <c r="M203" s="223" t="s">
        <v>665</v>
      </c>
      <c r="N203" s="223">
        <v>41.19765957446808</v>
      </c>
      <c r="O203" s="224"/>
      <c r="P203" s="225" t="s">
        <v>155</v>
      </c>
      <c r="Q203" s="225" t="s">
        <v>155</v>
      </c>
      <c r="R203" s="225" t="s">
        <v>155</v>
      </c>
      <c r="S203" s="225" t="s">
        <v>155</v>
      </c>
      <c r="T203" s="226"/>
      <c r="U203" s="227"/>
      <c r="V203" s="52" t="s">
        <v>250</v>
      </c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</row>
    <row r="204" ht="30.0" customHeight="1">
      <c r="A204" s="159"/>
      <c r="B204" s="218" t="s">
        <v>246</v>
      </c>
      <c r="C204" s="218" t="s">
        <v>579</v>
      </c>
      <c r="D204" s="218" t="s">
        <v>647</v>
      </c>
      <c r="E204" s="219">
        <v>18536.0</v>
      </c>
      <c r="F204" s="220" t="s">
        <v>666</v>
      </c>
      <c r="G204" s="221" t="s">
        <v>369</v>
      </c>
      <c r="H204" s="222" t="s">
        <v>250</v>
      </c>
      <c r="I204" s="221" t="s">
        <v>42</v>
      </c>
      <c r="J204" s="221" t="s">
        <v>658</v>
      </c>
      <c r="K204" s="223">
        <v>3.0</v>
      </c>
      <c r="L204" s="223" t="b">
        <v>1</v>
      </c>
      <c r="M204" s="223" t="s">
        <v>42</v>
      </c>
      <c r="N204" s="223">
        <v>9.695500000000001</v>
      </c>
      <c r="O204" s="224"/>
      <c r="P204" s="225" t="s">
        <v>155</v>
      </c>
      <c r="Q204" s="225" t="s">
        <v>155</v>
      </c>
      <c r="R204" s="225" t="s">
        <v>155</v>
      </c>
      <c r="S204" s="225" t="s">
        <v>155</v>
      </c>
      <c r="T204" s="226"/>
      <c r="U204" s="227"/>
      <c r="V204" s="109" t="s">
        <v>667</v>
      </c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</row>
    <row r="205" ht="30.0" customHeight="1">
      <c r="A205" s="159"/>
      <c r="B205" s="218" t="s">
        <v>246</v>
      </c>
      <c r="C205" s="218" t="s">
        <v>579</v>
      </c>
      <c r="D205" s="218" t="s">
        <v>647</v>
      </c>
      <c r="E205" s="219">
        <v>30013.0</v>
      </c>
      <c r="F205" s="220" t="s">
        <v>668</v>
      </c>
      <c r="G205" s="221" t="s">
        <v>369</v>
      </c>
      <c r="H205" s="222" t="s">
        <v>250</v>
      </c>
      <c r="I205" s="221" t="s">
        <v>42</v>
      </c>
      <c r="J205" s="221" t="s">
        <v>390</v>
      </c>
      <c r="K205" s="223">
        <v>2.0</v>
      </c>
      <c r="L205" s="223" t="b">
        <v>1</v>
      </c>
      <c r="M205" s="223" t="s">
        <v>42</v>
      </c>
      <c r="N205" s="223">
        <v>14.047500000000001</v>
      </c>
      <c r="O205" s="224"/>
      <c r="P205" s="225" t="s">
        <v>155</v>
      </c>
      <c r="Q205" s="225" t="s">
        <v>155</v>
      </c>
      <c r="R205" s="225" t="s">
        <v>155</v>
      </c>
      <c r="S205" s="225" t="s">
        <v>155</v>
      </c>
      <c r="T205" s="226"/>
      <c r="U205" s="227"/>
      <c r="V205" s="52" t="s">
        <v>250</v>
      </c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</row>
    <row r="206" ht="30.0" customHeight="1">
      <c r="A206" s="209"/>
      <c r="B206" s="209" t="s">
        <v>669</v>
      </c>
      <c r="C206" s="211"/>
      <c r="D206" s="211"/>
      <c r="E206" s="212"/>
      <c r="F206" s="213"/>
      <c r="G206" s="213"/>
      <c r="H206" s="213"/>
      <c r="I206" s="212"/>
      <c r="J206" s="212"/>
      <c r="K206" s="214"/>
      <c r="L206" s="214"/>
      <c r="M206" s="214"/>
      <c r="N206" s="214"/>
      <c r="O206" s="215"/>
      <c r="P206" s="216"/>
      <c r="Q206" s="216"/>
      <c r="R206" s="216"/>
      <c r="S206" s="216"/>
      <c r="T206" s="217"/>
      <c r="U206" s="217"/>
      <c r="V206" s="217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</row>
    <row r="207" ht="30.0" customHeight="1">
      <c r="A207" s="159"/>
      <c r="B207" s="218" t="s">
        <v>246</v>
      </c>
      <c r="C207" s="218" t="s">
        <v>670</v>
      </c>
      <c r="D207" s="218" t="s">
        <v>669</v>
      </c>
      <c r="E207" s="219">
        <v>15231.0</v>
      </c>
      <c r="F207" s="220" t="s">
        <v>671</v>
      </c>
      <c r="G207" s="221" t="s">
        <v>249</v>
      </c>
      <c r="H207" s="222" t="s">
        <v>250</v>
      </c>
      <c r="I207" s="221" t="s">
        <v>455</v>
      </c>
      <c r="J207" s="222" t="s">
        <v>250</v>
      </c>
      <c r="K207" s="223">
        <v>2.0</v>
      </c>
      <c r="L207" s="223" t="b">
        <v>0</v>
      </c>
      <c r="M207" s="223" t="s">
        <v>455</v>
      </c>
      <c r="N207" s="223">
        <v>42.89325</v>
      </c>
      <c r="O207" s="224"/>
      <c r="P207" s="225" t="s">
        <v>155</v>
      </c>
      <c r="Q207" s="225" t="s">
        <v>155</v>
      </c>
      <c r="R207" s="225" t="s">
        <v>155</v>
      </c>
      <c r="S207" s="225" t="s">
        <v>155</v>
      </c>
      <c r="T207" s="229" t="s">
        <v>630</v>
      </c>
      <c r="U207" s="227"/>
      <c r="V207" s="109" t="s">
        <v>672</v>
      </c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</row>
    <row r="208" ht="30.0" customHeight="1">
      <c r="A208" s="159"/>
      <c r="B208" s="218" t="s">
        <v>246</v>
      </c>
      <c r="C208" s="218" t="s">
        <v>670</v>
      </c>
      <c r="D208" s="218" t="s">
        <v>669</v>
      </c>
      <c r="E208" s="219">
        <v>43759.0</v>
      </c>
      <c r="F208" s="220" t="s">
        <v>673</v>
      </c>
      <c r="G208" s="221" t="s">
        <v>249</v>
      </c>
      <c r="H208" s="222" t="s">
        <v>250</v>
      </c>
      <c r="I208" s="221" t="s">
        <v>42</v>
      </c>
      <c r="J208" s="222" t="s">
        <v>250</v>
      </c>
      <c r="K208" s="223">
        <v>1.0</v>
      </c>
      <c r="L208" s="223" t="b">
        <v>0</v>
      </c>
      <c r="M208" s="228"/>
      <c r="N208" s="228"/>
      <c r="O208" s="224"/>
      <c r="P208" s="225" t="s">
        <v>155</v>
      </c>
      <c r="Q208" s="225" t="s">
        <v>155</v>
      </c>
      <c r="R208" s="225" t="s">
        <v>155</v>
      </c>
      <c r="S208" s="225" t="s">
        <v>155</v>
      </c>
      <c r="T208" s="226"/>
      <c r="U208" s="227"/>
      <c r="V208" s="109" t="s">
        <v>674</v>
      </c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</row>
    <row r="209" ht="30.0" customHeight="1">
      <c r="A209" s="159"/>
      <c r="B209" s="218" t="s">
        <v>246</v>
      </c>
      <c r="C209" s="218" t="s">
        <v>670</v>
      </c>
      <c r="D209" s="218" t="s">
        <v>669</v>
      </c>
      <c r="E209" s="219">
        <v>15182.0</v>
      </c>
      <c r="F209" s="220" t="s">
        <v>675</v>
      </c>
      <c r="G209" s="221" t="s">
        <v>249</v>
      </c>
      <c r="H209" s="222" t="s">
        <v>250</v>
      </c>
      <c r="I209" s="221" t="s">
        <v>676</v>
      </c>
      <c r="J209" s="222" t="s">
        <v>250</v>
      </c>
      <c r="K209" s="223">
        <v>3.0</v>
      </c>
      <c r="L209" s="223" t="b">
        <v>1</v>
      </c>
      <c r="M209" s="223" t="s">
        <v>676</v>
      </c>
      <c r="N209" s="223">
        <v>90.82064705882351</v>
      </c>
      <c r="O209" s="224" t="s">
        <v>238</v>
      </c>
      <c r="P209" s="225" t="s">
        <v>155</v>
      </c>
      <c r="Q209" s="225" t="s">
        <v>155</v>
      </c>
      <c r="R209" s="225" t="s">
        <v>155</v>
      </c>
      <c r="S209" s="225" t="s">
        <v>155</v>
      </c>
      <c r="T209" s="226"/>
      <c r="U209" s="227"/>
      <c r="V209" s="52" t="s">
        <v>250</v>
      </c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</row>
    <row r="210" ht="30.0" customHeight="1">
      <c r="A210" s="159"/>
      <c r="B210" s="218" t="s">
        <v>246</v>
      </c>
      <c r="C210" s="218" t="s">
        <v>670</v>
      </c>
      <c r="D210" s="218" t="s">
        <v>669</v>
      </c>
      <c r="E210" s="219">
        <v>19448.0</v>
      </c>
      <c r="F210" s="220" t="s">
        <v>677</v>
      </c>
      <c r="G210" s="221" t="s">
        <v>249</v>
      </c>
      <c r="H210" s="222" t="s">
        <v>250</v>
      </c>
      <c r="I210" s="221" t="s">
        <v>42</v>
      </c>
      <c r="J210" s="222" t="s">
        <v>250</v>
      </c>
      <c r="K210" s="223">
        <v>4.0</v>
      </c>
      <c r="L210" s="223" t="b">
        <v>1</v>
      </c>
      <c r="M210" s="223" t="s">
        <v>42</v>
      </c>
      <c r="N210" s="223">
        <v>4.519727272727272</v>
      </c>
      <c r="O210" s="224" t="s">
        <v>238</v>
      </c>
      <c r="P210" s="225" t="s">
        <v>155</v>
      </c>
      <c r="Q210" s="225" t="s">
        <v>155</v>
      </c>
      <c r="R210" s="225" t="s">
        <v>155</v>
      </c>
      <c r="S210" s="225" t="s">
        <v>155</v>
      </c>
      <c r="T210" s="226"/>
      <c r="U210" s="227"/>
      <c r="V210" s="109" t="s">
        <v>678</v>
      </c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</row>
    <row r="211" ht="30.0" customHeight="1">
      <c r="A211" s="159"/>
      <c r="B211" s="218" t="s">
        <v>246</v>
      </c>
      <c r="C211" s="218" t="s">
        <v>670</v>
      </c>
      <c r="D211" s="218" t="s">
        <v>669</v>
      </c>
      <c r="E211" s="219">
        <v>141634.0</v>
      </c>
      <c r="F211" s="220" t="s">
        <v>679</v>
      </c>
      <c r="G211" s="221" t="s">
        <v>249</v>
      </c>
      <c r="H211" s="222" t="s">
        <v>250</v>
      </c>
      <c r="I211" s="221" t="s">
        <v>42</v>
      </c>
      <c r="J211" s="222" t="s">
        <v>250</v>
      </c>
      <c r="K211" s="223">
        <v>4.0</v>
      </c>
      <c r="L211" s="223" t="b">
        <v>0</v>
      </c>
      <c r="M211" s="228"/>
      <c r="N211" s="228"/>
      <c r="O211" s="224"/>
      <c r="P211" s="225" t="s">
        <v>155</v>
      </c>
      <c r="Q211" s="225" t="s">
        <v>155</v>
      </c>
      <c r="R211" s="225" t="s">
        <v>155</v>
      </c>
      <c r="S211" s="225" t="s">
        <v>155</v>
      </c>
      <c r="T211" s="226"/>
      <c r="U211" s="227"/>
      <c r="V211" s="109" t="s">
        <v>680</v>
      </c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</row>
    <row r="212" ht="30.0" customHeight="1">
      <c r="A212" s="159"/>
      <c r="B212" s="218" t="s">
        <v>246</v>
      </c>
      <c r="C212" s="218" t="s">
        <v>670</v>
      </c>
      <c r="D212" s="218" t="s">
        <v>669</v>
      </c>
      <c r="E212" s="219">
        <v>10325.0</v>
      </c>
      <c r="F212" s="220" t="s">
        <v>681</v>
      </c>
      <c r="G212" s="221" t="s">
        <v>249</v>
      </c>
      <c r="H212" s="221" t="s">
        <v>682</v>
      </c>
      <c r="I212" s="221" t="s">
        <v>683</v>
      </c>
      <c r="J212" s="221" t="s">
        <v>371</v>
      </c>
      <c r="K212" s="223">
        <v>3.0</v>
      </c>
      <c r="L212" s="223" t="b">
        <v>0</v>
      </c>
      <c r="M212" s="223" t="s">
        <v>683</v>
      </c>
      <c r="N212" s="223">
        <v>144.32458333333332</v>
      </c>
      <c r="O212" s="224"/>
      <c r="P212" s="225" t="s">
        <v>155</v>
      </c>
      <c r="Q212" s="225" t="s">
        <v>155</v>
      </c>
      <c r="R212" s="225" t="s">
        <v>155</v>
      </c>
      <c r="S212" s="225" t="s">
        <v>155</v>
      </c>
      <c r="T212" s="226"/>
      <c r="U212" s="227"/>
      <c r="V212" s="109" t="s">
        <v>684</v>
      </c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</row>
    <row r="213" ht="30.0" customHeight="1">
      <c r="A213" s="159"/>
      <c r="B213" s="218" t="s">
        <v>246</v>
      </c>
      <c r="C213" s="218" t="s">
        <v>670</v>
      </c>
      <c r="D213" s="218" t="s">
        <v>669</v>
      </c>
      <c r="E213" s="219">
        <v>148766.0</v>
      </c>
      <c r="F213" s="220" t="s">
        <v>685</v>
      </c>
      <c r="G213" s="221" t="s">
        <v>249</v>
      </c>
      <c r="H213" s="222" t="s">
        <v>250</v>
      </c>
      <c r="I213" s="221" t="s">
        <v>42</v>
      </c>
      <c r="J213" s="222" t="s">
        <v>250</v>
      </c>
      <c r="K213" s="223">
        <v>0.0</v>
      </c>
      <c r="L213" s="223" t="b">
        <v>0</v>
      </c>
      <c r="M213" s="228"/>
      <c r="N213" s="228"/>
      <c r="O213" s="224"/>
      <c r="P213" s="225" t="s">
        <v>155</v>
      </c>
      <c r="Q213" s="225" t="s">
        <v>155</v>
      </c>
      <c r="R213" s="225" t="s">
        <v>155</v>
      </c>
      <c r="S213" s="225" t="s">
        <v>155</v>
      </c>
      <c r="T213" s="226"/>
      <c r="U213" s="227"/>
      <c r="V213" s="52" t="s">
        <v>250</v>
      </c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</row>
    <row r="214" ht="30.0" customHeight="1">
      <c r="A214" s="159"/>
      <c r="B214" s="218" t="s">
        <v>246</v>
      </c>
      <c r="C214" s="218" t="s">
        <v>670</v>
      </c>
      <c r="D214" s="218" t="s">
        <v>669</v>
      </c>
      <c r="E214" s="219">
        <v>15133.0</v>
      </c>
      <c r="F214" s="220" t="s">
        <v>686</v>
      </c>
      <c r="G214" s="221" t="s">
        <v>249</v>
      </c>
      <c r="H214" s="222" t="s">
        <v>250</v>
      </c>
      <c r="I214" s="221" t="s">
        <v>455</v>
      </c>
      <c r="J214" s="222" t="s">
        <v>250</v>
      </c>
      <c r="K214" s="223">
        <v>4.0</v>
      </c>
      <c r="L214" s="223" t="b">
        <v>1</v>
      </c>
      <c r="M214" s="223" t="s">
        <v>455</v>
      </c>
      <c r="N214" s="223">
        <v>28.513944827586208</v>
      </c>
      <c r="O214" s="224" t="s">
        <v>238</v>
      </c>
      <c r="P214" s="225" t="s">
        <v>155</v>
      </c>
      <c r="Q214" s="225" t="s">
        <v>155</v>
      </c>
      <c r="R214" s="225" t="s">
        <v>155</v>
      </c>
      <c r="S214" s="225" t="s">
        <v>155</v>
      </c>
      <c r="T214" s="226"/>
      <c r="U214" s="227"/>
      <c r="V214" s="109" t="s">
        <v>687</v>
      </c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</row>
    <row r="215" ht="30.0" customHeight="1">
      <c r="A215" s="159"/>
      <c r="B215" s="218" t="s">
        <v>246</v>
      </c>
      <c r="C215" s="218" t="s">
        <v>670</v>
      </c>
      <c r="D215" s="218" t="s">
        <v>669</v>
      </c>
      <c r="E215" s="219">
        <v>102460.0</v>
      </c>
      <c r="F215" s="220" t="s">
        <v>688</v>
      </c>
      <c r="G215" s="221" t="s">
        <v>249</v>
      </c>
      <c r="H215" s="222" t="s">
        <v>250</v>
      </c>
      <c r="I215" s="221" t="s">
        <v>42</v>
      </c>
      <c r="J215" s="221" t="s">
        <v>364</v>
      </c>
      <c r="K215" s="223">
        <v>3.0</v>
      </c>
      <c r="L215" s="223" t="b">
        <v>1</v>
      </c>
      <c r="M215" s="223" t="s">
        <v>42</v>
      </c>
      <c r="N215" s="223">
        <v>2.0648750000000002</v>
      </c>
      <c r="O215" s="224"/>
      <c r="P215" s="225" t="s">
        <v>155</v>
      </c>
      <c r="Q215" s="225" t="s">
        <v>155</v>
      </c>
      <c r="R215" s="225" t="s">
        <v>155</v>
      </c>
      <c r="S215" s="225" t="s">
        <v>155</v>
      </c>
      <c r="T215" s="226"/>
      <c r="U215" s="227"/>
      <c r="V215" s="52" t="s">
        <v>250</v>
      </c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</row>
    <row r="216" ht="30.0" customHeight="1">
      <c r="A216" s="159"/>
      <c r="B216" s="218" t="s">
        <v>246</v>
      </c>
      <c r="C216" s="218" t="s">
        <v>670</v>
      </c>
      <c r="D216" s="218" t="s">
        <v>669</v>
      </c>
      <c r="E216" s="219">
        <v>111794.0</v>
      </c>
      <c r="F216" s="220" t="s">
        <v>689</v>
      </c>
      <c r="G216" s="221" t="s">
        <v>249</v>
      </c>
      <c r="H216" s="221" t="s">
        <v>690</v>
      </c>
      <c r="I216" s="221" t="s">
        <v>691</v>
      </c>
      <c r="J216" s="222" t="s">
        <v>250</v>
      </c>
      <c r="K216" s="223">
        <v>2.0</v>
      </c>
      <c r="L216" s="223" t="b">
        <v>1</v>
      </c>
      <c r="M216" s="223" t="s">
        <v>691</v>
      </c>
      <c r="N216" s="223">
        <v>42.846375</v>
      </c>
      <c r="O216" s="224"/>
      <c r="P216" s="225" t="s">
        <v>155</v>
      </c>
      <c r="Q216" s="225" t="s">
        <v>155</v>
      </c>
      <c r="R216" s="225" t="s">
        <v>155</v>
      </c>
      <c r="S216" s="225" t="s">
        <v>155</v>
      </c>
      <c r="T216" s="226"/>
      <c r="U216" s="227"/>
      <c r="V216" s="52" t="s">
        <v>250</v>
      </c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</row>
    <row r="217" ht="30.0" customHeight="1">
      <c r="A217" s="159"/>
      <c r="B217" s="218" t="s">
        <v>246</v>
      </c>
      <c r="C217" s="218" t="s">
        <v>670</v>
      </c>
      <c r="D217" s="218" t="s">
        <v>669</v>
      </c>
      <c r="E217" s="219">
        <v>38193.0</v>
      </c>
      <c r="F217" s="220" t="s">
        <v>692</v>
      </c>
      <c r="G217" s="221" t="s">
        <v>249</v>
      </c>
      <c r="H217" s="221" t="s">
        <v>690</v>
      </c>
      <c r="I217" s="221" t="s">
        <v>693</v>
      </c>
      <c r="J217" s="222" t="s">
        <v>250</v>
      </c>
      <c r="K217" s="223">
        <v>3.0</v>
      </c>
      <c r="L217" s="223" t="b">
        <v>1</v>
      </c>
      <c r="M217" s="223" t="s">
        <v>693</v>
      </c>
      <c r="N217" s="223">
        <v>19.6598392857143</v>
      </c>
      <c r="O217" s="224" t="s">
        <v>238</v>
      </c>
      <c r="P217" s="225" t="s">
        <v>155</v>
      </c>
      <c r="Q217" s="225" t="s">
        <v>155</v>
      </c>
      <c r="R217" s="225" t="s">
        <v>155</v>
      </c>
      <c r="S217" s="225" t="s">
        <v>155</v>
      </c>
      <c r="T217" s="226"/>
      <c r="U217" s="227"/>
      <c r="V217" s="109" t="s">
        <v>694</v>
      </c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</row>
    <row r="218" ht="30.0" customHeight="1">
      <c r="A218" s="159"/>
      <c r="B218" s="218" t="s">
        <v>246</v>
      </c>
      <c r="C218" s="218" t="s">
        <v>670</v>
      </c>
      <c r="D218" s="218" t="s">
        <v>669</v>
      </c>
      <c r="E218" s="219">
        <v>30022.0</v>
      </c>
      <c r="F218" s="220" t="s">
        <v>695</v>
      </c>
      <c r="G218" s="221" t="s">
        <v>249</v>
      </c>
      <c r="H218" s="221" t="s">
        <v>696</v>
      </c>
      <c r="I218" s="221" t="s">
        <v>697</v>
      </c>
      <c r="J218" s="222" t="s">
        <v>250</v>
      </c>
      <c r="K218" s="223">
        <v>4.0</v>
      </c>
      <c r="L218" s="223" t="b">
        <v>1</v>
      </c>
      <c r="M218" s="223" t="s">
        <v>697</v>
      </c>
      <c r="N218" s="223">
        <v>26.550071428571425</v>
      </c>
      <c r="O218" s="224"/>
      <c r="P218" s="225" t="s">
        <v>155</v>
      </c>
      <c r="Q218" s="225" t="s">
        <v>155</v>
      </c>
      <c r="R218" s="225" t="s">
        <v>155</v>
      </c>
      <c r="S218" s="225" t="s">
        <v>155</v>
      </c>
      <c r="T218" s="226"/>
      <c r="U218" s="227"/>
      <c r="V218" s="109" t="s">
        <v>698</v>
      </c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</row>
    <row r="219" ht="30.0" customHeight="1">
      <c r="A219" s="159"/>
      <c r="B219" s="218" t="s">
        <v>246</v>
      </c>
      <c r="C219" s="218" t="s">
        <v>670</v>
      </c>
      <c r="D219" s="218" t="s">
        <v>669</v>
      </c>
      <c r="E219" s="219">
        <v>102749.0</v>
      </c>
      <c r="F219" s="220" t="s">
        <v>699</v>
      </c>
      <c r="G219" s="221" t="s">
        <v>249</v>
      </c>
      <c r="H219" s="221" t="s">
        <v>700</v>
      </c>
      <c r="I219" s="221" t="s">
        <v>701</v>
      </c>
      <c r="J219" s="222" t="s">
        <v>250</v>
      </c>
      <c r="K219" s="223">
        <v>4.0</v>
      </c>
      <c r="L219" s="223" t="b">
        <v>1</v>
      </c>
      <c r="M219" s="223" t="s">
        <v>701</v>
      </c>
      <c r="N219" s="223">
        <v>31.763142857142856</v>
      </c>
      <c r="O219" s="224"/>
      <c r="P219" s="225" t="s">
        <v>155</v>
      </c>
      <c r="Q219" s="225" t="s">
        <v>155</v>
      </c>
      <c r="R219" s="225" t="s">
        <v>155</v>
      </c>
      <c r="S219" s="225" t="s">
        <v>155</v>
      </c>
      <c r="T219" s="226"/>
      <c r="U219" s="227"/>
      <c r="V219" s="52" t="s">
        <v>250</v>
      </c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</row>
    <row r="220" ht="30.0" customHeight="1">
      <c r="A220" s="159"/>
      <c r="B220" s="218" t="s">
        <v>246</v>
      </c>
      <c r="C220" s="218" t="s">
        <v>670</v>
      </c>
      <c r="D220" s="218" t="s">
        <v>669</v>
      </c>
      <c r="E220" s="219">
        <v>38770.0</v>
      </c>
      <c r="F220" s="220" t="s">
        <v>702</v>
      </c>
      <c r="G220" s="221" t="s">
        <v>249</v>
      </c>
      <c r="H220" s="222" t="s">
        <v>250</v>
      </c>
      <c r="I220" s="221" t="s">
        <v>42</v>
      </c>
      <c r="J220" s="222" t="s">
        <v>250</v>
      </c>
      <c r="K220" s="223">
        <v>1.0</v>
      </c>
      <c r="L220" s="223" t="b">
        <v>0</v>
      </c>
      <c r="M220" s="228"/>
      <c r="N220" s="228"/>
      <c r="O220" s="224"/>
      <c r="P220" s="225" t="s">
        <v>155</v>
      </c>
      <c r="Q220" s="225" t="s">
        <v>155</v>
      </c>
      <c r="R220" s="225" t="s">
        <v>155</v>
      </c>
      <c r="S220" s="225" t="s">
        <v>155</v>
      </c>
      <c r="T220" s="226"/>
      <c r="U220" s="227"/>
      <c r="V220" s="109" t="s">
        <v>703</v>
      </c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</row>
    <row r="221" ht="30.0" customHeight="1">
      <c r="A221" s="159"/>
      <c r="B221" s="218" t="s">
        <v>246</v>
      </c>
      <c r="C221" s="218" t="s">
        <v>670</v>
      </c>
      <c r="D221" s="218" t="s">
        <v>669</v>
      </c>
      <c r="E221" s="219">
        <v>43426.0</v>
      </c>
      <c r="F221" s="220" t="s">
        <v>704</v>
      </c>
      <c r="G221" s="221" t="s">
        <v>249</v>
      </c>
      <c r="H221" s="222" t="s">
        <v>250</v>
      </c>
      <c r="I221" s="221" t="s">
        <v>705</v>
      </c>
      <c r="J221" s="222" t="s">
        <v>250</v>
      </c>
      <c r="K221" s="223">
        <v>2.0</v>
      </c>
      <c r="L221" s="223" t="b">
        <v>1</v>
      </c>
      <c r="M221" s="228"/>
      <c r="N221" s="228"/>
      <c r="O221" s="224"/>
      <c r="P221" s="225" t="s">
        <v>155</v>
      </c>
      <c r="Q221" s="225" t="s">
        <v>155</v>
      </c>
      <c r="R221" s="225" t="s">
        <v>155</v>
      </c>
      <c r="S221" s="225" t="s">
        <v>155</v>
      </c>
      <c r="T221" s="226"/>
      <c r="U221" s="227"/>
      <c r="V221" s="109" t="s">
        <v>706</v>
      </c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</row>
    <row r="222" ht="30.0" customHeight="1">
      <c r="A222" s="159"/>
      <c r="B222" s="218" t="s">
        <v>246</v>
      </c>
      <c r="C222" s="218" t="s">
        <v>670</v>
      </c>
      <c r="D222" s="218" t="s">
        <v>669</v>
      </c>
      <c r="E222" s="219">
        <v>15230.0</v>
      </c>
      <c r="F222" s="220" t="s">
        <v>707</v>
      </c>
      <c r="G222" s="221" t="s">
        <v>249</v>
      </c>
      <c r="H222" s="222" t="s">
        <v>250</v>
      </c>
      <c r="I222" s="221" t="s">
        <v>349</v>
      </c>
      <c r="J222" s="222" t="s">
        <v>250</v>
      </c>
      <c r="K222" s="223">
        <v>3.0</v>
      </c>
      <c r="L222" s="223" t="b">
        <v>1</v>
      </c>
      <c r="M222" s="223" t="s">
        <v>349</v>
      </c>
      <c r="N222" s="223">
        <v>29.4625</v>
      </c>
      <c r="O222" s="224" t="s">
        <v>238</v>
      </c>
      <c r="P222" s="225" t="s">
        <v>155</v>
      </c>
      <c r="Q222" s="225" t="s">
        <v>155</v>
      </c>
      <c r="R222" s="225" t="s">
        <v>155</v>
      </c>
      <c r="S222" s="225" t="s">
        <v>155</v>
      </c>
      <c r="T222" s="226"/>
      <c r="U222" s="227"/>
      <c r="V222" s="109" t="s">
        <v>708</v>
      </c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</row>
    <row r="223" ht="30.0" customHeight="1">
      <c r="A223" s="159"/>
      <c r="B223" s="218" t="s">
        <v>246</v>
      </c>
      <c r="C223" s="218" t="s">
        <v>670</v>
      </c>
      <c r="D223" s="218" t="s">
        <v>669</v>
      </c>
      <c r="E223" s="219">
        <v>15213.0</v>
      </c>
      <c r="F223" s="220" t="s">
        <v>709</v>
      </c>
      <c r="G223" s="221" t="s">
        <v>249</v>
      </c>
      <c r="H223" s="222" t="s">
        <v>250</v>
      </c>
      <c r="I223" s="221" t="s">
        <v>455</v>
      </c>
      <c r="J223" s="222" t="s">
        <v>250</v>
      </c>
      <c r="K223" s="223">
        <v>3.0</v>
      </c>
      <c r="L223" s="223" t="b">
        <v>0</v>
      </c>
      <c r="M223" s="223" t="s">
        <v>455</v>
      </c>
      <c r="N223" s="223">
        <v>27.641625</v>
      </c>
      <c r="O223" s="224" t="s">
        <v>238</v>
      </c>
      <c r="P223" s="225" t="s">
        <v>155</v>
      </c>
      <c r="Q223" s="225" t="s">
        <v>155</v>
      </c>
      <c r="R223" s="225" t="s">
        <v>155</v>
      </c>
      <c r="S223" s="225" t="s">
        <v>155</v>
      </c>
      <c r="T223" s="226"/>
      <c r="U223" s="227"/>
      <c r="V223" s="109" t="s">
        <v>710</v>
      </c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</row>
    <row r="224" ht="30.0" customHeight="1">
      <c r="A224" s="159"/>
      <c r="B224" s="218" t="s">
        <v>246</v>
      </c>
      <c r="C224" s="218" t="s">
        <v>670</v>
      </c>
      <c r="D224" s="218" t="s">
        <v>669</v>
      </c>
      <c r="E224" s="219">
        <v>15192.0</v>
      </c>
      <c r="F224" s="220" t="s">
        <v>711</v>
      </c>
      <c r="G224" s="221" t="s">
        <v>249</v>
      </c>
      <c r="H224" s="222" t="s">
        <v>250</v>
      </c>
      <c r="I224" s="221" t="s">
        <v>712</v>
      </c>
      <c r="J224" s="222" t="s">
        <v>250</v>
      </c>
      <c r="K224" s="223">
        <v>2.0</v>
      </c>
      <c r="L224" s="223" t="b">
        <v>1</v>
      </c>
      <c r="M224" s="223" t="s">
        <v>712</v>
      </c>
      <c r="N224" s="223">
        <v>39.01828571428571</v>
      </c>
      <c r="O224" s="224" t="s">
        <v>238</v>
      </c>
      <c r="P224" s="225" t="s">
        <v>155</v>
      </c>
      <c r="Q224" s="225" t="s">
        <v>155</v>
      </c>
      <c r="R224" s="225" t="s">
        <v>155</v>
      </c>
      <c r="S224" s="225" t="s">
        <v>155</v>
      </c>
      <c r="T224" s="226"/>
      <c r="U224" s="227"/>
      <c r="V224" s="109" t="s">
        <v>713</v>
      </c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</row>
    <row r="225" ht="30.0" customHeight="1">
      <c r="A225" s="159"/>
      <c r="B225" s="218" t="s">
        <v>246</v>
      </c>
      <c r="C225" s="218" t="s">
        <v>670</v>
      </c>
      <c r="D225" s="218" t="s">
        <v>669</v>
      </c>
      <c r="E225" s="219">
        <v>15235.0</v>
      </c>
      <c r="F225" s="220" t="s">
        <v>714</v>
      </c>
      <c r="G225" s="221" t="s">
        <v>249</v>
      </c>
      <c r="H225" s="221" t="s">
        <v>715</v>
      </c>
      <c r="I225" s="221" t="s">
        <v>716</v>
      </c>
      <c r="J225" s="221" t="s">
        <v>371</v>
      </c>
      <c r="K225" s="223">
        <v>3.0</v>
      </c>
      <c r="L225" s="223" t="b">
        <v>0</v>
      </c>
      <c r="M225" s="223" t="s">
        <v>716</v>
      </c>
      <c r="N225" s="223">
        <v>53.876583333333336</v>
      </c>
      <c r="O225" s="224" t="s">
        <v>238</v>
      </c>
      <c r="P225" s="225" t="s">
        <v>155</v>
      </c>
      <c r="Q225" s="225" t="s">
        <v>155</v>
      </c>
      <c r="R225" s="225" t="s">
        <v>155</v>
      </c>
      <c r="S225" s="225" t="s">
        <v>155</v>
      </c>
      <c r="T225" s="226"/>
      <c r="U225" s="227"/>
      <c r="V225" s="109" t="s">
        <v>717</v>
      </c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</row>
    <row r="226" ht="30.0" customHeight="1">
      <c r="A226" s="159"/>
      <c r="B226" s="218" t="s">
        <v>246</v>
      </c>
      <c r="C226" s="218" t="s">
        <v>670</v>
      </c>
      <c r="D226" s="218" t="s">
        <v>669</v>
      </c>
      <c r="E226" s="219">
        <v>106306.0</v>
      </c>
      <c r="F226" s="220" t="s">
        <v>718</v>
      </c>
      <c r="G226" s="221" t="s">
        <v>249</v>
      </c>
      <c r="H226" s="221" t="s">
        <v>719</v>
      </c>
      <c r="I226" s="221" t="s">
        <v>42</v>
      </c>
      <c r="J226" s="222" t="s">
        <v>250</v>
      </c>
      <c r="K226" s="223">
        <v>4.0</v>
      </c>
      <c r="L226" s="223" t="b">
        <v>0</v>
      </c>
      <c r="M226" s="223" t="s">
        <v>42</v>
      </c>
      <c r="N226" s="223">
        <v>1.399333333333333</v>
      </c>
      <c r="O226" s="224"/>
      <c r="P226" s="225" t="s">
        <v>155</v>
      </c>
      <c r="Q226" s="225" t="s">
        <v>155</v>
      </c>
      <c r="R226" s="225" t="s">
        <v>155</v>
      </c>
      <c r="S226" s="225" t="s">
        <v>155</v>
      </c>
      <c r="T226" s="229" t="s">
        <v>720</v>
      </c>
      <c r="U226" s="227"/>
      <c r="V226" s="52" t="s">
        <v>250</v>
      </c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</row>
    <row r="227" ht="30.0" customHeight="1">
      <c r="A227" s="159"/>
      <c r="B227" s="218" t="s">
        <v>246</v>
      </c>
      <c r="C227" s="218" t="s">
        <v>670</v>
      </c>
      <c r="D227" s="218" t="s">
        <v>669</v>
      </c>
      <c r="E227" s="219">
        <v>15202.0</v>
      </c>
      <c r="F227" s="220" t="s">
        <v>721</v>
      </c>
      <c r="G227" s="221" t="s">
        <v>249</v>
      </c>
      <c r="H227" s="222" t="s">
        <v>250</v>
      </c>
      <c r="I227" s="221" t="s">
        <v>722</v>
      </c>
      <c r="J227" s="222" t="s">
        <v>250</v>
      </c>
      <c r="K227" s="223">
        <v>2.0</v>
      </c>
      <c r="L227" s="223" t="b">
        <v>0</v>
      </c>
      <c r="M227" s="223" t="s">
        <v>722</v>
      </c>
      <c r="N227" s="223">
        <v>30.635833333333334</v>
      </c>
      <c r="O227" s="224"/>
      <c r="P227" s="225" t="s">
        <v>155</v>
      </c>
      <c r="Q227" s="225" t="s">
        <v>155</v>
      </c>
      <c r="R227" s="225" t="s">
        <v>155</v>
      </c>
      <c r="S227" s="225" t="s">
        <v>155</v>
      </c>
      <c r="T227" s="226"/>
      <c r="U227" s="227"/>
      <c r="V227" s="109" t="s">
        <v>723</v>
      </c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</row>
    <row r="228" ht="30.0" customHeight="1">
      <c r="A228" s="159"/>
      <c r="B228" s="218" t="s">
        <v>246</v>
      </c>
      <c r="C228" s="218" t="s">
        <v>670</v>
      </c>
      <c r="D228" s="218" t="s">
        <v>669</v>
      </c>
      <c r="E228" s="219">
        <v>148489.0</v>
      </c>
      <c r="F228" s="220" t="s">
        <v>724</v>
      </c>
      <c r="G228" s="221" t="s">
        <v>369</v>
      </c>
      <c r="H228" s="222" t="s">
        <v>250</v>
      </c>
      <c r="I228" s="221" t="s">
        <v>325</v>
      </c>
      <c r="J228" s="222" t="s">
        <v>250</v>
      </c>
      <c r="K228" s="223">
        <v>2.0</v>
      </c>
      <c r="L228" s="223" t="b">
        <v>0</v>
      </c>
      <c r="M228" s="228"/>
      <c r="N228" s="228"/>
      <c r="O228" s="224"/>
      <c r="P228" s="225" t="s">
        <v>155</v>
      </c>
      <c r="Q228" s="225" t="s">
        <v>155</v>
      </c>
      <c r="R228" s="225" t="s">
        <v>155</v>
      </c>
      <c r="S228" s="225" t="s">
        <v>155</v>
      </c>
      <c r="T228" s="226"/>
      <c r="U228" s="227"/>
      <c r="V228" s="52" t="s">
        <v>250</v>
      </c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</row>
    <row r="229" ht="30.0" customHeight="1">
      <c r="A229" s="159"/>
      <c r="B229" s="218" t="s">
        <v>246</v>
      </c>
      <c r="C229" s="218" t="s">
        <v>670</v>
      </c>
      <c r="D229" s="218" t="s">
        <v>669</v>
      </c>
      <c r="E229" s="219">
        <v>20670.0</v>
      </c>
      <c r="F229" s="220" t="s">
        <v>725</v>
      </c>
      <c r="G229" s="221" t="s">
        <v>249</v>
      </c>
      <c r="H229" s="222" t="s">
        <v>250</v>
      </c>
      <c r="I229" s="221" t="s">
        <v>726</v>
      </c>
      <c r="J229" s="221" t="s">
        <v>727</v>
      </c>
      <c r="K229" s="223">
        <v>4.0</v>
      </c>
      <c r="L229" s="223" t="b">
        <v>1</v>
      </c>
      <c r="M229" s="223" t="s">
        <v>726</v>
      </c>
      <c r="N229" s="223">
        <v>77.9875</v>
      </c>
      <c r="O229" s="224"/>
      <c r="P229" s="225" t="s">
        <v>155</v>
      </c>
      <c r="Q229" s="225" t="s">
        <v>155</v>
      </c>
      <c r="R229" s="225" t="s">
        <v>155</v>
      </c>
      <c r="S229" s="225" t="s">
        <v>155</v>
      </c>
      <c r="T229" s="226"/>
      <c r="U229" s="227"/>
      <c r="V229" s="52" t="s">
        <v>250</v>
      </c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</row>
    <row r="230" ht="30.0" customHeight="1">
      <c r="A230" s="159"/>
      <c r="B230" s="218" t="s">
        <v>246</v>
      </c>
      <c r="C230" s="218" t="s">
        <v>670</v>
      </c>
      <c r="D230" s="218" t="s">
        <v>669</v>
      </c>
      <c r="E230" s="219">
        <v>15204.0</v>
      </c>
      <c r="F230" s="220" t="s">
        <v>728</v>
      </c>
      <c r="G230" s="221" t="s">
        <v>249</v>
      </c>
      <c r="H230" s="222" t="s">
        <v>250</v>
      </c>
      <c r="I230" s="221" t="s">
        <v>729</v>
      </c>
      <c r="J230" s="222" t="s">
        <v>250</v>
      </c>
      <c r="K230" s="223">
        <v>2.0</v>
      </c>
      <c r="L230" s="223" t="b">
        <v>0</v>
      </c>
      <c r="M230" s="223" t="s">
        <v>729</v>
      </c>
      <c r="N230" s="223">
        <v>17.073800000000002</v>
      </c>
      <c r="O230" s="224" t="s">
        <v>238</v>
      </c>
      <c r="P230" s="225" t="s">
        <v>155</v>
      </c>
      <c r="Q230" s="225" t="s">
        <v>155</v>
      </c>
      <c r="R230" s="225" t="s">
        <v>155</v>
      </c>
      <c r="S230" s="225" t="s">
        <v>155</v>
      </c>
      <c r="T230" s="226"/>
      <c r="U230" s="227"/>
      <c r="V230" s="109" t="s">
        <v>730</v>
      </c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</row>
    <row r="231" ht="30.0" customHeight="1">
      <c r="A231" s="159"/>
      <c r="B231" s="218" t="s">
        <v>246</v>
      </c>
      <c r="C231" s="218" t="s">
        <v>670</v>
      </c>
      <c r="D231" s="218" t="s">
        <v>669</v>
      </c>
      <c r="E231" s="219">
        <v>142926.0</v>
      </c>
      <c r="F231" s="220" t="s">
        <v>731</v>
      </c>
      <c r="G231" s="221" t="s">
        <v>249</v>
      </c>
      <c r="H231" s="221" t="s">
        <v>719</v>
      </c>
      <c r="I231" s="221" t="s">
        <v>42</v>
      </c>
      <c r="J231" s="222" t="s">
        <v>250</v>
      </c>
      <c r="K231" s="223">
        <v>4.0</v>
      </c>
      <c r="L231" s="223" t="b">
        <v>0</v>
      </c>
      <c r="M231" s="223" t="s">
        <v>42</v>
      </c>
      <c r="N231" s="223">
        <v>1.3595000000000002</v>
      </c>
      <c r="O231" s="224"/>
      <c r="P231" s="225" t="s">
        <v>155</v>
      </c>
      <c r="Q231" s="225" t="s">
        <v>155</v>
      </c>
      <c r="R231" s="225" t="s">
        <v>155</v>
      </c>
      <c r="S231" s="225" t="s">
        <v>155</v>
      </c>
      <c r="T231" s="229" t="s">
        <v>720</v>
      </c>
      <c r="U231" s="227"/>
      <c r="V231" s="52" t="s">
        <v>250</v>
      </c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</row>
    <row r="232" ht="30.0" customHeight="1">
      <c r="A232" s="209"/>
      <c r="B232" s="210" t="s">
        <v>732</v>
      </c>
      <c r="C232" s="211"/>
      <c r="D232" s="211"/>
      <c r="E232" s="212"/>
      <c r="F232" s="213"/>
      <c r="G232" s="213"/>
      <c r="H232" s="213"/>
      <c r="I232" s="212"/>
      <c r="J232" s="212"/>
      <c r="K232" s="214"/>
      <c r="L232" s="214"/>
      <c r="M232" s="214"/>
      <c r="N232" s="214"/>
      <c r="O232" s="215"/>
      <c r="P232" s="216"/>
      <c r="Q232" s="216"/>
      <c r="R232" s="216"/>
      <c r="S232" s="216"/>
      <c r="T232" s="217"/>
      <c r="U232" s="217"/>
      <c r="V232" s="217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</row>
    <row r="233" ht="30.0" customHeight="1">
      <c r="A233" s="159"/>
      <c r="B233" s="218" t="s">
        <v>246</v>
      </c>
      <c r="C233" s="218" t="s">
        <v>670</v>
      </c>
      <c r="D233" s="218" t="s">
        <v>732</v>
      </c>
      <c r="E233" s="219">
        <v>110017.0</v>
      </c>
      <c r="F233" s="220" t="s">
        <v>733</v>
      </c>
      <c r="G233" s="221" t="s">
        <v>249</v>
      </c>
      <c r="H233" s="221" t="s">
        <v>734</v>
      </c>
      <c r="I233" s="221" t="s">
        <v>735</v>
      </c>
      <c r="J233" s="222" t="s">
        <v>250</v>
      </c>
      <c r="K233" s="223">
        <v>2.0</v>
      </c>
      <c r="L233" s="223" t="b">
        <v>1</v>
      </c>
      <c r="M233" s="223" t="s">
        <v>735</v>
      </c>
      <c r="N233" s="223">
        <v>20.918863</v>
      </c>
      <c r="O233" s="224"/>
      <c r="P233" s="225" t="s">
        <v>155</v>
      </c>
      <c r="Q233" s="225" t="s">
        <v>155</v>
      </c>
      <c r="R233" s="225" t="s">
        <v>155</v>
      </c>
      <c r="S233" s="225" t="s">
        <v>155</v>
      </c>
      <c r="T233" s="226"/>
      <c r="U233" s="227"/>
      <c r="V233" s="52" t="s">
        <v>250</v>
      </c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</row>
    <row r="234" ht="30.0" customHeight="1">
      <c r="A234" s="159"/>
      <c r="B234" s="218" t="s">
        <v>246</v>
      </c>
      <c r="C234" s="218" t="s">
        <v>670</v>
      </c>
      <c r="D234" s="218" t="s">
        <v>732</v>
      </c>
      <c r="E234" s="219">
        <v>30023.0</v>
      </c>
      <c r="F234" s="220" t="s">
        <v>736</v>
      </c>
      <c r="G234" s="221" t="s">
        <v>249</v>
      </c>
      <c r="H234" s="221" t="s">
        <v>737</v>
      </c>
      <c r="I234" s="221" t="s">
        <v>535</v>
      </c>
      <c r="J234" s="222" t="s">
        <v>250</v>
      </c>
      <c r="K234" s="223">
        <v>4.0</v>
      </c>
      <c r="L234" s="223" t="b">
        <v>0</v>
      </c>
      <c r="M234" s="223" t="s">
        <v>535</v>
      </c>
      <c r="N234" s="223">
        <v>65.79686</v>
      </c>
      <c r="O234" s="224"/>
      <c r="P234" s="225" t="s">
        <v>155</v>
      </c>
      <c r="Q234" s="225" t="s">
        <v>155</v>
      </c>
      <c r="R234" s="225" t="s">
        <v>155</v>
      </c>
      <c r="S234" s="225" t="s">
        <v>155</v>
      </c>
      <c r="T234" s="226"/>
      <c r="U234" s="227"/>
      <c r="V234" s="52" t="s">
        <v>250</v>
      </c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</row>
    <row r="235" ht="30.0" customHeight="1">
      <c r="A235" s="159"/>
      <c r="B235" s="218" t="s">
        <v>246</v>
      </c>
      <c r="C235" s="218" t="s">
        <v>670</v>
      </c>
      <c r="D235" s="218" t="s">
        <v>732</v>
      </c>
      <c r="E235" s="219">
        <v>111849.0</v>
      </c>
      <c r="F235" s="220" t="s">
        <v>738</v>
      </c>
      <c r="G235" s="221" t="s">
        <v>249</v>
      </c>
      <c r="H235" s="221" t="s">
        <v>682</v>
      </c>
      <c r="I235" s="221" t="s">
        <v>739</v>
      </c>
      <c r="J235" s="222" t="s">
        <v>250</v>
      </c>
      <c r="K235" s="223">
        <v>3.0</v>
      </c>
      <c r="L235" s="223" t="b">
        <v>1</v>
      </c>
      <c r="M235" s="228"/>
      <c r="N235" s="228"/>
      <c r="O235" s="224"/>
      <c r="P235" s="225" t="s">
        <v>155</v>
      </c>
      <c r="Q235" s="225" t="s">
        <v>155</v>
      </c>
      <c r="R235" s="225" t="s">
        <v>155</v>
      </c>
      <c r="S235" s="225" t="s">
        <v>155</v>
      </c>
      <c r="T235" s="226"/>
      <c r="U235" s="227"/>
      <c r="V235" s="109" t="s">
        <v>740</v>
      </c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</row>
    <row r="236" ht="30.0" customHeight="1">
      <c r="A236" s="159"/>
      <c r="B236" s="218" t="s">
        <v>246</v>
      </c>
      <c r="C236" s="218" t="s">
        <v>670</v>
      </c>
      <c r="D236" s="218" t="s">
        <v>732</v>
      </c>
      <c r="E236" s="219">
        <v>15178.0</v>
      </c>
      <c r="F236" s="220" t="s">
        <v>741</v>
      </c>
      <c r="G236" s="221" t="s">
        <v>249</v>
      </c>
      <c r="H236" s="222" t="s">
        <v>250</v>
      </c>
      <c r="I236" s="221" t="s">
        <v>729</v>
      </c>
      <c r="J236" s="222" t="s">
        <v>250</v>
      </c>
      <c r="K236" s="223">
        <v>4.0</v>
      </c>
      <c r="L236" s="223" t="b">
        <v>1</v>
      </c>
      <c r="M236" s="223" t="s">
        <v>729</v>
      </c>
      <c r="N236" s="223">
        <v>39.267656</v>
      </c>
      <c r="O236" s="224"/>
      <c r="P236" s="225" t="s">
        <v>155</v>
      </c>
      <c r="Q236" s="225" t="s">
        <v>155</v>
      </c>
      <c r="R236" s="225" t="s">
        <v>155</v>
      </c>
      <c r="S236" s="225" t="s">
        <v>155</v>
      </c>
      <c r="T236" s="226"/>
      <c r="U236" s="227"/>
      <c r="V236" s="109" t="s">
        <v>742</v>
      </c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</row>
    <row r="237" ht="30.0" customHeight="1">
      <c r="A237" s="159"/>
      <c r="B237" s="218" t="s">
        <v>246</v>
      </c>
      <c r="C237" s="218" t="s">
        <v>670</v>
      </c>
      <c r="D237" s="218" t="s">
        <v>732</v>
      </c>
      <c r="E237" s="219">
        <v>15158.0</v>
      </c>
      <c r="F237" s="220" t="s">
        <v>743</v>
      </c>
      <c r="G237" s="221" t="s">
        <v>249</v>
      </c>
      <c r="H237" s="222" t="s">
        <v>250</v>
      </c>
      <c r="I237" s="221" t="s">
        <v>455</v>
      </c>
      <c r="J237" s="222" t="s">
        <v>250</v>
      </c>
      <c r="K237" s="223">
        <v>3.0</v>
      </c>
      <c r="L237" s="223" t="b">
        <v>0</v>
      </c>
      <c r="M237" s="223" t="s">
        <v>455</v>
      </c>
      <c r="N237" s="223">
        <v>41.251566</v>
      </c>
      <c r="O237" s="224" t="s">
        <v>238</v>
      </c>
      <c r="P237" s="225" t="s">
        <v>155</v>
      </c>
      <c r="Q237" s="225" t="s">
        <v>155</v>
      </c>
      <c r="R237" s="225" t="s">
        <v>155</v>
      </c>
      <c r="S237" s="225" t="s">
        <v>155</v>
      </c>
      <c r="T237" s="226"/>
      <c r="U237" s="227"/>
      <c r="V237" s="109" t="s">
        <v>744</v>
      </c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</row>
    <row r="238" ht="30.0" customHeight="1">
      <c r="A238" s="159"/>
      <c r="B238" s="218" t="s">
        <v>246</v>
      </c>
      <c r="C238" s="218" t="s">
        <v>670</v>
      </c>
      <c r="D238" s="218" t="s">
        <v>732</v>
      </c>
      <c r="E238" s="219">
        <v>15203.0</v>
      </c>
      <c r="F238" s="220" t="s">
        <v>745</v>
      </c>
      <c r="G238" s="221" t="s">
        <v>249</v>
      </c>
      <c r="H238" s="222" t="s">
        <v>250</v>
      </c>
      <c r="I238" s="221" t="s">
        <v>455</v>
      </c>
      <c r="J238" s="222" t="s">
        <v>250</v>
      </c>
      <c r="K238" s="223">
        <v>2.0</v>
      </c>
      <c r="L238" s="223" t="b">
        <v>0</v>
      </c>
      <c r="M238" s="223" t="s">
        <v>455</v>
      </c>
      <c r="N238" s="223">
        <v>41.899009</v>
      </c>
      <c r="O238" s="224" t="s">
        <v>238</v>
      </c>
      <c r="P238" s="225" t="s">
        <v>155</v>
      </c>
      <c r="Q238" s="225" t="s">
        <v>155</v>
      </c>
      <c r="R238" s="225" t="s">
        <v>155</v>
      </c>
      <c r="S238" s="225" t="s">
        <v>155</v>
      </c>
      <c r="T238" s="226"/>
      <c r="U238" s="227"/>
      <c r="V238" s="109" t="s">
        <v>746</v>
      </c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</row>
    <row r="239" ht="30.0" customHeight="1">
      <c r="A239" s="159"/>
      <c r="B239" s="218" t="s">
        <v>246</v>
      </c>
      <c r="C239" s="218" t="s">
        <v>670</v>
      </c>
      <c r="D239" s="218" t="s">
        <v>732</v>
      </c>
      <c r="E239" s="219">
        <v>112179.0</v>
      </c>
      <c r="F239" s="220" t="s">
        <v>747</v>
      </c>
      <c r="G239" s="221" t="s">
        <v>249</v>
      </c>
      <c r="H239" s="221" t="s">
        <v>748</v>
      </c>
      <c r="I239" s="221" t="s">
        <v>749</v>
      </c>
      <c r="J239" s="222" t="s">
        <v>250</v>
      </c>
      <c r="K239" s="223">
        <v>2.0</v>
      </c>
      <c r="L239" s="223" t="b">
        <v>1</v>
      </c>
      <c r="M239" s="228"/>
      <c r="N239" s="228"/>
      <c r="O239" s="224"/>
      <c r="P239" s="225" t="s">
        <v>155</v>
      </c>
      <c r="Q239" s="225" t="s">
        <v>155</v>
      </c>
      <c r="R239" s="225" t="s">
        <v>155</v>
      </c>
      <c r="S239" s="225" t="s">
        <v>155</v>
      </c>
      <c r="T239" s="229" t="s">
        <v>720</v>
      </c>
      <c r="U239" s="227"/>
      <c r="V239" s="52" t="s">
        <v>250</v>
      </c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</row>
    <row r="240" ht="30.0" customHeight="1">
      <c r="A240" s="159"/>
      <c r="B240" s="218" t="s">
        <v>246</v>
      </c>
      <c r="C240" s="218" t="s">
        <v>670</v>
      </c>
      <c r="D240" s="218" t="s">
        <v>732</v>
      </c>
      <c r="E240" s="219">
        <v>108803.0</v>
      </c>
      <c r="F240" s="40" t="s">
        <v>750</v>
      </c>
      <c r="G240" s="221" t="s">
        <v>249</v>
      </c>
      <c r="H240" s="221" t="s">
        <v>751</v>
      </c>
      <c r="I240" s="221" t="s">
        <v>389</v>
      </c>
      <c r="J240" s="221" t="s">
        <v>371</v>
      </c>
      <c r="K240" s="223">
        <v>3.0</v>
      </c>
      <c r="L240" s="223" t="b">
        <v>1</v>
      </c>
      <c r="M240" s="228"/>
      <c r="N240" s="228"/>
      <c r="O240" s="224"/>
      <c r="P240" s="225" t="s">
        <v>155</v>
      </c>
      <c r="Q240" s="225" t="s">
        <v>155</v>
      </c>
      <c r="R240" s="225" t="s">
        <v>155</v>
      </c>
      <c r="S240" s="225" t="s">
        <v>155</v>
      </c>
      <c r="T240" s="226"/>
      <c r="U240" s="227"/>
      <c r="V240" s="109" t="s">
        <v>752</v>
      </c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</row>
    <row r="241" ht="30.0" customHeight="1">
      <c r="A241" s="159"/>
      <c r="B241" s="218" t="s">
        <v>246</v>
      </c>
      <c r="C241" s="218" t="s">
        <v>670</v>
      </c>
      <c r="D241" s="218" t="s">
        <v>732</v>
      </c>
      <c r="E241" s="219">
        <v>148495.0</v>
      </c>
      <c r="F241" s="220" t="s">
        <v>753</v>
      </c>
      <c r="G241" s="221" t="s">
        <v>249</v>
      </c>
      <c r="H241" s="221" t="s">
        <v>754</v>
      </c>
      <c r="I241" s="221" t="s">
        <v>755</v>
      </c>
      <c r="J241" s="222" t="s">
        <v>250</v>
      </c>
      <c r="K241" s="223">
        <v>4.0</v>
      </c>
      <c r="L241" s="223" t="b">
        <v>0</v>
      </c>
      <c r="M241" s="228"/>
      <c r="N241" s="228"/>
      <c r="O241" s="224"/>
      <c r="P241" s="225" t="s">
        <v>155</v>
      </c>
      <c r="Q241" s="225" t="s">
        <v>155</v>
      </c>
      <c r="R241" s="225" t="s">
        <v>155</v>
      </c>
      <c r="S241" s="225" t="s">
        <v>155</v>
      </c>
      <c r="T241" s="226"/>
      <c r="U241" s="227"/>
      <c r="V241" s="52" t="s">
        <v>250</v>
      </c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</row>
    <row r="242" ht="30.0" customHeight="1">
      <c r="A242" s="159"/>
      <c r="B242" s="218" t="s">
        <v>246</v>
      </c>
      <c r="C242" s="218" t="s">
        <v>670</v>
      </c>
      <c r="D242" s="218" t="s">
        <v>732</v>
      </c>
      <c r="E242" s="219">
        <v>40193.0</v>
      </c>
      <c r="F242" s="220" t="s">
        <v>756</v>
      </c>
      <c r="G242" s="221" t="s">
        <v>249</v>
      </c>
      <c r="H242" s="221" t="s">
        <v>757</v>
      </c>
      <c r="I242" s="221" t="s">
        <v>349</v>
      </c>
      <c r="J242" s="222" t="s">
        <v>250</v>
      </c>
      <c r="K242" s="223">
        <v>2.0</v>
      </c>
      <c r="L242" s="223" t="b">
        <v>1</v>
      </c>
      <c r="M242" s="223" t="s">
        <v>349</v>
      </c>
      <c r="N242" s="223">
        <v>43.450263</v>
      </c>
      <c r="O242" s="224"/>
      <c r="P242" s="225" t="s">
        <v>155</v>
      </c>
      <c r="Q242" s="225" t="s">
        <v>155</v>
      </c>
      <c r="R242" s="225" t="s">
        <v>155</v>
      </c>
      <c r="S242" s="225" t="s">
        <v>155</v>
      </c>
      <c r="T242" s="226"/>
      <c r="U242" s="227"/>
      <c r="V242" s="52" t="s">
        <v>250</v>
      </c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</row>
    <row r="243" ht="30.0" customHeight="1">
      <c r="A243" s="159"/>
      <c r="B243" s="218" t="s">
        <v>246</v>
      </c>
      <c r="C243" s="218" t="s">
        <v>670</v>
      </c>
      <c r="D243" s="218" t="s">
        <v>732</v>
      </c>
      <c r="E243" s="219">
        <v>141638.0</v>
      </c>
      <c r="F243" s="40" t="s">
        <v>758</v>
      </c>
      <c r="G243" s="221" t="s">
        <v>249</v>
      </c>
      <c r="H243" s="221" t="s">
        <v>759</v>
      </c>
      <c r="I243" s="221" t="s">
        <v>389</v>
      </c>
      <c r="J243" s="222" t="s">
        <v>250</v>
      </c>
      <c r="K243" s="223">
        <v>3.0</v>
      </c>
      <c r="L243" s="223" t="b">
        <v>1</v>
      </c>
      <c r="M243" s="228"/>
      <c r="N243" s="228"/>
      <c r="O243" s="224"/>
      <c r="P243" s="225" t="s">
        <v>155</v>
      </c>
      <c r="Q243" s="225" t="s">
        <v>155</v>
      </c>
      <c r="R243" s="225" t="s">
        <v>155</v>
      </c>
      <c r="S243" s="225" t="s">
        <v>155</v>
      </c>
      <c r="T243" s="226"/>
      <c r="U243" s="227"/>
      <c r="V243" s="109" t="s">
        <v>760</v>
      </c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</row>
    <row r="244" ht="30.0" customHeight="1">
      <c r="A244" s="159"/>
      <c r="B244" s="218" t="s">
        <v>246</v>
      </c>
      <c r="C244" s="218" t="s">
        <v>670</v>
      </c>
      <c r="D244" s="218" t="s">
        <v>732</v>
      </c>
      <c r="E244" s="219">
        <v>110062.0</v>
      </c>
      <c r="F244" s="220" t="s">
        <v>761</v>
      </c>
      <c r="G244" s="221" t="s">
        <v>249</v>
      </c>
      <c r="H244" s="221" t="s">
        <v>762</v>
      </c>
      <c r="I244" s="221" t="s">
        <v>42</v>
      </c>
      <c r="J244" s="222" t="s">
        <v>250</v>
      </c>
      <c r="K244" s="223">
        <v>2.0</v>
      </c>
      <c r="L244" s="223" t="b">
        <v>0</v>
      </c>
      <c r="M244" s="223" t="s">
        <v>42</v>
      </c>
      <c r="N244" s="223">
        <v>25.421666</v>
      </c>
      <c r="O244" s="224"/>
      <c r="P244" s="225" t="s">
        <v>155</v>
      </c>
      <c r="Q244" s="225" t="s">
        <v>155</v>
      </c>
      <c r="R244" s="225" t="s">
        <v>155</v>
      </c>
      <c r="S244" s="225" t="s">
        <v>155</v>
      </c>
      <c r="T244" s="229" t="s">
        <v>763</v>
      </c>
      <c r="U244" s="227"/>
      <c r="V244" s="52" t="s">
        <v>250</v>
      </c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</row>
    <row r="245" ht="30.0" customHeight="1">
      <c r="A245" s="159"/>
      <c r="B245" s="218" t="s">
        <v>246</v>
      </c>
      <c r="C245" s="218" t="s">
        <v>670</v>
      </c>
      <c r="D245" s="218" t="s">
        <v>732</v>
      </c>
      <c r="E245" s="219">
        <v>45163.0</v>
      </c>
      <c r="F245" s="40" t="s">
        <v>764</v>
      </c>
      <c r="G245" s="221" t="s">
        <v>249</v>
      </c>
      <c r="H245" s="221" t="s">
        <v>759</v>
      </c>
      <c r="I245" s="221" t="s">
        <v>389</v>
      </c>
      <c r="J245" s="222" t="s">
        <v>250</v>
      </c>
      <c r="K245" s="223">
        <v>3.0</v>
      </c>
      <c r="L245" s="223" t="b">
        <v>1</v>
      </c>
      <c r="M245" s="228"/>
      <c r="N245" s="228"/>
      <c r="O245" s="224"/>
      <c r="P245" s="225" t="s">
        <v>155</v>
      </c>
      <c r="Q245" s="225" t="s">
        <v>155</v>
      </c>
      <c r="R245" s="225" t="s">
        <v>155</v>
      </c>
      <c r="S245" s="225" t="s">
        <v>155</v>
      </c>
      <c r="T245" s="226"/>
      <c r="U245" s="227"/>
      <c r="V245" s="109" t="s">
        <v>765</v>
      </c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</row>
    <row r="246" ht="30.0" customHeight="1">
      <c r="A246" s="159"/>
      <c r="B246" s="218" t="s">
        <v>246</v>
      </c>
      <c r="C246" s="218" t="s">
        <v>670</v>
      </c>
      <c r="D246" s="218" t="s">
        <v>732</v>
      </c>
      <c r="E246" s="219">
        <v>110046.0</v>
      </c>
      <c r="F246" s="220" t="s">
        <v>766</v>
      </c>
      <c r="G246" s="221" t="s">
        <v>249</v>
      </c>
      <c r="H246" s="221" t="s">
        <v>757</v>
      </c>
      <c r="I246" s="221" t="s">
        <v>42</v>
      </c>
      <c r="J246" s="222" t="s">
        <v>250</v>
      </c>
      <c r="K246" s="223">
        <v>2.0</v>
      </c>
      <c r="L246" s="223" t="b">
        <v>1</v>
      </c>
      <c r="M246" s="223" t="s">
        <v>42</v>
      </c>
      <c r="N246" s="223">
        <v>1.665555</v>
      </c>
      <c r="O246" s="224"/>
      <c r="P246" s="225" t="s">
        <v>155</v>
      </c>
      <c r="Q246" s="225" t="s">
        <v>155</v>
      </c>
      <c r="R246" s="225" t="s">
        <v>155</v>
      </c>
      <c r="S246" s="225" t="s">
        <v>155</v>
      </c>
      <c r="T246" s="226"/>
      <c r="U246" s="227"/>
      <c r="V246" s="52" t="s">
        <v>250</v>
      </c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</row>
    <row r="247" ht="30.0" customHeight="1">
      <c r="A247" s="159"/>
      <c r="B247" s="218" t="s">
        <v>246</v>
      </c>
      <c r="C247" s="218" t="s">
        <v>670</v>
      </c>
      <c r="D247" s="218" t="s">
        <v>732</v>
      </c>
      <c r="E247" s="219">
        <v>146187.0</v>
      </c>
      <c r="F247" s="40" t="s">
        <v>767</v>
      </c>
      <c r="G247" s="221" t="s">
        <v>249</v>
      </c>
      <c r="H247" s="221" t="s">
        <v>759</v>
      </c>
      <c r="I247" s="221" t="s">
        <v>389</v>
      </c>
      <c r="J247" s="222" t="s">
        <v>250</v>
      </c>
      <c r="K247" s="223">
        <v>0.0</v>
      </c>
      <c r="L247" s="223" t="b">
        <v>0</v>
      </c>
      <c r="M247" s="228"/>
      <c r="N247" s="228"/>
      <c r="O247" s="224"/>
      <c r="P247" s="225" t="s">
        <v>155</v>
      </c>
      <c r="Q247" s="225" t="s">
        <v>155</v>
      </c>
      <c r="R247" s="225" t="s">
        <v>155</v>
      </c>
      <c r="S247" s="225" t="s">
        <v>155</v>
      </c>
      <c r="T247" s="226"/>
      <c r="U247" s="227"/>
      <c r="V247" s="52" t="s">
        <v>250</v>
      </c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</row>
    <row r="248" ht="30.0" customHeight="1">
      <c r="A248" s="159"/>
      <c r="B248" s="218" t="s">
        <v>246</v>
      </c>
      <c r="C248" s="218" t="s">
        <v>670</v>
      </c>
      <c r="D248" s="218" t="s">
        <v>732</v>
      </c>
      <c r="E248" s="219">
        <v>111937.0</v>
      </c>
      <c r="F248" s="220" t="s">
        <v>768</v>
      </c>
      <c r="G248" s="221" t="s">
        <v>249</v>
      </c>
      <c r="H248" s="221" t="s">
        <v>759</v>
      </c>
      <c r="I248" s="221" t="s">
        <v>769</v>
      </c>
      <c r="J248" s="222" t="s">
        <v>250</v>
      </c>
      <c r="K248" s="223">
        <v>2.0</v>
      </c>
      <c r="L248" s="223" t="b">
        <v>0</v>
      </c>
      <c r="M248" s="223" t="s">
        <v>389</v>
      </c>
      <c r="N248" s="223">
        <v>9.596</v>
      </c>
      <c r="O248" s="224"/>
      <c r="P248" s="225" t="s">
        <v>155</v>
      </c>
      <c r="Q248" s="225" t="s">
        <v>155</v>
      </c>
      <c r="R248" s="225" t="s">
        <v>155</v>
      </c>
      <c r="S248" s="225" t="s">
        <v>155</v>
      </c>
      <c r="T248" s="226"/>
      <c r="U248" s="227"/>
      <c r="V248" s="109" t="s">
        <v>770</v>
      </c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</row>
    <row r="249" ht="30.0" customHeight="1">
      <c r="A249" s="159"/>
      <c r="B249" s="218" t="s">
        <v>246</v>
      </c>
      <c r="C249" s="218" t="s">
        <v>670</v>
      </c>
      <c r="D249" s="218" t="s">
        <v>732</v>
      </c>
      <c r="E249" s="219">
        <v>108804.0</v>
      </c>
      <c r="F249" s="40" t="s">
        <v>771</v>
      </c>
      <c r="G249" s="221" t="s">
        <v>249</v>
      </c>
      <c r="H249" s="221" t="s">
        <v>759</v>
      </c>
      <c r="I249" s="221" t="s">
        <v>42</v>
      </c>
      <c r="J249" s="222" t="s">
        <v>250</v>
      </c>
      <c r="K249" s="223">
        <v>3.0</v>
      </c>
      <c r="L249" s="223" t="b">
        <v>1</v>
      </c>
      <c r="M249" s="228"/>
      <c r="N249" s="228"/>
      <c r="O249" s="224"/>
      <c r="P249" s="225" t="s">
        <v>155</v>
      </c>
      <c r="Q249" s="225" t="s">
        <v>155</v>
      </c>
      <c r="R249" s="225" t="s">
        <v>155</v>
      </c>
      <c r="S249" s="225" t="s">
        <v>155</v>
      </c>
      <c r="T249" s="226"/>
      <c r="U249" s="227"/>
      <c r="V249" s="109" t="s">
        <v>772</v>
      </c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</row>
    <row r="250" ht="30.0" customHeight="1">
      <c r="A250" s="159"/>
      <c r="B250" s="218" t="s">
        <v>246</v>
      </c>
      <c r="C250" s="218" t="s">
        <v>670</v>
      </c>
      <c r="D250" s="218" t="s">
        <v>732</v>
      </c>
      <c r="E250" s="219">
        <v>27397.0</v>
      </c>
      <c r="F250" s="231" t="s">
        <v>773</v>
      </c>
      <c r="G250" s="221" t="s">
        <v>249</v>
      </c>
      <c r="H250" s="221" t="s">
        <v>759</v>
      </c>
      <c r="I250" s="221" t="s">
        <v>774</v>
      </c>
      <c r="J250" s="222" t="s">
        <v>250</v>
      </c>
      <c r="K250" s="223">
        <v>2.0</v>
      </c>
      <c r="L250" s="223" t="b">
        <v>0</v>
      </c>
      <c r="M250" s="228"/>
      <c r="N250" s="228"/>
      <c r="O250" s="224"/>
      <c r="P250" s="225" t="s">
        <v>155</v>
      </c>
      <c r="Q250" s="225" t="s">
        <v>155</v>
      </c>
      <c r="R250" s="225" t="s">
        <v>155</v>
      </c>
      <c r="S250" s="225" t="s">
        <v>155</v>
      </c>
      <c r="T250" s="226"/>
      <c r="U250" s="227"/>
      <c r="V250" s="109" t="s">
        <v>775</v>
      </c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</row>
    <row r="251" ht="30.0" customHeight="1">
      <c r="A251" s="159"/>
      <c r="B251" s="218" t="s">
        <v>246</v>
      </c>
      <c r="C251" s="218" t="s">
        <v>670</v>
      </c>
      <c r="D251" s="218" t="s">
        <v>732</v>
      </c>
      <c r="E251" s="219">
        <v>114311.0</v>
      </c>
      <c r="F251" s="40" t="s">
        <v>776</v>
      </c>
      <c r="G251" s="221" t="s">
        <v>249</v>
      </c>
      <c r="H251" s="221" t="s">
        <v>759</v>
      </c>
      <c r="I251" s="221" t="s">
        <v>389</v>
      </c>
      <c r="J251" s="222" t="s">
        <v>250</v>
      </c>
      <c r="K251" s="223">
        <v>3.0</v>
      </c>
      <c r="L251" s="223" t="b">
        <v>1</v>
      </c>
      <c r="M251" s="228"/>
      <c r="N251" s="228"/>
      <c r="O251" s="224"/>
      <c r="P251" s="225" t="s">
        <v>155</v>
      </c>
      <c r="Q251" s="225" t="s">
        <v>155</v>
      </c>
      <c r="R251" s="225" t="s">
        <v>155</v>
      </c>
      <c r="S251" s="225" t="s">
        <v>155</v>
      </c>
      <c r="T251" s="226"/>
      <c r="U251" s="227"/>
      <c r="V251" s="52" t="s">
        <v>250</v>
      </c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</row>
    <row r="252" ht="30.0" customHeight="1">
      <c r="A252" s="159"/>
      <c r="B252" s="218" t="s">
        <v>246</v>
      </c>
      <c r="C252" s="218" t="s">
        <v>670</v>
      </c>
      <c r="D252" s="218" t="s">
        <v>732</v>
      </c>
      <c r="E252" s="219">
        <v>114312.0</v>
      </c>
      <c r="F252" s="40" t="s">
        <v>777</v>
      </c>
      <c r="G252" s="221" t="s">
        <v>249</v>
      </c>
      <c r="H252" s="221" t="s">
        <v>759</v>
      </c>
      <c r="I252" s="221" t="s">
        <v>389</v>
      </c>
      <c r="J252" s="222" t="s">
        <v>250</v>
      </c>
      <c r="K252" s="223">
        <v>0.0</v>
      </c>
      <c r="L252" s="223" t="b">
        <v>0</v>
      </c>
      <c r="M252" s="228"/>
      <c r="N252" s="228"/>
      <c r="O252" s="224"/>
      <c r="P252" s="225" t="s">
        <v>155</v>
      </c>
      <c r="Q252" s="225" t="s">
        <v>155</v>
      </c>
      <c r="R252" s="225" t="s">
        <v>155</v>
      </c>
      <c r="S252" s="225" t="s">
        <v>155</v>
      </c>
      <c r="T252" s="226"/>
      <c r="U252" s="227"/>
      <c r="V252" s="109" t="s">
        <v>778</v>
      </c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</row>
    <row r="253" ht="30.0" customHeight="1">
      <c r="A253" s="159"/>
      <c r="B253" s="218" t="s">
        <v>246</v>
      </c>
      <c r="C253" s="218" t="s">
        <v>670</v>
      </c>
      <c r="D253" s="218" t="s">
        <v>732</v>
      </c>
      <c r="E253" s="219">
        <v>108802.0</v>
      </c>
      <c r="F253" s="40" t="s">
        <v>779</v>
      </c>
      <c r="G253" s="221" t="s">
        <v>249</v>
      </c>
      <c r="H253" s="221" t="s">
        <v>759</v>
      </c>
      <c r="I253" s="221" t="s">
        <v>769</v>
      </c>
      <c r="J253" s="222" t="s">
        <v>250</v>
      </c>
      <c r="K253" s="223">
        <v>0.0</v>
      </c>
      <c r="L253" s="223" t="b">
        <v>0</v>
      </c>
      <c r="M253" s="228"/>
      <c r="N253" s="228"/>
      <c r="O253" s="224"/>
      <c r="P253" s="225" t="s">
        <v>155</v>
      </c>
      <c r="Q253" s="225" t="s">
        <v>155</v>
      </c>
      <c r="R253" s="225" t="s">
        <v>155</v>
      </c>
      <c r="S253" s="225" t="s">
        <v>155</v>
      </c>
      <c r="T253" s="226"/>
      <c r="U253" s="227"/>
      <c r="V253" s="52" t="s">
        <v>250</v>
      </c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</row>
    <row r="254" ht="30.0" customHeight="1">
      <c r="A254" s="159"/>
      <c r="B254" s="218" t="s">
        <v>246</v>
      </c>
      <c r="C254" s="218" t="s">
        <v>670</v>
      </c>
      <c r="D254" s="218" t="s">
        <v>732</v>
      </c>
      <c r="E254" s="219">
        <v>111998.0</v>
      </c>
      <c r="F254" s="220" t="s">
        <v>780</v>
      </c>
      <c r="G254" s="221" t="s">
        <v>249</v>
      </c>
      <c r="H254" s="221" t="s">
        <v>754</v>
      </c>
      <c r="I254" s="221" t="s">
        <v>755</v>
      </c>
      <c r="J254" s="222" t="s">
        <v>250</v>
      </c>
      <c r="K254" s="223">
        <v>2.0</v>
      </c>
      <c r="L254" s="223" t="b">
        <v>1</v>
      </c>
      <c r="M254" s="223" t="s">
        <v>42</v>
      </c>
      <c r="N254" s="223">
        <v>4.9525</v>
      </c>
      <c r="O254" s="224"/>
      <c r="P254" s="225" t="s">
        <v>155</v>
      </c>
      <c r="Q254" s="225" t="s">
        <v>155</v>
      </c>
      <c r="R254" s="225" t="s">
        <v>155</v>
      </c>
      <c r="S254" s="225" t="s">
        <v>155</v>
      </c>
      <c r="T254" s="226"/>
      <c r="U254" s="227"/>
      <c r="V254" s="52" t="s">
        <v>250</v>
      </c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</row>
    <row r="255" ht="30.0" customHeight="1">
      <c r="A255" s="159"/>
      <c r="B255" s="218" t="s">
        <v>246</v>
      </c>
      <c r="C255" s="218" t="s">
        <v>670</v>
      </c>
      <c r="D255" s="218" t="s">
        <v>732</v>
      </c>
      <c r="E255" s="219">
        <v>141639.0</v>
      </c>
      <c r="F255" s="40" t="s">
        <v>781</v>
      </c>
      <c r="G255" s="221" t="s">
        <v>249</v>
      </c>
      <c r="H255" s="221" t="s">
        <v>759</v>
      </c>
      <c r="I255" s="221" t="s">
        <v>389</v>
      </c>
      <c r="J255" s="222" t="s">
        <v>250</v>
      </c>
      <c r="K255" s="223">
        <v>3.0</v>
      </c>
      <c r="L255" s="223" t="b">
        <v>1</v>
      </c>
      <c r="M255" s="228"/>
      <c r="N255" s="228"/>
      <c r="O255" s="224"/>
      <c r="P255" s="225" t="s">
        <v>155</v>
      </c>
      <c r="Q255" s="225" t="s">
        <v>155</v>
      </c>
      <c r="R255" s="225" t="s">
        <v>155</v>
      </c>
      <c r="S255" s="225" t="s">
        <v>155</v>
      </c>
      <c r="T255" s="226"/>
      <c r="U255" s="227"/>
      <c r="V255" s="109" t="s">
        <v>782</v>
      </c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</row>
    <row r="256" ht="30.0" customHeight="1">
      <c r="A256" s="159"/>
      <c r="B256" s="218" t="s">
        <v>246</v>
      </c>
      <c r="C256" s="218" t="s">
        <v>670</v>
      </c>
      <c r="D256" s="218" t="s">
        <v>732</v>
      </c>
      <c r="E256" s="219">
        <v>15157.0</v>
      </c>
      <c r="F256" s="220" t="s">
        <v>783</v>
      </c>
      <c r="G256" s="221" t="s">
        <v>249</v>
      </c>
      <c r="H256" s="222" t="s">
        <v>250</v>
      </c>
      <c r="I256" s="221" t="s">
        <v>455</v>
      </c>
      <c r="J256" s="222" t="s">
        <v>250</v>
      </c>
      <c r="K256" s="223">
        <v>3.0</v>
      </c>
      <c r="L256" s="223" t="b">
        <v>1</v>
      </c>
      <c r="M256" s="223" t="s">
        <v>455</v>
      </c>
      <c r="N256" s="223">
        <v>27.572595</v>
      </c>
      <c r="O256" s="224" t="s">
        <v>238</v>
      </c>
      <c r="P256" s="225" t="s">
        <v>155</v>
      </c>
      <c r="Q256" s="225" t="s">
        <v>155</v>
      </c>
      <c r="R256" s="225" t="s">
        <v>155</v>
      </c>
      <c r="S256" s="225" t="s">
        <v>155</v>
      </c>
      <c r="T256" s="226"/>
      <c r="U256" s="227"/>
      <c r="V256" s="109" t="s">
        <v>784</v>
      </c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</row>
    <row r="257" ht="30.0" customHeight="1">
      <c r="A257" s="159"/>
      <c r="B257" s="218" t="s">
        <v>246</v>
      </c>
      <c r="C257" s="218" t="s">
        <v>670</v>
      </c>
      <c r="D257" s="218" t="s">
        <v>732</v>
      </c>
      <c r="E257" s="219">
        <v>141640.0</v>
      </c>
      <c r="F257" s="40" t="s">
        <v>785</v>
      </c>
      <c r="G257" s="221" t="s">
        <v>249</v>
      </c>
      <c r="H257" s="221" t="s">
        <v>759</v>
      </c>
      <c r="I257" s="221" t="s">
        <v>389</v>
      </c>
      <c r="J257" s="222" t="s">
        <v>250</v>
      </c>
      <c r="K257" s="223">
        <v>3.0</v>
      </c>
      <c r="L257" s="223" t="b">
        <v>1</v>
      </c>
      <c r="M257" s="228"/>
      <c r="N257" s="228"/>
      <c r="O257" s="224"/>
      <c r="P257" s="225" t="s">
        <v>155</v>
      </c>
      <c r="Q257" s="225" t="s">
        <v>155</v>
      </c>
      <c r="R257" s="225" t="s">
        <v>155</v>
      </c>
      <c r="S257" s="225" t="s">
        <v>155</v>
      </c>
      <c r="T257" s="226"/>
      <c r="U257" s="227"/>
      <c r="V257" s="109" t="s">
        <v>786</v>
      </c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</row>
    <row r="258" ht="30.0" customHeight="1">
      <c r="A258" s="209"/>
      <c r="B258" s="209" t="s">
        <v>787</v>
      </c>
      <c r="C258" s="211"/>
      <c r="D258" s="211"/>
      <c r="E258" s="212"/>
      <c r="F258" s="213"/>
      <c r="G258" s="213"/>
      <c r="H258" s="213"/>
      <c r="I258" s="212"/>
      <c r="J258" s="212"/>
      <c r="K258" s="214"/>
      <c r="L258" s="214"/>
      <c r="M258" s="214"/>
      <c r="N258" s="214"/>
      <c r="O258" s="215"/>
      <c r="P258" s="216"/>
      <c r="Q258" s="216"/>
      <c r="R258" s="216"/>
      <c r="S258" s="216"/>
      <c r="T258" s="217"/>
      <c r="U258" s="217"/>
      <c r="V258" s="217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</row>
    <row r="259" ht="30.0" customHeight="1">
      <c r="A259" s="159"/>
      <c r="B259" s="218" t="s">
        <v>246</v>
      </c>
      <c r="C259" s="218" t="s">
        <v>670</v>
      </c>
      <c r="D259" s="218" t="s">
        <v>787</v>
      </c>
      <c r="E259" s="219">
        <v>53694.0</v>
      </c>
      <c r="F259" s="220" t="s">
        <v>788</v>
      </c>
      <c r="G259" s="221" t="s">
        <v>249</v>
      </c>
      <c r="H259" s="221" t="s">
        <v>789</v>
      </c>
      <c r="I259" s="221" t="s">
        <v>790</v>
      </c>
      <c r="J259" s="222" t="s">
        <v>250</v>
      </c>
      <c r="K259" s="223">
        <v>3.0</v>
      </c>
      <c r="L259" s="223" t="b">
        <v>0</v>
      </c>
      <c r="M259" s="223" t="s">
        <v>790</v>
      </c>
      <c r="N259" s="223">
        <v>42.361472</v>
      </c>
      <c r="O259" s="224" t="s">
        <v>238</v>
      </c>
      <c r="P259" s="225" t="s">
        <v>155</v>
      </c>
      <c r="Q259" s="225" t="s">
        <v>155</v>
      </c>
      <c r="R259" s="225" t="s">
        <v>155</v>
      </c>
      <c r="S259" s="225" t="s">
        <v>155</v>
      </c>
      <c r="T259" s="229" t="s">
        <v>554</v>
      </c>
      <c r="U259" s="227"/>
      <c r="V259" s="109" t="s">
        <v>791</v>
      </c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</row>
    <row r="260" ht="30.0" customHeight="1">
      <c r="A260" s="159"/>
      <c r="B260" s="218" t="s">
        <v>246</v>
      </c>
      <c r="C260" s="218" t="s">
        <v>670</v>
      </c>
      <c r="D260" s="218" t="s">
        <v>787</v>
      </c>
      <c r="E260" s="219">
        <v>15271.0</v>
      </c>
      <c r="F260" s="220" t="s">
        <v>792</v>
      </c>
      <c r="G260" s="221" t="s">
        <v>249</v>
      </c>
      <c r="H260" s="221" t="s">
        <v>789</v>
      </c>
      <c r="I260" s="221" t="s">
        <v>793</v>
      </c>
      <c r="J260" s="222" t="s">
        <v>250</v>
      </c>
      <c r="K260" s="223">
        <v>2.0</v>
      </c>
      <c r="L260" s="223" t="b">
        <v>0</v>
      </c>
      <c r="M260" s="223" t="s">
        <v>793</v>
      </c>
      <c r="N260" s="223">
        <v>31.849293</v>
      </c>
      <c r="O260" s="224" t="s">
        <v>238</v>
      </c>
      <c r="P260" s="225" t="s">
        <v>155</v>
      </c>
      <c r="Q260" s="225" t="s">
        <v>155</v>
      </c>
      <c r="R260" s="225" t="s">
        <v>155</v>
      </c>
      <c r="S260" s="225" t="s">
        <v>155</v>
      </c>
      <c r="T260" s="229" t="s">
        <v>554</v>
      </c>
      <c r="U260" s="227"/>
      <c r="V260" s="109" t="s">
        <v>794</v>
      </c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</row>
    <row r="261" ht="30.0" customHeight="1">
      <c r="A261" s="159"/>
      <c r="B261" s="218" t="s">
        <v>246</v>
      </c>
      <c r="C261" s="218" t="s">
        <v>670</v>
      </c>
      <c r="D261" s="218" t="s">
        <v>787</v>
      </c>
      <c r="E261" s="219">
        <v>15270.0</v>
      </c>
      <c r="F261" s="220" t="s">
        <v>795</v>
      </c>
      <c r="G261" s="221" t="s">
        <v>249</v>
      </c>
      <c r="H261" s="221" t="s">
        <v>789</v>
      </c>
      <c r="I261" s="221" t="s">
        <v>793</v>
      </c>
      <c r="J261" s="222" t="s">
        <v>250</v>
      </c>
      <c r="K261" s="223">
        <v>2.0</v>
      </c>
      <c r="L261" s="223" t="b">
        <v>0</v>
      </c>
      <c r="M261" s="223" t="s">
        <v>793</v>
      </c>
      <c r="N261" s="223">
        <v>32.471448</v>
      </c>
      <c r="O261" s="224" t="s">
        <v>238</v>
      </c>
      <c r="P261" s="225" t="s">
        <v>155</v>
      </c>
      <c r="Q261" s="225" t="s">
        <v>155</v>
      </c>
      <c r="R261" s="225" t="s">
        <v>155</v>
      </c>
      <c r="S261" s="225" t="s">
        <v>155</v>
      </c>
      <c r="T261" s="229" t="s">
        <v>554</v>
      </c>
      <c r="U261" s="227"/>
      <c r="V261" s="109" t="s">
        <v>796</v>
      </c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</row>
    <row r="262" ht="30.0" customHeight="1">
      <c r="A262" s="159"/>
      <c r="B262" s="218" t="s">
        <v>246</v>
      </c>
      <c r="C262" s="218" t="s">
        <v>670</v>
      </c>
      <c r="D262" s="218" t="s">
        <v>787</v>
      </c>
      <c r="E262" s="219">
        <v>53695.0</v>
      </c>
      <c r="F262" s="220" t="s">
        <v>797</v>
      </c>
      <c r="G262" s="221" t="s">
        <v>249</v>
      </c>
      <c r="H262" s="221" t="s">
        <v>789</v>
      </c>
      <c r="I262" s="221" t="s">
        <v>790</v>
      </c>
      <c r="J262" s="222" t="s">
        <v>250</v>
      </c>
      <c r="K262" s="223">
        <v>4.0</v>
      </c>
      <c r="L262" s="223" t="b">
        <v>0</v>
      </c>
      <c r="M262" s="223" t="s">
        <v>790</v>
      </c>
      <c r="N262" s="223">
        <v>52.307434</v>
      </c>
      <c r="O262" s="224" t="s">
        <v>238</v>
      </c>
      <c r="P262" s="225" t="s">
        <v>155</v>
      </c>
      <c r="Q262" s="225" t="s">
        <v>155</v>
      </c>
      <c r="R262" s="225" t="s">
        <v>155</v>
      </c>
      <c r="S262" s="225" t="s">
        <v>155</v>
      </c>
      <c r="T262" s="229" t="s">
        <v>554</v>
      </c>
      <c r="U262" s="227"/>
      <c r="V262" s="109" t="s">
        <v>798</v>
      </c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</row>
    <row r="263" ht="30.0" customHeight="1">
      <c r="A263" s="159"/>
      <c r="B263" s="218" t="s">
        <v>246</v>
      </c>
      <c r="C263" s="218" t="s">
        <v>670</v>
      </c>
      <c r="D263" s="218" t="s">
        <v>787</v>
      </c>
      <c r="E263" s="219">
        <v>34638.0</v>
      </c>
      <c r="F263" s="220" t="s">
        <v>799</v>
      </c>
      <c r="G263" s="221" t="s">
        <v>249</v>
      </c>
      <c r="H263" s="221" t="s">
        <v>789</v>
      </c>
      <c r="I263" s="221" t="s">
        <v>793</v>
      </c>
      <c r="J263" s="222" t="s">
        <v>250</v>
      </c>
      <c r="K263" s="223">
        <v>2.0</v>
      </c>
      <c r="L263" s="223" t="b">
        <v>0</v>
      </c>
      <c r="M263" s="223" t="s">
        <v>793</v>
      </c>
      <c r="N263" s="223">
        <v>50.913333</v>
      </c>
      <c r="O263" s="224" t="s">
        <v>238</v>
      </c>
      <c r="P263" s="225" t="s">
        <v>155</v>
      </c>
      <c r="Q263" s="225" t="s">
        <v>155</v>
      </c>
      <c r="R263" s="225" t="s">
        <v>155</v>
      </c>
      <c r="S263" s="225" t="s">
        <v>155</v>
      </c>
      <c r="T263" s="229" t="s">
        <v>554</v>
      </c>
      <c r="U263" s="227"/>
      <c r="V263" s="52" t="s">
        <v>250</v>
      </c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</row>
    <row r="264" ht="30.0" customHeight="1">
      <c r="A264" s="159"/>
      <c r="B264" s="218" t="s">
        <v>246</v>
      </c>
      <c r="C264" s="218" t="s">
        <v>670</v>
      </c>
      <c r="D264" s="218" t="s">
        <v>787</v>
      </c>
      <c r="E264" s="219">
        <v>15265.0</v>
      </c>
      <c r="F264" s="220" t="s">
        <v>800</v>
      </c>
      <c r="G264" s="221" t="s">
        <v>249</v>
      </c>
      <c r="H264" s="221" t="s">
        <v>789</v>
      </c>
      <c r="I264" s="221" t="s">
        <v>793</v>
      </c>
      <c r="J264" s="222" t="s">
        <v>250</v>
      </c>
      <c r="K264" s="223">
        <v>3.0</v>
      </c>
      <c r="L264" s="223" t="b">
        <v>0</v>
      </c>
      <c r="M264" s="223" t="s">
        <v>793</v>
      </c>
      <c r="N264" s="223">
        <v>55.686714</v>
      </c>
      <c r="O264" s="224" t="s">
        <v>238</v>
      </c>
      <c r="P264" s="225" t="s">
        <v>155</v>
      </c>
      <c r="Q264" s="225" t="s">
        <v>155</v>
      </c>
      <c r="R264" s="225" t="s">
        <v>155</v>
      </c>
      <c r="S264" s="225" t="s">
        <v>155</v>
      </c>
      <c r="T264" s="229" t="s">
        <v>554</v>
      </c>
      <c r="U264" s="227"/>
      <c r="V264" s="109" t="s">
        <v>801</v>
      </c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</row>
    <row r="265" ht="30.0" customHeight="1">
      <c r="A265" s="209"/>
      <c r="B265" s="209" t="s">
        <v>802</v>
      </c>
      <c r="C265" s="211"/>
      <c r="D265" s="211"/>
      <c r="E265" s="212"/>
      <c r="F265" s="213"/>
      <c r="G265" s="213"/>
      <c r="H265" s="213"/>
      <c r="I265" s="212"/>
      <c r="J265" s="212"/>
      <c r="K265" s="214"/>
      <c r="L265" s="214"/>
      <c r="M265" s="214"/>
      <c r="N265" s="214"/>
      <c r="O265" s="215"/>
      <c r="P265" s="216"/>
      <c r="Q265" s="216"/>
      <c r="R265" s="216"/>
      <c r="S265" s="216"/>
      <c r="T265" s="217"/>
      <c r="U265" s="217"/>
      <c r="V265" s="217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</row>
    <row r="266" ht="30.0" customHeight="1">
      <c r="A266" s="159"/>
      <c r="B266" s="159" t="s">
        <v>246</v>
      </c>
      <c r="C266" s="218" t="s">
        <v>670</v>
      </c>
      <c r="D266" s="218" t="s">
        <v>802</v>
      </c>
      <c r="E266" s="219">
        <v>43803.0</v>
      </c>
      <c r="F266" s="220" t="s">
        <v>803</v>
      </c>
      <c r="G266" s="221" t="s">
        <v>249</v>
      </c>
      <c r="H266" s="222" t="s">
        <v>250</v>
      </c>
      <c r="I266" s="221" t="s">
        <v>42</v>
      </c>
      <c r="J266" s="222" t="s">
        <v>250</v>
      </c>
      <c r="K266" s="223">
        <v>4.0</v>
      </c>
      <c r="L266" s="223" t="b">
        <v>0</v>
      </c>
      <c r="M266" s="223" t="s">
        <v>42</v>
      </c>
      <c r="N266" s="223">
        <v>1.181278</v>
      </c>
      <c r="O266" s="224" t="s">
        <v>238</v>
      </c>
      <c r="P266" s="225" t="s">
        <v>155</v>
      </c>
      <c r="Q266" s="225" t="s">
        <v>155</v>
      </c>
      <c r="R266" s="225" t="s">
        <v>155</v>
      </c>
      <c r="S266" s="225" t="s">
        <v>155</v>
      </c>
      <c r="T266" s="226"/>
      <c r="U266" s="227"/>
      <c r="V266" s="52" t="s">
        <v>250</v>
      </c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</row>
    <row r="267" ht="30.0" customHeight="1">
      <c r="A267" s="159"/>
      <c r="B267" s="218" t="s">
        <v>246</v>
      </c>
      <c r="C267" s="218" t="s">
        <v>670</v>
      </c>
      <c r="D267" s="218" t="s">
        <v>802</v>
      </c>
      <c r="E267" s="219">
        <v>43806.0</v>
      </c>
      <c r="F267" s="220" t="s">
        <v>804</v>
      </c>
      <c r="G267" s="221" t="s">
        <v>249</v>
      </c>
      <c r="H267" s="221" t="s">
        <v>805</v>
      </c>
      <c r="I267" s="221" t="s">
        <v>42</v>
      </c>
      <c r="J267" s="222" t="s">
        <v>250</v>
      </c>
      <c r="K267" s="223">
        <v>2.0</v>
      </c>
      <c r="L267" s="223" t="b">
        <v>0</v>
      </c>
      <c r="M267" s="223" t="s">
        <v>42</v>
      </c>
      <c r="N267" s="223">
        <v>0.730472</v>
      </c>
      <c r="O267" s="224" t="s">
        <v>238</v>
      </c>
      <c r="P267" s="225" t="s">
        <v>155</v>
      </c>
      <c r="Q267" s="225" t="s">
        <v>155</v>
      </c>
      <c r="R267" s="225" t="s">
        <v>155</v>
      </c>
      <c r="S267" s="225" t="s">
        <v>155</v>
      </c>
      <c r="T267" s="226"/>
      <c r="U267" s="227"/>
      <c r="V267" s="109" t="s">
        <v>806</v>
      </c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</row>
    <row r="268" ht="30.0" customHeight="1">
      <c r="A268" s="159"/>
      <c r="B268" s="218" t="s">
        <v>246</v>
      </c>
      <c r="C268" s="218" t="s">
        <v>670</v>
      </c>
      <c r="D268" s="218" t="s">
        <v>802</v>
      </c>
      <c r="E268" s="219">
        <v>43809.0</v>
      </c>
      <c r="F268" s="220" t="s">
        <v>807</v>
      </c>
      <c r="G268" s="221" t="s">
        <v>249</v>
      </c>
      <c r="H268" s="222" t="s">
        <v>250</v>
      </c>
      <c r="I268" s="221" t="s">
        <v>42</v>
      </c>
      <c r="J268" s="222" t="s">
        <v>250</v>
      </c>
      <c r="K268" s="223">
        <v>3.0</v>
      </c>
      <c r="L268" s="223" t="b">
        <v>0</v>
      </c>
      <c r="M268" s="228"/>
      <c r="N268" s="228"/>
      <c r="O268" s="224"/>
      <c r="P268" s="225" t="s">
        <v>155</v>
      </c>
      <c r="Q268" s="225" t="s">
        <v>155</v>
      </c>
      <c r="R268" s="225" t="s">
        <v>155</v>
      </c>
      <c r="S268" s="225" t="s">
        <v>155</v>
      </c>
      <c r="T268" s="226"/>
      <c r="U268" s="227"/>
      <c r="V268" s="52" t="s">
        <v>250</v>
      </c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</row>
    <row r="269" ht="30.0" customHeight="1">
      <c r="A269" s="159"/>
      <c r="B269" s="218" t="s">
        <v>246</v>
      </c>
      <c r="C269" s="218" t="s">
        <v>670</v>
      </c>
      <c r="D269" s="218" t="s">
        <v>802</v>
      </c>
      <c r="E269" s="219">
        <v>43801.0</v>
      </c>
      <c r="F269" s="220" t="s">
        <v>808</v>
      </c>
      <c r="G269" s="221" t="s">
        <v>249</v>
      </c>
      <c r="H269" s="222" t="s">
        <v>250</v>
      </c>
      <c r="I269" s="221" t="s">
        <v>722</v>
      </c>
      <c r="J269" s="222" t="s">
        <v>250</v>
      </c>
      <c r="K269" s="223">
        <v>2.0</v>
      </c>
      <c r="L269" s="223" t="b">
        <v>0</v>
      </c>
      <c r="M269" s="223" t="s">
        <v>722</v>
      </c>
      <c r="N269" s="223">
        <v>14.112711</v>
      </c>
      <c r="O269" s="224" t="s">
        <v>238</v>
      </c>
      <c r="P269" s="225" t="s">
        <v>155</v>
      </c>
      <c r="Q269" s="225" t="s">
        <v>155</v>
      </c>
      <c r="R269" s="225" t="s">
        <v>155</v>
      </c>
      <c r="S269" s="225" t="s">
        <v>155</v>
      </c>
      <c r="T269" s="226"/>
      <c r="U269" s="227"/>
      <c r="V269" s="109" t="s">
        <v>809</v>
      </c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</row>
    <row r="270" ht="30.0" customHeight="1">
      <c r="A270" s="159"/>
      <c r="B270" s="218" t="s">
        <v>246</v>
      </c>
      <c r="C270" s="218" t="s">
        <v>670</v>
      </c>
      <c r="D270" s="218" t="s">
        <v>802</v>
      </c>
      <c r="E270" s="219">
        <v>43802.0</v>
      </c>
      <c r="F270" s="220" t="s">
        <v>810</v>
      </c>
      <c r="G270" s="221" t="s">
        <v>249</v>
      </c>
      <c r="H270" s="222" t="s">
        <v>250</v>
      </c>
      <c r="I270" s="221" t="s">
        <v>729</v>
      </c>
      <c r="J270" s="222" t="s">
        <v>250</v>
      </c>
      <c r="K270" s="223">
        <v>2.0</v>
      </c>
      <c r="L270" s="223" t="b">
        <v>0</v>
      </c>
      <c r="M270" s="223" t="s">
        <v>729</v>
      </c>
      <c r="N270" s="223">
        <v>13.383333</v>
      </c>
      <c r="O270" s="224" t="s">
        <v>238</v>
      </c>
      <c r="P270" s="225" t="s">
        <v>155</v>
      </c>
      <c r="Q270" s="225" t="s">
        <v>155</v>
      </c>
      <c r="R270" s="225" t="s">
        <v>155</v>
      </c>
      <c r="S270" s="225" t="s">
        <v>155</v>
      </c>
      <c r="T270" s="226"/>
      <c r="U270" s="227"/>
      <c r="V270" s="52" t="s">
        <v>250</v>
      </c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</row>
    <row r="271" ht="30.0" customHeight="1">
      <c r="A271" s="159"/>
      <c r="B271" s="218" t="s">
        <v>246</v>
      </c>
      <c r="C271" s="218" t="s">
        <v>670</v>
      </c>
      <c r="D271" s="218" t="s">
        <v>802</v>
      </c>
      <c r="E271" s="219">
        <v>43805.0</v>
      </c>
      <c r="F271" s="220" t="s">
        <v>811</v>
      </c>
      <c r="G271" s="221" t="s">
        <v>249</v>
      </c>
      <c r="H271" s="222" t="s">
        <v>250</v>
      </c>
      <c r="I271" s="221" t="s">
        <v>455</v>
      </c>
      <c r="J271" s="222" t="s">
        <v>250</v>
      </c>
      <c r="K271" s="223">
        <v>4.0</v>
      </c>
      <c r="L271" s="223" t="b">
        <v>0</v>
      </c>
      <c r="M271" s="223" t="s">
        <v>455</v>
      </c>
      <c r="N271" s="223">
        <v>15.475495</v>
      </c>
      <c r="O271" s="224" t="s">
        <v>238</v>
      </c>
      <c r="P271" s="225" t="s">
        <v>155</v>
      </c>
      <c r="Q271" s="225" t="s">
        <v>155</v>
      </c>
      <c r="R271" s="225" t="s">
        <v>155</v>
      </c>
      <c r="S271" s="225" t="s">
        <v>155</v>
      </c>
      <c r="T271" s="226"/>
      <c r="U271" s="227"/>
      <c r="V271" s="52" t="s">
        <v>250</v>
      </c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</row>
    <row r="272" ht="30.0" customHeight="1">
      <c r="A272" s="209"/>
      <c r="B272" s="210" t="s">
        <v>812</v>
      </c>
      <c r="C272" s="211"/>
      <c r="D272" s="211"/>
      <c r="E272" s="212"/>
      <c r="F272" s="213"/>
      <c r="G272" s="213"/>
      <c r="H272" s="213"/>
      <c r="I272" s="212"/>
      <c r="J272" s="212"/>
      <c r="K272" s="214"/>
      <c r="L272" s="214"/>
      <c r="M272" s="214"/>
      <c r="N272" s="214"/>
      <c r="O272" s="215"/>
      <c r="P272" s="216"/>
      <c r="Q272" s="216"/>
      <c r="R272" s="216"/>
      <c r="S272" s="216"/>
      <c r="T272" s="217"/>
      <c r="U272" s="217"/>
      <c r="V272" s="217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</row>
    <row r="273" ht="30.0" customHeight="1">
      <c r="A273" s="159"/>
      <c r="B273" s="218" t="s">
        <v>246</v>
      </c>
      <c r="C273" s="218" t="s">
        <v>813</v>
      </c>
      <c r="D273" s="218" t="s">
        <v>812</v>
      </c>
      <c r="E273" s="219">
        <v>109223.0</v>
      </c>
      <c r="F273" s="220" t="s">
        <v>814</v>
      </c>
      <c r="G273" s="221" t="s">
        <v>518</v>
      </c>
      <c r="H273" s="221" t="s">
        <v>815</v>
      </c>
      <c r="I273" s="221" t="s">
        <v>42</v>
      </c>
      <c r="J273" s="222" t="s">
        <v>250</v>
      </c>
      <c r="K273" s="223">
        <v>0.0</v>
      </c>
      <c r="L273" s="223" t="b">
        <v>0</v>
      </c>
      <c r="M273" s="228"/>
      <c r="N273" s="228"/>
      <c r="O273" s="224"/>
      <c r="P273" s="225" t="s">
        <v>155</v>
      </c>
      <c r="Q273" s="225" t="s">
        <v>155</v>
      </c>
      <c r="R273" s="225" t="s">
        <v>155</v>
      </c>
      <c r="S273" s="225" t="s">
        <v>155</v>
      </c>
      <c r="T273" s="226"/>
      <c r="U273" s="227"/>
      <c r="V273" s="52" t="s">
        <v>250</v>
      </c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</row>
    <row r="274" ht="30.0" customHeight="1">
      <c r="A274" s="159"/>
      <c r="B274" s="218" t="s">
        <v>246</v>
      </c>
      <c r="C274" s="218" t="s">
        <v>813</v>
      </c>
      <c r="D274" s="218" t="s">
        <v>812</v>
      </c>
      <c r="E274" s="219">
        <v>40427.0</v>
      </c>
      <c r="F274" s="220" t="s">
        <v>816</v>
      </c>
      <c r="G274" s="221" t="s">
        <v>518</v>
      </c>
      <c r="H274" s="221" t="s">
        <v>817</v>
      </c>
      <c r="I274" s="221" t="s">
        <v>818</v>
      </c>
      <c r="J274" s="221" t="s">
        <v>819</v>
      </c>
      <c r="K274" s="223">
        <v>2.0</v>
      </c>
      <c r="L274" s="223" t="b">
        <v>1</v>
      </c>
      <c r="M274" s="223" t="s">
        <v>818</v>
      </c>
      <c r="N274" s="223">
        <v>142.873529</v>
      </c>
      <c r="O274" s="224"/>
      <c r="P274" s="225" t="s">
        <v>155</v>
      </c>
      <c r="Q274" s="225" t="s">
        <v>155</v>
      </c>
      <c r="R274" s="225" t="s">
        <v>155</v>
      </c>
      <c r="S274" s="225" t="s">
        <v>155</v>
      </c>
      <c r="T274" s="226"/>
      <c r="U274" s="227"/>
      <c r="V274" s="52" t="s">
        <v>250</v>
      </c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</row>
    <row r="275" ht="30.0" customHeight="1">
      <c r="A275" s="159"/>
      <c r="B275" s="218" t="s">
        <v>246</v>
      </c>
      <c r="C275" s="218" t="s">
        <v>813</v>
      </c>
      <c r="D275" s="218" t="s">
        <v>812</v>
      </c>
      <c r="E275" s="219">
        <v>109633.0</v>
      </c>
      <c r="F275" s="220" t="s">
        <v>820</v>
      </c>
      <c r="G275" s="221" t="s">
        <v>518</v>
      </c>
      <c r="H275" s="221" t="s">
        <v>821</v>
      </c>
      <c r="I275" s="221" t="s">
        <v>389</v>
      </c>
      <c r="J275" s="222" t="s">
        <v>250</v>
      </c>
      <c r="K275" s="223">
        <v>2.0</v>
      </c>
      <c r="L275" s="223" t="b">
        <v>1</v>
      </c>
      <c r="M275" s="223" t="s">
        <v>389</v>
      </c>
      <c r="N275" s="223">
        <v>2.941739</v>
      </c>
      <c r="O275" s="224"/>
      <c r="P275" s="225" t="s">
        <v>155</v>
      </c>
      <c r="Q275" s="225" t="s">
        <v>155</v>
      </c>
      <c r="R275" s="225" t="s">
        <v>155</v>
      </c>
      <c r="S275" s="225" t="s">
        <v>155</v>
      </c>
      <c r="T275" s="226"/>
      <c r="U275" s="227"/>
      <c r="V275" s="52" t="s">
        <v>250</v>
      </c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</row>
    <row r="276" ht="30.0" customHeight="1">
      <c r="A276" s="159"/>
      <c r="B276" s="218" t="s">
        <v>246</v>
      </c>
      <c r="C276" s="218" t="s">
        <v>813</v>
      </c>
      <c r="D276" s="218" t="s">
        <v>812</v>
      </c>
      <c r="E276" s="219">
        <v>16184.0</v>
      </c>
      <c r="F276" s="220" t="s">
        <v>822</v>
      </c>
      <c r="G276" s="221" t="s">
        <v>518</v>
      </c>
      <c r="H276" s="221" t="s">
        <v>823</v>
      </c>
      <c r="I276" s="221" t="s">
        <v>325</v>
      </c>
      <c r="J276" s="222" t="s">
        <v>250</v>
      </c>
      <c r="K276" s="223">
        <v>2.0</v>
      </c>
      <c r="L276" s="223" t="b">
        <v>0</v>
      </c>
      <c r="M276" s="223" t="s">
        <v>325</v>
      </c>
      <c r="N276" s="223">
        <v>21.875596</v>
      </c>
      <c r="O276" s="224" t="s">
        <v>238</v>
      </c>
      <c r="P276" s="225" t="s">
        <v>155</v>
      </c>
      <c r="Q276" s="225" t="s">
        <v>155</v>
      </c>
      <c r="R276" s="225" t="s">
        <v>155</v>
      </c>
      <c r="S276" s="225" t="s">
        <v>155</v>
      </c>
      <c r="T276" s="226"/>
      <c r="U276" s="227"/>
      <c r="V276" s="52" t="s">
        <v>250</v>
      </c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</row>
    <row r="277" ht="30.0" customHeight="1">
      <c r="A277" s="159"/>
      <c r="B277" s="218" t="s">
        <v>246</v>
      </c>
      <c r="C277" s="218" t="s">
        <v>813</v>
      </c>
      <c r="D277" s="218" t="s">
        <v>812</v>
      </c>
      <c r="E277" s="219">
        <v>109640.0</v>
      </c>
      <c r="F277" s="220" t="s">
        <v>824</v>
      </c>
      <c r="G277" s="221" t="s">
        <v>518</v>
      </c>
      <c r="H277" s="221" t="s">
        <v>825</v>
      </c>
      <c r="I277" s="221" t="s">
        <v>389</v>
      </c>
      <c r="J277" s="222" t="s">
        <v>250</v>
      </c>
      <c r="K277" s="223">
        <v>2.0</v>
      </c>
      <c r="L277" s="223" t="b">
        <v>0</v>
      </c>
      <c r="M277" s="223" t="s">
        <v>389</v>
      </c>
      <c r="N277" s="223">
        <v>3.756111</v>
      </c>
      <c r="O277" s="224"/>
      <c r="P277" s="225" t="s">
        <v>155</v>
      </c>
      <c r="Q277" s="225" t="s">
        <v>155</v>
      </c>
      <c r="R277" s="225" t="s">
        <v>155</v>
      </c>
      <c r="S277" s="225" t="s">
        <v>155</v>
      </c>
      <c r="T277" s="226"/>
      <c r="U277" s="227"/>
      <c r="V277" s="109" t="s">
        <v>826</v>
      </c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</row>
    <row r="278" ht="30.0" customHeight="1">
      <c r="A278" s="159"/>
      <c r="B278" s="218" t="s">
        <v>246</v>
      </c>
      <c r="C278" s="218" t="s">
        <v>813</v>
      </c>
      <c r="D278" s="218" t="s">
        <v>812</v>
      </c>
      <c r="E278" s="219">
        <v>111865.0</v>
      </c>
      <c r="F278" s="220" t="s">
        <v>827</v>
      </c>
      <c r="G278" s="221" t="s">
        <v>518</v>
      </c>
      <c r="H278" s="221" t="s">
        <v>825</v>
      </c>
      <c r="I278" s="221" t="s">
        <v>828</v>
      </c>
      <c r="J278" s="221" t="s">
        <v>819</v>
      </c>
      <c r="K278" s="223">
        <v>3.0</v>
      </c>
      <c r="L278" s="223" t="b">
        <v>0</v>
      </c>
      <c r="M278" s="223" t="s">
        <v>42</v>
      </c>
      <c r="N278" s="223">
        <v>0.658846</v>
      </c>
      <c r="O278" s="224"/>
      <c r="P278" s="225" t="s">
        <v>155</v>
      </c>
      <c r="Q278" s="225" t="s">
        <v>155</v>
      </c>
      <c r="R278" s="225" t="s">
        <v>155</v>
      </c>
      <c r="S278" s="225" t="s">
        <v>155</v>
      </c>
      <c r="T278" s="226"/>
      <c r="U278" s="227"/>
      <c r="V278" s="109" t="s">
        <v>829</v>
      </c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</row>
    <row r="279" ht="30.0" customHeight="1">
      <c r="A279" s="159"/>
      <c r="B279" s="218" t="s">
        <v>246</v>
      </c>
      <c r="C279" s="218" t="s">
        <v>813</v>
      </c>
      <c r="D279" s="218" t="s">
        <v>812</v>
      </c>
      <c r="E279" s="219">
        <v>109641.0</v>
      </c>
      <c r="F279" s="220" t="s">
        <v>830</v>
      </c>
      <c r="G279" s="221" t="s">
        <v>518</v>
      </c>
      <c r="H279" s="221" t="s">
        <v>825</v>
      </c>
      <c r="I279" s="221" t="s">
        <v>389</v>
      </c>
      <c r="J279" s="222" t="s">
        <v>250</v>
      </c>
      <c r="K279" s="223">
        <v>2.0</v>
      </c>
      <c r="L279" s="223" t="b">
        <v>1</v>
      </c>
      <c r="M279" s="223" t="s">
        <v>389</v>
      </c>
      <c r="N279" s="223">
        <v>4.590833</v>
      </c>
      <c r="O279" s="224"/>
      <c r="P279" s="225" t="s">
        <v>155</v>
      </c>
      <c r="Q279" s="225" t="s">
        <v>155</v>
      </c>
      <c r="R279" s="225" t="s">
        <v>155</v>
      </c>
      <c r="S279" s="225" t="s">
        <v>155</v>
      </c>
      <c r="T279" s="226"/>
      <c r="U279" s="227"/>
      <c r="V279" s="109" t="s">
        <v>831</v>
      </c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</row>
    <row r="280" ht="30.0" customHeight="1">
      <c r="A280" s="159"/>
      <c r="B280" s="218" t="s">
        <v>246</v>
      </c>
      <c r="C280" s="218" t="s">
        <v>813</v>
      </c>
      <c r="D280" s="218" t="s">
        <v>812</v>
      </c>
      <c r="E280" s="219">
        <v>16332.0</v>
      </c>
      <c r="F280" s="220" t="s">
        <v>832</v>
      </c>
      <c r="G280" s="221" t="s">
        <v>518</v>
      </c>
      <c r="H280" s="222"/>
      <c r="I280" s="221" t="s">
        <v>42</v>
      </c>
      <c r="J280" s="222" t="s">
        <v>250</v>
      </c>
      <c r="K280" s="223">
        <v>3.0</v>
      </c>
      <c r="L280" s="223" t="b">
        <v>1</v>
      </c>
      <c r="M280" s="228"/>
      <c r="N280" s="228"/>
      <c r="O280" s="224"/>
      <c r="P280" s="225" t="s">
        <v>155</v>
      </c>
      <c r="Q280" s="225" t="s">
        <v>155</v>
      </c>
      <c r="R280" s="225" t="s">
        <v>155</v>
      </c>
      <c r="S280" s="225" t="s">
        <v>155</v>
      </c>
      <c r="T280" s="229" t="s">
        <v>833</v>
      </c>
      <c r="U280" s="227"/>
      <c r="V280" s="109" t="s">
        <v>834</v>
      </c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</row>
    <row r="281" ht="30.0" customHeight="1">
      <c r="A281" s="159"/>
      <c r="B281" s="218" t="s">
        <v>246</v>
      </c>
      <c r="C281" s="218" t="s">
        <v>813</v>
      </c>
      <c r="D281" s="218" t="s">
        <v>812</v>
      </c>
      <c r="E281" s="219">
        <v>15741.0</v>
      </c>
      <c r="F281" s="220" t="s">
        <v>835</v>
      </c>
      <c r="G281" s="221" t="s">
        <v>518</v>
      </c>
      <c r="H281" s="221" t="s">
        <v>836</v>
      </c>
      <c r="I281" s="221" t="s">
        <v>818</v>
      </c>
      <c r="J281" s="221" t="s">
        <v>819</v>
      </c>
      <c r="K281" s="223">
        <v>2.0</v>
      </c>
      <c r="L281" s="223" t="b">
        <v>0</v>
      </c>
      <c r="M281" s="223" t="s">
        <v>818</v>
      </c>
      <c r="N281" s="223">
        <v>35.885797</v>
      </c>
      <c r="O281" s="224" t="s">
        <v>238</v>
      </c>
      <c r="P281" s="225" t="s">
        <v>155</v>
      </c>
      <c r="Q281" s="225" t="s">
        <v>155</v>
      </c>
      <c r="R281" s="225" t="s">
        <v>155</v>
      </c>
      <c r="S281" s="225" t="s">
        <v>155</v>
      </c>
      <c r="T281" s="226"/>
      <c r="U281" s="227"/>
      <c r="V281" s="52" t="s">
        <v>250</v>
      </c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</row>
    <row r="282" ht="30.0" customHeight="1">
      <c r="A282" s="159"/>
      <c r="B282" s="218" t="s">
        <v>246</v>
      </c>
      <c r="C282" s="218" t="s">
        <v>813</v>
      </c>
      <c r="D282" s="218" t="s">
        <v>812</v>
      </c>
      <c r="E282" s="219">
        <v>109639.0</v>
      </c>
      <c r="F282" s="220" t="s">
        <v>837</v>
      </c>
      <c r="G282" s="221" t="s">
        <v>518</v>
      </c>
      <c r="H282" s="221" t="s">
        <v>825</v>
      </c>
      <c r="I282" s="221" t="s">
        <v>389</v>
      </c>
      <c r="J282" s="221" t="s">
        <v>819</v>
      </c>
      <c r="K282" s="223">
        <v>2.0</v>
      </c>
      <c r="L282" s="223" t="b">
        <v>0</v>
      </c>
      <c r="M282" s="223" t="s">
        <v>389</v>
      </c>
      <c r="N282" s="223">
        <v>1.694098</v>
      </c>
      <c r="O282" s="224"/>
      <c r="P282" s="225" t="s">
        <v>155</v>
      </c>
      <c r="Q282" s="225" t="s">
        <v>155</v>
      </c>
      <c r="R282" s="225" t="s">
        <v>155</v>
      </c>
      <c r="S282" s="225" t="s">
        <v>155</v>
      </c>
      <c r="T282" s="226"/>
      <c r="U282" s="227"/>
      <c r="V282" s="109" t="s">
        <v>838</v>
      </c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</row>
    <row r="283" ht="30.0" customHeight="1">
      <c r="A283" s="159"/>
      <c r="B283" s="218" t="s">
        <v>246</v>
      </c>
      <c r="C283" s="218" t="s">
        <v>813</v>
      </c>
      <c r="D283" s="218" t="s">
        <v>812</v>
      </c>
      <c r="E283" s="219">
        <v>39714.0</v>
      </c>
      <c r="F283" s="220" t="s">
        <v>839</v>
      </c>
      <c r="G283" s="221" t="s">
        <v>518</v>
      </c>
      <c r="H283" s="222"/>
      <c r="I283" s="221" t="s">
        <v>691</v>
      </c>
      <c r="J283" s="221" t="s">
        <v>840</v>
      </c>
      <c r="K283" s="223">
        <v>2.0</v>
      </c>
      <c r="L283" s="223" t="b">
        <v>1</v>
      </c>
      <c r="M283" s="223" t="s">
        <v>691</v>
      </c>
      <c r="N283" s="223">
        <v>40.747142</v>
      </c>
      <c r="O283" s="224"/>
      <c r="P283" s="225" t="s">
        <v>155</v>
      </c>
      <c r="Q283" s="225" t="s">
        <v>155</v>
      </c>
      <c r="R283" s="225" t="s">
        <v>155</v>
      </c>
      <c r="S283" s="225" t="s">
        <v>155</v>
      </c>
      <c r="T283" s="226"/>
      <c r="U283" s="227"/>
      <c r="V283" s="52" t="s">
        <v>250</v>
      </c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</row>
    <row r="284" ht="30.0" customHeight="1">
      <c r="A284" s="159"/>
      <c r="B284" s="218" t="s">
        <v>246</v>
      </c>
      <c r="C284" s="218" t="s">
        <v>813</v>
      </c>
      <c r="D284" s="218" t="s">
        <v>812</v>
      </c>
      <c r="E284" s="219">
        <v>111697.0</v>
      </c>
      <c r="F284" s="220" t="s">
        <v>841</v>
      </c>
      <c r="G284" s="221" t="s">
        <v>369</v>
      </c>
      <c r="H284" s="221" t="s">
        <v>825</v>
      </c>
      <c r="I284" s="221" t="s">
        <v>389</v>
      </c>
      <c r="J284" s="221" t="s">
        <v>819</v>
      </c>
      <c r="K284" s="223">
        <v>3.0</v>
      </c>
      <c r="L284" s="223" t="b">
        <v>0</v>
      </c>
      <c r="M284" s="223" t="s">
        <v>389</v>
      </c>
      <c r="N284" s="223">
        <v>2.210333</v>
      </c>
      <c r="O284" s="224"/>
      <c r="P284" s="225" t="s">
        <v>155</v>
      </c>
      <c r="Q284" s="225" t="s">
        <v>155</v>
      </c>
      <c r="R284" s="225" t="s">
        <v>155</v>
      </c>
      <c r="S284" s="225" t="s">
        <v>155</v>
      </c>
      <c r="T284" s="226"/>
      <c r="U284" s="227"/>
      <c r="V284" s="109" t="s">
        <v>842</v>
      </c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</row>
    <row r="285" ht="30.0" customHeight="1">
      <c r="A285" s="159"/>
      <c r="B285" s="218" t="s">
        <v>246</v>
      </c>
      <c r="C285" s="218" t="s">
        <v>813</v>
      </c>
      <c r="D285" s="218" t="s">
        <v>812</v>
      </c>
      <c r="E285" s="219">
        <v>30050.0</v>
      </c>
      <c r="F285" s="220" t="s">
        <v>843</v>
      </c>
      <c r="G285" s="221" t="s">
        <v>518</v>
      </c>
      <c r="H285" s="221" t="s">
        <v>844</v>
      </c>
      <c r="I285" s="221" t="s">
        <v>389</v>
      </c>
      <c r="J285" s="221" t="s">
        <v>819</v>
      </c>
      <c r="K285" s="223">
        <v>2.0</v>
      </c>
      <c r="L285" s="223" t="b">
        <v>1</v>
      </c>
      <c r="M285" s="223" t="s">
        <v>389</v>
      </c>
      <c r="N285" s="223">
        <v>2.287187</v>
      </c>
      <c r="O285" s="224"/>
      <c r="P285" s="225" t="s">
        <v>155</v>
      </c>
      <c r="Q285" s="225" t="s">
        <v>155</v>
      </c>
      <c r="R285" s="225" t="s">
        <v>155</v>
      </c>
      <c r="S285" s="225" t="s">
        <v>155</v>
      </c>
      <c r="T285" s="226"/>
      <c r="U285" s="227"/>
      <c r="V285" s="52" t="s">
        <v>250</v>
      </c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</row>
    <row r="286" ht="30.0" customHeight="1">
      <c r="A286" s="159"/>
      <c r="B286" s="218" t="s">
        <v>246</v>
      </c>
      <c r="C286" s="218" t="s">
        <v>813</v>
      </c>
      <c r="D286" s="218" t="s">
        <v>812</v>
      </c>
      <c r="E286" s="219">
        <v>48712.0</v>
      </c>
      <c r="F286" s="220" t="s">
        <v>845</v>
      </c>
      <c r="G286" s="221" t="s">
        <v>518</v>
      </c>
      <c r="H286" s="221" t="s">
        <v>846</v>
      </c>
      <c r="I286" s="221" t="s">
        <v>847</v>
      </c>
      <c r="J286" s="221" t="s">
        <v>819</v>
      </c>
      <c r="K286" s="223">
        <v>2.0</v>
      </c>
      <c r="L286" s="223" t="b">
        <v>1</v>
      </c>
      <c r="M286" s="228"/>
      <c r="N286" s="228"/>
      <c r="O286" s="224"/>
      <c r="P286" s="225" t="s">
        <v>155</v>
      </c>
      <c r="Q286" s="225" t="s">
        <v>155</v>
      </c>
      <c r="R286" s="225" t="s">
        <v>155</v>
      </c>
      <c r="S286" s="225" t="s">
        <v>155</v>
      </c>
      <c r="T286" s="226"/>
      <c r="U286" s="227"/>
      <c r="V286" s="52" t="s">
        <v>250</v>
      </c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</row>
    <row r="287" ht="30.0" customHeight="1">
      <c r="A287" s="159"/>
      <c r="B287" s="218" t="s">
        <v>246</v>
      </c>
      <c r="C287" s="218" t="s">
        <v>813</v>
      </c>
      <c r="D287" s="218" t="s">
        <v>812</v>
      </c>
      <c r="E287" s="219">
        <v>111820.0</v>
      </c>
      <c r="F287" s="220" t="s">
        <v>848</v>
      </c>
      <c r="G287" s="221" t="s">
        <v>518</v>
      </c>
      <c r="H287" s="221" t="s">
        <v>821</v>
      </c>
      <c r="I287" s="221" t="s">
        <v>849</v>
      </c>
      <c r="J287" s="222" t="s">
        <v>250</v>
      </c>
      <c r="K287" s="223">
        <v>2.0</v>
      </c>
      <c r="L287" s="223" t="b">
        <v>1</v>
      </c>
      <c r="M287" s="223" t="s">
        <v>42</v>
      </c>
      <c r="N287" s="223">
        <v>2.863333</v>
      </c>
      <c r="O287" s="224"/>
      <c r="P287" s="225" t="s">
        <v>155</v>
      </c>
      <c r="Q287" s="225" t="s">
        <v>155</v>
      </c>
      <c r="R287" s="225" t="s">
        <v>155</v>
      </c>
      <c r="S287" s="225" t="s">
        <v>155</v>
      </c>
      <c r="T287" s="226"/>
      <c r="U287" s="227"/>
      <c r="V287" s="52" t="s">
        <v>250</v>
      </c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</row>
    <row r="288" ht="30.0" customHeight="1">
      <c r="A288" s="159"/>
      <c r="B288" s="218" t="s">
        <v>246</v>
      </c>
      <c r="C288" s="218" t="s">
        <v>813</v>
      </c>
      <c r="D288" s="218" t="s">
        <v>812</v>
      </c>
      <c r="E288" s="219">
        <v>109636.0</v>
      </c>
      <c r="F288" s="220" t="s">
        <v>850</v>
      </c>
      <c r="G288" s="221" t="s">
        <v>518</v>
      </c>
      <c r="H288" s="221" t="s">
        <v>825</v>
      </c>
      <c r="I288" s="221" t="s">
        <v>389</v>
      </c>
      <c r="J288" s="221" t="s">
        <v>819</v>
      </c>
      <c r="K288" s="223">
        <v>1.0</v>
      </c>
      <c r="L288" s="223" t="b">
        <v>0</v>
      </c>
      <c r="M288" s="223" t="s">
        <v>389</v>
      </c>
      <c r="N288" s="223">
        <v>1.771304</v>
      </c>
      <c r="O288" s="224"/>
      <c r="P288" s="225" t="s">
        <v>155</v>
      </c>
      <c r="Q288" s="225" t="s">
        <v>155</v>
      </c>
      <c r="R288" s="225" t="s">
        <v>155</v>
      </c>
      <c r="S288" s="225" t="s">
        <v>155</v>
      </c>
      <c r="T288" s="226"/>
      <c r="U288" s="227"/>
      <c r="V288" s="109" t="s">
        <v>851</v>
      </c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</row>
    <row r="289" ht="30.0" customHeight="1">
      <c r="A289" s="159"/>
      <c r="B289" s="218" t="s">
        <v>246</v>
      </c>
      <c r="C289" s="218" t="s">
        <v>813</v>
      </c>
      <c r="D289" s="218" t="s">
        <v>812</v>
      </c>
      <c r="E289" s="219">
        <v>111132.0</v>
      </c>
      <c r="F289" s="220" t="s">
        <v>852</v>
      </c>
      <c r="G289" s="221" t="s">
        <v>518</v>
      </c>
      <c r="H289" s="221" t="s">
        <v>821</v>
      </c>
      <c r="I289" s="221" t="s">
        <v>42</v>
      </c>
      <c r="J289" s="222" t="s">
        <v>250</v>
      </c>
      <c r="K289" s="223">
        <v>2.0</v>
      </c>
      <c r="L289" s="223" t="b">
        <v>1</v>
      </c>
      <c r="M289" s="223" t="s">
        <v>42</v>
      </c>
      <c r="N289" s="223">
        <v>2.455</v>
      </c>
      <c r="O289" s="224"/>
      <c r="P289" s="225" t="s">
        <v>155</v>
      </c>
      <c r="Q289" s="225" t="s">
        <v>155</v>
      </c>
      <c r="R289" s="225" t="s">
        <v>155</v>
      </c>
      <c r="S289" s="225" t="s">
        <v>155</v>
      </c>
      <c r="T289" s="226"/>
      <c r="U289" s="227"/>
      <c r="V289" s="52" t="s">
        <v>250</v>
      </c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</row>
    <row r="290" ht="30.0" customHeight="1">
      <c r="A290" s="159"/>
      <c r="B290" s="218" t="s">
        <v>246</v>
      </c>
      <c r="C290" s="218" t="s">
        <v>813</v>
      </c>
      <c r="D290" s="218" t="s">
        <v>812</v>
      </c>
      <c r="E290" s="219">
        <v>20890.0</v>
      </c>
      <c r="F290" s="220" t="s">
        <v>853</v>
      </c>
      <c r="G290" s="221" t="s">
        <v>518</v>
      </c>
      <c r="H290" s="221" t="s">
        <v>836</v>
      </c>
      <c r="I290" s="221" t="s">
        <v>42</v>
      </c>
      <c r="J290" s="222" t="s">
        <v>250</v>
      </c>
      <c r="K290" s="223">
        <v>2.0</v>
      </c>
      <c r="L290" s="223" t="b">
        <v>1</v>
      </c>
      <c r="M290" s="228"/>
      <c r="N290" s="228"/>
      <c r="O290" s="224"/>
      <c r="P290" s="225" t="s">
        <v>155</v>
      </c>
      <c r="Q290" s="225" t="s">
        <v>155</v>
      </c>
      <c r="R290" s="225" t="s">
        <v>155</v>
      </c>
      <c r="S290" s="225" t="s">
        <v>155</v>
      </c>
      <c r="T290" s="226"/>
      <c r="U290" s="227"/>
      <c r="V290" s="52" t="s">
        <v>250</v>
      </c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</row>
    <row r="291" ht="30.0" customHeight="1">
      <c r="A291" s="159"/>
      <c r="B291" s="218" t="s">
        <v>246</v>
      </c>
      <c r="C291" s="218" t="s">
        <v>813</v>
      </c>
      <c r="D291" s="218" t="s">
        <v>812</v>
      </c>
      <c r="E291" s="219">
        <v>148486.0</v>
      </c>
      <c r="F291" s="220" t="s">
        <v>854</v>
      </c>
      <c r="G291" s="221" t="s">
        <v>518</v>
      </c>
      <c r="H291" s="221" t="s">
        <v>836</v>
      </c>
      <c r="I291" s="221" t="s">
        <v>42</v>
      </c>
      <c r="J291" s="222" t="s">
        <v>250</v>
      </c>
      <c r="K291" s="223">
        <v>3.0</v>
      </c>
      <c r="L291" s="223" t="b">
        <v>0</v>
      </c>
      <c r="M291" s="228"/>
      <c r="N291" s="228"/>
      <c r="O291" s="224"/>
      <c r="P291" s="225" t="s">
        <v>155</v>
      </c>
      <c r="Q291" s="225" t="s">
        <v>155</v>
      </c>
      <c r="R291" s="225" t="s">
        <v>155</v>
      </c>
      <c r="S291" s="225" t="s">
        <v>155</v>
      </c>
      <c r="T291" s="226"/>
      <c r="U291" s="227"/>
      <c r="V291" s="52" t="s">
        <v>250</v>
      </c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</row>
    <row r="292" ht="30.0" customHeight="1">
      <c r="A292" s="159"/>
      <c r="B292" s="218" t="s">
        <v>246</v>
      </c>
      <c r="C292" s="218" t="s">
        <v>813</v>
      </c>
      <c r="D292" s="218" t="s">
        <v>812</v>
      </c>
      <c r="E292" s="219">
        <v>111016.0</v>
      </c>
      <c r="F292" s="220" t="s">
        <v>855</v>
      </c>
      <c r="G292" s="221" t="s">
        <v>518</v>
      </c>
      <c r="H292" s="221" t="s">
        <v>856</v>
      </c>
      <c r="I292" s="221" t="s">
        <v>857</v>
      </c>
      <c r="J292" s="221" t="s">
        <v>364</v>
      </c>
      <c r="K292" s="223">
        <v>2.0</v>
      </c>
      <c r="L292" s="223" t="b">
        <v>0</v>
      </c>
      <c r="M292" s="223" t="s">
        <v>857</v>
      </c>
      <c r="N292" s="223">
        <v>33.142727</v>
      </c>
      <c r="O292" s="224"/>
      <c r="P292" s="225" t="s">
        <v>155</v>
      </c>
      <c r="Q292" s="225" t="s">
        <v>155</v>
      </c>
      <c r="R292" s="225" t="s">
        <v>155</v>
      </c>
      <c r="S292" s="225" t="s">
        <v>155</v>
      </c>
      <c r="T292" s="226"/>
      <c r="U292" s="227"/>
      <c r="V292" s="52" t="s">
        <v>250</v>
      </c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</row>
    <row r="293" ht="30.0" customHeight="1">
      <c r="A293" s="159"/>
      <c r="B293" s="218" t="s">
        <v>246</v>
      </c>
      <c r="C293" s="218" t="s">
        <v>813</v>
      </c>
      <c r="D293" s="218" t="s">
        <v>812</v>
      </c>
      <c r="E293" s="219">
        <v>109632.0</v>
      </c>
      <c r="F293" s="220" t="s">
        <v>858</v>
      </c>
      <c r="G293" s="221" t="s">
        <v>518</v>
      </c>
      <c r="H293" s="221" t="s">
        <v>821</v>
      </c>
      <c r="I293" s="221" t="s">
        <v>389</v>
      </c>
      <c r="J293" s="222" t="s">
        <v>250</v>
      </c>
      <c r="K293" s="223">
        <v>2.0</v>
      </c>
      <c r="L293" s="223" t="b">
        <v>1</v>
      </c>
      <c r="M293" s="223" t="s">
        <v>389</v>
      </c>
      <c r="N293" s="223">
        <v>3.362682</v>
      </c>
      <c r="O293" s="224"/>
      <c r="P293" s="225" t="s">
        <v>155</v>
      </c>
      <c r="Q293" s="225" t="s">
        <v>155</v>
      </c>
      <c r="R293" s="225" t="s">
        <v>155</v>
      </c>
      <c r="S293" s="225" t="s">
        <v>155</v>
      </c>
      <c r="T293" s="226"/>
      <c r="U293" s="227"/>
      <c r="V293" s="52" t="s">
        <v>250</v>
      </c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</row>
    <row r="294" ht="30.0" customHeight="1">
      <c r="A294" s="159"/>
      <c r="B294" s="218" t="s">
        <v>246</v>
      </c>
      <c r="C294" s="218" t="s">
        <v>813</v>
      </c>
      <c r="D294" s="218" t="s">
        <v>812</v>
      </c>
      <c r="E294" s="219">
        <v>15732.0</v>
      </c>
      <c r="F294" s="220" t="s">
        <v>859</v>
      </c>
      <c r="G294" s="221" t="s">
        <v>518</v>
      </c>
      <c r="H294" s="221" t="s">
        <v>860</v>
      </c>
      <c r="I294" s="221" t="s">
        <v>42</v>
      </c>
      <c r="J294" s="221" t="s">
        <v>819</v>
      </c>
      <c r="K294" s="223">
        <v>2.0</v>
      </c>
      <c r="L294" s="223" t="b">
        <v>1</v>
      </c>
      <c r="M294" s="223" t="s">
        <v>42</v>
      </c>
      <c r="N294" s="223">
        <v>1.318181</v>
      </c>
      <c r="O294" s="224"/>
      <c r="P294" s="225" t="s">
        <v>155</v>
      </c>
      <c r="Q294" s="225" t="s">
        <v>155</v>
      </c>
      <c r="R294" s="225" t="s">
        <v>155</v>
      </c>
      <c r="S294" s="225" t="s">
        <v>155</v>
      </c>
      <c r="T294" s="226"/>
      <c r="U294" s="227"/>
      <c r="V294" s="52" t="s">
        <v>250</v>
      </c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</row>
    <row r="295" ht="30.0" customHeight="1">
      <c r="A295" s="209"/>
      <c r="B295" s="209" t="s">
        <v>861</v>
      </c>
      <c r="C295" s="211"/>
      <c r="D295" s="211"/>
      <c r="E295" s="212"/>
      <c r="F295" s="213"/>
      <c r="G295" s="213"/>
      <c r="H295" s="213"/>
      <c r="I295" s="212"/>
      <c r="J295" s="212"/>
      <c r="K295" s="214"/>
      <c r="L295" s="214"/>
      <c r="M295" s="214"/>
      <c r="N295" s="214"/>
      <c r="O295" s="215"/>
      <c r="P295" s="216"/>
      <c r="Q295" s="216"/>
      <c r="R295" s="216"/>
      <c r="S295" s="216"/>
      <c r="T295" s="217"/>
      <c r="U295" s="217"/>
      <c r="V295" s="217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</row>
    <row r="296" ht="30.0" customHeight="1">
      <c r="A296" s="159"/>
      <c r="B296" s="218" t="s">
        <v>246</v>
      </c>
      <c r="C296" s="218" t="s">
        <v>813</v>
      </c>
      <c r="D296" s="218" t="s">
        <v>861</v>
      </c>
      <c r="E296" s="219">
        <v>111135.0</v>
      </c>
      <c r="F296" s="220" t="s">
        <v>862</v>
      </c>
      <c r="G296" s="221" t="s">
        <v>518</v>
      </c>
      <c r="H296" s="221" t="s">
        <v>863</v>
      </c>
      <c r="I296" s="221" t="s">
        <v>42</v>
      </c>
      <c r="J296" s="222" t="s">
        <v>250</v>
      </c>
      <c r="K296" s="223">
        <v>2.0</v>
      </c>
      <c r="L296" s="223" t="b">
        <v>0</v>
      </c>
      <c r="M296" s="228"/>
      <c r="N296" s="228"/>
      <c r="O296" s="224"/>
      <c r="P296" s="225" t="s">
        <v>155</v>
      </c>
      <c r="Q296" s="225" t="s">
        <v>155</v>
      </c>
      <c r="R296" s="225" t="s">
        <v>155</v>
      </c>
      <c r="S296" s="225" t="s">
        <v>155</v>
      </c>
      <c r="T296" s="226"/>
      <c r="U296" s="227"/>
      <c r="V296" s="52" t="s">
        <v>250</v>
      </c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</row>
    <row r="297" ht="30.0" customHeight="1">
      <c r="A297" s="159"/>
      <c r="B297" s="218" t="s">
        <v>246</v>
      </c>
      <c r="C297" s="218" t="s">
        <v>813</v>
      </c>
      <c r="D297" s="218" t="s">
        <v>861</v>
      </c>
      <c r="E297" s="219">
        <v>15832.0</v>
      </c>
      <c r="F297" s="220" t="s">
        <v>864</v>
      </c>
      <c r="G297" s="221" t="s">
        <v>518</v>
      </c>
      <c r="H297" s="221" t="s">
        <v>865</v>
      </c>
      <c r="I297" s="221" t="s">
        <v>389</v>
      </c>
      <c r="J297" s="222" t="s">
        <v>250</v>
      </c>
      <c r="K297" s="223">
        <v>2.0</v>
      </c>
      <c r="L297" s="223" t="b">
        <v>0</v>
      </c>
      <c r="M297" s="223" t="s">
        <v>389</v>
      </c>
      <c r="N297" s="223">
        <v>4.37647</v>
      </c>
      <c r="O297" s="224" t="s">
        <v>238</v>
      </c>
      <c r="P297" s="225" t="s">
        <v>155</v>
      </c>
      <c r="Q297" s="225" t="s">
        <v>155</v>
      </c>
      <c r="R297" s="225" t="s">
        <v>155</v>
      </c>
      <c r="S297" s="225" t="s">
        <v>155</v>
      </c>
      <c r="T297" s="226"/>
      <c r="U297" s="227"/>
      <c r="V297" s="109" t="s">
        <v>866</v>
      </c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</row>
    <row r="298" ht="30.0" customHeight="1">
      <c r="A298" s="159"/>
      <c r="B298" s="218" t="s">
        <v>246</v>
      </c>
      <c r="C298" s="218" t="s">
        <v>813</v>
      </c>
      <c r="D298" s="218" t="s">
        <v>861</v>
      </c>
      <c r="E298" s="219">
        <v>11263.0</v>
      </c>
      <c r="F298" s="220" t="s">
        <v>867</v>
      </c>
      <c r="G298" s="221" t="s">
        <v>518</v>
      </c>
      <c r="H298" s="221" t="s">
        <v>868</v>
      </c>
      <c r="I298" s="221" t="s">
        <v>42</v>
      </c>
      <c r="J298" s="221" t="s">
        <v>371</v>
      </c>
      <c r="K298" s="223">
        <v>1.0</v>
      </c>
      <c r="L298" s="223" t="b">
        <v>1</v>
      </c>
      <c r="M298" s="223" t="s">
        <v>42</v>
      </c>
      <c r="N298" s="223">
        <v>3.303014</v>
      </c>
      <c r="O298" s="224" t="s">
        <v>238</v>
      </c>
      <c r="P298" s="225" t="s">
        <v>155</v>
      </c>
      <c r="Q298" s="225" t="s">
        <v>155</v>
      </c>
      <c r="R298" s="225" t="s">
        <v>155</v>
      </c>
      <c r="S298" s="225" t="s">
        <v>155</v>
      </c>
      <c r="T298" s="226"/>
      <c r="U298" s="227"/>
      <c r="V298" s="52" t="s">
        <v>250</v>
      </c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</row>
    <row r="299" ht="30.0" customHeight="1">
      <c r="A299" s="159"/>
      <c r="B299" s="218" t="s">
        <v>246</v>
      </c>
      <c r="C299" s="218" t="s">
        <v>813</v>
      </c>
      <c r="D299" s="218" t="s">
        <v>861</v>
      </c>
      <c r="E299" s="219">
        <v>111821.0</v>
      </c>
      <c r="F299" s="220" t="s">
        <v>869</v>
      </c>
      <c r="G299" s="221" t="s">
        <v>518</v>
      </c>
      <c r="H299" s="221" t="s">
        <v>870</v>
      </c>
      <c r="I299" s="221" t="s">
        <v>871</v>
      </c>
      <c r="J299" s="222" t="s">
        <v>250</v>
      </c>
      <c r="K299" s="223">
        <v>1.0</v>
      </c>
      <c r="L299" s="223" t="b">
        <v>1</v>
      </c>
      <c r="M299" s="223" t="s">
        <v>42</v>
      </c>
      <c r="N299" s="223">
        <v>1.873</v>
      </c>
      <c r="O299" s="224"/>
      <c r="P299" s="225" t="s">
        <v>155</v>
      </c>
      <c r="Q299" s="225" t="s">
        <v>155</v>
      </c>
      <c r="R299" s="225" t="s">
        <v>155</v>
      </c>
      <c r="S299" s="225" t="s">
        <v>155</v>
      </c>
      <c r="T299" s="226"/>
      <c r="U299" s="227"/>
      <c r="V299" s="52" t="s">
        <v>250</v>
      </c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</row>
    <row r="300" ht="30.0" customHeight="1">
      <c r="A300" s="159"/>
      <c r="B300" s="218" t="s">
        <v>246</v>
      </c>
      <c r="C300" s="218" t="s">
        <v>813</v>
      </c>
      <c r="D300" s="218" t="s">
        <v>861</v>
      </c>
      <c r="E300" s="219">
        <v>51162.0</v>
      </c>
      <c r="F300" s="220" t="s">
        <v>872</v>
      </c>
      <c r="G300" s="221" t="s">
        <v>518</v>
      </c>
      <c r="H300" s="221" t="s">
        <v>873</v>
      </c>
      <c r="I300" s="221" t="s">
        <v>42</v>
      </c>
      <c r="J300" s="222" t="s">
        <v>250</v>
      </c>
      <c r="K300" s="223">
        <v>2.0</v>
      </c>
      <c r="L300" s="223" t="b">
        <v>0</v>
      </c>
      <c r="M300" s="223" t="s">
        <v>42</v>
      </c>
      <c r="N300" s="223">
        <v>2.423442</v>
      </c>
      <c r="O300" s="224"/>
      <c r="P300" s="225" t="s">
        <v>155</v>
      </c>
      <c r="Q300" s="225" t="s">
        <v>155</v>
      </c>
      <c r="R300" s="225" t="s">
        <v>155</v>
      </c>
      <c r="S300" s="225" t="s">
        <v>155</v>
      </c>
      <c r="T300" s="226"/>
      <c r="U300" s="227"/>
      <c r="V300" s="52" t="s">
        <v>250</v>
      </c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</row>
    <row r="301" ht="30.0" customHeight="1">
      <c r="A301" s="159"/>
      <c r="B301" s="218" t="s">
        <v>246</v>
      </c>
      <c r="C301" s="218" t="s">
        <v>813</v>
      </c>
      <c r="D301" s="218" t="s">
        <v>861</v>
      </c>
      <c r="E301" s="219">
        <v>111110.0</v>
      </c>
      <c r="F301" s="220" t="s">
        <v>874</v>
      </c>
      <c r="G301" s="221" t="s">
        <v>518</v>
      </c>
      <c r="H301" s="221" t="s">
        <v>875</v>
      </c>
      <c r="I301" s="221" t="s">
        <v>42</v>
      </c>
      <c r="J301" s="222" t="s">
        <v>250</v>
      </c>
      <c r="K301" s="223">
        <v>2.0</v>
      </c>
      <c r="L301" s="223" t="b">
        <v>1</v>
      </c>
      <c r="M301" s="223" t="s">
        <v>42</v>
      </c>
      <c r="N301" s="223">
        <v>4.16</v>
      </c>
      <c r="O301" s="224"/>
      <c r="P301" s="225" t="s">
        <v>155</v>
      </c>
      <c r="Q301" s="225" t="s">
        <v>155</v>
      </c>
      <c r="R301" s="225" t="s">
        <v>155</v>
      </c>
      <c r="S301" s="225" t="s">
        <v>155</v>
      </c>
      <c r="T301" s="226"/>
      <c r="U301" s="227"/>
      <c r="V301" s="52" t="s">
        <v>250</v>
      </c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</row>
    <row r="302" ht="30.0" customHeight="1">
      <c r="A302" s="159"/>
      <c r="B302" s="218" t="s">
        <v>246</v>
      </c>
      <c r="C302" s="218" t="s">
        <v>813</v>
      </c>
      <c r="D302" s="218" t="s">
        <v>861</v>
      </c>
      <c r="E302" s="219">
        <v>15646.0</v>
      </c>
      <c r="F302" s="220" t="s">
        <v>876</v>
      </c>
      <c r="G302" s="221" t="s">
        <v>518</v>
      </c>
      <c r="H302" s="221" t="s">
        <v>877</v>
      </c>
      <c r="I302" s="221" t="s">
        <v>325</v>
      </c>
      <c r="J302" s="222" t="s">
        <v>250</v>
      </c>
      <c r="K302" s="223">
        <v>2.0</v>
      </c>
      <c r="L302" s="223" t="b">
        <v>1</v>
      </c>
      <c r="M302" s="223" t="s">
        <v>325</v>
      </c>
      <c r="N302" s="223">
        <v>16.909958</v>
      </c>
      <c r="O302" s="224" t="s">
        <v>238</v>
      </c>
      <c r="P302" s="225" t="s">
        <v>155</v>
      </c>
      <c r="Q302" s="225" t="s">
        <v>155</v>
      </c>
      <c r="R302" s="225" t="s">
        <v>155</v>
      </c>
      <c r="S302" s="225" t="s">
        <v>155</v>
      </c>
      <c r="T302" s="229" t="s">
        <v>550</v>
      </c>
      <c r="U302" s="227"/>
      <c r="V302" s="52" t="s">
        <v>250</v>
      </c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</row>
    <row r="303" ht="30.0" customHeight="1">
      <c r="A303" s="159"/>
      <c r="B303" s="218" t="s">
        <v>246</v>
      </c>
      <c r="C303" s="218" t="s">
        <v>813</v>
      </c>
      <c r="D303" s="218" t="s">
        <v>861</v>
      </c>
      <c r="E303" s="219">
        <v>100872.0</v>
      </c>
      <c r="F303" s="220" t="s">
        <v>878</v>
      </c>
      <c r="G303" s="221" t="s">
        <v>518</v>
      </c>
      <c r="H303" s="221" t="s">
        <v>877</v>
      </c>
      <c r="I303" s="221" t="s">
        <v>325</v>
      </c>
      <c r="J303" s="222" t="s">
        <v>250</v>
      </c>
      <c r="K303" s="223">
        <v>2.0</v>
      </c>
      <c r="L303" s="223" t="b">
        <v>1</v>
      </c>
      <c r="M303" s="223" t="s">
        <v>325</v>
      </c>
      <c r="N303" s="223">
        <v>16.216774</v>
      </c>
      <c r="O303" s="224"/>
      <c r="P303" s="225" t="s">
        <v>155</v>
      </c>
      <c r="Q303" s="225" t="s">
        <v>155</v>
      </c>
      <c r="R303" s="225" t="s">
        <v>155</v>
      </c>
      <c r="S303" s="225" t="s">
        <v>155</v>
      </c>
      <c r="T303" s="226"/>
      <c r="U303" s="227"/>
      <c r="V303" s="52" t="s">
        <v>250</v>
      </c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</row>
    <row r="304" ht="30.0" customHeight="1">
      <c r="A304" s="159"/>
      <c r="B304" s="218" t="s">
        <v>246</v>
      </c>
      <c r="C304" s="218" t="s">
        <v>813</v>
      </c>
      <c r="D304" s="218" t="s">
        <v>861</v>
      </c>
      <c r="E304" s="219">
        <v>16216.0</v>
      </c>
      <c r="F304" s="220" t="s">
        <v>879</v>
      </c>
      <c r="G304" s="221" t="s">
        <v>518</v>
      </c>
      <c r="H304" s="221" t="s">
        <v>880</v>
      </c>
      <c r="I304" s="221" t="s">
        <v>42</v>
      </c>
      <c r="J304" s="222" t="s">
        <v>250</v>
      </c>
      <c r="K304" s="223">
        <v>2.0</v>
      </c>
      <c r="L304" s="223" t="b">
        <v>1</v>
      </c>
      <c r="M304" s="223" t="s">
        <v>42</v>
      </c>
      <c r="N304" s="223">
        <v>4.4705</v>
      </c>
      <c r="O304" s="224" t="s">
        <v>238</v>
      </c>
      <c r="P304" s="225" t="s">
        <v>155</v>
      </c>
      <c r="Q304" s="225" t="s">
        <v>155</v>
      </c>
      <c r="R304" s="225" t="s">
        <v>155</v>
      </c>
      <c r="S304" s="225" t="s">
        <v>155</v>
      </c>
      <c r="T304" s="229" t="s">
        <v>550</v>
      </c>
      <c r="U304" s="227"/>
      <c r="V304" s="52" t="s">
        <v>250</v>
      </c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</row>
    <row r="305" ht="30.0" customHeight="1">
      <c r="A305" s="159"/>
      <c r="B305" s="218" t="s">
        <v>246</v>
      </c>
      <c r="C305" s="218" t="s">
        <v>813</v>
      </c>
      <c r="D305" s="218" t="s">
        <v>861</v>
      </c>
      <c r="E305" s="219">
        <v>104031.0</v>
      </c>
      <c r="F305" s="220" t="s">
        <v>881</v>
      </c>
      <c r="G305" s="221" t="s">
        <v>518</v>
      </c>
      <c r="H305" s="222"/>
      <c r="I305" s="221" t="s">
        <v>389</v>
      </c>
      <c r="J305" s="222" t="s">
        <v>250</v>
      </c>
      <c r="K305" s="223">
        <v>1.0</v>
      </c>
      <c r="L305" s="223" t="b">
        <v>1</v>
      </c>
      <c r="M305" s="223" t="s">
        <v>389</v>
      </c>
      <c r="N305" s="223">
        <v>3.844411</v>
      </c>
      <c r="O305" s="224" t="s">
        <v>238</v>
      </c>
      <c r="P305" s="225" t="s">
        <v>155</v>
      </c>
      <c r="Q305" s="225" t="s">
        <v>155</v>
      </c>
      <c r="R305" s="225" t="s">
        <v>155</v>
      </c>
      <c r="S305" s="225" t="s">
        <v>155</v>
      </c>
      <c r="T305" s="229" t="s">
        <v>550</v>
      </c>
      <c r="U305" s="227"/>
      <c r="V305" s="52" t="s">
        <v>250</v>
      </c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</row>
    <row r="306" ht="30.0" customHeight="1">
      <c r="A306" s="159"/>
      <c r="B306" s="218" t="s">
        <v>246</v>
      </c>
      <c r="C306" s="218" t="s">
        <v>813</v>
      </c>
      <c r="D306" s="218" t="s">
        <v>861</v>
      </c>
      <c r="E306" s="219">
        <v>45443.0</v>
      </c>
      <c r="F306" s="220" t="s">
        <v>882</v>
      </c>
      <c r="G306" s="221" t="s">
        <v>518</v>
      </c>
      <c r="H306" s="221" t="s">
        <v>883</v>
      </c>
      <c r="I306" s="221" t="s">
        <v>884</v>
      </c>
      <c r="J306" s="222" t="s">
        <v>250</v>
      </c>
      <c r="K306" s="223">
        <v>2.0</v>
      </c>
      <c r="L306" s="223" t="b">
        <v>1</v>
      </c>
      <c r="M306" s="223" t="s">
        <v>884</v>
      </c>
      <c r="N306" s="223">
        <v>12.086774</v>
      </c>
      <c r="O306" s="224" t="s">
        <v>238</v>
      </c>
      <c r="P306" s="225" t="s">
        <v>155</v>
      </c>
      <c r="Q306" s="225" t="s">
        <v>155</v>
      </c>
      <c r="R306" s="225" t="s">
        <v>155</v>
      </c>
      <c r="S306" s="225" t="s">
        <v>155</v>
      </c>
      <c r="T306" s="229" t="s">
        <v>550</v>
      </c>
      <c r="U306" s="227"/>
      <c r="V306" s="52" t="s">
        <v>250</v>
      </c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</row>
    <row r="307" ht="30.0" customHeight="1">
      <c r="A307" s="159"/>
      <c r="B307" s="218" t="s">
        <v>246</v>
      </c>
      <c r="C307" s="218" t="s">
        <v>813</v>
      </c>
      <c r="D307" s="218" t="s">
        <v>861</v>
      </c>
      <c r="E307" s="219">
        <v>109843.0</v>
      </c>
      <c r="F307" s="220" t="s">
        <v>885</v>
      </c>
      <c r="G307" s="221" t="s">
        <v>518</v>
      </c>
      <c r="H307" s="221" t="s">
        <v>883</v>
      </c>
      <c r="I307" s="221" t="s">
        <v>389</v>
      </c>
      <c r="J307" s="222" t="s">
        <v>250</v>
      </c>
      <c r="K307" s="223">
        <v>2.0</v>
      </c>
      <c r="L307" s="223" t="b">
        <v>1</v>
      </c>
      <c r="M307" s="223" t="s">
        <v>389</v>
      </c>
      <c r="N307" s="223">
        <v>4.196034</v>
      </c>
      <c r="O307" s="224"/>
      <c r="P307" s="225" t="s">
        <v>155</v>
      </c>
      <c r="Q307" s="225" t="s">
        <v>155</v>
      </c>
      <c r="R307" s="225" t="s">
        <v>155</v>
      </c>
      <c r="S307" s="225" t="s">
        <v>155</v>
      </c>
      <c r="T307" s="226"/>
      <c r="U307" s="227"/>
      <c r="V307" s="52" t="s">
        <v>250</v>
      </c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</row>
    <row r="308" ht="30.0" customHeight="1">
      <c r="A308" s="159"/>
      <c r="B308" s="218" t="s">
        <v>246</v>
      </c>
      <c r="C308" s="218" t="s">
        <v>813</v>
      </c>
      <c r="D308" s="218" t="s">
        <v>861</v>
      </c>
      <c r="E308" s="219">
        <v>111178.0</v>
      </c>
      <c r="F308" s="220" t="s">
        <v>886</v>
      </c>
      <c r="G308" s="221" t="s">
        <v>518</v>
      </c>
      <c r="H308" s="221" t="s">
        <v>887</v>
      </c>
      <c r="I308" s="221" t="s">
        <v>888</v>
      </c>
      <c r="J308" s="222" t="s">
        <v>250</v>
      </c>
      <c r="K308" s="223">
        <v>2.0</v>
      </c>
      <c r="L308" s="223" t="b">
        <v>1</v>
      </c>
      <c r="M308" s="228"/>
      <c r="N308" s="228"/>
      <c r="O308" s="224"/>
      <c r="P308" s="225" t="s">
        <v>155</v>
      </c>
      <c r="Q308" s="225" t="s">
        <v>155</v>
      </c>
      <c r="R308" s="225" t="s">
        <v>155</v>
      </c>
      <c r="S308" s="225" t="s">
        <v>155</v>
      </c>
      <c r="T308" s="226"/>
      <c r="U308" s="227"/>
      <c r="V308" s="52" t="s">
        <v>250</v>
      </c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</row>
    <row r="309" ht="30.0" customHeight="1">
      <c r="A309" s="159"/>
      <c r="B309" s="218" t="s">
        <v>246</v>
      </c>
      <c r="C309" s="218" t="s">
        <v>813</v>
      </c>
      <c r="D309" s="218" t="s">
        <v>861</v>
      </c>
      <c r="E309" s="219">
        <v>84368.0</v>
      </c>
      <c r="F309" s="220" t="s">
        <v>889</v>
      </c>
      <c r="G309" s="221" t="s">
        <v>518</v>
      </c>
      <c r="H309" s="222"/>
      <c r="I309" s="221" t="s">
        <v>890</v>
      </c>
      <c r="J309" s="222" t="s">
        <v>250</v>
      </c>
      <c r="K309" s="223">
        <v>4.0</v>
      </c>
      <c r="L309" s="223" t="b">
        <v>1</v>
      </c>
      <c r="M309" s="223" t="s">
        <v>890</v>
      </c>
      <c r="N309" s="223">
        <v>11.746826</v>
      </c>
      <c r="O309" s="224"/>
      <c r="P309" s="225" t="s">
        <v>155</v>
      </c>
      <c r="Q309" s="225" t="s">
        <v>155</v>
      </c>
      <c r="R309" s="225" t="s">
        <v>155</v>
      </c>
      <c r="S309" s="225" t="s">
        <v>155</v>
      </c>
      <c r="T309" s="229" t="s">
        <v>550</v>
      </c>
      <c r="U309" s="227"/>
      <c r="V309" s="52" t="s">
        <v>250</v>
      </c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</row>
    <row r="310" ht="30.0" customHeight="1">
      <c r="A310" s="159"/>
      <c r="B310" s="218" t="s">
        <v>246</v>
      </c>
      <c r="C310" s="218" t="s">
        <v>813</v>
      </c>
      <c r="D310" s="218" t="s">
        <v>861</v>
      </c>
      <c r="E310" s="219">
        <v>108818.0</v>
      </c>
      <c r="F310" s="220" t="s">
        <v>891</v>
      </c>
      <c r="G310" s="221" t="s">
        <v>518</v>
      </c>
      <c r="H310" s="221" t="s">
        <v>873</v>
      </c>
      <c r="I310" s="221" t="s">
        <v>42</v>
      </c>
      <c r="J310" s="222" t="s">
        <v>250</v>
      </c>
      <c r="K310" s="223">
        <v>1.0</v>
      </c>
      <c r="L310" s="223" t="b">
        <v>1</v>
      </c>
      <c r="M310" s="223" t="s">
        <v>42</v>
      </c>
      <c r="N310" s="223">
        <v>4.693333</v>
      </c>
      <c r="O310" s="224"/>
      <c r="P310" s="225" t="s">
        <v>155</v>
      </c>
      <c r="Q310" s="225" t="s">
        <v>155</v>
      </c>
      <c r="R310" s="225" t="s">
        <v>155</v>
      </c>
      <c r="S310" s="225" t="s">
        <v>155</v>
      </c>
      <c r="T310" s="226"/>
      <c r="U310" s="227"/>
      <c r="V310" s="52" t="s">
        <v>250</v>
      </c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</row>
    <row r="311" ht="30.0" customHeight="1">
      <c r="A311" s="159"/>
      <c r="B311" s="218" t="s">
        <v>246</v>
      </c>
      <c r="C311" s="218" t="s">
        <v>813</v>
      </c>
      <c r="D311" s="218" t="s">
        <v>861</v>
      </c>
      <c r="E311" s="219">
        <v>15644.0</v>
      </c>
      <c r="F311" s="127" t="s">
        <v>892</v>
      </c>
      <c r="G311" s="221" t="s">
        <v>518</v>
      </c>
      <c r="H311" s="221" t="s">
        <v>877</v>
      </c>
      <c r="I311" s="221" t="s">
        <v>712</v>
      </c>
      <c r="J311" s="222" t="s">
        <v>250</v>
      </c>
      <c r="K311" s="223">
        <v>2.0</v>
      </c>
      <c r="L311" s="223" t="b">
        <v>1</v>
      </c>
      <c r="M311" s="223" t="s">
        <v>712</v>
      </c>
      <c r="N311" s="223">
        <v>17.708171</v>
      </c>
      <c r="O311" s="224"/>
      <c r="P311" s="225" t="s">
        <v>155</v>
      </c>
      <c r="Q311" s="225" t="s">
        <v>155</v>
      </c>
      <c r="R311" s="225" t="s">
        <v>155</v>
      </c>
      <c r="S311" s="225" t="s">
        <v>155</v>
      </c>
      <c r="T311" s="226"/>
      <c r="U311" s="227"/>
      <c r="V311" s="52" t="s">
        <v>250</v>
      </c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</row>
    <row r="312" ht="30.0" customHeight="1">
      <c r="A312" s="159"/>
      <c r="B312" s="218" t="s">
        <v>246</v>
      </c>
      <c r="C312" s="218" t="s">
        <v>813</v>
      </c>
      <c r="D312" s="218" t="s">
        <v>861</v>
      </c>
      <c r="E312" s="219">
        <v>111152.0</v>
      </c>
      <c r="F312" s="220" t="s">
        <v>893</v>
      </c>
      <c r="G312" s="221" t="s">
        <v>518</v>
      </c>
      <c r="H312" s="221" t="s">
        <v>894</v>
      </c>
      <c r="I312" s="221" t="s">
        <v>895</v>
      </c>
      <c r="J312" s="222" t="s">
        <v>250</v>
      </c>
      <c r="K312" s="223">
        <v>1.0</v>
      </c>
      <c r="L312" s="223" t="b">
        <v>0</v>
      </c>
      <c r="M312" s="223" t="s">
        <v>895</v>
      </c>
      <c r="N312" s="223">
        <v>151.9</v>
      </c>
      <c r="O312" s="224"/>
      <c r="P312" s="225" t="s">
        <v>155</v>
      </c>
      <c r="Q312" s="225" t="s">
        <v>155</v>
      </c>
      <c r="R312" s="225" t="s">
        <v>155</v>
      </c>
      <c r="S312" s="225" t="s">
        <v>155</v>
      </c>
      <c r="T312" s="226"/>
      <c r="U312" s="227"/>
      <c r="V312" s="52" t="s">
        <v>250</v>
      </c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</row>
    <row r="313" ht="30.0" customHeight="1">
      <c r="A313" s="159"/>
      <c r="B313" s="218" t="s">
        <v>246</v>
      </c>
      <c r="C313" s="218" t="s">
        <v>813</v>
      </c>
      <c r="D313" s="218" t="s">
        <v>861</v>
      </c>
      <c r="E313" s="219">
        <v>111154.0</v>
      </c>
      <c r="F313" s="220" t="s">
        <v>896</v>
      </c>
      <c r="G313" s="221" t="s">
        <v>518</v>
      </c>
      <c r="H313" s="221" t="s">
        <v>894</v>
      </c>
      <c r="I313" s="221" t="s">
        <v>895</v>
      </c>
      <c r="J313" s="222" t="s">
        <v>250</v>
      </c>
      <c r="K313" s="223">
        <v>1.0</v>
      </c>
      <c r="L313" s="223" t="b">
        <v>0</v>
      </c>
      <c r="M313" s="223" t="s">
        <v>895</v>
      </c>
      <c r="N313" s="223">
        <v>167.9</v>
      </c>
      <c r="O313" s="224"/>
      <c r="P313" s="225" t="s">
        <v>155</v>
      </c>
      <c r="Q313" s="225" t="s">
        <v>155</v>
      </c>
      <c r="R313" s="225" t="s">
        <v>155</v>
      </c>
      <c r="S313" s="225" t="s">
        <v>155</v>
      </c>
      <c r="T313" s="226"/>
      <c r="U313" s="227"/>
      <c r="V313" s="52" t="s">
        <v>250</v>
      </c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</row>
    <row r="314" ht="30.0" customHeight="1">
      <c r="A314" s="159"/>
      <c r="B314" s="218" t="s">
        <v>246</v>
      </c>
      <c r="C314" s="218" t="s">
        <v>813</v>
      </c>
      <c r="D314" s="218" t="s">
        <v>861</v>
      </c>
      <c r="E314" s="219">
        <v>111853.0</v>
      </c>
      <c r="F314" s="220" t="s">
        <v>897</v>
      </c>
      <c r="G314" s="221" t="s">
        <v>518</v>
      </c>
      <c r="H314" s="221" t="s">
        <v>898</v>
      </c>
      <c r="I314" s="221" t="s">
        <v>895</v>
      </c>
      <c r="J314" s="222" t="s">
        <v>250</v>
      </c>
      <c r="K314" s="223">
        <v>2.0</v>
      </c>
      <c r="L314" s="223" t="b">
        <v>1</v>
      </c>
      <c r="M314" s="223" t="s">
        <v>895</v>
      </c>
      <c r="N314" s="223">
        <v>65.26</v>
      </c>
      <c r="O314" s="224"/>
      <c r="P314" s="225" t="s">
        <v>155</v>
      </c>
      <c r="Q314" s="225" t="s">
        <v>155</v>
      </c>
      <c r="R314" s="225" t="s">
        <v>155</v>
      </c>
      <c r="S314" s="225" t="s">
        <v>155</v>
      </c>
      <c r="T314" s="226"/>
      <c r="U314" s="227"/>
      <c r="V314" s="52" t="s">
        <v>250</v>
      </c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</row>
    <row r="315" ht="30.0" customHeight="1">
      <c r="A315" s="159"/>
      <c r="B315" s="218" t="s">
        <v>246</v>
      </c>
      <c r="C315" s="218" t="s">
        <v>813</v>
      </c>
      <c r="D315" s="218" t="s">
        <v>861</v>
      </c>
      <c r="E315" s="219">
        <v>111854.0</v>
      </c>
      <c r="F315" s="220" t="s">
        <v>899</v>
      </c>
      <c r="G315" s="221" t="s">
        <v>518</v>
      </c>
      <c r="H315" s="221" t="s">
        <v>898</v>
      </c>
      <c r="I315" s="221" t="s">
        <v>895</v>
      </c>
      <c r="J315" s="222" t="s">
        <v>250</v>
      </c>
      <c r="K315" s="223">
        <v>2.0</v>
      </c>
      <c r="L315" s="223" t="b">
        <v>1</v>
      </c>
      <c r="M315" s="223" t="s">
        <v>895</v>
      </c>
      <c r="N315" s="223">
        <v>120.758333</v>
      </c>
      <c r="O315" s="224"/>
      <c r="P315" s="225" t="s">
        <v>155</v>
      </c>
      <c r="Q315" s="225" t="s">
        <v>155</v>
      </c>
      <c r="R315" s="225" t="s">
        <v>155</v>
      </c>
      <c r="S315" s="225" t="s">
        <v>155</v>
      </c>
      <c r="T315" s="226"/>
      <c r="U315" s="227"/>
      <c r="V315" s="52" t="s">
        <v>250</v>
      </c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</row>
    <row r="316" ht="30.0" customHeight="1">
      <c r="A316" s="159"/>
      <c r="B316" s="218" t="s">
        <v>246</v>
      </c>
      <c r="C316" s="218" t="s">
        <v>813</v>
      </c>
      <c r="D316" s="218" t="s">
        <v>861</v>
      </c>
      <c r="E316" s="219">
        <v>15642.0</v>
      </c>
      <c r="F316" s="220" t="s">
        <v>900</v>
      </c>
      <c r="G316" s="221" t="s">
        <v>518</v>
      </c>
      <c r="H316" s="221" t="s">
        <v>901</v>
      </c>
      <c r="I316" s="221" t="s">
        <v>818</v>
      </c>
      <c r="J316" s="222" t="s">
        <v>250</v>
      </c>
      <c r="K316" s="223">
        <v>2.0</v>
      </c>
      <c r="L316" s="223" t="b">
        <v>1</v>
      </c>
      <c r="M316" s="223" t="s">
        <v>818</v>
      </c>
      <c r="N316" s="223">
        <v>23.846069</v>
      </c>
      <c r="O316" s="224" t="s">
        <v>238</v>
      </c>
      <c r="P316" s="225" t="s">
        <v>155</v>
      </c>
      <c r="Q316" s="225" t="s">
        <v>155</v>
      </c>
      <c r="R316" s="225" t="s">
        <v>155</v>
      </c>
      <c r="S316" s="225" t="s">
        <v>155</v>
      </c>
      <c r="T316" s="229" t="s">
        <v>550</v>
      </c>
      <c r="U316" s="227"/>
      <c r="V316" s="52" t="s">
        <v>250</v>
      </c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</row>
    <row r="317" ht="30.0" customHeight="1">
      <c r="A317" s="159"/>
      <c r="B317" s="218" t="s">
        <v>246</v>
      </c>
      <c r="C317" s="218" t="s">
        <v>813</v>
      </c>
      <c r="D317" s="218" t="s">
        <v>861</v>
      </c>
      <c r="E317" s="219">
        <v>36399.0</v>
      </c>
      <c r="F317" s="220" t="s">
        <v>902</v>
      </c>
      <c r="G317" s="221" t="s">
        <v>518</v>
      </c>
      <c r="H317" s="221" t="s">
        <v>903</v>
      </c>
      <c r="I317" s="221" t="s">
        <v>904</v>
      </c>
      <c r="J317" s="222" t="s">
        <v>250</v>
      </c>
      <c r="K317" s="223">
        <v>2.0</v>
      </c>
      <c r="L317" s="223" t="b">
        <v>1</v>
      </c>
      <c r="M317" s="223" t="s">
        <v>904</v>
      </c>
      <c r="N317" s="223">
        <v>33.712552</v>
      </c>
      <c r="O317" s="224" t="s">
        <v>238</v>
      </c>
      <c r="P317" s="225" t="s">
        <v>155</v>
      </c>
      <c r="Q317" s="225" t="s">
        <v>155</v>
      </c>
      <c r="R317" s="225" t="s">
        <v>155</v>
      </c>
      <c r="S317" s="225" t="s">
        <v>155</v>
      </c>
      <c r="T317" s="229" t="s">
        <v>550</v>
      </c>
      <c r="U317" s="227"/>
      <c r="V317" s="52" t="s">
        <v>250</v>
      </c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</row>
    <row r="318" ht="30.0" customHeight="1">
      <c r="A318" s="159"/>
      <c r="B318" s="218" t="s">
        <v>246</v>
      </c>
      <c r="C318" s="218" t="s">
        <v>813</v>
      </c>
      <c r="D318" s="218" t="s">
        <v>861</v>
      </c>
      <c r="E318" s="219">
        <v>16162.0</v>
      </c>
      <c r="F318" s="220" t="s">
        <v>905</v>
      </c>
      <c r="G318" s="221" t="s">
        <v>518</v>
      </c>
      <c r="H318" s="221" t="s">
        <v>906</v>
      </c>
      <c r="I318" s="221" t="s">
        <v>904</v>
      </c>
      <c r="J318" s="222" t="s">
        <v>250</v>
      </c>
      <c r="K318" s="223">
        <v>2.0</v>
      </c>
      <c r="L318" s="223" t="b">
        <v>0</v>
      </c>
      <c r="M318" s="223" t="s">
        <v>904</v>
      </c>
      <c r="N318" s="223">
        <v>20.03</v>
      </c>
      <c r="O318" s="224"/>
      <c r="P318" s="225" t="s">
        <v>155</v>
      </c>
      <c r="Q318" s="225" t="s">
        <v>155</v>
      </c>
      <c r="R318" s="225" t="s">
        <v>155</v>
      </c>
      <c r="S318" s="225" t="s">
        <v>155</v>
      </c>
      <c r="T318" s="229" t="s">
        <v>550</v>
      </c>
      <c r="U318" s="227"/>
      <c r="V318" s="52" t="s">
        <v>250</v>
      </c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</row>
    <row r="319" ht="30.0" customHeight="1">
      <c r="A319" s="159"/>
      <c r="B319" s="218" t="s">
        <v>246</v>
      </c>
      <c r="C319" s="218" t="s">
        <v>813</v>
      </c>
      <c r="D319" s="218" t="s">
        <v>861</v>
      </c>
      <c r="E319" s="219">
        <v>17454.0</v>
      </c>
      <c r="F319" s="220" t="s">
        <v>907</v>
      </c>
      <c r="G319" s="221" t="s">
        <v>518</v>
      </c>
      <c r="H319" s="221" t="s">
        <v>908</v>
      </c>
      <c r="I319" s="221" t="s">
        <v>909</v>
      </c>
      <c r="J319" s="222" t="s">
        <v>250</v>
      </c>
      <c r="K319" s="223">
        <v>4.0</v>
      </c>
      <c r="L319" s="223" t="b">
        <v>0</v>
      </c>
      <c r="M319" s="223" t="s">
        <v>910</v>
      </c>
      <c r="N319" s="223">
        <v>9.19</v>
      </c>
      <c r="O319" s="224" t="s">
        <v>238</v>
      </c>
      <c r="P319" s="225" t="s">
        <v>155</v>
      </c>
      <c r="Q319" s="225" t="s">
        <v>155</v>
      </c>
      <c r="R319" s="225" t="s">
        <v>155</v>
      </c>
      <c r="S319" s="225" t="s">
        <v>155</v>
      </c>
      <c r="T319" s="229" t="s">
        <v>550</v>
      </c>
      <c r="U319" s="227"/>
      <c r="V319" s="52" t="s">
        <v>250</v>
      </c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</row>
    <row r="320" ht="30.0" customHeight="1">
      <c r="A320" s="209"/>
      <c r="B320" s="209" t="s">
        <v>911</v>
      </c>
      <c r="C320" s="211"/>
      <c r="D320" s="211"/>
      <c r="E320" s="212"/>
      <c r="F320" s="213"/>
      <c r="G320" s="213"/>
      <c r="H320" s="213"/>
      <c r="I320" s="212"/>
      <c r="J320" s="212"/>
      <c r="K320" s="214"/>
      <c r="L320" s="214"/>
      <c r="M320" s="214"/>
      <c r="N320" s="214"/>
      <c r="O320" s="215"/>
      <c r="P320" s="216"/>
      <c r="Q320" s="216"/>
      <c r="R320" s="216"/>
      <c r="S320" s="216"/>
      <c r="T320" s="217"/>
      <c r="U320" s="217"/>
      <c r="V320" s="217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</row>
    <row r="321" ht="30.0" customHeight="1">
      <c r="A321" s="159"/>
      <c r="B321" s="218" t="s">
        <v>246</v>
      </c>
      <c r="C321" s="218" t="s">
        <v>813</v>
      </c>
      <c r="D321" s="218" t="s">
        <v>911</v>
      </c>
      <c r="E321" s="219">
        <v>108531.0</v>
      </c>
      <c r="F321" s="220" t="s">
        <v>912</v>
      </c>
      <c r="G321" s="221" t="s">
        <v>369</v>
      </c>
      <c r="H321" s="221" t="s">
        <v>913</v>
      </c>
      <c r="I321" s="221" t="s">
        <v>42</v>
      </c>
      <c r="J321" s="221" t="s">
        <v>914</v>
      </c>
      <c r="K321" s="223">
        <v>1.0</v>
      </c>
      <c r="L321" s="223" t="b">
        <v>0</v>
      </c>
      <c r="M321" s="223" t="s">
        <v>42</v>
      </c>
      <c r="N321" s="223">
        <v>10.434166</v>
      </c>
      <c r="O321" s="224"/>
      <c r="P321" s="225" t="s">
        <v>155</v>
      </c>
      <c r="Q321" s="225" t="s">
        <v>155</v>
      </c>
      <c r="R321" s="225" t="s">
        <v>155</v>
      </c>
      <c r="S321" s="225" t="s">
        <v>155</v>
      </c>
      <c r="T321" s="226"/>
      <c r="U321" s="227"/>
      <c r="V321" s="52" t="s">
        <v>250</v>
      </c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</row>
    <row r="322" ht="30.0" customHeight="1">
      <c r="A322" s="159"/>
      <c r="B322" s="218" t="s">
        <v>246</v>
      </c>
      <c r="C322" s="218" t="s">
        <v>813</v>
      </c>
      <c r="D322" s="218" t="s">
        <v>911</v>
      </c>
      <c r="E322" s="219">
        <v>15688.0</v>
      </c>
      <c r="F322" s="220" t="s">
        <v>915</v>
      </c>
      <c r="G322" s="221" t="s">
        <v>369</v>
      </c>
      <c r="H322" s="221" t="s">
        <v>916</v>
      </c>
      <c r="I322" s="221" t="s">
        <v>42</v>
      </c>
      <c r="J322" s="221" t="s">
        <v>364</v>
      </c>
      <c r="K322" s="223">
        <v>3.0</v>
      </c>
      <c r="L322" s="223" t="b">
        <v>0</v>
      </c>
      <c r="M322" s="228"/>
      <c r="N322" s="228"/>
      <c r="O322" s="224"/>
      <c r="P322" s="225" t="s">
        <v>155</v>
      </c>
      <c r="Q322" s="225" t="s">
        <v>155</v>
      </c>
      <c r="R322" s="225" t="s">
        <v>155</v>
      </c>
      <c r="S322" s="225" t="s">
        <v>155</v>
      </c>
      <c r="T322" s="226"/>
      <c r="U322" s="227"/>
      <c r="V322" s="52" t="s">
        <v>250</v>
      </c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</row>
    <row r="323" ht="30.0" customHeight="1">
      <c r="A323" s="159"/>
      <c r="B323" s="218" t="s">
        <v>246</v>
      </c>
      <c r="C323" s="218" t="s">
        <v>813</v>
      </c>
      <c r="D323" s="218" t="s">
        <v>911</v>
      </c>
      <c r="E323" s="219">
        <v>35443.0</v>
      </c>
      <c r="F323" s="220" t="s">
        <v>917</v>
      </c>
      <c r="G323" s="221" t="s">
        <v>369</v>
      </c>
      <c r="H323" s="221" t="s">
        <v>918</v>
      </c>
      <c r="I323" s="221" t="s">
        <v>919</v>
      </c>
      <c r="J323" s="221" t="s">
        <v>364</v>
      </c>
      <c r="K323" s="223">
        <v>2.0</v>
      </c>
      <c r="L323" s="223" t="b">
        <v>0</v>
      </c>
      <c r="M323" s="223" t="s">
        <v>919</v>
      </c>
      <c r="N323" s="223">
        <v>150.409108</v>
      </c>
      <c r="O323" s="224" t="s">
        <v>238</v>
      </c>
      <c r="P323" s="225" t="s">
        <v>155</v>
      </c>
      <c r="Q323" s="225" t="s">
        <v>155</v>
      </c>
      <c r="R323" s="225" t="s">
        <v>155</v>
      </c>
      <c r="S323" s="225" t="s">
        <v>155</v>
      </c>
      <c r="T323" s="226"/>
      <c r="U323" s="227"/>
      <c r="V323" s="52" t="s">
        <v>250</v>
      </c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</row>
    <row r="324" ht="30.0" customHeight="1">
      <c r="A324" s="159"/>
      <c r="B324" s="218" t="s">
        <v>246</v>
      </c>
      <c r="C324" s="218" t="s">
        <v>813</v>
      </c>
      <c r="D324" s="218" t="s">
        <v>911</v>
      </c>
      <c r="E324" s="219">
        <v>110010.0</v>
      </c>
      <c r="F324" s="220" t="s">
        <v>920</v>
      </c>
      <c r="G324" s="221" t="s">
        <v>369</v>
      </c>
      <c r="H324" s="221" t="s">
        <v>921</v>
      </c>
      <c r="I324" s="221" t="s">
        <v>389</v>
      </c>
      <c r="J324" s="222" t="s">
        <v>250</v>
      </c>
      <c r="K324" s="223">
        <v>2.0</v>
      </c>
      <c r="L324" s="223" t="b">
        <v>0</v>
      </c>
      <c r="M324" s="223" t="s">
        <v>389</v>
      </c>
      <c r="N324" s="223">
        <v>68.97</v>
      </c>
      <c r="O324" s="224"/>
      <c r="P324" s="225" t="s">
        <v>155</v>
      </c>
      <c r="Q324" s="225" t="s">
        <v>155</v>
      </c>
      <c r="R324" s="225" t="s">
        <v>155</v>
      </c>
      <c r="S324" s="225" t="s">
        <v>155</v>
      </c>
      <c r="T324" s="226"/>
      <c r="U324" s="227"/>
      <c r="V324" s="52" t="s">
        <v>250</v>
      </c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</row>
    <row r="325" ht="30.0" customHeight="1">
      <c r="A325" s="159"/>
      <c r="B325" s="218" t="s">
        <v>246</v>
      </c>
      <c r="C325" s="218" t="s">
        <v>813</v>
      </c>
      <c r="D325" s="218" t="s">
        <v>911</v>
      </c>
      <c r="E325" s="219">
        <v>35441.0</v>
      </c>
      <c r="F325" s="220" t="s">
        <v>922</v>
      </c>
      <c r="G325" s="221" t="s">
        <v>369</v>
      </c>
      <c r="H325" s="221" t="s">
        <v>918</v>
      </c>
      <c r="I325" s="221" t="s">
        <v>42</v>
      </c>
      <c r="J325" s="221" t="s">
        <v>364</v>
      </c>
      <c r="K325" s="223">
        <v>2.0</v>
      </c>
      <c r="L325" s="223" t="b">
        <v>1</v>
      </c>
      <c r="M325" s="223" t="s">
        <v>42</v>
      </c>
      <c r="N325" s="223">
        <v>3.611913</v>
      </c>
      <c r="O325" s="224"/>
      <c r="P325" s="225" t="s">
        <v>155</v>
      </c>
      <c r="Q325" s="225" t="s">
        <v>155</v>
      </c>
      <c r="R325" s="225" t="s">
        <v>155</v>
      </c>
      <c r="S325" s="225" t="s">
        <v>155</v>
      </c>
      <c r="T325" s="226"/>
      <c r="U325" s="227"/>
      <c r="V325" s="52" t="s">
        <v>250</v>
      </c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</row>
    <row r="326" ht="30.0" customHeight="1">
      <c r="A326" s="159"/>
      <c r="B326" s="218" t="s">
        <v>246</v>
      </c>
      <c r="C326" s="218" t="s">
        <v>813</v>
      </c>
      <c r="D326" s="218" t="s">
        <v>911</v>
      </c>
      <c r="E326" s="219">
        <v>111963.0</v>
      </c>
      <c r="F326" s="220" t="s">
        <v>923</v>
      </c>
      <c r="G326" s="221" t="s">
        <v>369</v>
      </c>
      <c r="H326" s="221" t="s">
        <v>924</v>
      </c>
      <c r="I326" s="221" t="s">
        <v>42</v>
      </c>
      <c r="J326" s="221" t="s">
        <v>925</v>
      </c>
      <c r="K326" s="223">
        <v>2.0</v>
      </c>
      <c r="L326" s="223" t="b">
        <v>1</v>
      </c>
      <c r="M326" s="223" t="s">
        <v>42</v>
      </c>
      <c r="N326" s="223">
        <v>10.856666</v>
      </c>
      <c r="O326" s="224"/>
      <c r="P326" s="225" t="s">
        <v>155</v>
      </c>
      <c r="Q326" s="225" t="s">
        <v>155</v>
      </c>
      <c r="R326" s="225" t="s">
        <v>155</v>
      </c>
      <c r="S326" s="225" t="s">
        <v>155</v>
      </c>
      <c r="T326" s="226"/>
      <c r="U326" s="227"/>
      <c r="V326" s="52" t="s">
        <v>250</v>
      </c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</row>
    <row r="327" ht="30.0" customHeight="1">
      <c r="A327" s="159"/>
      <c r="B327" s="218" t="s">
        <v>246</v>
      </c>
      <c r="C327" s="218" t="s">
        <v>813</v>
      </c>
      <c r="D327" s="218" t="s">
        <v>911</v>
      </c>
      <c r="E327" s="219">
        <v>108532.0</v>
      </c>
      <c r="F327" s="220" t="s">
        <v>926</v>
      </c>
      <c r="G327" s="221" t="s">
        <v>369</v>
      </c>
      <c r="H327" s="221" t="s">
        <v>913</v>
      </c>
      <c r="I327" s="221" t="s">
        <v>42</v>
      </c>
      <c r="J327" s="221" t="s">
        <v>927</v>
      </c>
      <c r="K327" s="223">
        <v>1.0</v>
      </c>
      <c r="L327" s="223" t="b">
        <v>1</v>
      </c>
      <c r="M327" s="223" t="s">
        <v>42</v>
      </c>
      <c r="N327" s="223">
        <v>11.95</v>
      </c>
      <c r="O327" s="224"/>
      <c r="P327" s="225" t="s">
        <v>155</v>
      </c>
      <c r="Q327" s="225" t="s">
        <v>155</v>
      </c>
      <c r="R327" s="225" t="s">
        <v>155</v>
      </c>
      <c r="S327" s="225" t="s">
        <v>155</v>
      </c>
      <c r="T327" s="226"/>
      <c r="U327" s="227"/>
      <c r="V327" s="52" t="s">
        <v>250</v>
      </c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</row>
    <row r="328" ht="30.0" customHeight="1">
      <c r="A328" s="159"/>
      <c r="B328" s="218" t="s">
        <v>246</v>
      </c>
      <c r="C328" s="218" t="s">
        <v>813</v>
      </c>
      <c r="D328" s="218" t="s">
        <v>911</v>
      </c>
      <c r="E328" s="219">
        <v>108523.0</v>
      </c>
      <c r="F328" s="220" t="s">
        <v>928</v>
      </c>
      <c r="G328" s="221" t="s">
        <v>518</v>
      </c>
      <c r="H328" s="221" t="s">
        <v>929</v>
      </c>
      <c r="I328" s="221" t="s">
        <v>42</v>
      </c>
      <c r="J328" s="222" t="s">
        <v>250</v>
      </c>
      <c r="K328" s="223">
        <v>1.0</v>
      </c>
      <c r="L328" s="223" t="b">
        <v>0</v>
      </c>
      <c r="M328" s="223" t="s">
        <v>42</v>
      </c>
      <c r="N328" s="223">
        <v>9.012777</v>
      </c>
      <c r="O328" s="224"/>
      <c r="P328" s="225" t="s">
        <v>155</v>
      </c>
      <c r="Q328" s="225" t="s">
        <v>155</v>
      </c>
      <c r="R328" s="225" t="s">
        <v>155</v>
      </c>
      <c r="S328" s="225" t="s">
        <v>155</v>
      </c>
      <c r="T328" s="226"/>
      <c r="U328" s="227"/>
      <c r="V328" s="52" t="s">
        <v>250</v>
      </c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</row>
    <row r="329" ht="30.0" customHeight="1">
      <c r="A329" s="159"/>
      <c r="B329" s="218" t="s">
        <v>246</v>
      </c>
      <c r="C329" s="218" t="s">
        <v>813</v>
      </c>
      <c r="D329" s="218" t="s">
        <v>911</v>
      </c>
      <c r="E329" s="219">
        <v>15829.0</v>
      </c>
      <c r="F329" s="220" t="s">
        <v>930</v>
      </c>
      <c r="G329" s="221" t="s">
        <v>369</v>
      </c>
      <c r="H329" s="221" t="s">
        <v>918</v>
      </c>
      <c r="I329" s="221" t="s">
        <v>931</v>
      </c>
      <c r="J329" s="221" t="s">
        <v>364</v>
      </c>
      <c r="K329" s="223">
        <v>4.0</v>
      </c>
      <c r="L329" s="223" t="b">
        <v>0</v>
      </c>
      <c r="M329" s="223" t="s">
        <v>931</v>
      </c>
      <c r="N329" s="223">
        <v>12.738932</v>
      </c>
      <c r="O329" s="224" t="s">
        <v>238</v>
      </c>
      <c r="P329" s="225" t="s">
        <v>155</v>
      </c>
      <c r="Q329" s="225" t="s">
        <v>155</v>
      </c>
      <c r="R329" s="225" t="s">
        <v>155</v>
      </c>
      <c r="S329" s="225" t="s">
        <v>155</v>
      </c>
      <c r="T329" s="226"/>
      <c r="U329" s="227"/>
      <c r="V329" s="52" t="s">
        <v>250</v>
      </c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</row>
    <row r="330" ht="30.0" customHeight="1">
      <c r="A330" s="159"/>
      <c r="B330" s="218" t="s">
        <v>246</v>
      </c>
      <c r="C330" s="218" t="s">
        <v>813</v>
      </c>
      <c r="D330" s="218" t="s">
        <v>911</v>
      </c>
      <c r="E330" s="219">
        <v>35445.0</v>
      </c>
      <c r="F330" s="220" t="s">
        <v>932</v>
      </c>
      <c r="G330" s="221" t="s">
        <v>369</v>
      </c>
      <c r="H330" s="221" t="s">
        <v>918</v>
      </c>
      <c r="I330" s="221" t="s">
        <v>933</v>
      </c>
      <c r="J330" s="221" t="s">
        <v>595</v>
      </c>
      <c r="K330" s="223">
        <v>2.0</v>
      </c>
      <c r="L330" s="223" t="b">
        <v>0</v>
      </c>
      <c r="M330" s="223" t="s">
        <v>933</v>
      </c>
      <c r="N330" s="223">
        <v>229.934095</v>
      </c>
      <c r="O330" s="224" t="s">
        <v>238</v>
      </c>
      <c r="P330" s="225" t="s">
        <v>155</v>
      </c>
      <c r="Q330" s="225" t="s">
        <v>155</v>
      </c>
      <c r="R330" s="225" t="s">
        <v>155</v>
      </c>
      <c r="S330" s="225" t="s">
        <v>155</v>
      </c>
      <c r="T330" s="226"/>
      <c r="U330" s="227"/>
      <c r="V330" s="52" t="s">
        <v>250</v>
      </c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</row>
    <row r="331" ht="30.0" customHeight="1">
      <c r="A331" s="159"/>
      <c r="B331" s="218" t="s">
        <v>246</v>
      </c>
      <c r="C331" s="218" t="s">
        <v>813</v>
      </c>
      <c r="D331" s="218" t="s">
        <v>911</v>
      </c>
      <c r="E331" s="219">
        <v>35444.0</v>
      </c>
      <c r="F331" s="220" t="s">
        <v>934</v>
      </c>
      <c r="G331" s="221" t="s">
        <v>369</v>
      </c>
      <c r="H331" s="221" t="s">
        <v>918</v>
      </c>
      <c r="I331" s="221" t="s">
        <v>42</v>
      </c>
      <c r="J331" s="221" t="s">
        <v>925</v>
      </c>
      <c r="K331" s="223">
        <v>2.0</v>
      </c>
      <c r="L331" s="223" t="b">
        <v>0</v>
      </c>
      <c r="M331" s="223" t="s">
        <v>42</v>
      </c>
      <c r="N331" s="223">
        <v>4.074619</v>
      </c>
      <c r="O331" s="224" t="s">
        <v>238</v>
      </c>
      <c r="P331" s="225" t="s">
        <v>155</v>
      </c>
      <c r="Q331" s="225" t="s">
        <v>155</v>
      </c>
      <c r="R331" s="225" t="s">
        <v>155</v>
      </c>
      <c r="S331" s="225" t="s">
        <v>155</v>
      </c>
      <c r="T331" s="226"/>
      <c r="U331" s="227"/>
      <c r="V331" s="52" t="s">
        <v>250</v>
      </c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</row>
    <row r="332" ht="30.0" customHeight="1">
      <c r="A332" s="159"/>
      <c r="B332" s="218" t="s">
        <v>246</v>
      </c>
      <c r="C332" s="218" t="s">
        <v>813</v>
      </c>
      <c r="D332" s="218" t="s">
        <v>911</v>
      </c>
      <c r="E332" s="219">
        <v>51253.0</v>
      </c>
      <c r="F332" s="220" t="s">
        <v>935</v>
      </c>
      <c r="G332" s="221" t="s">
        <v>518</v>
      </c>
      <c r="H332" s="221" t="s">
        <v>873</v>
      </c>
      <c r="I332" s="221" t="s">
        <v>936</v>
      </c>
      <c r="J332" s="221" t="s">
        <v>364</v>
      </c>
      <c r="K332" s="223">
        <v>3.0</v>
      </c>
      <c r="L332" s="223" t="b">
        <v>0</v>
      </c>
      <c r="M332" s="223" t="s">
        <v>936</v>
      </c>
      <c r="N332" s="223">
        <v>24.141388</v>
      </c>
      <c r="O332" s="224"/>
      <c r="P332" s="225" t="s">
        <v>155</v>
      </c>
      <c r="Q332" s="225" t="s">
        <v>155</v>
      </c>
      <c r="R332" s="225" t="s">
        <v>155</v>
      </c>
      <c r="S332" s="225" t="s">
        <v>155</v>
      </c>
      <c r="T332" s="226"/>
      <c r="U332" s="227"/>
      <c r="V332" s="52" t="s">
        <v>250</v>
      </c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</row>
    <row r="333" ht="30.0" customHeight="1">
      <c r="A333" s="159"/>
      <c r="B333" s="218" t="s">
        <v>246</v>
      </c>
      <c r="C333" s="218" t="s">
        <v>813</v>
      </c>
      <c r="D333" s="218" t="s">
        <v>911</v>
      </c>
      <c r="E333" s="219">
        <v>35447.0</v>
      </c>
      <c r="F333" s="220" t="s">
        <v>937</v>
      </c>
      <c r="G333" s="221" t="s">
        <v>369</v>
      </c>
      <c r="H333" s="221" t="s">
        <v>929</v>
      </c>
      <c r="I333" s="221" t="s">
        <v>42</v>
      </c>
      <c r="J333" s="222" t="s">
        <v>250</v>
      </c>
      <c r="K333" s="223">
        <v>4.0</v>
      </c>
      <c r="L333" s="223" t="b">
        <v>0</v>
      </c>
      <c r="M333" s="223" t="s">
        <v>42</v>
      </c>
      <c r="N333" s="223">
        <v>8.474305</v>
      </c>
      <c r="O333" s="224"/>
      <c r="P333" s="225" t="s">
        <v>155</v>
      </c>
      <c r="Q333" s="225" t="s">
        <v>155</v>
      </c>
      <c r="R333" s="225" t="s">
        <v>155</v>
      </c>
      <c r="S333" s="225" t="s">
        <v>155</v>
      </c>
      <c r="T333" s="226"/>
      <c r="U333" s="227"/>
      <c r="V333" s="52" t="s">
        <v>250</v>
      </c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</row>
    <row r="334" ht="30.0" customHeight="1">
      <c r="A334" s="159"/>
      <c r="B334" s="218" t="s">
        <v>246</v>
      </c>
      <c r="C334" s="218" t="s">
        <v>813</v>
      </c>
      <c r="D334" s="218" t="s">
        <v>911</v>
      </c>
      <c r="E334" s="219">
        <v>15697.0</v>
      </c>
      <c r="F334" s="220" t="s">
        <v>938</v>
      </c>
      <c r="G334" s="221" t="s">
        <v>369</v>
      </c>
      <c r="H334" s="221" t="s">
        <v>929</v>
      </c>
      <c r="I334" s="221" t="s">
        <v>774</v>
      </c>
      <c r="J334" s="222" t="s">
        <v>250</v>
      </c>
      <c r="K334" s="223">
        <v>4.0</v>
      </c>
      <c r="L334" s="223" t="b">
        <v>0</v>
      </c>
      <c r="M334" s="223" t="s">
        <v>774</v>
      </c>
      <c r="N334" s="223">
        <v>88.141208</v>
      </c>
      <c r="O334" s="224" t="s">
        <v>238</v>
      </c>
      <c r="P334" s="225" t="s">
        <v>155</v>
      </c>
      <c r="Q334" s="225" t="s">
        <v>155</v>
      </c>
      <c r="R334" s="225" t="s">
        <v>155</v>
      </c>
      <c r="S334" s="225" t="s">
        <v>155</v>
      </c>
      <c r="T334" s="226"/>
      <c r="U334" s="227"/>
      <c r="V334" s="52" t="s">
        <v>250</v>
      </c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</row>
    <row r="335" ht="30.0" customHeight="1">
      <c r="A335" s="159"/>
      <c r="B335" s="218" t="s">
        <v>246</v>
      </c>
      <c r="C335" s="218" t="s">
        <v>813</v>
      </c>
      <c r="D335" s="218" t="s">
        <v>911</v>
      </c>
      <c r="E335" s="219">
        <v>109627.0</v>
      </c>
      <c r="F335" s="220" t="s">
        <v>939</v>
      </c>
      <c r="G335" s="221" t="s">
        <v>518</v>
      </c>
      <c r="H335" s="221" t="s">
        <v>940</v>
      </c>
      <c r="I335" s="221" t="s">
        <v>389</v>
      </c>
      <c r="J335" s="222" t="s">
        <v>250</v>
      </c>
      <c r="K335" s="223">
        <v>3.0</v>
      </c>
      <c r="L335" s="223" t="b">
        <v>0</v>
      </c>
      <c r="M335" s="223" t="s">
        <v>389</v>
      </c>
      <c r="N335" s="223">
        <v>29.634285</v>
      </c>
      <c r="O335" s="224"/>
      <c r="P335" s="225" t="s">
        <v>155</v>
      </c>
      <c r="Q335" s="225" t="s">
        <v>155</v>
      </c>
      <c r="R335" s="225" t="s">
        <v>155</v>
      </c>
      <c r="S335" s="225" t="s">
        <v>155</v>
      </c>
      <c r="T335" s="226"/>
      <c r="U335" s="227"/>
      <c r="V335" s="52" t="s">
        <v>250</v>
      </c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</row>
    <row r="336" ht="30.0" customHeight="1">
      <c r="A336" s="159"/>
      <c r="B336" s="218" t="s">
        <v>246</v>
      </c>
      <c r="C336" s="218" t="s">
        <v>813</v>
      </c>
      <c r="D336" s="218" t="s">
        <v>911</v>
      </c>
      <c r="E336" s="219">
        <v>113927.0</v>
      </c>
      <c r="F336" s="220" t="s">
        <v>941</v>
      </c>
      <c r="G336" s="221" t="s">
        <v>518</v>
      </c>
      <c r="H336" s="221" t="s">
        <v>929</v>
      </c>
      <c r="I336" s="221" t="s">
        <v>42</v>
      </c>
      <c r="J336" s="222" t="s">
        <v>250</v>
      </c>
      <c r="K336" s="223">
        <v>2.0</v>
      </c>
      <c r="L336" s="223" t="b">
        <v>0</v>
      </c>
      <c r="M336" s="223" t="s">
        <v>42</v>
      </c>
      <c r="N336" s="223">
        <v>4.556857</v>
      </c>
      <c r="O336" s="224"/>
      <c r="P336" s="225" t="s">
        <v>155</v>
      </c>
      <c r="Q336" s="225" t="s">
        <v>155</v>
      </c>
      <c r="R336" s="225" t="s">
        <v>155</v>
      </c>
      <c r="S336" s="225" t="s">
        <v>155</v>
      </c>
      <c r="T336" s="226"/>
      <c r="U336" s="227"/>
      <c r="V336" s="52" t="s">
        <v>250</v>
      </c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</row>
    <row r="337" ht="30.0" customHeight="1">
      <c r="A337" s="159"/>
      <c r="B337" s="218" t="s">
        <v>246</v>
      </c>
      <c r="C337" s="218" t="s">
        <v>813</v>
      </c>
      <c r="D337" s="218" t="s">
        <v>911</v>
      </c>
      <c r="E337" s="219">
        <v>101380.0</v>
      </c>
      <c r="F337" s="220" t="s">
        <v>942</v>
      </c>
      <c r="G337" s="221" t="s">
        <v>518</v>
      </c>
      <c r="H337" s="221" t="s">
        <v>894</v>
      </c>
      <c r="I337" s="221" t="s">
        <v>325</v>
      </c>
      <c r="J337" s="222" t="s">
        <v>250</v>
      </c>
      <c r="K337" s="223">
        <v>3.0</v>
      </c>
      <c r="L337" s="223" t="b">
        <v>0</v>
      </c>
      <c r="M337" s="223" t="s">
        <v>325</v>
      </c>
      <c r="N337" s="223">
        <v>41.861</v>
      </c>
      <c r="O337" s="224"/>
      <c r="P337" s="225" t="s">
        <v>155</v>
      </c>
      <c r="Q337" s="225" t="s">
        <v>155</v>
      </c>
      <c r="R337" s="225" t="s">
        <v>155</v>
      </c>
      <c r="S337" s="225" t="s">
        <v>155</v>
      </c>
      <c r="T337" s="226"/>
      <c r="U337" s="227"/>
      <c r="V337" s="52" t="s">
        <v>250</v>
      </c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</row>
    <row r="338" ht="30.0" customHeight="1">
      <c r="A338" s="209"/>
      <c r="B338" s="210" t="s">
        <v>943</v>
      </c>
      <c r="C338" s="211"/>
      <c r="D338" s="211"/>
      <c r="E338" s="212"/>
      <c r="F338" s="213"/>
      <c r="G338" s="213"/>
      <c r="H338" s="213"/>
      <c r="I338" s="212"/>
      <c r="J338" s="212"/>
      <c r="K338" s="214"/>
      <c r="L338" s="214"/>
      <c r="M338" s="214"/>
      <c r="N338" s="214"/>
      <c r="O338" s="215"/>
      <c r="P338" s="216"/>
      <c r="Q338" s="216"/>
      <c r="R338" s="216"/>
      <c r="S338" s="216"/>
      <c r="T338" s="217"/>
      <c r="U338" s="217"/>
      <c r="V338" s="217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</row>
    <row r="339" ht="30.0" customHeight="1">
      <c r="A339" s="159"/>
      <c r="B339" s="218" t="s">
        <v>246</v>
      </c>
      <c r="C339" s="218" t="s">
        <v>813</v>
      </c>
      <c r="D339" s="218" t="s">
        <v>521</v>
      </c>
      <c r="E339" s="232">
        <v>24809.0</v>
      </c>
      <c r="F339" s="233" t="s">
        <v>944</v>
      </c>
      <c r="G339" s="221" t="s">
        <v>518</v>
      </c>
      <c r="H339" s="221" t="s">
        <v>945</v>
      </c>
      <c r="I339" s="221" t="s">
        <v>946</v>
      </c>
      <c r="J339" s="221" t="b">
        <v>0</v>
      </c>
      <c r="K339" s="223" t="b">
        <v>0</v>
      </c>
      <c r="L339" s="223" t="b">
        <v>0</v>
      </c>
      <c r="M339" s="223" t="s">
        <v>947</v>
      </c>
      <c r="N339" s="223" t="s">
        <v>948</v>
      </c>
      <c r="O339" s="224"/>
      <c r="P339" s="230"/>
      <c r="Q339" s="225" t="s">
        <v>155</v>
      </c>
      <c r="R339" s="230"/>
      <c r="S339" s="230"/>
      <c r="T339" s="229" t="s">
        <v>592</v>
      </c>
      <c r="U339" s="227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</row>
    <row r="340" ht="30.0" customHeight="1">
      <c r="A340" s="159"/>
      <c r="B340" s="218" t="s">
        <v>246</v>
      </c>
      <c r="C340" s="218" t="s">
        <v>813</v>
      </c>
      <c r="D340" s="218" t="s">
        <v>943</v>
      </c>
      <c r="E340" s="219">
        <v>51236.0</v>
      </c>
      <c r="F340" s="220" t="s">
        <v>949</v>
      </c>
      <c r="G340" s="221" t="s">
        <v>518</v>
      </c>
      <c r="H340" s="221" t="s">
        <v>856</v>
      </c>
      <c r="I340" s="221" t="s">
        <v>42</v>
      </c>
      <c r="J340" s="222" t="s">
        <v>250</v>
      </c>
      <c r="K340" s="223">
        <v>2.0</v>
      </c>
      <c r="L340" s="223" t="b">
        <v>1</v>
      </c>
      <c r="M340" s="223" t="s">
        <v>42</v>
      </c>
      <c r="N340" s="223">
        <v>20.631807</v>
      </c>
      <c r="O340" s="224"/>
      <c r="P340" s="225" t="s">
        <v>155</v>
      </c>
      <c r="Q340" s="225" t="s">
        <v>155</v>
      </c>
      <c r="R340" s="225" t="s">
        <v>155</v>
      </c>
      <c r="S340" s="225" t="s">
        <v>155</v>
      </c>
      <c r="T340" s="226"/>
      <c r="U340" s="227"/>
      <c r="V340" s="52" t="s">
        <v>250</v>
      </c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</row>
    <row r="341" ht="30.0" customHeight="1">
      <c r="A341" s="159"/>
      <c r="B341" s="218" t="s">
        <v>246</v>
      </c>
      <c r="C341" s="218" t="s">
        <v>813</v>
      </c>
      <c r="D341" s="218" t="s">
        <v>943</v>
      </c>
      <c r="E341" s="219">
        <v>16211.0</v>
      </c>
      <c r="F341" s="220" t="s">
        <v>950</v>
      </c>
      <c r="G341" s="221" t="s">
        <v>518</v>
      </c>
      <c r="H341" s="221" t="s">
        <v>951</v>
      </c>
      <c r="I341" s="221" t="s">
        <v>952</v>
      </c>
      <c r="J341" s="222" t="s">
        <v>250</v>
      </c>
      <c r="K341" s="223">
        <v>2.0</v>
      </c>
      <c r="L341" s="223" t="b">
        <v>0</v>
      </c>
      <c r="M341" s="223" t="s">
        <v>42</v>
      </c>
      <c r="N341" s="223">
        <v>43.733018</v>
      </c>
      <c r="O341" s="224"/>
      <c r="P341" s="225" t="s">
        <v>155</v>
      </c>
      <c r="Q341" s="225" t="s">
        <v>155</v>
      </c>
      <c r="R341" s="225" t="s">
        <v>155</v>
      </c>
      <c r="S341" s="225" t="s">
        <v>155</v>
      </c>
      <c r="T341" s="226"/>
      <c r="U341" s="227"/>
      <c r="V341" s="52" t="s">
        <v>250</v>
      </c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</row>
    <row r="342" ht="30.0" customHeight="1">
      <c r="A342" s="159"/>
      <c r="B342" s="218" t="s">
        <v>246</v>
      </c>
      <c r="C342" s="218" t="s">
        <v>813</v>
      </c>
      <c r="D342" s="218" t="s">
        <v>943</v>
      </c>
      <c r="E342" s="219">
        <v>40445.0</v>
      </c>
      <c r="F342" s="220" t="s">
        <v>953</v>
      </c>
      <c r="G342" s="221" t="s">
        <v>369</v>
      </c>
      <c r="H342" s="221" t="s">
        <v>954</v>
      </c>
      <c r="I342" s="221" t="s">
        <v>42</v>
      </c>
      <c r="J342" s="221" t="s">
        <v>371</v>
      </c>
      <c r="K342" s="223">
        <v>2.0</v>
      </c>
      <c r="L342" s="223" t="b">
        <v>0</v>
      </c>
      <c r="M342" s="228"/>
      <c r="N342" s="228"/>
      <c r="O342" s="224"/>
      <c r="P342" s="225" t="s">
        <v>155</v>
      </c>
      <c r="Q342" s="225" t="s">
        <v>155</v>
      </c>
      <c r="R342" s="225" t="s">
        <v>155</v>
      </c>
      <c r="S342" s="225" t="s">
        <v>155</v>
      </c>
      <c r="T342" s="226"/>
      <c r="U342" s="227"/>
      <c r="V342" s="52" t="s">
        <v>250</v>
      </c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</row>
    <row r="343" ht="30.0" customHeight="1">
      <c r="A343" s="159"/>
      <c r="B343" s="218" t="s">
        <v>246</v>
      </c>
      <c r="C343" s="218" t="s">
        <v>813</v>
      </c>
      <c r="D343" s="218" t="s">
        <v>943</v>
      </c>
      <c r="E343" s="219">
        <v>51159.0</v>
      </c>
      <c r="F343" s="220" t="s">
        <v>955</v>
      </c>
      <c r="G343" s="221" t="s">
        <v>518</v>
      </c>
      <c r="H343" s="221" t="s">
        <v>873</v>
      </c>
      <c r="I343" s="221" t="s">
        <v>956</v>
      </c>
      <c r="J343" s="222" t="s">
        <v>250</v>
      </c>
      <c r="K343" s="223">
        <v>3.0</v>
      </c>
      <c r="L343" s="223" t="b">
        <v>0</v>
      </c>
      <c r="M343" s="223" t="s">
        <v>956</v>
      </c>
      <c r="N343" s="223">
        <v>50.891981</v>
      </c>
      <c r="O343" s="224" t="s">
        <v>238</v>
      </c>
      <c r="P343" s="225" t="s">
        <v>155</v>
      </c>
      <c r="Q343" s="225" t="s">
        <v>155</v>
      </c>
      <c r="R343" s="225" t="s">
        <v>155</v>
      </c>
      <c r="S343" s="225" t="s">
        <v>155</v>
      </c>
      <c r="T343" s="226"/>
      <c r="U343" s="227"/>
      <c r="V343" s="52" t="s">
        <v>250</v>
      </c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</row>
    <row r="344" ht="30.0" customHeight="1">
      <c r="A344" s="159"/>
      <c r="B344" s="218" t="s">
        <v>246</v>
      </c>
      <c r="C344" s="218" t="s">
        <v>813</v>
      </c>
      <c r="D344" s="218" t="s">
        <v>943</v>
      </c>
      <c r="E344" s="219">
        <v>102498.0</v>
      </c>
      <c r="F344" s="220" t="s">
        <v>957</v>
      </c>
      <c r="G344" s="221" t="s">
        <v>518</v>
      </c>
      <c r="H344" s="221" t="s">
        <v>856</v>
      </c>
      <c r="I344" s="221" t="s">
        <v>42</v>
      </c>
      <c r="J344" s="222" t="s">
        <v>250</v>
      </c>
      <c r="K344" s="223">
        <v>3.0</v>
      </c>
      <c r="L344" s="223" t="b">
        <v>0</v>
      </c>
      <c r="M344" s="223" t="s">
        <v>42</v>
      </c>
      <c r="N344" s="223">
        <v>48.1975</v>
      </c>
      <c r="O344" s="224"/>
      <c r="P344" s="225" t="s">
        <v>155</v>
      </c>
      <c r="Q344" s="225" t="s">
        <v>155</v>
      </c>
      <c r="R344" s="225" t="s">
        <v>155</v>
      </c>
      <c r="S344" s="225" t="s">
        <v>155</v>
      </c>
      <c r="T344" s="226"/>
      <c r="U344" s="227"/>
      <c r="V344" s="52" t="s">
        <v>250</v>
      </c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</row>
    <row r="345" ht="30.0" customHeight="1">
      <c r="A345" s="159"/>
      <c r="B345" s="218" t="s">
        <v>246</v>
      </c>
      <c r="C345" s="218" t="s">
        <v>813</v>
      </c>
      <c r="D345" s="218" t="s">
        <v>943</v>
      </c>
      <c r="E345" s="219">
        <v>15651.0</v>
      </c>
      <c r="F345" s="220" t="s">
        <v>958</v>
      </c>
      <c r="G345" s="221" t="s">
        <v>518</v>
      </c>
      <c r="H345" s="221" t="s">
        <v>959</v>
      </c>
      <c r="I345" s="221" t="s">
        <v>535</v>
      </c>
      <c r="J345" s="222" t="s">
        <v>250</v>
      </c>
      <c r="K345" s="223">
        <v>2.0</v>
      </c>
      <c r="L345" s="223" t="b">
        <v>0</v>
      </c>
      <c r="M345" s="223" t="s">
        <v>455</v>
      </c>
      <c r="N345" s="223">
        <v>49.152661</v>
      </c>
      <c r="O345" s="224" t="s">
        <v>238</v>
      </c>
      <c r="P345" s="225" t="s">
        <v>155</v>
      </c>
      <c r="Q345" s="225" t="s">
        <v>155</v>
      </c>
      <c r="R345" s="225" t="s">
        <v>155</v>
      </c>
      <c r="S345" s="225" t="s">
        <v>155</v>
      </c>
      <c r="T345" s="226"/>
      <c r="U345" s="227"/>
      <c r="V345" s="52" t="s">
        <v>250</v>
      </c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</row>
    <row r="346" ht="30.0" customHeight="1">
      <c r="A346" s="159"/>
      <c r="B346" s="218" t="s">
        <v>246</v>
      </c>
      <c r="C346" s="218" t="s">
        <v>813</v>
      </c>
      <c r="D346" s="218" t="s">
        <v>943</v>
      </c>
      <c r="E346" s="219">
        <v>15652.0</v>
      </c>
      <c r="F346" s="220" t="s">
        <v>960</v>
      </c>
      <c r="G346" s="221" t="s">
        <v>518</v>
      </c>
      <c r="H346" s="221" t="s">
        <v>959</v>
      </c>
      <c r="I346" s="221" t="s">
        <v>961</v>
      </c>
      <c r="J346" s="222" t="s">
        <v>250</v>
      </c>
      <c r="K346" s="223">
        <v>2.0</v>
      </c>
      <c r="L346" s="223" t="b">
        <v>0</v>
      </c>
      <c r="M346" s="223" t="s">
        <v>961</v>
      </c>
      <c r="N346" s="223">
        <v>13.858709</v>
      </c>
      <c r="O346" s="224" t="s">
        <v>238</v>
      </c>
      <c r="P346" s="225" t="s">
        <v>155</v>
      </c>
      <c r="Q346" s="225" t="s">
        <v>155</v>
      </c>
      <c r="R346" s="225" t="s">
        <v>155</v>
      </c>
      <c r="S346" s="225" t="s">
        <v>155</v>
      </c>
      <c r="T346" s="226"/>
      <c r="U346" s="227"/>
      <c r="V346" s="109" t="s">
        <v>962</v>
      </c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</row>
    <row r="347" ht="30.0" customHeight="1">
      <c r="A347" s="159"/>
      <c r="B347" s="218" t="s">
        <v>246</v>
      </c>
      <c r="C347" s="218" t="s">
        <v>813</v>
      </c>
      <c r="D347" s="218" t="s">
        <v>943</v>
      </c>
      <c r="E347" s="219">
        <v>111134.0</v>
      </c>
      <c r="F347" s="220" t="s">
        <v>963</v>
      </c>
      <c r="G347" s="221" t="s">
        <v>518</v>
      </c>
      <c r="H347" s="221" t="s">
        <v>964</v>
      </c>
      <c r="I347" s="221" t="s">
        <v>965</v>
      </c>
      <c r="J347" s="221" t="s">
        <v>371</v>
      </c>
      <c r="K347" s="223">
        <v>4.0</v>
      </c>
      <c r="L347" s="223" t="b">
        <v>0</v>
      </c>
      <c r="M347" s="223" t="s">
        <v>42</v>
      </c>
      <c r="N347" s="223">
        <v>9.2795</v>
      </c>
      <c r="O347" s="224"/>
      <c r="P347" s="225" t="s">
        <v>155</v>
      </c>
      <c r="Q347" s="225" t="s">
        <v>155</v>
      </c>
      <c r="R347" s="225" t="s">
        <v>155</v>
      </c>
      <c r="S347" s="225" t="s">
        <v>155</v>
      </c>
      <c r="T347" s="226"/>
      <c r="U347" s="227"/>
      <c r="V347" s="52" t="s">
        <v>250</v>
      </c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</row>
    <row r="348" ht="30.0" customHeight="1">
      <c r="A348" s="159"/>
      <c r="B348" s="218" t="s">
        <v>246</v>
      </c>
      <c r="C348" s="218" t="s">
        <v>813</v>
      </c>
      <c r="D348" s="218" t="s">
        <v>943</v>
      </c>
      <c r="E348" s="219">
        <v>30722.0</v>
      </c>
      <c r="F348" s="220" t="s">
        <v>966</v>
      </c>
      <c r="G348" s="221" t="s">
        <v>369</v>
      </c>
      <c r="H348" s="221" t="s">
        <v>929</v>
      </c>
      <c r="I348" s="221" t="s">
        <v>349</v>
      </c>
      <c r="J348" s="221" t="s">
        <v>925</v>
      </c>
      <c r="K348" s="223">
        <v>1.0</v>
      </c>
      <c r="L348" s="223" t="b">
        <v>1</v>
      </c>
      <c r="M348" s="223" t="s">
        <v>42</v>
      </c>
      <c r="N348" s="223">
        <v>3.748</v>
      </c>
      <c r="O348" s="224"/>
      <c r="P348" s="225" t="s">
        <v>155</v>
      </c>
      <c r="Q348" s="225" t="s">
        <v>155</v>
      </c>
      <c r="R348" s="225" t="s">
        <v>155</v>
      </c>
      <c r="S348" s="225" t="s">
        <v>155</v>
      </c>
      <c r="T348" s="226"/>
      <c r="U348" s="227"/>
      <c r="V348" s="52" t="s">
        <v>250</v>
      </c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</row>
    <row r="349" ht="30.0" customHeight="1">
      <c r="A349" s="159"/>
      <c r="B349" s="218" t="s">
        <v>246</v>
      </c>
      <c r="C349" s="218" t="s">
        <v>813</v>
      </c>
      <c r="D349" s="218" t="s">
        <v>943</v>
      </c>
      <c r="E349" s="219">
        <v>62920.0</v>
      </c>
      <c r="F349" s="220" t="s">
        <v>967</v>
      </c>
      <c r="G349" s="221" t="s">
        <v>518</v>
      </c>
      <c r="H349" s="222"/>
      <c r="I349" s="221" t="s">
        <v>968</v>
      </c>
      <c r="J349" s="222" t="s">
        <v>250</v>
      </c>
      <c r="K349" s="223">
        <v>0.0</v>
      </c>
      <c r="L349" s="223" t="b">
        <v>0</v>
      </c>
      <c r="M349" s="228"/>
      <c r="N349" s="228"/>
      <c r="O349" s="224"/>
      <c r="P349" s="225" t="s">
        <v>155</v>
      </c>
      <c r="Q349" s="225" t="s">
        <v>155</v>
      </c>
      <c r="R349" s="225" t="s">
        <v>155</v>
      </c>
      <c r="S349" s="225" t="s">
        <v>155</v>
      </c>
      <c r="T349" s="226"/>
      <c r="U349" s="227"/>
      <c r="V349" s="52" t="s">
        <v>250</v>
      </c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</row>
    <row r="350" ht="30.0" customHeight="1">
      <c r="A350" s="159"/>
      <c r="B350" s="218" t="s">
        <v>246</v>
      </c>
      <c r="C350" s="218" t="s">
        <v>813</v>
      </c>
      <c r="D350" s="218" t="s">
        <v>943</v>
      </c>
      <c r="E350" s="219">
        <v>15792.0</v>
      </c>
      <c r="F350" s="220" t="s">
        <v>969</v>
      </c>
      <c r="G350" s="221" t="s">
        <v>518</v>
      </c>
      <c r="H350" s="222"/>
      <c r="I350" s="221" t="s">
        <v>269</v>
      </c>
      <c r="J350" s="221" t="s">
        <v>371</v>
      </c>
      <c r="K350" s="223">
        <v>1.0</v>
      </c>
      <c r="L350" s="223" t="b">
        <v>1</v>
      </c>
      <c r="M350" s="223" t="s">
        <v>269</v>
      </c>
      <c r="N350" s="223">
        <v>33.997165</v>
      </c>
      <c r="O350" s="224" t="s">
        <v>238</v>
      </c>
      <c r="P350" s="225" t="s">
        <v>155</v>
      </c>
      <c r="Q350" s="225" t="s">
        <v>155</v>
      </c>
      <c r="R350" s="225" t="s">
        <v>155</v>
      </c>
      <c r="S350" s="225" t="s">
        <v>155</v>
      </c>
      <c r="T350" s="226"/>
      <c r="U350" s="227"/>
      <c r="V350" s="52" t="s">
        <v>250</v>
      </c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</row>
    <row r="351" ht="30.0" customHeight="1">
      <c r="A351" s="159"/>
      <c r="B351" s="218" t="s">
        <v>246</v>
      </c>
      <c r="C351" s="218" t="s">
        <v>813</v>
      </c>
      <c r="D351" s="218" t="s">
        <v>943</v>
      </c>
      <c r="E351" s="219">
        <v>112726.0</v>
      </c>
      <c r="F351" s="220" t="s">
        <v>970</v>
      </c>
      <c r="G351" s="221" t="s">
        <v>518</v>
      </c>
      <c r="H351" s="221" t="s">
        <v>971</v>
      </c>
      <c r="I351" s="221" t="s">
        <v>972</v>
      </c>
      <c r="J351" s="221" t="s">
        <v>529</v>
      </c>
      <c r="K351" s="223">
        <v>2.0</v>
      </c>
      <c r="L351" s="223" t="b">
        <v>0</v>
      </c>
      <c r="M351" s="223" t="s">
        <v>972</v>
      </c>
      <c r="N351" s="223">
        <v>1.157142</v>
      </c>
      <c r="O351" s="224"/>
      <c r="P351" s="225" t="s">
        <v>155</v>
      </c>
      <c r="Q351" s="225" t="s">
        <v>155</v>
      </c>
      <c r="R351" s="225" t="s">
        <v>155</v>
      </c>
      <c r="S351" s="225" t="s">
        <v>155</v>
      </c>
      <c r="T351" s="226"/>
      <c r="U351" s="227"/>
      <c r="V351" s="52" t="s">
        <v>250</v>
      </c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</row>
    <row r="352" ht="30.0" customHeight="1">
      <c r="A352" s="159"/>
      <c r="B352" s="218" t="s">
        <v>246</v>
      </c>
      <c r="C352" s="218" t="s">
        <v>813</v>
      </c>
      <c r="D352" s="218" t="s">
        <v>943</v>
      </c>
      <c r="E352" s="219">
        <v>51164.0</v>
      </c>
      <c r="F352" s="220" t="s">
        <v>973</v>
      </c>
      <c r="G352" s="221" t="s">
        <v>518</v>
      </c>
      <c r="H352" s="221" t="s">
        <v>974</v>
      </c>
      <c r="I352" s="221" t="s">
        <v>975</v>
      </c>
      <c r="J352" s="222" t="s">
        <v>250</v>
      </c>
      <c r="K352" s="223">
        <v>2.0</v>
      </c>
      <c r="L352" s="223" t="b">
        <v>1</v>
      </c>
      <c r="M352" s="223" t="s">
        <v>975</v>
      </c>
      <c r="N352" s="223">
        <v>56.801518</v>
      </c>
      <c r="O352" s="224" t="s">
        <v>238</v>
      </c>
      <c r="P352" s="225" t="s">
        <v>155</v>
      </c>
      <c r="Q352" s="225" t="s">
        <v>155</v>
      </c>
      <c r="R352" s="225" t="s">
        <v>155</v>
      </c>
      <c r="S352" s="225" t="s">
        <v>155</v>
      </c>
      <c r="T352" s="226"/>
      <c r="U352" s="227"/>
      <c r="V352" s="52" t="s">
        <v>250</v>
      </c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</row>
    <row r="353" ht="30.0" customHeight="1">
      <c r="A353" s="159"/>
      <c r="B353" s="218" t="s">
        <v>246</v>
      </c>
      <c r="C353" s="218" t="s">
        <v>813</v>
      </c>
      <c r="D353" s="218" t="s">
        <v>943</v>
      </c>
      <c r="E353" s="219">
        <v>148494.0</v>
      </c>
      <c r="F353" s="220" t="s">
        <v>976</v>
      </c>
      <c r="G353" s="221" t="s">
        <v>518</v>
      </c>
      <c r="H353" s="221" t="s">
        <v>977</v>
      </c>
      <c r="I353" s="221" t="s">
        <v>978</v>
      </c>
      <c r="J353" s="222" t="s">
        <v>250</v>
      </c>
      <c r="K353" s="223">
        <v>3.0</v>
      </c>
      <c r="L353" s="223" t="b">
        <v>0</v>
      </c>
      <c r="M353" s="228"/>
      <c r="N353" s="228"/>
      <c r="O353" s="224"/>
      <c r="P353" s="225" t="s">
        <v>155</v>
      </c>
      <c r="Q353" s="225" t="s">
        <v>155</v>
      </c>
      <c r="R353" s="225" t="s">
        <v>155</v>
      </c>
      <c r="S353" s="225" t="s">
        <v>155</v>
      </c>
      <c r="T353" s="226"/>
      <c r="U353" s="227"/>
      <c r="V353" s="52" t="s">
        <v>250</v>
      </c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</row>
    <row r="354" ht="30.0" customHeight="1">
      <c r="A354" s="159"/>
      <c r="B354" s="218" t="s">
        <v>246</v>
      </c>
      <c r="C354" s="218" t="s">
        <v>813</v>
      </c>
      <c r="D354" s="218" t="s">
        <v>943</v>
      </c>
      <c r="E354" s="219">
        <v>20889.0</v>
      </c>
      <c r="F354" s="220" t="s">
        <v>979</v>
      </c>
      <c r="G354" s="221" t="s">
        <v>518</v>
      </c>
      <c r="H354" s="221" t="s">
        <v>977</v>
      </c>
      <c r="I354" s="221" t="s">
        <v>42</v>
      </c>
      <c r="J354" s="222" t="s">
        <v>250</v>
      </c>
      <c r="K354" s="223">
        <v>2.0</v>
      </c>
      <c r="L354" s="223" t="b">
        <v>1</v>
      </c>
      <c r="M354" s="223" t="s">
        <v>42</v>
      </c>
      <c r="N354" s="223">
        <v>21.335217</v>
      </c>
      <c r="O354" s="224"/>
      <c r="P354" s="225" t="s">
        <v>155</v>
      </c>
      <c r="Q354" s="225" t="s">
        <v>155</v>
      </c>
      <c r="R354" s="225" t="s">
        <v>155</v>
      </c>
      <c r="S354" s="225" t="s">
        <v>155</v>
      </c>
      <c r="T354" s="226"/>
      <c r="U354" s="227"/>
      <c r="V354" s="52" t="s">
        <v>250</v>
      </c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</row>
    <row r="355" ht="30.0" customHeight="1">
      <c r="A355" s="159"/>
      <c r="B355" s="218" t="s">
        <v>246</v>
      </c>
      <c r="C355" s="218" t="s">
        <v>813</v>
      </c>
      <c r="D355" s="218" t="s">
        <v>943</v>
      </c>
      <c r="E355" s="219">
        <v>102496.0</v>
      </c>
      <c r="F355" s="220" t="s">
        <v>980</v>
      </c>
      <c r="G355" s="221" t="s">
        <v>518</v>
      </c>
      <c r="H355" s="221" t="s">
        <v>821</v>
      </c>
      <c r="I355" s="221" t="s">
        <v>981</v>
      </c>
      <c r="J355" s="222" t="s">
        <v>250</v>
      </c>
      <c r="K355" s="223">
        <v>2.0</v>
      </c>
      <c r="L355" s="223" t="b">
        <v>1</v>
      </c>
      <c r="M355" s="223" t="s">
        <v>42</v>
      </c>
      <c r="N355" s="223">
        <v>22.34826</v>
      </c>
      <c r="O355" s="224"/>
      <c r="P355" s="225" t="s">
        <v>155</v>
      </c>
      <c r="Q355" s="225" t="s">
        <v>155</v>
      </c>
      <c r="R355" s="225" t="s">
        <v>155</v>
      </c>
      <c r="S355" s="225" t="s">
        <v>155</v>
      </c>
      <c r="T355" s="226"/>
      <c r="U355" s="227"/>
      <c r="V355" s="52" t="s">
        <v>250</v>
      </c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</row>
    <row r="356" ht="30.0" customHeight="1">
      <c r="A356" s="159"/>
      <c r="B356" s="218" t="s">
        <v>246</v>
      </c>
      <c r="C356" s="218" t="s">
        <v>813</v>
      </c>
      <c r="D356" s="218" t="s">
        <v>943</v>
      </c>
      <c r="E356" s="219">
        <v>51249.0</v>
      </c>
      <c r="F356" s="220" t="s">
        <v>982</v>
      </c>
      <c r="G356" s="221" t="s">
        <v>518</v>
      </c>
      <c r="H356" s="222"/>
      <c r="I356" s="221" t="s">
        <v>42</v>
      </c>
      <c r="J356" s="221" t="s">
        <v>371</v>
      </c>
      <c r="K356" s="223">
        <v>2.0</v>
      </c>
      <c r="L356" s="223" t="b">
        <v>0</v>
      </c>
      <c r="M356" s="223" t="s">
        <v>42</v>
      </c>
      <c r="N356" s="223">
        <v>7.940961</v>
      </c>
      <c r="O356" s="224" t="s">
        <v>238</v>
      </c>
      <c r="P356" s="225" t="s">
        <v>155</v>
      </c>
      <c r="Q356" s="225" t="s">
        <v>155</v>
      </c>
      <c r="R356" s="225" t="s">
        <v>155</v>
      </c>
      <c r="S356" s="225" t="s">
        <v>155</v>
      </c>
      <c r="T356" s="226"/>
      <c r="U356" s="227"/>
      <c r="V356" s="52" t="s">
        <v>250</v>
      </c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</row>
    <row r="357" ht="30.0" customHeight="1">
      <c r="A357" s="159"/>
      <c r="B357" s="218" t="s">
        <v>246</v>
      </c>
      <c r="C357" s="218" t="s">
        <v>813</v>
      </c>
      <c r="D357" s="218" t="s">
        <v>943</v>
      </c>
      <c r="E357" s="219">
        <v>15658.0</v>
      </c>
      <c r="F357" s="220" t="s">
        <v>983</v>
      </c>
      <c r="G357" s="221" t="s">
        <v>518</v>
      </c>
      <c r="H357" s="221" t="s">
        <v>984</v>
      </c>
      <c r="I357" s="221" t="s">
        <v>389</v>
      </c>
      <c r="J357" s="222" t="s">
        <v>250</v>
      </c>
      <c r="K357" s="223">
        <v>1.0</v>
      </c>
      <c r="L357" s="223" t="b">
        <v>1</v>
      </c>
      <c r="M357" s="223" t="s">
        <v>389</v>
      </c>
      <c r="N357" s="223">
        <v>5.710338</v>
      </c>
      <c r="O357" s="224" t="s">
        <v>238</v>
      </c>
      <c r="P357" s="225" t="s">
        <v>155</v>
      </c>
      <c r="Q357" s="225" t="s">
        <v>155</v>
      </c>
      <c r="R357" s="225" t="s">
        <v>155</v>
      </c>
      <c r="S357" s="225" t="s">
        <v>155</v>
      </c>
      <c r="T357" s="229" t="s">
        <v>550</v>
      </c>
      <c r="U357" s="227"/>
      <c r="V357" s="52" t="s">
        <v>250</v>
      </c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</row>
    <row r="358" ht="30.0" customHeight="1">
      <c r="A358" s="159"/>
      <c r="B358" s="218" t="s">
        <v>246</v>
      </c>
      <c r="C358" s="218" t="s">
        <v>813</v>
      </c>
      <c r="D358" s="218" t="s">
        <v>943</v>
      </c>
      <c r="E358" s="219">
        <v>151479.0</v>
      </c>
      <c r="F358" s="220" t="s">
        <v>985</v>
      </c>
      <c r="G358" s="221" t="s">
        <v>518</v>
      </c>
      <c r="H358" s="221" t="s">
        <v>986</v>
      </c>
      <c r="I358" s="221" t="s">
        <v>42</v>
      </c>
      <c r="J358" s="222" t="s">
        <v>250</v>
      </c>
      <c r="K358" s="223">
        <v>3.0</v>
      </c>
      <c r="L358" s="223" t="b">
        <v>0</v>
      </c>
      <c r="M358" s="228"/>
      <c r="N358" s="228"/>
      <c r="O358" s="224"/>
      <c r="P358" s="225" t="s">
        <v>155</v>
      </c>
      <c r="Q358" s="225" t="s">
        <v>155</v>
      </c>
      <c r="R358" s="225" t="s">
        <v>155</v>
      </c>
      <c r="S358" s="225" t="s">
        <v>155</v>
      </c>
      <c r="T358" s="226"/>
      <c r="U358" s="227"/>
      <c r="V358" s="52" t="s">
        <v>250</v>
      </c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</row>
    <row r="359" ht="30.0" customHeight="1">
      <c r="A359" s="159"/>
      <c r="B359" s="218" t="s">
        <v>246</v>
      </c>
      <c r="C359" s="218" t="s">
        <v>813</v>
      </c>
      <c r="D359" s="218" t="s">
        <v>943</v>
      </c>
      <c r="E359" s="219">
        <v>37989.0</v>
      </c>
      <c r="F359" s="220" t="s">
        <v>987</v>
      </c>
      <c r="G359" s="221" t="s">
        <v>518</v>
      </c>
      <c r="H359" s="221" t="s">
        <v>988</v>
      </c>
      <c r="I359" s="221" t="s">
        <v>989</v>
      </c>
      <c r="J359" s="222" t="s">
        <v>250</v>
      </c>
      <c r="K359" s="223">
        <v>1.0</v>
      </c>
      <c r="L359" s="223" t="b">
        <v>1</v>
      </c>
      <c r="M359" s="223" t="s">
        <v>989</v>
      </c>
      <c r="N359" s="223">
        <v>46.581242</v>
      </c>
      <c r="O359" s="224" t="s">
        <v>238</v>
      </c>
      <c r="P359" s="225" t="s">
        <v>155</v>
      </c>
      <c r="Q359" s="225" t="s">
        <v>155</v>
      </c>
      <c r="R359" s="225" t="s">
        <v>155</v>
      </c>
      <c r="S359" s="225" t="s">
        <v>155</v>
      </c>
      <c r="T359" s="226"/>
      <c r="U359" s="227"/>
      <c r="V359" s="52" t="s">
        <v>250</v>
      </c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</row>
    <row r="360" ht="30.0" customHeight="1">
      <c r="A360" s="159"/>
      <c r="B360" s="218" t="s">
        <v>246</v>
      </c>
      <c r="C360" s="218" t="s">
        <v>813</v>
      </c>
      <c r="D360" s="218" t="s">
        <v>943</v>
      </c>
      <c r="E360" s="219">
        <v>109624.0</v>
      </c>
      <c r="F360" s="220" t="s">
        <v>990</v>
      </c>
      <c r="G360" s="221" t="s">
        <v>518</v>
      </c>
      <c r="H360" s="221" t="s">
        <v>986</v>
      </c>
      <c r="I360" s="221" t="s">
        <v>389</v>
      </c>
      <c r="J360" s="221" t="s">
        <v>819</v>
      </c>
      <c r="K360" s="223">
        <v>2.0</v>
      </c>
      <c r="L360" s="223" t="b">
        <v>1</v>
      </c>
      <c r="M360" s="228"/>
      <c r="N360" s="228"/>
      <c r="O360" s="224"/>
      <c r="P360" s="225" t="s">
        <v>155</v>
      </c>
      <c r="Q360" s="225" t="s">
        <v>155</v>
      </c>
      <c r="R360" s="225" t="s">
        <v>155</v>
      </c>
      <c r="S360" s="225" t="s">
        <v>155</v>
      </c>
      <c r="T360" s="226"/>
      <c r="U360" s="227"/>
      <c r="V360" s="52" t="s">
        <v>250</v>
      </c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</row>
    <row r="361" ht="30.0" customHeight="1">
      <c r="A361" s="159"/>
      <c r="B361" s="218" t="s">
        <v>246</v>
      </c>
      <c r="C361" s="218" t="s">
        <v>813</v>
      </c>
      <c r="D361" s="218" t="s">
        <v>943</v>
      </c>
      <c r="E361" s="219">
        <v>44297.0</v>
      </c>
      <c r="F361" s="220" t="s">
        <v>991</v>
      </c>
      <c r="G361" s="221" t="s">
        <v>518</v>
      </c>
      <c r="H361" s="221" t="s">
        <v>992</v>
      </c>
      <c r="I361" s="221" t="s">
        <v>993</v>
      </c>
      <c r="J361" s="221" t="s">
        <v>994</v>
      </c>
      <c r="K361" s="223">
        <v>3.0</v>
      </c>
      <c r="L361" s="223" t="b">
        <v>1</v>
      </c>
      <c r="M361" s="223" t="s">
        <v>993</v>
      </c>
      <c r="N361" s="223">
        <v>42.79305</v>
      </c>
      <c r="O361" s="224"/>
      <c r="P361" s="225" t="s">
        <v>155</v>
      </c>
      <c r="Q361" s="225" t="s">
        <v>155</v>
      </c>
      <c r="R361" s="225" t="s">
        <v>155</v>
      </c>
      <c r="S361" s="225" t="s">
        <v>155</v>
      </c>
      <c r="T361" s="226"/>
      <c r="U361" s="227"/>
      <c r="V361" s="52" t="s">
        <v>250</v>
      </c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</row>
    <row r="362" ht="30.0" customHeight="1">
      <c r="A362" s="159"/>
      <c r="B362" s="218" t="s">
        <v>246</v>
      </c>
      <c r="C362" s="218" t="s">
        <v>813</v>
      </c>
      <c r="D362" s="218" t="s">
        <v>943</v>
      </c>
      <c r="E362" s="219">
        <v>110969.0</v>
      </c>
      <c r="F362" s="220" t="s">
        <v>995</v>
      </c>
      <c r="G362" s="221" t="s">
        <v>518</v>
      </c>
      <c r="H362" s="222"/>
      <c r="I362" s="221" t="s">
        <v>978</v>
      </c>
      <c r="J362" s="222" t="s">
        <v>250</v>
      </c>
      <c r="K362" s="223">
        <v>4.0</v>
      </c>
      <c r="L362" s="223" t="b">
        <v>0</v>
      </c>
      <c r="M362" s="223" t="s">
        <v>978</v>
      </c>
      <c r="N362" s="223">
        <v>144.152222</v>
      </c>
      <c r="O362" s="224"/>
      <c r="P362" s="225" t="s">
        <v>155</v>
      </c>
      <c r="Q362" s="225" t="s">
        <v>155</v>
      </c>
      <c r="R362" s="225" t="s">
        <v>155</v>
      </c>
      <c r="S362" s="225" t="s">
        <v>155</v>
      </c>
      <c r="T362" s="226"/>
      <c r="U362" s="227"/>
      <c r="V362" s="52" t="s">
        <v>250</v>
      </c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</row>
    <row r="363" ht="30.0" customHeight="1">
      <c r="A363" s="159"/>
      <c r="B363" s="218" t="s">
        <v>246</v>
      </c>
      <c r="C363" s="218" t="s">
        <v>813</v>
      </c>
      <c r="D363" s="218" t="s">
        <v>943</v>
      </c>
      <c r="E363" s="219">
        <v>40127.0</v>
      </c>
      <c r="F363" s="220" t="s">
        <v>996</v>
      </c>
      <c r="G363" s="221" t="s">
        <v>518</v>
      </c>
      <c r="H363" s="222"/>
      <c r="I363" s="221" t="s">
        <v>997</v>
      </c>
      <c r="J363" s="221" t="b">
        <v>0</v>
      </c>
      <c r="K363" s="223" t="b">
        <v>0</v>
      </c>
      <c r="L363" s="223" t="b">
        <v>0</v>
      </c>
      <c r="M363" s="223" t="s">
        <v>998</v>
      </c>
      <c r="N363" s="223">
        <v>76.08</v>
      </c>
      <c r="O363" s="224"/>
      <c r="P363" s="230"/>
      <c r="Q363" s="225" t="s">
        <v>155</v>
      </c>
      <c r="R363" s="230"/>
      <c r="S363" s="230"/>
      <c r="T363" s="229" t="s">
        <v>592</v>
      </c>
      <c r="U363" s="227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</row>
    <row r="364" ht="30.0" customHeight="1">
      <c r="A364" s="159"/>
      <c r="B364" s="218" t="s">
        <v>246</v>
      </c>
      <c r="C364" s="218" t="s">
        <v>813</v>
      </c>
      <c r="D364" s="218" t="s">
        <v>943</v>
      </c>
      <c r="E364" s="219">
        <v>15711.0</v>
      </c>
      <c r="F364" s="220" t="s">
        <v>999</v>
      </c>
      <c r="G364" s="221" t="s">
        <v>518</v>
      </c>
      <c r="H364" s="221" t="s">
        <v>1000</v>
      </c>
      <c r="I364" s="221" t="s">
        <v>1001</v>
      </c>
      <c r="J364" s="222" t="s">
        <v>250</v>
      </c>
      <c r="K364" s="223">
        <v>3.0</v>
      </c>
      <c r="L364" s="223" t="b">
        <v>1</v>
      </c>
      <c r="M364" s="223" t="s">
        <v>1001</v>
      </c>
      <c r="N364" s="223">
        <v>38.130322</v>
      </c>
      <c r="O364" s="224"/>
      <c r="P364" s="225" t="s">
        <v>155</v>
      </c>
      <c r="Q364" s="225" t="s">
        <v>155</v>
      </c>
      <c r="R364" s="225" t="s">
        <v>155</v>
      </c>
      <c r="S364" s="225" t="s">
        <v>155</v>
      </c>
      <c r="T364" s="226"/>
      <c r="U364" s="227"/>
      <c r="V364" s="52" t="s">
        <v>250</v>
      </c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</row>
    <row r="365" ht="30.0" customHeight="1">
      <c r="A365" s="159"/>
      <c r="B365" s="218" t="s">
        <v>246</v>
      </c>
      <c r="C365" s="218" t="s">
        <v>813</v>
      </c>
      <c r="D365" s="218" t="s">
        <v>943</v>
      </c>
      <c r="E365" s="219">
        <v>111702.0</v>
      </c>
      <c r="F365" s="220" t="s">
        <v>1002</v>
      </c>
      <c r="G365" s="221" t="s">
        <v>518</v>
      </c>
      <c r="H365" s="221" t="s">
        <v>1003</v>
      </c>
      <c r="I365" s="221" t="s">
        <v>1004</v>
      </c>
      <c r="J365" s="222" t="s">
        <v>250</v>
      </c>
      <c r="K365" s="223">
        <v>2.0</v>
      </c>
      <c r="L365" s="223" t="b">
        <v>1</v>
      </c>
      <c r="M365" s="223" t="s">
        <v>42</v>
      </c>
      <c r="N365" s="223">
        <v>8.655</v>
      </c>
      <c r="O365" s="224"/>
      <c r="P365" s="225" t="s">
        <v>155</v>
      </c>
      <c r="Q365" s="225" t="s">
        <v>155</v>
      </c>
      <c r="R365" s="225" t="s">
        <v>155</v>
      </c>
      <c r="S365" s="225" t="s">
        <v>155</v>
      </c>
      <c r="T365" s="226"/>
      <c r="U365" s="227"/>
      <c r="V365" s="52" t="s">
        <v>250</v>
      </c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</row>
    <row r="366" ht="30.0" customHeight="1">
      <c r="A366" s="159"/>
      <c r="B366" s="218" t="s">
        <v>246</v>
      </c>
      <c r="C366" s="218" t="s">
        <v>813</v>
      </c>
      <c r="D366" s="218" t="s">
        <v>943</v>
      </c>
      <c r="E366" s="219">
        <v>15808.0</v>
      </c>
      <c r="F366" s="220" t="s">
        <v>1005</v>
      </c>
      <c r="G366" s="221" t="s">
        <v>518</v>
      </c>
      <c r="H366" s="221" t="s">
        <v>1006</v>
      </c>
      <c r="I366" s="221" t="s">
        <v>42</v>
      </c>
      <c r="J366" s="221" t="s">
        <v>371</v>
      </c>
      <c r="K366" s="223">
        <v>2.0</v>
      </c>
      <c r="L366" s="223" t="b">
        <v>1</v>
      </c>
      <c r="M366" s="223" t="s">
        <v>42</v>
      </c>
      <c r="N366" s="223">
        <v>4.306267</v>
      </c>
      <c r="O366" s="224"/>
      <c r="P366" s="225" t="s">
        <v>155</v>
      </c>
      <c r="Q366" s="225" t="s">
        <v>155</v>
      </c>
      <c r="R366" s="225" t="s">
        <v>155</v>
      </c>
      <c r="S366" s="225" t="s">
        <v>155</v>
      </c>
      <c r="T366" s="226"/>
      <c r="U366" s="227"/>
      <c r="V366" s="52" t="s">
        <v>250</v>
      </c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</row>
    <row r="367" ht="30.0" customHeight="1">
      <c r="A367" s="159"/>
      <c r="B367" s="218" t="s">
        <v>246</v>
      </c>
      <c r="C367" s="218" t="s">
        <v>813</v>
      </c>
      <c r="D367" s="218" t="s">
        <v>943</v>
      </c>
      <c r="E367" s="219">
        <v>15726.0</v>
      </c>
      <c r="F367" s="220" t="s">
        <v>1007</v>
      </c>
      <c r="G367" s="221" t="s">
        <v>518</v>
      </c>
      <c r="H367" s="221" t="s">
        <v>918</v>
      </c>
      <c r="I367" s="221" t="s">
        <v>42</v>
      </c>
      <c r="J367" s="221" t="s">
        <v>371</v>
      </c>
      <c r="K367" s="223">
        <v>3.0</v>
      </c>
      <c r="L367" s="223" t="b">
        <v>1</v>
      </c>
      <c r="M367" s="223" t="s">
        <v>42</v>
      </c>
      <c r="N367" s="223">
        <v>15.296103</v>
      </c>
      <c r="O367" s="224" t="s">
        <v>238</v>
      </c>
      <c r="P367" s="225" t="s">
        <v>155</v>
      </c>
      <c r="Q367" s="225" t="s">
        <v>155</v>
      </c>
      <c r="R367" s="225" t="s">
        <v>155</v>
      </c>
      <c r="S367" s="225" t="s">
        <v>155</v>
      </c>
      <c r="T367" s="226"/>
      <c r="U367" s="227"/>
      <c r="V367" s="52" t="s">
        <v>250</v>
      </c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</row>
    <row r="368" ht="30.0" customHeight="1">
      <c r="A368" s="159"/>
      <c r="B368" s="218" t="s">
        <v>246</v>
      </c>
      <c r="C368" s="218" t="s">
        <v>813</v>
      </c>
      <c r="D368" s="218" t="s">
        <v>943</v>
      </c>
      <c r="E368" s="219">
        <v>15810.0</v>
      </c>
      <c r="F368" s="220" t="s">
        <v>1008</v>
      </c>
      <c r="G368" s="221" t="s">
        <v>518</v>
      </c>
      <c r="H368" s="221" t="s">
        <v>1009</v>
      </c>
      <c r="I368" s="221" t="s">
        <v>389</v>
      </c>
      <c r="J368" s="222" t="s">
        <v>250</v>
      </c>
      <c r="K368" s="223">
        <v>3.0</v>
      </c>
      <c r="L368" s="223" t="b">
        <v>0</v>
      </c>
      <c r="M368" s="223" t="s">
        <v>389</v>
      </c>
      <c r="N368" s="223">
        <v>16.7875</v>
      </c>
      <c r="O368" s="224"/>
      <c r="P368" s="225" t="s">
        <v>155</v>
      </c>
      <c r="Q368" s="225" t="s">
        <v>155</v>
      </c>
      <c r="R368" s="225" t="s">
        <v>155</v>
      </c>
      <c r="S368" s="225" t="s">
        <v>155</v>
      </c>
      <c r="T368" s="226"/>
      <c r="U368" s="227"/>
      <c r="V368" s="52" t="s">
        <v>250</v>
      </c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</row>
    <row r="369" ht="30.0" customHeight="1">
      <c r="A369" s="159"/>
      <c r="B369" s="218" t="s">
        <v>246</v>
      </c>
      <c r="C369" s="218" t="s">
        <v>813</v>
      </c>
      <c r="D369" s="218" t="s">
        <v>943</v>
      </c>
      <c r="E369" s="219">
        <v>110941.0</v>
      </c>
      <c r="F369" s="220" t="s">
        <v>1010</v>
      </c>
      <c r="G369" s="221" t="s">
        <v>518</v>
      </c>
      <c r="H369" s="221" t="s">
        <v>856</v>
      </c>
      <c r="I369" s="221" t="s">
        <v>1011</v>
      </c>
      <c r="J369" s="222" t="s">
        <v>250</v>
      </c>
      <c r="K369" s="223">
        <v>2.0</v>
      </c>
      <c r="L369" s="223" t="b">
        <v>0</v>
      </c>
      <c r="M369" s="223" t="s">
        <v>42</v>
      </c>
      <c r="N369" s="223">
        <v>65.028571</v>
      </c>
      <c r="O369" s="224"/>
      <c r="P369" s="225" t="s">
        <v>155</v>
      </c>
      <c r="Q369" s="225" t="s">
        <v>155</v>
      </c>
      <c r="R369" s="225" t="s">
        <v>155</v>
      </c>
      <c r="S369" s="225" t="s">
        <v>155</v>
      </c>
      <c r="T369" s="226"/>
      <c r="U369" s="227"/>
      <c r="V369" s="52" t="s">
        <v>250</v>
      </c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</row>
    <row r="370" ht="30.0" customHeight="1">
      <c r="A370" s="159"/>
      <c r="B370" s="218" t="s">
        <v>246</v>
      </c>
      <c r="C370" s="218" t="s">
        <v>813</v>
      </c>
      <c r="D370" s="218" t="s">
        <v>943</v>
      </c>
      <c r="E370" s="219">
        <v>109622.0</v>
      </c>
      <c r="F370" s="220" t="s">
        <v>1012</v>
      </c>
      <c r="G370" s="221" t="s">
        <v>518</v>
      </c>
      <c r="H370" s="221" t="s">
        <v>1013</v>
      </c>
      <c r="I370" s="221" t="s">
        <v>389</v>
      </c>
      <c r="J370" s="222" t="s">
        <v>250</v>
      </c>
      <c r="K370" s="223">
        <v>2.0</v>
      </c>
      <c r="L370" s="223" t="b">
        <v>0</v>
      </c>
      <c r="M370" s="223" t="s">
        <v>389</v>
      </c>
      <c r="N370" s="223">
        <v>11.4125</v>
      </c>
      <c r="O370" s="224"/>
      <c r="P370" s="225" t="s">
        <v>155</v>
      </c>
      <c r="Q370" s="225" t="s">
        <v>155</v>
      </c>
      <c r="R370" s="225" t="s">
        <v>155</v>
      </c>
      <c r="S370" s="225" t="s">
        <v>155</v>
      </c>
      <c r="T370" s="226"/>
      <c r="U370" s="227"/>
      <c r="V370" s="52" t="s">
        <v>250</v>
      </c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</row>
    <row r="371" ht="30.0" customHeight="1">
      <c r="A371" s="159"/>
      <c r="B371" s="218" t="s">
        <v>246</v>
      </c>
      <c r="C371" s="218" t="s">
        <v>813</v>
      </c>
      <c r="D371" s="218" t="s">
        <v>943</v>
      </c>
      <c r="E371" s="219">
        <v>109626.0</v>
      </c>
      <c r="F371" s="220" t="s">
        <v>1014</v>
      </c>
      <c r="G371" s="221" t="s">
        <v>518</v>
      </c>
      <c r="H371" s="221" t="s">
        <v>1014</v>
      </c>
      <c r="I371" s="221" t="s">
        <v>389</v>
      </c>
      <c r="J371" s="222" t="s">
        <v>250</v>
      </c>
      <c r="K371" s="223">
        <v>2.0</v>
      </c>
      <c r="L371" s="223" t="b">
        <v>1</v>
      </c>
      <c r="M371" s="228"/>
      <c r="N371" s="228"/>
      <c r="O371" s="224"/>
      <c r="P371" s="225" t="s">
        <v>155</v>
      </c>
      <c r="Q371" s="225" t="s">
        <v>155</v>
      </c>
      <c r="R371" s="225" t="s">
        <v>155</v>
      </c>
      <c r="S371" s="225" t="s">
        <v>155</v>
      </c>
      <c r="T371" s="226"/>
      <c r="U371" s="227"/>
      <c r="V371" s="52" t="s">
        <v>250</v>
      </c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</row>
    <row r="372" ht="30.0" customHeight="1">
      <c r="A372" s="159"/>
      <c r="B372" s="218" t="s">
        <v>246</v>
      </c>
      <c r="C372" s="218" t="s">
        <v>813</v>
      </c>
      <c r="D372" s="218" t="s">
        <v>943</v>
      </c>
      <c r="E372" s="219">
        <v>110929.0</v>
      </c>
      <c r="F372" s="220" t="s">
        <v>1015</v>
      </c>
      <c r="G372" s="221" t="s">
        <v>518</v>
      </c>
      <c r="H372" s="221" t="s">
        <v>1016</v>
      </c>
      <c r="I372" s="221" t="s">
        <v>1017</v>
      </c>
      <c r="J372" s="222" t="s">
        <v>250</v>
      </c>
      <c r="K372" s="223">
        <v>2.0</v>
      </c>
      <c r="L372" s="223" t="b">
        <v>0</v>
      </c>
      <c r="M372" s="223" t="s">
        <v>42</v>
      </c>
      <c r="N372" s="223">
        <v>17.98</v>
      </c>
      <c r="O372" s="224"/>
      <c r="P372" s="225" t="s">
        <v>155</v>
      </c>
      <c r="Q372" s="225" t="s">
        <v>155</v>
      </c>
      <c r="R372" s="225" t="s">
        <v>155</v>
      </c>
      <c r="S372" s="225" t="s">
        <v>155</v>
      </c>
      <c r="T372" s="226"/>
      <c r="U372" s="227"/>
      <c r="V372" s="52" t="s">
        <v>250</v>
      </c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</row>
    <row r="373" ht="30.0" customHeight="1">
      <c r="A373" s="159"/>
      <c r="B373" s="218" t="s">
        <v>246</v>
      </c>
      <c r="C373" s="218" t="s">
        <v>813</v>
      </c>
      <c r="D373" s="218" t="s">
        <v>943</v>
      </c>
      <c r="E373" s="219">
        <v>17361.0</v>
      </c>
      <c r="F373" s="220" t="s">
        <v>1018</v>
      </c>
      <c r="G373" s="221" t="s">
        <v>518</v>
      </c>
      <c r="H373" s="222"/>
      <c r="I373" s="221" t="s">
        <v>42</v>
      </c>
      <c r="J373" s="222" t="s">
        <v>250</v>
      </c>
      <c r="K373" s="223">
        <v>4.0</v>
      </c>
      <c r="L373" s="223" t="b">
        <v>1</v>
      </c>
      <c r="M373" s="223" t="s">
        <v>42</v>
      </c>
      <c r="N373" s="223">
        <v>2.92125</v>
      </c>
      <c r="O373" s="224"/>
      <c r="P373" s="225" t="s">
        <v>155</v>
      </c>
      <c r="Q373" s="225" t="s">
        <v>155</v>
      </c>
      <c r="R373" s="225" t="s">
        <v>155</v>
      </c>
      <c r="S373" s="225" t="s">
        <v>155</v>
      </c>
      <c r="T373" s="226"/>
      <c r="U373" s="227"/>
      <c r="V373" s="52" t="s">
        <v>250</v>
      </c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</row>
    <row r="374" ht="30.0" customHeight="1">
      <c r="A374" s="159"/>
      <c r="B374" s="218" t="s">
        <v>246</v>
      </c>
      <c r="C374" s="218" t="s">
        <v>813</v>
      </c>
      <c r="D374" s="218" t="s">
        <v>943</v>
      </c>
      <c r="E374" s="219">
        <v>49593.0</v>
      </c>
      <c r="F374" s="220" t="s">
        <v>1019</v>
      </c>
      <c r="G374" s="221" t="s">
        <v>518</v>
      </c>
      <c r="H374" s="221" t="s">
        <v>1020</v>
      </c>
      <c r="I374" s="221" t="s">
        <v>1021</v>
      </c>
      <c r="J374" s="222" t="s">
        <v>250</v>
      </c>
      <c r="K374" s="223">
        <v>3.0</v>
      </c>
      <c r="L374" s="223" t="b">
        <v>1</v>
      </c>
      <c r="M374" s="223" t="s">
        <v>1021</v>
      </c>
      <c r="N374" s="223">
        <v>56.57</v>
      </c>
      <c r="O374" s="224"/>
      <c r="P374" s="225" t="s">
        <v>155</v>
      </c>
      <c r="Q374" s="225" t="s">
        <v>155</v>
      </c>
      <c r="R374" s="225" t="s">
        <v>155</v>
      </c>
      <c r="S374" s="225" t="s">
        <v>155</v>
      </c>
      <c r="T374" s="226"/>
      <c r="U374" s="227"/>
      <c r="V374" s="52" t="s">
        <v>250</v>
      </c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</row>
    <row r="375" ht="30.0" customHeight="1">
      <c r="A375" s="159"/>
      <c r="B375" s="218" t="s">
        <v>246</v>
      </c>
      <c r="C375" s="218" t="s">
        <v>813</v>
      </c>
      <c r="D375" s="218" t="s">
        <v>943</v>
      </c>
      <c r="E375" s="219">
        <v>19508.0</v>
      </c>
      <c r="F375" s="220" t="s">
        <v>1022</v>
      </c>
      <c r="G375" s="221" t="s">
        <v>518</v>
      </c>
      <c r="H375" s="221" t="s">
        <v>1023</v>
      </c>
      <c r="I375" s="221" t="s">
        <v>1001</v>
      </c>
      <c r="J375" s="222" t="s">
        <v>250</v>
      </c>
      <c r="K375" s="223">
        <v>2.0</v>
      </c>
      <c r="L375" s="223" t="b">
        <v>1</v>
      </c>
      <c r="M375" s="223" t="s">
        <v>1001</v>
      </c>
      <c r="N375" s="223">
        <v>27.165454</v>
      </c>
      <c r="O375" s="224" t="s">
        <v>238</v>
      </c>
      <c r="P375" s="225" t="s">
        <v>155</v>
      </c>
      <c r="Q375" s="225" t="s">
        <v>155</v>
      </c>
      <c r="R375" s="225" t="s">
        <v>155</v>
      </c>
      <c r="S375" s="225" t="s">
        <v>155</v>
      </c>
      <c r="T375" s="226"/>
      <c r="U375" s="227"/>
      <c r="V375" s="52" t="s">
        <v>250</v>
      </c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</row>
    <row r="376" ht="30.0" customHeight="1">
      <c r="A376" s="159"/>
      <c r="B376" s="218" t="s">
        <v>246</v>
      </c>
      <c r="C376" s="218" t="s">
        <v>813</v>
      </c>
      <c r="D376" s="218" t="s">
        <v>943</v>
      </c>
      <c r="E376" s="219">
        <v>111674.0</v>
      </c>
      <c r="F376" s="220" t="s">
        <v>1024</v>
      </c>
      <c r="G376" s="221" t="s">
        <v>518</v>
      </c>
      <c r="H376" s="221" t="s">
        <v>1025</v>
      </c>
      <c r="I376" s="221" t="s">
        <v>1026</v>
      </c>
      <c r="J376" s="221" t="s">
        <v>1027</v>
      </c>
      <c r="K376" s="223">
        <v>2.0</v>
      </c>
      <c r="L376" s="223" t="b">
        <v>1</v>
      </c>
      <c r="M376" s="223" t="s">
        <v>42</v>
      </c>
      <c r="N376" s="223">
        <v>7.722222</v>
      </c>
      <c r="O376" s="224"/>
      <c r="P376" s="225" t="s">
        <v>155</v>
      </c>
      <c r="Q376" s="225" t="s">
        <v>155</v>
      </c>
      <c r="R376" s="225" t="s">
        <v>155</v>
      </c>
      <c r="S376" s="225" t="s">
        <v>155</v>
      </c>
      <c r="T376" s="226"/>
      <c r="U376" s="227"/>
      <c r="V376" s="52" t="s">
        <v>250</v>
      </c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</row>
    <row r="377" ht="30.0" customHeight="1">
      <c r="A377" s="159"/>
      <c r="B377" s="218" t="s">
        <v>246</v>
      </c>
      <c r="C377" s="218" t="s">
        <v>813</v>
      </c>
      <c r="D377" s="218" t="s">
        <v>943</v>
      </c>
      <c r="E377" s="219">
        <v>109621.0</v>
      </c>
      <c r="F377" s="220" t="s">
        <v>1028</v>
      </c>
      <c r="G377" s="221" t="s">
        <v>518</v>
      </c>
      <c r="H377" s="221" t="s">
        <v>856</v>
      </c>
      <c r="I377" s="221" t="s">
        <v>389</v>
      </c>
      <c r="J377" s="221" t="s">
        <v>364</v>
      </c>
      <c r="K377" s="223">
        <v>2.0</v>
      </c>
      <c r="L377" s="223" t="b">
        <v>1</v>
      </c>
      <c r="M377" s="223" t="s">
        <v>389</v>
      </c>
      <c r="N377" s="223">
        <v>223.62</v>
      </c>
      <c r="O377" s="224"/>
      <c r="P377" s="225" t="s">
        <v>155</v>
      </c>
      <c r="Q377" s="225" t="s">
        <v>155</v>
      </c>
      <c r="R377" s="225" t="s">
        <v>155</v>
      </c>
      <c r="S377" s="225" t="s">
        <v>155</v>
      </c>
      <c r="T377" s="226"/>
      <c r="U377" s="227"/>
      <c r="V377" s="52" t="s">
        <v>250</v>
      </c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</row>
    <row r="378" ht="30.0" customHeight="1">
      <c r="A378" s="159"/>
      <c r="B378" s="218" t="s">
        <v>246</v>
      </c>
      <c r="C378" s="218" t="s">
        <v>813</v>
      </c>
      <c r="D378" s="218" t="s">
        <v>943</v>
      </c>
      <c r="E378" s="219">
        <v>102288.0</v>
      </c>
      <c r="F378" s="220" t="s">
        <v>1029</v>
      </c>
      <c r="G378" s="221" t="s">
        <v>518</v>
      </c>
      <c r="H378" s="222"/>
      <c r="I378" s="221" t="s">
        <v>42</v>
      </c>
      <c r="J378" s="222" t="s">
        <v>250</v>
      </c>
      <c r="K378" s="223">
        <v>2.0</v>
      </c>
      <c r="L378" s="223" t="b">
        <v>1</v>
      </c>
      <c r="M378" s="223" t="s">
        <v>42</v>
      </c>
      <c r="N378" s="223">
        <v>31.225737</v>
      </c>
      <c r="O378" s="224"/>
      <c r="P378" s="225" t="s">
        <v>155</v>
      </c>
      <c r="Q378" s="225" t="s">
        <v>155</v>
      </c>
      <c r="R378" s="225" t="s">
        <v>155</v>
      </c>
      <c r="S378" s="225" t="s">
        <v>155</v>
      </c>
      <c r="T378" s="226"/>
      <c r="U378" s="227"/>
      <c r="V378" s="52" t="s">
        <v>250</v>
      </c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</row>
    <row r="379" ht="30.0" customHeight="1">
      <c r="A379" s="159"/>
      <c r="B379" s="218" t="s">
        <v>246</v>
      </c>
      <c r="C379" s="218" t="s">
        <v>813</v>
      </c>
      <c r="D379" s="218" t="s">
        <v>1030</v>
      </c>
      <c r="E379" s="17">
        <v>151480.0</v>
      </c>
      <c r="F379" s="40" t="s">
        <v>1031</v>
      </c>
      <c r="G379" s="221" t="s">
        <v>518</v>
      </c>
      <c r="H379" s="221" t="s">
        <v>986</v>
      </c>
      <c r="I379" s="221" t="s">
        <v>42</v>
      </c>
      <c r="J379" s="222" t="s">
        <v>250</v>
      </c>
      <c r="K379" s="223">
        <v>3.0</v>
      </c>
      <c r="L379" s="223" t="b">
        <v>0</v>
      </c>
      <c r="M379" s="228"/>
      <c r="N379" s="228"/>
      <c r="O379" s="224"/>
      <c r="P379" s="225" t="s">
        <v>155</v>
      </c>
      <c r="Q379" s="225" t="s">
        <v>155</v>
      </c>
      <c r="R379" s="225" t="s">
        <v>155</v>
      </c>
      <c r="S379" s="225" t="s">
        <v>155</v>
      </c>
      <c r="T379" s="226"/>
      <c r="U379" s="227"/>
      <c r="V379" s="52" t="s">
        <v>250</v>
      </c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</row>
    <row r="380" ht="30.0" customHeight="1">
      <c r="A380" s="209"/>
      <c r="B380" s="210" t="s">
        <v>1032</v>
      </c>
      <c r="C380" s="211"/>
      <c r="D380" s="211"/>
      <c r="E380" s="212"/>
      <c r="F380" s="213"/>
      <c r="G380" s="213"/>
      <c r="H380" s="213"/>
      <c r="I380" s="212"/>
      <c r="J380" s="212"/>
      <c r="K380" s="214"/>
      <c r="L380" s="214"/>
      <c r="M380" s="214"/>
      <c r="N380" s="214"/>
      <c r="O380" s="215"/>
      <c r="P380" s="216"/>
      <c r="Q380" s="216"/>
      <c r="R380" s="216"/>
      <c r="S380" s="216"/>
      <c r="T380" s="217"/>
      <c r="U380" s="217"/>
      <c r="V380" s="217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</row>
    <row r="381" ht="30.0" customHeight="1">
      <c r="A381" s="159"/>
      <c r="B381" s="218" t="s">
        <v>246</v>
      </c>
      <c r="C381" s="218" t="s">
        <v>813</v>
      </c>
      <c r="D381" s="218" t="s">
        <v>1032</v>
      </c>
      <c r="E381" s="219">
        <v>15798.0</v>
      </c>
      <c r="F381" s="220" t="s">
        <v>1033</v>
      </c>
      <c r="G381" s="234" t="s">
        <v>518</v>
      </c>
      <c r="H381" s="222"/>
      <c r="I381" s="221" t="s">
        <v>455</v>
      </c>
      <c r="J381" s="221" t="s">
        <v>371</v>
      </c>
      <c r="K381" s="223">
        <v>1.0</v>
      </c>
      <c r="L381" s="223" t="b">
        <v>0</v>
      </c>
      <c r="M381" s="223" t="s">
        <v>455</v>
      </c>
      <c r="N381" s="223">
        <v>126.386547</v>
      </c>
      <c r="O381" s="224" t="s">
        <v>238</v>
      </c>
      <c r="P381" s="225" t="s">
        <v>155</v>
      </c>
      <c r="Q381" s="225" t="s">
        <v>155</v>
      </c>
      <c r="R381" s="225" t="s">
        <v>155</v>
      </c>
      <c r="S381" s="225" t="s">
        <v>155</v>
      </c>
      <c r="T381" s="227"/>
      <c r="U381" s="227"/>
      <c r="V381" s="235" t="s">
        <v>250</v>
      </c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</row>
    <row r="382" ht="30.0" customHeight="1">
      <c r="A382" s="159"/>
      <c r="B382" s="218" t="s">
        <v>246</v>
      </c>
      <c r="C382" s="218" t="s">
        <v>813</v>
      </c>
      <c r="D382" s="218" t="s">
        <v>1032</v>
      </c>
      <c r="E382" s="219">
        <v>110967.0</v>
      </c>
      <c r="F382" s="220" t="s">
        <v>1034</v>
      </c>
      <c r="G382" s="221" t="s">
        <v>518</v>
      </c>
      <c r="H382" s="221" t="s">
        <v>1035</v>
      </c>
      <c r="I382" s="221" t="s">
        <v>1036</v>
      </c>
      <c r="J382" s="221" t="s">
        <v>371</v>
      </c>
      <c r="K382" s="223">
        <v>2.0</v>
      </c>
      <c r="L382" s="223" t="b">
        <v>1</v>
      </c>
      <c r="M382" s="223" t="s">
        <v>1036</v>
      </c>
      <c r="N382" s="223">
        <v>73.083</v>
      </c>
      <c r="O382" s="224"/>
      <c r="P382" s="225" t="s">
        <v>155</v>
      </c>
      <c r="Q382" s="225" t="s">
        <v>155</v>
      </c>
      <c r="R382" s="225" t="s">
        <v>155</v>
      </c>
      <c r="S382" s="225" t="s">
        <v>155</v>
      </c>
      <c r="T382" s="226"/>
      <c r="U382" s="227"/>
      <c r="V382" s="52" t="s">
        <v>250</v>
      </c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</row>
    <row r="383" ht="30.0" customHeight="1">
      <c r="A383" s="159"/>
      <c r="B383" s="218" t="s">
        <v>246</v>
      </c>
      <c r="C383" s="218" t="s">
        <v>813</v>
      </c>
      <c r="D383" s="218" t="s">
        <v>1032</v>
      </c>
      <c r="E383" s="219">
        <v>15799.0</v>
      </c>
      <c r="F383" s="220" t="s">
        <v>1037</v>
      </c>
      <c r="G383" s="221" t="s">
        <v>518</v>
      </c>
      <c r="H383" s="222"/>
      <c r="I383" s="221" t="s">
        <v>269</v>
      </c>
      <c r="J383" s="221" t="s">
        <v>371</v>
      </c>
      <c r="K383" s="223">
        <v>2.0</v>
      </c>
      <c r="L383" s="223" t="b">
        <v>0</v>
      </c>
      <c r="M383" s="223" t="s">
        <v>269</v>
      </c>
      <c r="N383" s="223">
        <v>50.309226</v>
      </c>
      <c r="O383" s="224" t="s">
        <v>238</v>
      </c>
      <c r="P383" s="225" t="s">
        <v>155</v>
      </c>
      <c r="Q383" s="225" t="s">
        <v>155</v>
      </c>
      <c r="R383" s="225" t="s">
        <v>155</v>
      </c>
      <c r="S383" s="225" t="s">
        <v>155</v>
      </c>
      <c r="T383" s="229" t="s">
        <v>550</v>
      </c>
      <c r="U383" s="227"/>
      <c r="V383" s="52" t="s">
        <v>250</v>
      </c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</row>
    <row r="384" ht="30.0" customHeight="1">
      <c r="A384" s="159"/>
      <c r="B384" s="218" t="s">
        <v>246</v>
      </c>
      <c r="C384" s="218" t="s">
        <v>813</v>
      </c>
      <c r="D384" s="218" t="s">
        <v>1032</v>
      </c>
      <c r="E384" s="219">
        <v>40136.0</v>
      </c>
      <c r="F384" s="220" t="s">
        <v>1038</v>
      </c>
      <c r="G384" s="221" t="s">
        <v>518</v>
      </c>
      <c r="H384" s="222"/>
      <c r="I384" s="221" t="s">
        <v>340</v>
      </c>
      <c r="J384" s="221" t="s">
        <v>371</v>
      </c>
      <c r="K384" s="223">
        <v>1.0</v>
      </c>
      <c r="L384" s="223" t="b">
        <v>0</v>
      </c>
      <c r="M384" s="223" t="s">
        <v>340</v>
      </c>
      <c r="N384" s="223">
        <v>30.536242</v>
      </c>
      <c r="O384" s="224"/>
      <c r="P384" s="225" t="s">
        <v>155</v>
      </c>
      <c r="Q384" s="225" t="s">
        <v>155</v>
      </c>
      <c r="R384" s="225" t="s">
        <v>155</v>
      </c>
      <c r="S384" s="225" t="s">
        <v>155</v>
      </c>
      <c r="T384" s="226"/>
      <c r="U384" s="227"/>
      <c r="V384" s="52" t="s">
        <v>250</v>
      </c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</row>
    <row r="385" ht="30.0" customHeight="1">
      <c r="A385" s="159"/>
      <c r="B385" s="218" t="s">
        <v>246</v>
      </c>
      <c r="C385" s="218" t="s">
        <v>813</v>
      </c>
      <c r="D385" s="218" t="s">
        <v>1032</v>
      </c>
      <c r="E385" s="219">
        <v>110934.0</v>
      </c>
      <c r="F385" s="220" t="s">
        <v>1039</v>
      </c>
      <c r="G385" s="221" t="s">
        <v>518</v>
      </c>
      <c r="H385" s="221" t="s">
        <v>1040</v>
      </c>
      <c r="I385" s="221" t="s">
        <v>857</v>
      </c>
      <c r="J385" s="222" t="s">
        <v>250</v>
      </c>
      <c r="K385" s="223">
        <v>2.0</v>
      </c>
      <c r="L385" s="223" t="b">
        <v>0</v>
      </c>
      <c r="M385" s="223" t="s">
        <v>42</v>
      </c>
      <c r="N385" s="223">
        <v>22.665</v>
      </c>
      <c r="O385" s="224"/>
      <c r="P385" s="225" t="s">
        <v>155</v>
      </c>
      <c r="Q385" s="225" t="s">
        <v>155</v>
      </c>
      <c r="R385" s="225" t="s">
        <v>155</v>
      </c>
      <c r="S385" s="225" t="s">
        <v>155</v>
      </c>
      <c r="T385" s="226"/>
      <c r="U385" s="227"/>
      <c r="V385" s="52" t="s">
        <v>250</v>
      </c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</row>
    <row r="386" ht="30.0" customHeight="1">
      <c r="A386" s="159"/>
      <c r="B386" s="218" t="s">
        <v>246</v>
      </c>
      <c r="C386" s="218" t="s">
        <v>813</v>
      </c>
      <c r="D386" s="218" t="s">
        <v>1032</v>
      </c>
      <c r="E386" s="219">
        <v>15816.0</v>
      </c>
      <c r="F386" s="220" t="s">
        <v>1041</v>
      </c>
      <c r="G386" s="221" t="s">
        <v>518</v>
      </c>
      <c r="H386" s="221" t="s">
        <v>863</v>
      </c>
      <c r="I386" s="221" t="s">
        <v>490</v>
      </c>
      <c r="J386" s="222" t="s">
        <v>250</v>
      </c>
      <c r="K386" s="223">
        <v>2.0</v>
      </c>
      <c r="L386" s="223" t="b">
        <v>0</v>
      </c>
      <c r="M386" s="223" t="s">
        <v>490</v>
      </c>
      <c r="N386" s="223">
        <v>119.889047</v>
      </c>
      <c r="O386" s="224" t="s">
        <v>238</v>
      </c>
      <c r="P386" s="225" t="s">
        <v>155</v>
      </c>
      <c r="Q386" s="225" t="s">
        <v>155</v>
      </c>
      <c r="R386" s="225" t="s">
        <v>155</v>
      </c>
      <c r="S386" s="225" t="s">
        <v>155</v>
      </c>
      <c r="T386" s="226"/>
      <c r="U386" s="227"/>
      <c r="V386" s="52" t="s">
        <v>250</v>
      </c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</row>
    <row r="387" ht="30.0" customHeight="1">
      <c r="A387" s="159"/>
      <c r="B387" s="218" t="s">
        <v>246</v>
      </c>
      <c r="C387" s="218" t="s">
        <v>813</v>
      </c>
      <c r="D387" s="218" t="s">
        <v>1032</v>
      </c>
      <c r="E387" s="219">
        <v>15893.0</v>
      </c>
      <c r="F387" s="220" t="s">
        <v>1042</v>
      </c>
      <c r="G387" s="221" t="s">
        <v>518</v>
      </c>
      <c r="H387" s="221" t="s">
        <v>1043</v>
      </c>
      <c r="I387" s="221" t="s">
        <v>818</v>
      </c>
      <c r="J387" s="221" t="s">
        <v>371</v>
      </c>
      <c r="K387" s="223">
        <v>1.0</v>
      </c>
      <c r="L387" s="223" t="b">
        <v>0</v>
      </c>
      <c r="M387" s="223" t="s">
        <v>818</v>
      </c>
      <c r="N387" s="223">
        <v>297.414872</v>
      </c>
      <c r="O387" s="224" t="s">
        <v>238</v>
      </c>
      <c r="P387" s="225" t="s">
        <v>155</v>
      </c>
      <c r="Q387" s="225" t="s">
        <v>155</v>
      </c>
      <c r="R387" s="225" t="s">
        <v>155</v>
      </c>
      <c r="S387" s="225" t="s">
        <v>155</v>
      </c>
      <c r="T387" s="226"/>
      <c r="U387" s="227"/>
      <c r="V387" s="52" t="s">
        <v>250</v>
      </c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</row>
    <row r="388" ht="30.0" customHeight="1">
      <c r="A388" s="159"/>
      <c r="B388" s="218" t="s">
        <v>246</v>
      </c>
      <c r="C388" s="218" t="s">
        <v>813</v>
      </c>
      <c r="D388" s="218" t="s">
        <v>1032</v>
      </c>
      <c r="E388" s="219">
        <v>102792.0</v>
      </c>
      <c r="F388" s="220" t="s">
        <v>1044</v>
      </c>
      <c r="G388" s="221" t="s">
        <v>518</v>
      </c>
      <c r="H388" s="221" t="s">
        <v>1045</v>
      </c>
      <c r="I388" s="221" t="s">
        <v>1046</v>
      </c>
      <c r="J388" s="222" t="s">
        <v>250</v>
      </c>
      <c r="K388" s="223">
        <v>3.0</v>
      </c>
      <c r="L388" s="223" t="b">
        <v>1</v>
      </c>
      <c r="M388" s="223" t="s">
        <v>1046</v>
      </c>
      <c r="N388" s="223">
        <v>19.241504</v>
      </c>
      <c r="O388" s="224"/>
      <c r="P388" s="225" t="s">
        <v>155</v>
      </c>
      <c r="Q388" s="225" t="s">
        <v>155</v>
      </c>
      <c r="R388" s="225" t="s">
        <v>155</v>
      </c>
      <c r="S388" s="225" t="s">
        <v>155</v>
      </c>
      <c r="T388" s="226"/>
      <c r="U388" s="227"/>
      <c r="V388" s="52" t="s">
        <v>250</v>
      </c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</row>
    <row r="389" ht="30.0" customHeight="1">
      <c r="A389" s="159"/>
      <c r="B389" s="218" t="s">
        <v>246</v>
      </c>
      <c r="C389" s="218" t="s">
        <v>813</v>
      </c>
      <c r="D389" s="218" t="s">
        <v>1032</v>
      </c>
      <c r="E389" s="219">
        <v>109647.0</v>
      </c>
      <c r="F389" s="220" t="s">
        <v>1047</v>
      </c>
      <c r="G389" s="221" t="s">
        <v>518</v>
      </c>
      <c r="H389" s="221" t="s">
        <v>821</v>
      </c>
      <c r="I389" s="221" t="s">
        <v>389</v>
      </c>
      <c r="J389" s="222" t="s">
        <v>250</v>
      </c>
      <c r="K389" s="223">
        <v>3.0</v>
      </c>
      <c r="L389" s="223" t="b">
        <v>0</v>
      </c>
      <c r="M389" s="223" t="s">
        <v>389</v>
      </c>
      <c r="N389" s="223">
        <v>7.406</v>
      </c>
      <c r="O389" s="224"/>
      <c r="P389" s="225" t="s">
        <v>155</v>
      </c>
      <c r="Q389" s="225" t="s">
        <v>155</v>
      </c>
      <c r="R389" s="225" t="s">
        <v>155</v>
      </c>
      <c r="S389" s="225" t="s">
        <v>155</v>
      </c>
      <c r="T389" s="226"/>
      <c r="U389" s="227"/>
      <c r="V389" s="52" t="s">
        <v>250</v>
      </c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</row>
    <row r="390" ht="30.0" customHeight="1">
      <c r="A390" s="159"/>
      <c r="B390" s="218" t="s">
        <v>246</v>
      </c>
      <c r="C390" s="218" t="s">
        <v>813</v>
      </c>
      <c r="D390" s="218" t="s">
        <v>1032</v>
      </c>
      <c r="E390" s="219">
        <v>15746.0</v>
      </c>
      <c r="F390" s="220" t="s">
        <v>1048</v>
      </c>
      <c r="G390" s="221" t="s">
        <v>518</v>
      </c>
      <c r="H390" s="221" t="s">
        <v>1049</v>
      </c>
      <c r="I390" s="221" t="s">
        <v>490</v>
      </c>
      <c r="J390" s="222" t="s">
        <v>250</v>
      </c>
      <c r="K390" s="223">
        <v>3.0</v>
      </c>
      <c r="L390" s="223" t="b">
        <v>0</v>
      </c>
      <c r="M390" s="223" t="s">
        <v>490</v>
      </c>
      <c r="N390" s="223">
        <v>48.114857</v>
      </c>
      <c r="O390" s="224"/>
      <c r="P390" s="225" t="s">
        <v>155</v>
      </c>
      <c r="Q390" s="225" t="s">
        <v>155</v>
      </c>
      <c r="R390" s="225" t="s">
        <v>155</v>
      </c>
      <c r="S390" s="225" t="s">
        <v>155</v>
      </c>
      <c r="T390" s="226"/>
      <c r="U390" s="227"/>
      <c r="V390" s="52" t="s">
        <v>250</v>
      </c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</row>
    <row r="391" ht="30.0" customHeight="1">
      <c r="A391" s="159"/>
      <c r="B391" s="218" t="s">
        <v>246</v>
      </c>
      <c r="C391" s="218" t="s">
        <v>813</v>
      </c>
      <c r="D391" s="218" t="s">
        <v>1032</v>
      </c>
      <c r="E391" s="219">
        <v>101778.0</v>
      </c>
      <c r="F391" s="220" t="s">
        <v>1050</v>
      </c>
      <c r="G391" s="221" t="s">
        <v>518</v>
      </c>
      <c r="H391" s="221" t="s">
        <v>1051</v>
      </c>
      <c r="I391" s="221" t="s">
        <v>42</v>
      </c>
      <c r="J391" s="221" t="s">
        <v>371</v>
      </c>
      <c r="K391" s="223">
        <v>2.0</v>
      </c>
      <c r="L391" s="223" t="b">
        <v>0</v>
      </c>
      <c r="M391" s="228"/>
      <c r="N391" s="228"/>
      <c r="O391" s="224"/>
      <c r="P391" s="225" t="s">
        <v>155</v>
      </c>
      <c r="Q391" s="225" t="s">
        <v>155</v>
      </c>
      <c r="R391" s="225" t="s">
        <v>155</v>
      </c>
      <c r="S391" s="225" t="s">
        <v>155</v>
      </c>
      <c r="T391" s="226"/>
      <c r="U391" s="227"/>
      <c r="V391" s="52" t="s">
        <v>250</v>
      </c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</row>
    <row r="392" ht="30.0" customHeight="1">
      <c r="A392" s="159"/>
      <c r="B392" s="218" t="s">
        <v>246</v>
      </c>
      <c r="C392" s="218" t="s">
        <v>813</v>
      </c>
      <c r="D392" s="218" t="s">
        <v>1032</v>
      </c>
      <c r="E392" s="219">
        <v>15896.0</v>
      </c>
      <c r="F392" s="220" t="s">
        <v>1052</v>
      </c>
      <c r="G392" s="221" t="s">
        <v>518</v>
      </c>
      <c r="H392" s="222"/>
      <c r="I392" s="221" t="s">
        <v>269</v>
      </c>
      <c r="J392" s="221" t="s">
        <v>371</v>
      </c>
      <c r="K392" s="223">
        <v>1.0</v>
      </c>
      <c r="L392" s="223" t="b">
        <v>1</v>
      </c>
      <c r="M392" s="223" t="s">
        <v>269</v>
      </c>
      <c r="N392" s="223">
        <v>109.006891</v>
      </c>
      <c r="O392" s="224" t="s">
        <v>238</v>
      </c>
      <c r="P392" s="225" t="s">
        <v>155</v>
      </c>
      <c r="Q392" s="225" t="s">
        <v>155</v>
      </c>
      <c r="R392" s="225" t="s">
        <v>155</v>
      </c>
      <c r="S392" s="225" t="s">
        <v>155</v>
      </c>
      <c r="T392" s="226"/>
      <c r="U392" s="227"/>
      <c r="V392" s="52" t="s">
        <v>250</v>
      </c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</row>
    <row r="393" ht="30.0" customHeight="1">
      <c r="A393" s="159"/>
      <c r="B393" s="218" t="s">
        <v>246</v>
      </c>
      <c r="C393" s="218" t="s">
        <v>813</v>
      </c>
      <c r="D393" s="218" t="s">
        <v>1032</v>
      </c>
      <c r="E393" s="219">
        <v>145206.0</v>
      </c>
      <c r="F393" s="220" t="s">
        <v>1053</v>
      </c>
      <c r="G393" s="221" t="s">
        <v>518</v>
      </c>
      <c r="H393" s="222"/>
      <c r="I393" s="221" t="s">
        <v>42</v>
      </c>
      <c r="J393" s="222" t="s">
        <v>250</v>
      </c>
      <c r="K393" s="223">
        <v>3.0</v>
      </c>
      <c r="L393" s="223" t="b">
        <v>0</v>
      </c>
      <c r="M393" s="223" t="s">
        <v>42</v>
      </c>
      <c r="N393" s="223">
        <v>19.99</v>
      </c>
      <c r="O393" s="224"/>
      <c r="P393" s="225" t="s">
        <v>155</v>
      </c>
      <c r="Q393" s="225" t="s">
        <v>155</v>
      </c>
      <c r="R393" s="225" t="s">
        <v>155</v>
      </c>
      <c r="S393" s="225" t="s">
        <v>155</v>
      </c>
      <c r="T393" s="226"/>
      <c r="U393" s="227"/>
      <c r="V393" s="52" t="s">
        <v>250</v>
      </c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</row>
    <row r="394" ht="30.0" customHeight="1">
      <c r="A394" s="159"/>
      <c r="B394" s="218" t="s">
        <v>246</v>
      </c>
      <c r="C394" s="218" t="s">
        <v>813</v>
      </c>
      <c r="D394" s="218" t="s">
        <v>1032</v>
      </c>
      <c r="E394" s="219">
        <v>15819.0</v>
      </c>
      <c r="F394" s="220" t="s">
        <v>1054</v>
      </c>
      <c r="G394" s="221" t="s">
        <v>518</v>
      </c>
      <c r="H394" s="221" t="s">
        <v>1051</v>
      </c>
      <c r="I394" s="221" t="s">
        <v>269</v>
      </c>
      <c r="J394" s="221" t="s">
        <v>371</v>
      </c>
      <c r="K394" s="223">
        <v>1.0</v>
      </c>
      <c r="L394" s="223" t="b">
        <v>0</v>
      </c>
      <c r="M394" s="223" t="s">
        <v>269</v>
      </c>
      <c r="N394" s="223">
        <v>76.899553</v>
      </c>
      <c r="O394" s="224" t="s">
        <v>238</v>
      </c>
      <c r="P394" s="225" t="s">
        <v>155</v>
      </c>
      <c r="Q394" s="225" t="s">
        <v>155</v>
      </c>
      <c r="R394" s="225" t="s">
        <v>155</v>
      </c>
      <c r="S394" s="225" t="s">
        <v>155</v>
      </c>
      <c r="T394" s="226"/>
      <c r="U394" s="227"/>
      <c r="V394" s="52" t="s">
        <v>250</v>
      </c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</row>
    <row r="395" ht="30.0" customHeight="1">
      <c r="A395" s="159"/>
      <c r="B395" s="218" t="s">
        <v>246</v>
      </c>
      <c r="C395" s="218" t="s">
        <v>813</v>
      </c>
      <c r="D395" s="218" t="s">
        <v>1032</v>
      </c>
      <c r="E395" s="219">
        <v>16422.0</v>
      </c>
      <c r="F395" s="220" t="s">
        <v>1055</v>
      </c>
      <c r="G395" s="221" t="s">
        <v>369</v>
      </c>
      <c r="H395" s="221" t="s">
        <v>1056</v>
      </c>
      <c r="I395" s="221" t="s">
        <v>269</v>
      </c>
      <c r="J395" s="221" t="s">
        <v>371</v>
      </c>
      <c r="K395" s="223">
        <v>2.0</v>
      </c>
      <c r="L395" s="223" t="b">
        <v>0</v>
      </c>
      <c r="M395" s="223" t="s">
        <v>269</v>
      </c>
      <c r="N395" s="223">
        <v>153.037407</v>
      </c>
      <c r="O395" s="224" t="s">
        <v>238</v>
      </c>
      <c r="P395" s="225" t="s">
        <v>155</v>
      </c>
      <c r="Q395" s="225" t="s">
        <v>155</v>
      </c>
      <c r="R395" s="225" t="s">
        <v>155</v>
      </c>
      <c r="S395" s="225" t="s">
        <v>155</v>
      </c>
      <c r="T395" s="226"/>
      <c r="U395" s="227"/>
      <c r="V395" s="52" t="s">
        <v>250</v>
      </c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</row>
    <row r="396" ht="30.0" customHeight="1">
      <c r="A396" s="159"/>
      <c r="B396" s="218" t="s">
        <v>246</v>
      </c>
      <c r="C396" s="218" t="s">
        <v>813</v>
      </c>
      <c r="D396" s="218" t="s">
        <v>1032</v>
      </c>
      <c r="E396" s="219">
        <v>15894.0</v>
      </c>
      <c r="F396" s="220" t="s">
        <v>1057</v>
      </c>
      <c r="G396" s="221" t="s">
        <v>518</v>
      </c>
      <c r="H396" s="221" t="s">
        <v>1056</v>
      </c>
      <c r="I396" s="221" t="s">
        <v>389</v>
      </c>
      <c r="J396" s="221" t="s">
        <v>371</v>
      </c>
      <c r="K396" s="223">
        <v>2.0</v>
      </c>
      <c r="L396" s="223" t="b">
        <v>0</v>
      </c>
      <c r="M396" s="228"/>
      <c r="N396" s="228"/>
      <c r="O396" s="224"/>
      <c r="P396" s="225" t="s">
        <v>155</v>
      </c>
      <c r="Q396" s="225" t="s">
        <v>155</v>
      </c>
      <c r="R396" s="225" t="s">
        <v>155</v>
      </c>
      <c r="S396" s="225" t="s">
        <v>155</v>
      </c>
      <c r="T396" s="226"/>
      <c r="U396" s="227"/>
      <c r="V396" s="52" t="s">
        <v>250</v>
      </c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</row>
    <row r="397" ht="30.0" customHeight="1">
      <c r="A397" s="159"/>
      <c r="B397" s="218" t="s">
        <v>246</v>
      </c>
      <c r="C397" s="218" t="s">
        <v>813</v>
      </c>
      <c r="D397" s="218" t="s">
        <v>1032</v>
      </c>
      <c r="E397" s="219">
        <v>109646.0</v>
      </c>
      <c r="F397" s="220" t="s">
        <v>1058</v>
      </c>
      <c r="G397" s="221" t="s">
        <v>518</v>
      </c>
      <c r="H397" s="221" t="s">
        <v>1059</v>
      </c>
      <c r="I397" s="221" t="s">
        <v>389</v>
      </c>
      <c r="J397" s="222" t="s">
        <v>250</v>
      </c>
      <c r="K397" s="223">
        <v>0.0</v>
      </c>
      <c r="L397" s="223" t="b">
        <v>0</v>
      </c>
      <c r="M397" s="228"/>
      <c r="N397" s="228"/>
      <c r="O397" s="224"/>
      <c r="P397" s="225" t="s">
        <v>155</v>
      </c>
      <c r="Q397" s="225" t="s">
        <v>155</v>
      </c>
      <c r="R397" s="225" t="s">
        <v>155</v>
      </c>
      <c r="S397" s="225" t="s">
        <v>155</v>
      </c>
      <c r="T397" s="226"/>
      <c r="U397" s="227"/>
      <c r="V397" s="52" t="s">
        <v>250</v>
      </c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</row>
    <row r="398" ht="30.0" customHeight="1">
      <c r="A398" s="159"/>
      <c r="B398" s="218" t="s">
        <v>246</v>
      </c>
      <c r="C398" s="218" t="s">
        <v>813</v>
      </c>
      <c r="D398" s="218" t="s">
        <v>1032</v>
      </c>
      <c r="E398" s="219">
        <v>15897.0</v>
      </c>
      <c r="F398" s="220" t="s">
        <v>1060</v>
      </c>
      <c r="G398" s="221" t="s">
        <v>518</v>
      </c>
      <c r="H398" s="221" t="s">
        <v>1061</v>
      </c>
      <c r="I398" s="221" t="s">
        <v>269</v>
      </c>
      <c r="J398" s="222" t="s">
        <v>250</v>
      </c>
      <c r="K398" s="223">
        <v>2.0</v>
      </c>
      <c r="L398" s="223" t="b">
        <v>0</v>
      </c>
      <c r="M398" s="223" t="s">
        <v>269</v>
      </c>
      <c r="N398" s="223">
        <v>50.400068</v>
      </c>
      <c r="O398" s="224"/>
      <c r="P398" s="225" t="s">
        <v>155</v>
      </c>
      <c r="Q398" s="225" t="s">
        <v>155</v>
      </c>
      <c r="R398" s="225" t="s">
        <v>155</v>
      </c>
      <c r="S398" s="225" t="s">
        <v>155</v>
      </c>
      <c r="T398" s="226"/>
      <c r="U398" s="227"/>
      <c r="V398" s="52" t="s">
        <v>250</v>
      </c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</row>
    <row r="399" ht="30.0" customHeight="1">
      <c r="A399" s="159"/>
      <c r="B399" s="218" t="s">
        <v>246</v>
      </c>
      <c r="C399" s="218" t="s">
        <v>813</v>
      </c>
      <c r="D399" s="218" t="s">
        <v>1032</v>
      </c>
      <c r="E399" s="219">
        <v>11260.0</v>
      </c>
      <c r="F399" s="220" t="s">
        <v>1062</v>
      </c>
      <c r="G399" s="221" t="s">
        <v>518</v>
      </c>
      <c r="H399" s="221" t="s">
        <v>863</v>
      </c>
      <c r="I399" s="221" t="s">
        <v>42</v>
      </c>
      <c r="J399" s="221" t="s">
        <v>727</v>
      </c>
      <c r="K399" s="223">
        <v>2.0</v>
      </c>
      <c r="L399" s="223" t="b">
        <v>0</v>
      </c>
      <c r="M399" s="223" t="s">
        <v>42</v>
      </c>
      <c r="N399" s="223">
        <v>7.264693</v>
      </c>
      <c r="O399" s="224"/>
      <c r="P399" s="225" t="s">
        <v>155</v>
      </c>
      <c r="Q399" s="225" t="s">
        <v>155</v>
      </c>
      <c r="R399" s="225" t="s">
        <v>155</v>
      </c>
      <c r="S399" s="225" t="s">
        <v>155</v>
      </c>
      <c r="T399" s="226"/>
      <c r="U399" s="227"/>
      <c r="V399" s="52" t="s">
        <v>250</v>
      </c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</row>
    <row r="400" ht="30.0" customHeight="1">
      <c r="A400" s="159"/>
      <c r="B400" s="218" t="s">
        <v>246</v>
      </c>
      <c r="C400" s="218" t="s">
        <v>813</v>
      </c>
      <c r="D400" s="218" t="s">
        <v>1032</v>
      </c>
      <c r="E400" s="219">
        <v>15818.0</v>
      </c>
      <c r="F400" s="220" t="s">
        <v>1063</v>
      </c>
      <c r="G400" s="221" t="s">
        <v>518</v>
      </c>
      <c r="H400" s="221" t="s">
        <v>863</v>
      </c>
      <c r="I400" s="221" t="s">
        <v>1064</v>
      </c>
      <c r="J400" s="221" t="s">
        <v>727</v>
      </c>
      <c r="K400" s="223">
        <v>1.0</v>
      </c>
      <c r="L400" s="223" t="b">
        <v>0</v>
      </c>
      <c r="M400" s="223" t="s">
        <v>1064</v>
      </c>
      <c r="N400" s="223">
        <v>16.034029</v>
      </c>
      <c r="O400" s="224" t="s">
        <v>238</v>
      </c>
      <c r="P400" s="225" t="s">
        <v>155</v>
      </c>
      <c r="Q400" s="225" t="s">
        <v>155</v>
      </c>
      <c r="R400" s="225" t="s">
        <v>155</v>
      </c>
      <c r="S400" s="225" t="s">
        <v>155</v>
      </c>
      <c r="T400" s="226"/>
      <c r="U400" s="227"/>
      <c r="V400" s="52" t="s">
        <v>250</v>
      </c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</row>
    <row r="401" ht="30.0" customHeight="1">
      <c r="A401" s="159"/>
      <c r="B401" s="218" t="s">
        <v>246</v>
      </c>
      <c r="C401" s="218" t="s">
        <v>813</v>
      </c>
      <c r="D401" s="218" t="s">
        <v>1032</v>
      </c>
      <c r="E401" s="219">
        <v>15892.0</v>
      </c>
      <c r="F401" s="220" t="s">
        <v>1065</v>
      </c>
      <c r="G401" s="221" t="s">
        <v>518</v>
      </c>
      <c r="H401" s="221" t="s">
        <v>1066</v>
      </c>
      <c r="I401" s="221" t="s">
        <v>42</v>
      </c>
      <c r="J401" s="222" t="s">
        <v>250</v>
      </c>
      <c r="K401" s="223">
        <v>1.0</v>
      </c>
      <c r="L401" s="223" t="b">
        <v>0</v>
      </c>
      <c r="M401" s="223" t="s">
        <v>42</v>
      </c>
      <c r="N401" s="223">
        <v>0.941382</v>
      </c>
      <c r="O401" s="224"/>
      <c r="P401" s="225" t="s">
        <v>155</v>
      </c>
      <c r="Q401" s="225" t="s">
        <v>155</v>
      </c>
      <c r="R401" s="225" t="s">
        <v>155</v>
      </c>
      <c r="S401" s="225" t="s">
        <v>155</v>
      </c>
      <c r="T401" s="226"/>
      <c r="U401" s="227"/>
      <c r="V401" s="52" t="s">
        <v>250</v>
      </c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</row>
    <row r="402" ht="30.0" customHeight="1">
      <c r="A402" s="159"/>
      <c r="B402" s="218" t="s">
        <v>246</v>
      </c>
      <c r="C402" s="218" t="s">
        <v>813</v>
      </c>
      <c r="D402" s="218" t="s">
        <v>1032</v>
      </c>
      <c r="E402" s="219">
        <v>15802.0</v>
      </c>
      <c r="F402" s="220" t="s">
        <v>1067</v>
      </c>
      <c r="G402" s="221" t="s">
        <v>518</v>
      </c>
      <c r="H402" s="222"/>
      <c r="I402" s="221" t="s">
        <v>269</v>
      </c>
      <c r="J402" s="221" t="s">
        <v>371</v>
      </c>
      <c r="K402" s="223">
        <v>2.0</v>
      </c>
      <c r="L402" s="223" t="b">
        <v>0</v>
      </c>
      <c r="M402" s="223" t="s">
        <v>269</v>
      </c>
      <c r="N402" s="223">
        <v>57.237908</v>
      </c>
      <c r="O402" s="224" t="s">
        <v>238</v>
      </c>
      <c r="P402" s="225" t="s">
        <v>155</v>
      </c>
      <c r="Q402" s="225" t="s">
        <v>155</v>
      </c>
      <c r="R402" s="225" t="s">
        <v>155</v>
      </c>
      <c r="S402" s="225" t="s">
        <v>155</v>
      </c>
      <c r="T402" s="229" t="s">
        <v>550</v>
      </c>
      <c r="U402" s="227"/>
      <c r="V402" s="52" t="s">
        <v>250</v>
      </c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</row>
    <row r="403" ht="30.0" customHeight="1">
      <c r="A403" s="209"/>
      <c r="B403" s="209" t="s">
        <v>1068</v>
      </c>
      <c r="C403" s="211"/>
      <c r="D403" s="211"/>
      <c r="E403" s="212"/>
      <c r="F403" s="213"/>
      <c r="G403" s="213"/>
      <c r="H403" s="213"/>
      <c r="I403" s="212"/>
      <c r="J403" s="212"/>
      <c r="K403" s="214"/>
      <c r="L403" s="214"/>
      <c r="M403" s="214"/>
      <c r="N403" s="214"/>
      <c r="O403" s="215"/>
      <c r="P403" s="216"/>
      <c r="Q403" s="216"/>
      <c r="R403" s="216"/>
      <c r="S403" s="216"/>
      <c r="T403" s="217"/>
      <c r="U403" s="217"/>
      <c r="V403" s="217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</row>
    <row r="404" ht="30.0" customHeight="1">
      <c r="A404" s="159"/>
      <c r="B404" s="218" t="s">
        <v>246</v>
      </c>
      <c r="C404" s="218" t="s">
        <v>813</v>
      </c>
      <c r="D404" s="218" t="s">
        <v>1068</v>
      </c>
      <c r="E404" s="219">
        <v>111665.0</v>
      </c>
      <c r="F404" s="220" t="s">
        <v>1069</v>
      </c>
      <c r="G404" s="221" t="s">
        <v>518</v>
      </c>
      <c r="H404" s="221" t="s">
        <v>1070</v>
      </c>
      <c r="I404" s="221" t="s">
        <v>1071</v>
      </c>
      <c r="J404" s="221" t="s">
        <v>364</v>
      </c>
      <c r="K404" s="223">
        <v>2.0</v>
      </c>
      <c r="L404" s="223" t="b">
        <v>0</v>
      </c>
      <c r="M404" s="223" t="s">
        <v>42</v>
      </c>
      <c r="N404" s="223">
        <v>7.134285</v>
      </c>
      <c r="O404" s="224"/>
      <c r="P404" s="225" t="s">
        <v>155</v>
      </c>
      <c r="Q404" s="225" t="s">
        <v>155</v>
      </c>
      <c r="R404" s="225" t="s">
        <v>155</v>
      </c>
      <c r="S404" s="225" t="s">
        <v>155</v>
      </c>
      <c r="T404" s="226"/>
      <c r="U404" s="227"/>
      <c r="V404" s="52" t="s">
        <v>250</v>
      </c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</row>
    <row r="405" ht="30.0" customHeight="1">
      <c r="A405" s="159"/>
      <c r="B405" s="218" t="s">
        <v>246</v>
      </c>
      <c r="C405" s="218" t="s">
        <v>813</v>
      </c>
      <c r="D405" s="218" t="s">
        <v>1068</v>
      </c>
      <c r="E405" s="219">
        <v>51160.0</v>
      </c>
      <c r="F405" s="220" t="s">
        <v>1072</v>
      </c>
      <c r="G405" s="221" t="s">
        <v>518</v>
      </c>
      <c r="H405" s="221" t="s">
        <v>1073</v>
      </c>
      <c r="I405" s="221" t="s">
        <v>946</v>
      </c>
      <c r="J405" s="222" t="s">
        <v>250</v>
      </c>
      <c r="K405" s="223">
        <v>3.0</v>
      </c>
      <c r="L405" s="223" t="b">
        <v>1</v>
      </c>
      <c r="M405" s="223" t="s">
        <v>946</v>
      </c>
      <c r="N405" s="223">
        <v>34.075714</v>
      </c>
      <c r="O405" s="224"/>
      <c r="P405" s="225" t="s">
        <v>155</v>
      </c>
      <c r="Q405" s="225" t="s">
        <v>155</v>
      </c>
      <c r="R405" s="225" t="s">
        <v>155</v>
      </c>
      <c r="S405" s="225" t="s">
        <v>155</v>
      </c>
      <c r="T405" s="226"/>
      <c r="U405" s="227"/>
      <c r="V405" s="109" t="s">
        <v>1074</v>
      </c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</row>
    <row r="406" ht="30.0" customHeight="1">
      <c r="A406" s="159"/>
      <c r="B406" s="218" t="s">
        <v>246</v>
      </c>
      <c r="C406" s="218" t="s">
        <v>813</v>
      </c>
      <c r="D406" s="218" t="s">
        <v>1068</v>
      </c>
      <c r="E406" s="219">
        <v>15662.0</v>
      </c>
      <c r="F406" s="220" t="s">
        <v>1075</v>
      </c>
      <c r="G406" s="221" t="s">
        <v>518</v>
      </c>
      <c r="H406" s="221" t="s">
        <v>1076</v>
      </c>
      <c r="I406" s="221" t="s">
        <v>547</v>
      </c>
      <c r="J406" s="221" t="s">
        <v>371</v>
      </c>
      <c r="K406" s="223">
        <v>2.0</v>
      </c>
      <c r="L406" s="223" t="b">
        <v>0</v>
      </c>
      <c r="M406" s="223" t="s">
        <v>547</v>
      </c>
      <c r="N406" s="223">
        <v>18.45125</v>
      </c>
      <c r="O406" s="224"/>
      <c r="P406" s="225" t="s">
        <v>155</v>
      </c>
      <c r="Q406" s="225" t="s">
        <v>155</v>
      </c>
      <c r="R406" s="225" t="s">
        <v>155</v>
      </c>
      <c r="S406" s="225" t="s">
        <v>155</v>
      </c>
      <c r="T406" s="226"/>
      <c r="U406" s="227"/>
      <c r="V406" s="52" t="s">
        <v>250</v>
      </c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</row>
    <row r="407" ht="30.0" customHeight="1">
      <c r="A407" s="159"/>
      <c r="B407" s="218" t="s">
        <v>246</v>
      </c>
      <c r="C407" s="218" t="s">
        <v>813</v>
      </c>
      <c r="D407" s="218" t="s">
        <v>1068</v>
      </c>
      <c r="E407" s="219">
        <v>111670.0</v>
      </c>
      <c r="F407" s="220" t="s">
        <v>1077</v>
      </c>
      <c r="G407" s="221" t="s">
        <v>518</v>
      </c>
      <c r="H407" s="221" t="s">
        <v>1070</v>
      </c>
      <c r="I407" s="221" t="s">
        <v>1071</v>
      </c>
      <c r="J407" s="222" t="s">
        <v>250</v>
      </c>
      <c r="K407" s="223">
        <v>2.0</v>
      </c>
      <c r="L407" s="223" t="b">
        <v>0</v>
      </c>
      <c r="M407" s="223" t="s">
        <v>42</v>
      </c>
      <c r="N407" s="223">
        <v>7.266666</v>
      </c>
      <c r="O407" s="224"/>
      <c r="P407" s="225" t="s">
        <v>155</v>
      </c>
      <c r="Q407" s="225" t="s">
        <v>155</v>
      </c>
      <c r="R407" s="225" t="s">
        <v>155</v>
      </c>
      <c r="S407" s="225" t="s">
        <v>155</v>
      </c>
      <c r="T407" s="226"/>
      <c r="U407" s="227"/>
      <c r="V407" s="52" t="s">
        <v>250</v>
      </c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</row>
    <row r="408" ht="30.0" customHeight="1">
      <c r="A408" s="159"/>
      <c r="B408" s="218" t="s">
        <v>246</v>
      </c>
      <c r="C408" s="218" t="s">
        <v>813</v>
      </c>
      <c r="D408" s="218" t="s">
        <v>1068</v>
      </c>
      <c r="E408" s="219">
        <v>111659.0</v>
      </c>
      <c r="F408" s="220" t="s">
        <v>1078</v>
      </c>
      <c r="G408" s="221" t="s">
        <v>518</v>
      </c>
      <c r="H408" s="221" t="s">
        <v>1070</v>
      </c>
      <c r="I408" s="221" t="s">
        <v>1079</v>
      </c>
      <c r="J408" s="221" t="s">
        <v>1080</v>
      </c>
      <c r="K408" s="223">
        <v>2.0</v>
      </c>
      <c r="L408" s="223" t="b">
        <v>0</v>
      </c>
      <c r="M408" s="223" t="s">
        <v>42</v>
      </c>
      <c r="N408" s="223">
        <v>9.06</v>
      </c>
      <c r="O408" s="224"/>
      <c r="P408" s="225" t="s">
        <v>155</v>
      </c>
      <c r="Q408" s="225" t="s">
        <v>155</v>
      </c>
      <c r="R408" s="225" t="s">
        <v>155</v>
      </c>
      <c r="S408" s="225" t="s">
        <v>155</v>
      </c>
      <c r="T408" s="226"/>
      <c r="U408" s="227"/>
      <c r="V408" s="52" t="s">
        <v>250</v>
      </c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</row>
    <row r="409" ht="30.0" customHeight="1">
      <c r="A409" s="159"/>
      <c r="B409" s="218" t="s">
        <v>246</v>
      </c>
      <c r="C409" s="218" t="s">
        <v>813</v>
      </c>
      <c r="D409" s="218" t="s">
        <v>1068</v>
      </c>
      <c r="E409" s="219">
        <v>111661.0</v>
      </c>
      <c r="F409" s="220" t="s">
        <v>1081</v>
      </c>
      <c r="G409" s="221" t="s">
        <v>518</v>
      </c>
      <c r="H409" s="221" t="s">
        <v>1070</v>
      </c>
      <c r="I409" s="221" t="s">
        <v>1071</v>
      </c>
      <c r="J409" s="222" t="s">
        <v>250</v>
      </c>
      <c r="K409" s="223">
        <v>1.0</v>
      </c>
      <c r="L409" s="223" t="b">
        <v>0</v>
      </c>
      <c r="M409" s="223" t="s">
        <v>42</v>
      </c>
      <c r="N409" s="223">
        <v>6.757894</v>
      </c>
      <c r="O409" s="224"/>
      <c r="P409" s="225" t="s">
        <v>155</v>
      </c>
      <c r="Q409" s="225" t="s">
        <v>155</v>
      </c>
      <c r="R409" s="225" t="s">
        <v>155</v>
      </c>
      <c r="S409" s="225" t="s">
        <v>155</v>
      </c>
      <c r="T409" s="226"/>
      <c r="U409" s="227"/>
      <c r="V409" s="52" t="s">
        <v>250</v>
      </c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</row>
    <row r="410" ht="30.0" customHeight="1">
      <c r="A410" s="159"/>
      <c r="B410" s="218" t="s">
        <v>246</v>
      </c>
      <c r="C410" s="218" t="s">
        <v>813</v>
      </c>
      <c r="D410" s="218" t="s">
        <v>1068</v>
      </c>
      <c r="E410" s="219">
        <v>111660.0</v>
      </c>
      <c r="F410" s="220" t="s">
        <v>1082</v>
      </c>
      <c r="G410" s="221" t="s">
        <v>518</v>
      </c>
      <c r="H410" s="221" t="s">
        <v>1070</v>
      </c>
      <c r="I410" s="221" t="s">
        <v>488</v>
      </c>
      <c r="J410" s="222" t="s">
        <v>250</v>
      </c>
      <c r="K410" s="223">
        <v>1.0</v>
      </c>
      <c r="L410" s="223" t="b">
        <v>0</v>
      </c>
      <c r="M410" s="223" t="s">
        <v>42</v>
      </c>
      <c r="N410" s="223">
        <v>13.56</v>
      </c>
      <c r="O410" s="224"/>
      <c r="P410" s="225" t="s">
        <v>155</v>
      </c>
      <c r="Q410" s="225" t="s">
        <v>155</v>
      </c>
      <c r="R410" s="225" t="s">
        <v>155</v>
      </c>
      <c r="S410" s="225" t="s">
        <v>155</v>
      </c>
      <c r="T410" s="226"/>
      <c r="U410" s="227"/>
      <c r="V410" s="52" t="s">
        <v>250</v>
      </c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</row>
    <row r="411" ht="30.0" customHeight="1">
      <c r="A411" s="159"/>
      <c r="B411" s="218" t="s">
        <v>246</v>
      </c>
      <c r="C411" s="218" t="s">
        <v>813</v>
      </c>
      <c r="D411" s="218" t="s">
        <v>1068</v>
      </c>
      <c r="E411" s="219">
        <v>111663.0</v>
      </c>
      <c r="F411" s="220" t="s">
        <v>1083</v>
      </c>
      <c r="G411" s="221" t="s">
        <v>518</v>
      </c>
      <c r="H411" s="221" t="s">
        <v>1070</v>
      </c>
      <c r="I411" s="221" t="s">
        <v>1071</v>
      </c>
      <c r="J411" s="222" t="s">
        <v>250</v>
      </c>
      <c r="K411" s="223">
        <v>0.0</v>
      </c>
      <c r="L411" s="223" t="b">
        <v>0</v>
      </c>
      <c r="M411" s="223" t="s">
        <v>42</v>
      </c>
      <c r="N411" s="223">
        <v>7.245454</v>
      </c>
      <c r="O411" s="224"/>
      <c r="P411" s="225" t="s">
        <v>155</v>
      </c>
      <c r="Q411" s="225" t="s">
        <v>155</v>
      </c>
      <c r="R411" s="225" t="s">
        <v>155</v>
      </c>
      <c r="S411" s="225" t="s">
        <v>155</v>
      </c>
      <c r="T411" s="226"/>
      <c r="U411" s="227"/>
      <c r="V411" s="52" t="s">
        <v>250</v>
      </c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</row>
    <row r="412" ht="30.0" customHeight="1">
      <c r="A412" s="159"/>
      <c r="B412" s="218" t="s">
        <v>246</v>
      </c>
      <c r="C412" s="218" t="s">
        <v>813</v>
      </c>
      <c r="D412" s="218" t="s">
        <v>1068</v>
      </c>
      <c r="E412" s="219">
        <v>111664.0</v>
      </c>
      <c r="F412" s="220" t="s">
        <v>1084</v>
      </c>
      <c r="G412" s="221" t="s">
        <v>518</v>
      </c>
      <c r="H412" s="221" t="s">
        <v>1070</v>
      </c>
      <c r="I412" s="221" t="s">
        <v>1071</v>
      </c>
      <c r="J412" s="222" t="s">
        <v>250</v>
      </c>
      <c r="K412" s="223">
        <v>1.0</v>
      </c>
      <c r="L412" s="223" t="b">
        <v>0</v>
      </c>
      <c r="M412" s="223" t="s">
        <v>42</v>
      </c>
      <c r="N412" s="223">
        <v>6.92</v>
      </c>
      <c r="O412" s="224"/>
      <c r="P412" s="225" t="s">
        <v>155</v>
      </c>
      <c r="Q412" s="225" t="s">
        <v>155</v>
      </c>
      <c r="R412" s="225" t="s">
        <v>155</v>
      </c>
      <c r="S412" s="225" t="s">
        <v>155</v>
      </c>
      <c r="T412" s="226"/>
      <c r="U412" s="227"/>
      <c r="V412" s="52" t="s">
        <v>250</v>
      </c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</row>
    <row r="413" ht="30.0" customHeight="1">
      <c r="A413" s="159"/>
      <c r="B413" s="218" t="s">
        <v>246</v>
      </c>
      <c r="C413" s="218" t="s">
        <v>813</v>
      </c>
      <c r="D413" s="218" t="s">
        <v>1068</v>
      </c>
      <c r="E413" s="219">
        <v>111668.0</v>
      </c>
      <c r="F413" s="220" t="s">
        <v>1085</v>
      </c>
      <c r="G413" s="221" t="s">
        <v>518</v>
      </c>
      <c r="H413" s="221" t="s">
        <v>1070</v>
      </c>
      <c r="I413" s="221" t="s">
        <v>1071</v>
      </c>
      <c r="J413" s="222" t="s">
        <v>250</v>
      </c>
      <c r="K413" s="223">
        <v>1.0</v>
      </c>
      <c r="L413" s="223" t="b">
        <v>0</v>
      </c>
      <c r="M413" s="223" t="s">
        <v>42</v>
      </c>
      <c r="N413" s="223">
        <v>7.765</v>
      </c>
      <c r="O413" s="224"/>
      <c r="P413" s="225" t="s">
        <v>155</v>
      </c>
      <c r="Q413" s="225" t="s">
        <v>155</v>
      </c>
      <c r="R413" s="225" t="s">
        <v>155</v>
      </c>
      <c r="S413" s="225" t="s">
        <v>155</v>
      </c>
      <c r="T413" s="226"/>
      <c r="U413" s="227"/>
      <c r="V413" s="52" t="s">
        <v>250</v>
      </c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</row>
    <row r="414" ht="30.0" customHeight="1">
      <c r="A414" s="159"/>
      <c r="B414" s="218" t="s">
        <v>246</v>
      </c>
      <c r="C414" s="218" t="s">
        <v>813</v>
      </c>
      <c r="D414" s="218" t="s">
        <v>1068</v>
      </c>
      <c r="E414" s="219">
        <v>111662.0</v>
      </c>
      <c r="F414" s="220" t="s">
        <v>1086</v>
      </c>
      <c r="G414" s="221" t="s">
        <v>518</v>
      </c>
      <c r="H414" s="221" t="s">
        <v>1070</v>
      </c>
      <c r="I414" s="221" t="s">
        <v>1079</v>
      </c>
      <c r="J414" s="222" t="s">
        <v>250</v>
      </c>
      <c r="K414" s="223">
        <v>1.0</v>
      </c>
      <c r="L414" s="223" t="b">
        <v>0</v>
      </c>
      <c r="M414" s="223" t="s">
        <v>42</v>
      </c>
      <c r="N414" s="223">
        <v>9.625384</v>
      </c>
      <c r="O414" s="224"/>
      <c r="P414" s="225" t="s">
        <v>155</v>
      </c>
      <c r="Q414" s="225" t="s">
        <v>155</v>
      </c>
      <c r="R414" s="225" t="s">
        <v>155</v>
      </c>
      <c r="S414" s="225" t="s">
        <v>155</v>
      </c>
      <c r="T414" s="226"/>
      <c r="U414" s="227"/>
      <c r="V414" s="52" t="s">
        <v>250</v>
      </c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</row>
    <row r="415" ht="30.0" customHeight="1">
      <c r="A415" s="159"/>
      <c r="B415" s="218" t="s">
        <v>246</v>
      </c>
      <c r="C415" s="218" t="s">
        <v>813</v>
      </c>
      <c r="D415" s="218" t="s">
        <v>1068</v>
      </c>
      <c r="E415" s="219">
        <v>15716.0</v>
      </c>
      <c r="F415" s="220" t="s">
        <v>1087</v>
      </c>
      <c r="G415" s="221" t="s">
        <v>518</v>
      </c>
      <c r="H415" s="221" t="s">
        <v>1088</v>
      </c>
      <c r="I415" s="221" t="s">
        <v>1001</v>
      </c>
      <c r="J415" s="222" t="s">
        <v>250</v>
      </c>
      <c r="K415" s="223">
        <v>1.0</v>
      </c>
      <c r="L415" s="223" t="b">
        <v>1</v>
      </c>
      <c r="M415" s="223" t="s">
        <v>1001</v>
      </c>
      <c r="N415" s="223">
        <v>229.171538</v>
      </c>
      <c r="O415" s="224" t="s">
        <v>238</v>
      </c>
      <c r="P415" s="225" t="s">
        <v>155</v>
      </c>
      <c r="Q415" s="225" t="s">
        <v>155</v>
      </c>
      <c r="R415" s="225" t="s">
        <v>155</v>
      </c>
      <c r="S415" s="225" t="s">
        <v>155</v>
      </c>
      <c r="T415" s="226"/>
      <c r="U415" s="227"/>
      <c r="V415" s="52" t="s">
        <v>250</v>
      </c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</row>
    <row r="416" ht="30.0" customHeight="1">
      <c r="A416" s="159"/>
      <c r="B416" s="218" t="s">
        <v>246</v>
      </c>
      <c r="C416" s="218" t="s">
        <v>813</v>
      </c>
      <c r="D416" s="218" t="s">
        <v>1068</v>
      </c>
      <c r="E416" s="219">
        <v>109714.0</v>
      </c>
      <c r="F416" s="220" t="s">
        <v>1089</v>
      </c>
      <c r="G416" s="221" t="s">
        <v>518</v>
      </c>
      <c r="H416" s="221" t="s">
        <v>1090</v>
      </c>
      <c r="I416" s="221" t="s">
        <v>1091</v>
      </c>
      <c r="J416" s="222" t="s">
        <v>250</v>
      </c>
      <c r="K416" s="223">
        <v>2.0</v>
      </c>
      <c r="L416" s="223" t="b">
        <v>0</v>
      </c>
      <c r="M416" s="223" t="s">
        <v>1091</v>
      </c>
      <c r="N416" s="223">
        <v>20.604</v>
      </c>
      <c r="O416" s="224"/>
      <c r="P416" s="225" t="s">
        <v>155</v>
      </c>
      <c r="Q416" s="225" t="s">
        <v>155</v>
      </c>
      <c r="R416" s="225" t="s">
        <v>155</v>
      </c>
      <c r="S416" s="225" t="s">
        <v>155</v>
      </c>
      <c r="T416" s="226"/>
      <c r="U416" s="227"/>
      <c r="V416" s="52" t="s">
        <v>250</v>
      </c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</row>
    <row r="417" ht="30.0" customHeight="1">
      <c r="A417" s="159"/>
      <c r="B417" s="218" t="s">
        <v>246</v>
      </c>
      <c r="C417" s="218" t="s">
        <v>813</v>
      </c>
      <c r="D417" s="218" t="s">
        <v>1068</v>
      </c>
      <c r="E417" s="219">
        <v>15670.0</v>
      </c>
      <c r="F417" s="220" t="s">
        <v>1092</v>
      </c>
      <c r="G417" s="221" t="s">
        <v>518</v>
      </c>
      <c r="H417" s="221" t="s">
        <v>1093</v>
      </c>
      <c r="I417" s="221" t="s">
        <v>547</v>
      </c>
      <c r="J417" s="222" t="s">
        <v>250</v>
      </c>
      <c r="K417" s="223">
        <v>2.0</v>
      </c>
      <c r="L417" s="223" t="b">
        <v>0</v>
      </c>
      <c r="M417" s="223" t="s">
        <v>547</v>
      </c>
      <c r="N417" s="223">
        <v>9.242</v>
      </c>
      <c r="O417" s="224"/>
      <c r="P417" s="225" t="s">
        <v>155</v>
      </c>
      <c r="Q417" s="225" t="s">
        <v>155</v>
      </c>
      <c r="R417" s="225" t="s">
        <v>155</v>
      </c>
      <c r="S417" s="225" t="s">
        <v>155</v>
      </c>
      <c r="T417" s="226"/>
      <c r="U417" s="227"/>
      <c r="V417" s="52" t="s">
        <v>250</v>
      </c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</row>
    <row r="418" ht="30.0" customHeight="1">
      <c r="A418" s="159"/>
      <c r="B418" s="218" t="s">
        <v>246</v>
      </c>
      <c r="C418" s="218" t="s">
        <v>813</v>
      </c>
      <c r="D418" s="218" t="s">
        <v>1068</v>
      </c>
      <c r="E418" s="219">
        <v>15671.0</v>
      </c>
      <c r="F418" s="220" t="s">
        <v>1094</v>
      </c>
      <c r="G418" s="221" t="s">
        <v>518</v>
      </c>
      <c r="H418" s="221" t="s">
        <v>1093</v>
      </c>
      <c r="I418" s="221" t="s">
        <v>1095</v>
      </c>
      <c r="J418" s="222" t="s">
        <v>250</v>
      </c>
      <c r="K418" s="223">
        <v>1.0</v>
      </c>
      <c r="L418" s="223" t="b">
        <v>0</v>
      </c>
      <c r="M418" s="223" t="s">
        <v>1095</v>
      </c>
      <c r="N418" s="223">
        <v>68.442</v>
      </c>
      <c r="O418" s="224" t="s">
        <v>238</v>
      </c>
      <c r="P418" s="225" t="s">
        <v>155</v>
      </c>
      <c r="Q418" s="225" t="s">
        <v>155</v>
      </c>
      <c r="R418" s="225" t="s">
        <v>155</v>
      </c>
      <c r="S418" s="225" t="s">
        <v>155</v>
      </c>
      <c r="T418" s="226"/>
      <c r="U418" s="227"/>
      <c r="V418" s="109" t="s">
        <v>1096</v>
      </c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</row>
    <row r="419" ht="30.0" customHeight="1">
      <c r="A419" s="159"/>
      <c r="B419" s="218" t="s">
        <v>246</v>
      </c>
      <c r="C419" s="218" t="s">
        <v>813</v>
      </c>
      <c r="D419" s="218" t="s">
        <v>1068</v>
      </c>
      <c r="E419" s="219">
        <v>112860.0</v>
      </c>
      <c r="F419" s="220" t="s">
        <v>1097</v>
      </c>
      <c r="G419" s="221" t="s">
        <v>518</v>
      </c>
      <c r="H419" s="221" t="s">
        <v>1093</v>
      </c>
      <c r="I419" s="221" t="s">
        <v>1098</v>
      </c>
      <c r="J419" s="222" t="s">
        <v>250</v>
      </c>
      <c r="K419" s="223">
        <v>1.0</v>
      </c>
      <c r="L419" s="223" t="b">
        <v>0</v>
      </c>
      <c r="M419" s="223" t="s">
        <v>1098</v>
      </c>
      <c r="N419" s="223">
        <v>10.275555</v>
      </c>
      <c r="O419" s="224"/>
      <c r="P419" s="225" t="s">
        <v>155</v>
      </c>
      <c r="Q419" s="225" t="s">
        <v>155</v>
      </c>
      <c r="R419" s="225" t="s">
        <v>155</v>
      </c>
      <c r="S419" s="225" t="s">
        <v>155</v>
      </c>
      <c r="T419" s="226"/>
      <c r="U419" s="227"/>
      <c r="V419" s="52" t="s">
        <v>250</v>
      </c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</row>
    <row r="420" ht="30.0" customHeight="1">
      <c r="A420" s="159"/>
      <c r="B420" s="218" t="s">
        <v>246</v>
      </c>
      <c r="C420" s="218" t="s">
        <v>813</v>
      </c>
      <c r="D420" s="218" t="s">
        <v>1068</v>
      </c>
      <c r="E420" s="219">
        <v>112861.0</v>
      </c>
      <c r="F420" s="220" t="s">
        <v>1099</v>
      </c>
      <c r="G420" s="221" t="s">
        <v>518</v>
      </c>
      <c r="H420" s="221" t="s">
        <v>1093</v>
      </c>
      <c r="I420" s="221" t="s">
        <v>1098</v>
      </c>
      <c r="J420" s="222" t="s">
        <v>250</v>
      </c>
      <c r="K420" s="223">
        <v>1.0</v>
      </c>
      <c r="L420" s="223" t="b">
        <v>0</v>
      </c>
      <c r="M420" s="223" t="s">
        <v>1098</v>
      </c>
      <c r="N420" s="223">
        <v>10.83</v>
      </c>
      <c r="O420" s="224"/>
      <c r="P420" s="225" t="s">
        <v>155</v>
      </c>
      <c r="Q420" s="225" t="s">
        <v>155</v>
      </c>
      <c r="R420" s="225" t="s">
        <v>155</v>
      </c>
      <c r="S420" s="225" t="s">
        <v>155</v>
      </c>
      <c r="T420" s="226"/>
      <c r="U420" s="227"/>
      <c r="V420" s="52" t="s">
        <v>250</v>
      </c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</row>
    <row r="421" ht="30.0" customHeight="1">
      <c r="A421" s="159"/>
      <c r="B421" s="218" t="s">
        <v>246</v>
      </c>
      <c r="C421" s="218" t="s">
        <v>813</v>
      </c>
      <c r="D421" s="218" t="s">
        <v>1068</v>
      </c>
      <c r="E421" s="219">
        <v>15672.0</v>
      </c>
      <c r="F421" s="220" t="s">
        <v>1100</v>
      </c>
      <c r="G421" s="221" t="s">
        <v>518</v>
      </c>
      <c r="H421" s="221" t="s">
        <v>1093</v>
      </c>
      <c r="I421" s="221" t="s">
        <v>1101</v>
      </c>
      <c r="J421" s="222" t="s">
        <v>250</v>
      </c>
      <c r="K421" s="223">
        <v>2.0</v>
      </c>
      <c r="L421" s="223" t="b">
        <v>0</v>
      </c>
      <c r="M421" s="223" t="s">
        <v>1101</v>
      </c>
      <c r="N421" s="223">
        <v>8.172653</v>
      </c>
      <c r="O421" s="224" t="s">
        <v>238</v>
      </c>
      <c r="P421" s="225" t="s">
        <v>155</v>
      </c>
      <c r="Q421" s="225" t="s">
        <v>155</v>
      </c>
      <c r="R421" s="225" t="s">
        <v>155</v>
      </c>
      <c r="S421" s="225" t="s">
        <v>155</v>
      </c>
      <c r="T421" s="226"/>
      <c r="U421" s="227"/>
      <c r="V421" s="52" t="s">
        <v>250</v>
      </c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</row>
    <row r="422" ht="30.0" customHeight="1">
      <c r="A422" s="159"/>
      <c r="B422" s="218" t="s">
        <v>246</v>
      </c>
      <c r="C422" s="218" t="s">
        <v>813</v>
      </c>
      <c r="D422" s="218" t="s">
        <v>1068</v>
      </c>
      <c r="E422" s="219">
        <v>111810.0</v>
      </c>
      <c r="F422" s="220" t="s">
        <v>1102</v>
      </c>
      <c r="G422" s="221" t="s">
        <v>518</v>
      </c>
      <c r="H422" s="221" t="s">
        <v>1093</v>
      </c>
      <c r="I422" s="221" t="s">
        <v>1103</v>
      </c>
      <c r="J422" s="222" t="s">
        <v>250</v>
      </c>
      <c r="K422" s="223">
        <v>3.0</v>
      </c>
      <c r="L422" s="223" t="b">
        <v>0</v>
      </c>
      <c r="M422" s="223" t="s">
        <v>1103</v>
      </c>
      <c r="N422" s="223">
        <v>5.6</v>
      </c>
      <c r="O422" s="224"/>
      <c r="P422" s="225" t="s">
        <v>155</v>
      </c>
      <c r="Q422" s="225" t="s">
        <v>155</v>
      </c>
      <c r="R422" s="225" t="s">
        <v>155</v>
      </c>
      <c r="S422" s="225" t="s">
        <v>155</v>
      </c>
      <c r="T422" s="226"/>
      <c r="U422" s="227"/>
      <c r="V422" s="52" t="s">
        <v>250</v>
      </c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</row>
    <row r="423" ht="30.0" customHeight="1">
      <c r="A423" s="159"/>
      <c r="B423" s="218" t="s">
        <v>246</v>
      </c>
      <c r="C423" s="218" t="s">
        <v>813</v>
      </c>
      <c r="D423" s="218" t="s">
        <v>1068</v>
      </c>
      <c r="E423" s="219">
        <v>15673.0</v>
      </c>
      <c r="F423" s="220" t="s">
        <v>1104</v>
      </c>
      <c r="G423" s="221" t="s">
        <v>518</v>
      </c>
      <c r="H423" s="221" t="s">
        <v>1093</v>
      </c>
      <c r="I423" s="221" t="s">
        <v>1101</v>
      </c>
      <c r="J423" s="222" t="s">
        <v>250</v>
      </c>
      <c r="K423" s="223">
        <v>2.0</v>
      </c>
      <c r="L423" s="223" t="b">
        <v>1</v>
      </c>
      <c r="M423" s="223" t="s">
        <v>1101</v>
      </c>
      <c r="N423" s="223">
        <v>6.718974</v>
      </c>
      <c r="O423" s="224" t="s">
        <v>238</v>
      </c>
      <c r="P423" s="225" t="s">
        <v>155</v>
      </c>
      <c r="Q423" s="225" t="s">
        <v>155</v>
      </c>
      <c r="R423" s="225" t="s">
        <v>155</v>
      </c>
      <c r="S423" s="225" t="s">
        <v>155</v>
      </c>
      <c r="T423" s="226"/>
      <c r="U423" s="227"/>
      <c r="V423" s="52" t="s">
        <v>250</v>
      </c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</row>
    <row r="424" ht="30.0" customHeight="1">
      <c r="A424" s="159"/>
      <c r="B424" s="218" t="s">
        <v>246</v>
      </c>
      <c r="C424" s="218" t="s">
        <v>813</v>
      </c>
      <c r="D424" s="218" t="s">
        <v>1068</v>
      </c>
      <c r="E424" s="219">
        <v>111875.0</v>
      </c>
      <c r="F424" s="220" t="s">
        <v>1105</v>
      </c>
      <c r="G424" s="221" t="s">
        <v>518</v>
      </c>
      <c r="H424" s="221" t="s">
        <v>1106</v>
      </c>
      <c r="I424" s="221" t="s">
        <v>1107</v>
      </c>
      <c r="J424" s="222" t="s">
        <v>250</v>
      </c>
      <c r="K424" s="223">
        <v>1.0</v>
      </c>
      <c r="L424" s="223" t="b">
        <v>0</v>
      </c>
      <c r="M424" s="223" t="s">
        <v>1107</v>
      </c>
      <c r="N424" s="223">
        <v>1.41</v>
      </c>
      <c r="O424" s="224"/>
      <c r="P424" s="225" t="s">
        <v>155</v>
      </c>
      <c r="Q424" s="225" t="s">
        <v>155</v>
      </c>
      <c r="R424" s="225" t="s">
        <v>155</v>
      </c>
      <c r="S424" s="225" t="s">
        <v>155</v>
      </c>
      <c r="T424" s="226"/>
      <c r="U424" s="227"/>
      <c r="V424" s="52" t="s">
        <v>250</v>
      </c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</row>
    <row r="425" ht="30.0" customHeight="1">
      <c r="A425" s="159"/>
      <c r="B425" s="218" t="s">
        <v>246</v>
      </c>
      <c r="C425" s="218" t="s">
        <v>813</v>
      </c>
      <c r="D425" s="218" t="s">
        <v>1068</v>
      </c>
      <c r="E425" s="219">
        <v>111994.0</v>
      </c>
      <c r="F425" s="220" t="s">
        <v>1108</v>
      </c>
      <c r="G425" s="221" t="s">
        <v>518</v>
      </c>
      <c r="H425" s="221" t="s">
        <v>1070</v>
      </c>
      <c r="I425" s="221" t="s">
        <v>42</v>
      </c>
      <c r="J425" s="222" t="s">
        <v>250</v>
      </c>
      <c r="K425" s="223">
        <v>2.0</v>
      </c>
      <c r="L425" s="223" t="b">
        <v>0</v>
      </c>
      <c r="M425" s="223" t="s">
        <v>42</v>
      </c>
      <c r="N425" s="223">
        <v>6.69</v>
      </c>
      <c r="O425" s="224"/>
      <c r="P425" s="225" t="s">
        <v>155</v>
      </c>
      <c r="Q425" s="225" t="s">
        <v>155</v>
      </c>
      <c r="R425" s="225" t="s">
        <v>155</v>
      </c>
      <c r="S425" s="225" t="s">
        <v>155</v>
      </c>
      <c r="T425" s="226"/>
      <c r="U425" s="227"/>
      <c r="V425" s="52" t="s">
        <v>250</v>
      </c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</row>
    <row r="426" ht="30.0" customHeight="1">
      <c r="A426" s="159"/>
      <c r="B426" s="218" t="s">
        <v>246</v>
      </c>
      <c r="C426" s="218" t="s">
        <v>813</v>
      </c>
      <c r="D426" s="218" t="s">
        <v>1068</v>
      </c>
      <c r="E426" s="219">
        <v>51211.0</v>
      </c>
      <c r="F426" s="220" t="s">
        <v>1109</v>
      </c>
      <c r="G426" s="221" t="s">
        <v>518</v>
      </c>
      <c r="H426" s="221" t="s">
        <v>1088</v>
      </c>
      <c r="I426" s="221" t="s">
        <v>1110</v>
      </c>
      <c r="J426" s="222" t="s">
        <v>250</v>
      </c>
      <c r="K426" s="223">
        <v>2.0</v>
      </c>
      <c r="L426" s="223" t="b">
        <v>1</v>
      </c>
      <c r="M426" s="223" t="s">
        <v>1110</v>
      </c>
      <c r="N426" s="223">
        <v>26.480918</v>
      </c>
      <c r="O426" s="224" t="s">
        <v>238</v>
      </c>
      <c r="P426" s="225" t="s">
        <v>155</v>
      </c>
      <c r="Q426" s="225" t="s">
        <v>155</v>
      </c>
      <c r="R426" s="225" t="s">
        <v>155</v>
      </c>
      <c r="S426" s="225" t="s">
        <v>155</v>
      </c>
      <c r="T426" s="226"/>
      <c r="U426" s="227"/>
      <c r="V426" s="52" t="s">
        <v>250</v>
      </c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</row>
    <row r="427" ht="30.0" customHeight="1">
      <c r="A427" s="159"/>
      <c r="B427" s="218" t="s">
        <v>246</v>
      </c>
      <c r="C427" s="218" t="s">
        <v>813</v>
      </c>
      <c r="D427" s="218" t="s">
        <v>1068</v>
      </c>
      <c r="E427" s="219">
        <v>108323.0</v>
      </c>
      <c r="F427" s="220" t="s">
        <v>1111</v>
      </c>
      <c r="G427" s="221" t="s">
        <v>518</v>
      </c>
      <c r="H427" s="221" t="s">
        <v>1070</v>
      </c>
      <c r="I427" s="221" t="s">
        <v>1112</v>
      </c>
      <c r="J427" s="221" t="s">
        <v>925</v>
      </c>
      <c r="K427" s="223">
        <v>1.0</v>
      </c>
      <c r="L427" s="223" t="b">
        <v>0</v>
      </c>
      <c r="M427" s="223" t="s">
        <v>1113</v>
      </c>
      <c r="N427" s="223">
        <v>44.018888</v>
      </c>
      <c r="O427" s="224"/>
      <c r="P427" s="225" t="s">
        <v>155</v>
      </c>
      <c r="Q427" s="225" t="s">
        <v>155</v>
      </c>
      <c r="R427" s="225" t="s">
        <v>155</v>
      </c>
      <c r="S427" s="225" t="s">
        <v>155</v>
      </c>
      <c r="T427" s="226"/>
      <c r="U427" s="227"/>
      <c r="V427" s="52" t="s">
        <v>250</v>
      </c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</row>
    <row r="428" ht="30.0" customHeight="1">
      <c r="A428" s="159"/>
      <c r="B428" s="218" t="s">
        <v>246</v>
      </c>
      <c r="C428" s="218" t="s">
        <v>813</v>
      </c>
      <c r="D428" s="218" t="s">
        <v>1068</v>
      </c>
      <c r="E428" s="219">
        <v>112618.0</v>
      </c>
      <c r="F428" s="220" t="s">
        <v>1114</v>
      </c>
      <c r="G428" s="221" t="s">
        <v>518</v>
      </c>
      <c r="H428" s="221" t="s">
        <v>1115</v>
      </c>
      <c r="I428" s="221" t="s">
        <v>1116</v>
      </c>
      <c r="J428" s="222"/>
      <c r="K428" s="228"/>
      <c r="L428" s="228"/>
      <c r="M428" s="228"/>
      <c r="N428" s="228"/>
      <c r="O428" s="224"/>
      <c r="P428" s="225" t="s">
        <v>155</v>
      </c>
      <c r="Q428" s="225" t="s">
        <v>155</v>
      </c>
      <c r="R428" s="225" t="s">
        <v>155</v>
      </c>
      <c r="S428" s="225" t="s">
        <v>155</v>
      </c>
      <c r="T428" s="226"/>
      <c r="U428" s="227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</row>
    <row r="429" ht="30.0" customHeight="1">
      <c r="A429" s="159"/>
      <c r="B429" s="218" t="s">
        <v>246</v>
      </c>
      <c r="C429" s="218" t="s">
        <v>813</v>
      </c>
      <c r="D429" s="218" t="s">
        <v>1068</v>
      </c>
      <c r="E429" s="219">
        <v>111039.0</v>
      </c>
      <c r="F429" s="220" t="s">
        <v>1117</v>
      </c>
      <c r="G429" s="221" t="s">
        <v>518</v>
      </c>
      <c r="H429" s="221" t="s">
        <v>1118</v>
      </c>
      <c r="I429" s="221" t="s">
        <v>972</v>
      </c>
      <c r="J429" s="222" t="s">
        <v>250</v>
      </c>
      <c r="K429" s="223">
        <v>2.0</v>
      </c>
      <c r="L429" s="223" t="b">
        <v>1</v>
      </c>
      <c r="M429" s="223" t="s">
        <v>972</v>
      </c>
      <c r="N429" s="223">
        <v>23.047777</v>
      </c>
      <c r="O429" s="224"/>
      <c r="P429" s="225" t="s">
        <v>155</v>
      </c>
      <c r="Q429" s="225" t="s">
        <v>155</v>
      </c>
      <c r="R429" s="225" t="s">
        <v>155</v>
      </c>
      <c r="S429" s="225" t="s">
        <v>155</v>
      </c>
      <c r="T429" s="226"/>
      <c r="U429" s="227"/>
      <c r="V429" s="52" t="s">
        <v>250</v>
      </c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</row>
    <row r="430" ht="30.0" customHeight="1">
      <c r="A430" s="209"/>
      <c r="B430" s="209" t="s">
        <v>1119</v>
      </c>
      <c r="C430" s="211"/>
      <c r="D430" s="211"/>
      <c r="E430" s="212"/>
      <c r="F430" s="213"/>
      <c r="G430" s="213"/>
      <c r="H430" s="213"/>
      <c r="I430" s="212"/>
      <c r="J430" s="212"/>
      <c r="K430" s="214"/>
      <c r="L430" s="214"/>
      <c r="M430" s="214"/>
      <c r="N430" s="214"/>
      <c r="O430" s="215"/>
      <c r="P430" s="216"/>
      <c r="Q430" s="216"/>
      <c r="R430" s="216"/>
      <c r="S430" s="216"/>
      <c r="T430" s="217"/>
      <c r="U430" s="217"/>
      <c r="V430" s="217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</row>
    <row r="431" ht="30.0" customHeight="1">
      <c r="A431" s="159"/>
      <c r="B431" s="218" t="s">
        <v>246</v>
      </c>
      <c r="C431" s="218" t="s">
        <v>813</v>
      </c>
      <c r="D431" s="218" t="s">
        <v>1119</v>
      </c>
      <c r="E431" s="219">
        <v>15740.0</v>
      </c>
      <c r="F431" s="220" t="s">
        <v>1120</v>
      </c>
      <c r="G431" s="221" t="s">
        <v>518</v>
      </c>
      <c r="H431" s="221" t="s">
        <v>1121</v>
      </c>
      <c r="I431" s="221" t="s">
        <v>42</v>
      </c>
      <c r="J431" s="221" t="s">
        <v>819</v>
      </c>
      <c r="K431" s="223">
        <v>2.0</v>
      </c>
      <c r="L431" s="223" t="b">
        <v>0</v>
      </c>
      <c r="M431" s="228"/>
      <c r="N431" s="228"/>
      <c r="O431" s="224"/>
      <c r="P431" s="225" t="s">
        <v>155</v>
      </c>
      <c r="Q431" s="225" t="s">
        <v>155</v>
      </c>
      <c r="R431" s="225" t="s">
        <v>155</v>
      </c>
      <c r="S431" s="225" t="s">
        <v>155</v>
      </c>
      <c r="T431" s="226"/>
      <c r="U431" s="227"/>
      <c r="V431" s="52" t="s">
        <v>250</v>
      </c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</row>
    <row r="432" ht="30.0" customHeight="1">
      <c r="A432" s="159"/>
      <c r="B432" s="218" t="s">
        <v>246</v>
      </c>
      <c r="C432" s="218" t="s">
        <v>813</v>
      </c>
      <c r="D432" s="218" t="s">
        <v>1119</v>
      </c>
      <c r="E432" s="219">
        <v>111803.0</v>
      </c>
      <c r="F432" s="220" t="s">
        <v>1122</v>
      </c>
      <c r="G432" s="221" t="s">
        <v>518</v>
      </c>
      <c r="H432" s="221" t="s">
        <v>1121</v>
      </c>
      <c r="I432" s="221" t="s">
        <v>432</v>
      </c>
      <c r="J432" s="222" t="s">
        <v>250</v>
      </c>
      <c r="K432" s="223">
        <v>2.0</v>
      </c>
      <c r="L432" s="223" t="b">
        <v>0</v>
      </c>
      <c r="M432" s="223" t="s">
        <v>432</v>
      </c>
      <c r="N432" s="223">
        <v>33.778571</v>
      </c>
      <c r="O432" s="224"/>
      <c r="P432" s="225" t="s">
        <v>155</v>
      </c>
      <c r="Q432" s="225" t="s">
        <v>155</v>
      </c>
      <c r="R432" s="225" t="s">
        <v>155</v>
      </c>
      <c r="S432" s="225" t="s">
        <v>155</v>
      </c>
      <c r="T432" s="226"/>
      <c r="U432" s="227"/>
      <c r="V432" s="52" t="s">
        <v>250</v>
      </c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</row>
    <row r="433" ht="30.0" customHeight="1">
      <c r="A433" s="159"/>
      <c r="B433" s="218" t="s">
        <v>246</v>
      </c>
      <c r="C433" s="218" t="s">
        <v>813</v>
      </c>
      <c r="D433" s="218" t="s">
        <v>1119</v>
      </c>
      <c r="E433" s="219">
        <v>51096.0</v>
      </c>
      <c r="F433" s="220" t="s">
        <v>1123</v>
      </c>
      <c r="G433" s="221" t="s">
        <v>518</v>
      </c>
      <c r="H433" s="221" t="s">
        <v>1088</v>
      </c>
      <c r="I433" s="221" t="s">
        <v>349</v>
      </c>
      <c r="J433" s="221" t="s">
        <v>529</v>
      </c>
      <c r="K433" s="223">
        <v>2.0</v>
      </c>
      <c r="L433" s="223" t="b">
        <v>0</v>
      </c>
      <c r="M433" s="223" t="s">
        <v>349</v>
      </c>
      <c r="N433" s="223">
        <v>51.581914</v>
      </c>
      <c r="O433" s="224" t="s">
        <v>238</v>
      </c>
      <c r="P433" s="225" t="s">
        <v>155</v>
      </c>
      <c r="Q433" s="225" t="s">
        <v>155</v>
      </c>
      <c r="R433" s="225" t="s">
        <v>155</v>
      </c>
      <c r="S433" s="225" t="s">
        <v>155</v>
      </c>
      <c r="T433" s="226"/>
      <c r="U433" s="227"/>
      <c r="V433" s="52" t="s">
        <v>250</v>
      </c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</row>
    <row r="434" ht="30.0" customHeight="1">
      <c r="A434" s="159"/>
      <c r="B434" s="218" t="s">
        <v>246</v>
      </c>
      <c r="C434" s="218" t="s">
        <v>813</v>
      </c>
      <c r="D434" s="218" t="s">
        <v>1119</v>
      </c>
      <c r="E434" s="219">
        <v>106916.0</v>
      </c>
      <c r="F434" s="220" t="s">
        <v>1124</v>
      </c>
      <c r="G434" s="221" t="s">
        <v>518</v>
      </c>
      <c r="H434" s="222"/>
      <c r="I434" s="221" t="s">
        <v>1125</v>
      </c>
      <c r="J434" s="222" t="s">
        <v>250</v>
      </c>
      <c r="K434" s="223">
        <v>3.0</v>
      </c>
      <c r="L434" s="223" t="b">
        <v>0</v>
      </c>
      <c r="M434" s="228"/>
      <c r="N434" s="228"/>
      <c r="O434" s="224"/>
      <c r="P434" s="225" t="s">
        <v>155</v>
      </c>
      <c r="Q434" s="225" t="s">
        <v>155</v>
      </c>
      <c r="R434" s="225" t="s">
        <v>155</v>
      </c>
      <c r="S434" s="225" t="s">
        <v>155</v>
      </c>
      <c r="T434" s="226"/>
      <c r="U434" s="227"/>
      <c r="V434" s="52" t="s">
        <v>250</v>
      </c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</row>
    <row r="435" ht="30.0" customHeight="1">
      <c r="A435" s="159"/>
      <c r="B435" s="218" t="s">
        <v>246</v>
      </c>
      <c r="C435" s="218" t="s">
        <v>813</v>
      </c>
      <c r="D435" s="218" t="s">
        <v>1119</v>
      </c>
      <c r="E435" s="219">
        <v>111649.0</v>
      </c>
      <c r="F435" s="220" t="s">
        <v>1126</v>
      </c>
      <c r="G435" s="221" t="s">
        <v>518</v>
      </c>
      <c r="H435" s="221" t="s">
        <v>1070</v>
      </c>
      <c r="I435" s="221" t="s">
        <v>1127</v>
      </c>
      <c r="J435" s="222" t="s">
        <v>250</v>
      </c>
      <c r="K435" s="223">
        <v>3.0</v>
      </c>
      <c r="L435" s="223" t="b">
        <v>0</v>
      </c>
      <c r="M435" s="223" t="s">
        <v>42</v>
      </c>
      <c r="N435" s="223">
        <v>5.278125</v>
      </c>
      <c r="O435" s="224"/>
      <c r="P435" s="225" t="s">
        <v>155</v>
      </c>
      <c r="Q435" s="225" t="s">
        <v>155</v>
      </c>
      <c r="R435" s="225" t="s">
        <v>155</v>
      </c>
      <c r="S435" s="225" t="s">
        <v>155</v>
      </c>
      <c r="T435" s="226"/>
      <c r="U435" s="227"/>
      <c r="V435" s="52" t="s">
        <v>250</v>
      </c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</row>
    <row r="436" ht="30.0" customHeight="1">
      <c r="A436" s="159"/>
      <c r="B436" s="218" t="s">
        <v>246</v>
      </c>
      <c r="C436" s="218" t="s">
        <v>813</v>
      </c>
      <c r="D436" s="218" t="s">
        <v>1119</v>
      </c>
      <c r="E436" s="219">
        <v>111651.0</v>
      </c>
      <c r="F436" s="220" t="s">
        <v>1128</v>
      </c>
      <c r="G436" s="221" t="s">
        <v>518</v>
      </c>
      <c r="H436" s="221" t="s">
        <v>1070</v>
      </c>
      <c r="I436" s="221" t="s">
        <v>444</v>
      </c>
      <c r="J436" s="222" t="s">
        <v>250</v>
      </c>
      <c r="K436" s="223">
        <v>1.0</v>
      </c>
      <c r="L436" s="223" t="b">
        <v>0</v>
      </c>
      <c r="M436" s="223" t="s">
        <v>42</v>
      </c>
      <c r="N436" s="223">
        <v>4.43</v>
      </c>
      <c r="O436" s="224"/>
      <c r="P436" s="225" t="s">
        <v>155</v>
      </c>
      <c r="Q436" s="225" t="s">
        <v>155</v>
      </c>
      <c r="R436" s="225" t="s">
        <v>155</v>
      </c>
      <c r="S436" s="225" t="s">
        <v>155</v>
      </c>
      <c r="T436" s="226"/>
      <c r="U436" s="227"/>
      <c r="V436" s="52" t="s">
        <v>250</v>
      </c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</row>
    <row r="437" ht="30.0" customHeight="1">
      <c r="A437" s="159"/>
      <c r="B437" s="218" t="s">
        <v>246</v>
      </c>
      <c r="C437" s="218" t="s">
        <v>813</v>
      </c>
      <c r="D437" s="218" t="s">
        <v>1119</v>
      </c>
      <c r="E437" s="219">
        <v>111650.0</v>
      </c>
      <c r="F437" s="220" t="s">
        <v>1129</v>
      </c>
      <c r="G437" s="221" t="s">
        <v>518</v>
      </c>
      <c r="H437" s="221" t="s">
        <v>1070</v>
      </c>
      <c r="I437" s="221" t="s">
        <v>1130</v>
      </c>
      <c r="J437" s="222" t="s">
        <v>250</v>
      </c>
      <c r="K437" s="223">
        <v>3.0</v>
      </c>
      <c r="L437" s="223" t="b">
        <v>0</v>
      </c>
      <c r="M437" s="223" t="s">
        <v>42</v>
      </c>
      <c r="N437" s="223">
        <v>4.417555</v>
      </c>
      <c r="O437" s="224"/>
      <c r="P437" s="225" t="s">
        <v>155</v>
      </c>
      <c r="Q437" s="225" t="s">
        <v>155</v>
      </c>
      <c r="R437" s="225" t="s">
        <v>155</v>
      </c>
      <c r="S437" s="225" t="s">
        <v>155</v>
      </c>
      <c r="T437" s="226"/>
      <c r="U437" s="227"/>
      <c r="V437" s="52" t="s">
        <v>250</v>
      </c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</row>
    <row r="438" ht="30.0" customHeight="1">
      <c r="A438" s="159"/>
      <c r="B438" s="218" t="s">
        <v>246</v>
      </c>
      <c r="C438" s="218" t="s">
        <v>813</v>
      </c>
      <c r="D438" s="218" t="s">
        <v>1119</v>
      </c>
      <c r="E438" s="219">
        <v>111655.0</v>
      </c>
      <c r="F438" s="220" t="s">
        <v>1131</v>
      </c>
      <c r="G438" s="221" t="s">
        <v>518</v>
      </c>
      <c r="H438" s="221" t="s">
        <v>1070</v>
      </c>
      <c r="I438" s="221" t="s">
        <v>1132</v>
      </c>
      <c r="J438" s="222" t="s">
        <v>250</v>
      </c>
      <c r="K438" s="223">
        <v>4.0</v>
      </c>
      <c r="L438" s="223" t="b">
        <v>0</v>
      </c>
      <c r="M438" s="223" t="s">
        <v>42</v>
      </c>
      <c r="N438" s="223">
        <v>8.78</v>
      </c>
      <c r="O438" s="224"/>
      <c r="P438" s="225" t="s">
        <v>155</v>
      </c>
      <c r="Q438" s="225" t="s">
        <v>155</v>
      </c>
      <c r="R438" s="225" t="s">
        <v>155</v>
      </c>
      <c r="S438" s="225" t="s">
        <v>155</v>
      </c>
      <c r="T438" s="226"/>
      <c r="U438" s="227"/>
      <c r="V438" s="52" t="s">
        <v>250</v>
      </c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</row>
    <row r="439" ht="30.0" customHeight="1">
      <c r="A439" s="159"/>
      <c r="B439" s="218" t="s">
        <v>246</v>
      </c>
      <c r="C439" s="218" t="s">
        <v>813</v>
      </c>
      <c r="D439" s="218" t="s">
        <v>1119</v>
      </c>
      <c r="E439" s="219">
        <v>111656.0</v>
      </c>
      <c r="F439" s="220" t="s">
        <v>1133</v>
      </c>
      <c r="G439" s="221" t="s">
        <v>518</v>
      </c>
      <c r="H439" s="221" t="s">
        <v>1070</v>
      </c>
      <c r="I439" s="221" t="s">
        <v>1134</v>
      </c>
      <c r="J439" s="222" t="s">
        <v>250</v>
      </c>
      <c r="K439" s="223">
        <v>3.0</v>
      </c>
      <c r="L439" s="223" t="b">
        <v>0</v>
      </c>
      <c r="M439" s="223" t="s">
        <v>42</v>
      </c>
      <c r="N439" s="223">
        <v>8.254117</v>
      </c>
      <c r="O439" s="224"/>
      <c r="P439" s="225" t="s">
        <v>155</v>
      </c>
      <c r="Q439" s="225" t="s">
        <v>155</v>
      </c>
      <c r="R439" s="225" t="s">
        <v>155</v>
      </c>
      <c r="S439" s="225" t="s">
        <v>155</v>
      </c>
      <c r="T439" s="226"/>
      <c r="U439" s="227"/>
      <c r="V439" s="52" t="s">
        <v>250</v>
      </c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</row>
    <row r="440" ht="30.0" customHeight="1">
      <c r="A440" s="159"/>
      <c r="B440" s="218" t="s">
        <v>246</v>
      </c>
      <c r="C440" s="218" t="s">
        <v>813</v>
      </c>
      <c r="D440" s="218" t="s">
        <v>1119</v>
      </c>
      <c r="E440" s="219">
        <v>111653.0</v>
      </c>
      <c r="F440" s="220" t="s">
        <v>1135</v>
      </c>
      <c r="G440" s="221" t="s">
        <v>518</v>
      </c>
      <c r="H440" s="221" t="s">
        <v>1070</v>
      </c>
      <c r="I440" s="221" t="s">
        <v>1132</v>
      </c>
      <c r="J440" s="222" t="s">
        <v>250</v>
      </c>
      <c r="K440" s="223">
        <v>1.0</v>
      </c>
      <c r="L440" s="223" t="b">
        <v>0</v>
      </c>
      <c r="M440" s="223" t="s">
        <v>42</v>
      </c>
      <c r="N440" s="223">
        <v>7.306666</v>
      </c>
      <c r="O440" s="224"/>
      <c r="P440" s="225" t="s">
        <v>155</v>
      </c>
      <c r="Q440" s="225" t="s">
        <v>155</v>
      </c>
      <c r="R440" s="225" t="s">
        <v>155</v>
      </c>
      <c r="S440" s="225" t="s">
        <v>155</v>
      </c>
      <c r="T440" s="226"/>
      <c r="U440" s="227"/>
      <c r="V440" s="52" t="s">
        <v>250</v>
      </c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</row>
    <row r="441" ht="30.0" customHeight="1">
      <c r="A441" s="159"/>
      <c r="B441" s="218" t="s">
        <v>246</v>
      </c>
      <c r="C441" s="218" t="s">
        <v>813</v>
      </c>
      <c r="D441" s="218" t="s">
        <v>1119</v>
      </c>
      <c r="E441" s="219">
        <v>111654.0</v>
      </c>
      <c r="F441" s="220" t="s">
        <v>1136</v>
      </c>
      <c r="G441" s="221" t="s">
        <v>518</v>
      </c>
      <c r="H441" s="221" t="s">
        <v>1070</v>
      </c>
      <c r="I441" s="221" t="s">
        <v>1137</v>
      </c>
      <c r="J441" s="222" t="s">
        <v>250</v>
      </c>
      <c r="K441" s="223">
        <v>1.0</v>
      </c>
      <c r="L441" s="223" t="b">
        <v>0</v>
      </c>
      <c r="M441" s="223" t="s">
        <v>42</v>
      </c>
      <c r="N441" s="223">
        <v>5.962857</v>
      </c>
      <c r="O441" s="224"/>
      <c r="P441" s="225" t="s">
        <v>155</v>
      </c>
      <c r="Q441" s="225" t="s">
        <v>155</v>
      </c>
      <c r="R441" s="225" t="s">
        <v>155</v>
      </c>
      <c r="S441" s="225" t="s">
        <v>155</v>
      </c>
      <c r="T441" s="226"/>
      <c r="U441" s="227"/>
      <c r="V441" s="52" t="s">
        <v>250</v>
      </c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</row>
    <row r="442" ht="30.0" customHeight="1">
      <c r="A442" s="159"/>
      <c r="B442" s="218" t="s">
        <v>246</v>
      </c>
      <c r="C442" s="218" t="s">
        <v>813</v>
      </c>
      <c r="D442" s="218" t="s">
        <v>1119</v>
      </c>
      <c r="E442" s="219">
        <v>100411.0</v>
      </c>
      <c r="F442" s="220" t="s">
        <v>1138</v>
      </c>
      <c r="G442" s="221" t="s">
        <v>518</v>
      </c>
      <c r="H442" s="221" t="s">
        <v>1088</v>
      </c>
      <c r="I442" s="221" t="s">
        <v>1021</v>
      </c>
      <c r="J442" s="221" t="s">
        <v>1139</v>
      </c>
      <c r="K442" s="223">
        <v>2.0</v>
      </c>
      <c r="L442" s="223" t="b">
        <v>1</v>
      </c>
      <c r="M442" s="223" t="s">
        <v>1021</v>
      </c>
      <c r="N442" s="223">
        <v>89.797971</v>
      </c>
      <c r="O442" s="224" t="s">
        <v>238</v>
      </c>
      <c r="P442" s="225" t="s">
        <v>155</v>
      </c>
      <c r="Q442" s="225" t="s">
        <v>155</v>
      </c>
      <c r="R442" s="225" t="s">
        <v>155</v>
      </c>
      <c r="S442" s="225" t="s">
        <v>155</v>
      </c>
      <c r="T442" s="226"/>
      <c r="U442" s="227"/>
      <c r="V442" s="109" t="s">
        <v>1140</v>
      </c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</row>
    <row r="443" ht="30.0" customHeight="1">
      <c r="A443" s="159"/>
      <c r="B443" s="218" t="s">
        <v>246</v>
      </c>
      <c r="C443" s="218" t="s">
        <v>813</v>
      </c>
      <c r="D443" s="218" t="s">
        <v>1119</v>
      </c>
      <c r="E443" s="219">
        <v>111846.0</v>
      </c>
      <c r="F443" s="220" t="s">
        <v>1141</v>
      </c>
      <c r="G443" s="221" t="s">
        <v>1142</v>
      </c>
      <c r="H443" s="221" t="s">
        <v>1121</v>
      </c>
      <c r="I443" s="221" t="s">
        <v>1143</v>
      </c>
      <c r="J443" s="222" t="s">
        <v>250</v>
      </c>
      <c r="K443" s="223">
        <v>4.0</v>
      </c>
      <c r="L443" s="223" t="b">
        <v>0</v>
      </c>
      <c r="M443" s="223" t="s">
        <v>1143</v>
      </c>
      <c r="N443" s="223">
        <v>114.825333</v>
      </c>
      <c r="O443" s="224"/>
      <c r="P443" s="225" t="s">
        <v>155</v>
      </c>
      <c r="Q443" s="225" t="s">
        <v>155</v>
      </c>
      <c r="R443" s="225" t="s">
        <v>155</v>
      </c>
      <c r="S443" s="225" t="s">
        <v>155</v>
      </c>
      <c r="T443" s="226"/>
      <c r="U443" s="227"/>
      <c r="V443" s="52" t="s">
        <v>250</v>
      </c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</row>
    <row r="444" ht="30.0" customHeight="1">
      <c r="A444" s="159"/>
      <c r="B444" s="218" t="s">
        <v>246</v>
      </c>
      <c r="C444" s="218" t="s">
        <v>813</v>
      </c>
      <c r="D444" s="218" t="s">
        <v>1119</v>
      </c>
      <c r="E444" s="219">
        <v>110933.0</v>
      </c>
      <c r="F444" s="220" t="s">
        <v>1144</v>
      </c>
      <c r="G444" s="221" t="s">
        <v>518</v>
      </c>
      <c r="H444" s="221" t="s">
        <v>951</v>
      </c>
      <c r="I444" s="221" t="s">
        <v>952</v>
      </c>
      <c r="J444" s="222" t="s">
        <v>250</v>
      </c>
      <c r="K444" s="223">
        <v>2.0</v>
      </c>
      <c r="L444" s="223" t="b">
        <v>0</v>
      </c>
      <c r="M444" s="228"/>
      <c r="N444" s="228"/>
      <c r="O444" s="224"/>
      <c r="P444" s="225" t="s">
        <v>155</v>
      </c>
      <c r="Q444" s="225" t="s">
        <v>155</v>
      </c>
      <c r="R444" s="225" t="s">
        <v>155</v>
      </c>
      <c r="S444" s="225" t="s">
        <v>155</v>
      </c>
      <c r="T444" s="226"/>
      <c r="U444" s="227"/>
      <c r="V444" s="52" t="s">
        <v>250</v>
      </c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</row>
    <row r="445" ht="30.0" customHeight="1">
      <c r="A445" s="159"/>
      <c r="B445" s="218" t="s">
        <v>246</v>
      </c>
      <c r="C445" s="218" t="s">
        <v>813</v>
      </c>
      <c r="D445" s="218" t="s">
        <v>1119</v>
      </c>
      <c r="E445" s="219">
        <v>111657.0</v>
      </c>
      <c r="F445" s="220" t="s">
        <v>1145</v>
      </c>
      <c r="G445" s="221" t="s">
        <v>518</v>
      </c>
      <c r="H445" s="221" t="s">
        <v>1070</v>
      </c>
      <c r="I445" s="221" t="s">
        <v>1134</v>
      </c>
      <c r="J445" s="222" t="s">
        <v>250</v>
      </c>
      <c r="K445" s="223">
        <v>3.0</v>
      </c>
      <c r="L445" s="223" t="b">
        <v>0</v>
      </c>
      <c r="M445" s="223" t="s">
        <v>42</v>
      </c>
      <c r="N445" s="223">
        <v>6.253636</v>
      </c>
      <c r="O445" s="224"/>
      <c r="P445" s="225" t="s">
        <v>155</v>
      </c>
      <c r="Q445" s="225" t="s">
        <v>155</v>
      </c>
      <c r="R445" s="225" t="s">
        <v>155</v>
      </c>
      <c r="S445" s="225" t="s">
        <v>155</v>
      </c>
      <c r="T445" s="226"/>
      <c r="U445" s="227"/>
      <c r="V445" s="52" t="s">
        <v>250</v>
      </c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</row>
    <row r="446" ht="30.0" customHeight="1">
      <c r="A446" s="159"/>
      <c r="B446" s="218" t="s">
        <v>246</v>
      </c>
      <c r="C446" s="218" t="s">
        <v>813</v>
      </c>
      <c r="D446" s="218" t="s">
        <v>1119</v>
      </c>
      <c r="E446" s="219">
        <v>111017.0</v>
      </c>
      <c r="F446" s="220" t="s">
        <v>1146</v>
      </c>
      <c r="G446" s="221" t="s">
        <v>518</v>
      </c>
      <c r="H446" s="221" t="s">
        <v>856</v>
      </c>
      <c r="I446" s="221" t="s">
        <v>1147</v>
      </c>
      <c r="J446" s="222" t="s">
        <v>250</v>
      </c>
      <c r="K446" s="223">
        <v>2.0</v>
      </c>
      <c r="L446" s="223" t="b">
        <v>0</v>
      </c>
      <c r="M446" s="223" t="s">
        <v>42</v>
      </c>
      <c r="N446" s="223">
        <v>30.294615</v>
      </c>
      <c r="O446" s="224"/>
      <c r="P446" s="225" t="s">
        <v>155</v>
      </c>
      <c r="Q446" s="225" t="s">
        <v>155</v>
      </c>
      <c r="R446" s="225" t="s">
        <v>155</v>
      </c>
      <c r="S446" s="225" t="s">
        <v>155</v>
      </c>
      <c r="T446" s="226"/>
      <c r="U446" s="227"/>
      <c r="V446" s="52" t="s">
        <v>250</v>
      </c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</row>
    <row r="447" ht="30.0" customHeight="1">
      <c r="A447" s="209"/>
      <c r="B447" s="210" t="s">
        <v>1148</v>
      </c>
      <c r="C447" s="211"/>
      <c r="D447" s="211"/>
      <c r="E447" s="212"/>
      <c r="F447" s="213"/>
      <c r="G447" s="213"/>
      <c r="H447" s="213"/>
      <c r="I447" s="212"/>
      <c r="J447" s="212"/>
      <c r="K447" s="214"/>
      <c r="L447" s="214"/>
      <c r="M447" s="214"/>
      <c r="N447" s="214"/>
      <c r="O447" s="215"/>
      <c r="P447" s="216"/>
      <c r="Q447" s="216"/>
      <c r="R447" s="216"/>
      <c r="S447" s="216"/>
      <c r="T447" s="217"/>
      <c r="U447" s="217"/>
      <c r="V447" s="217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</row>
    <row r="448" ht="30.0" customHeight="1">
      <c r="A448" s="159"/>
      <c r="B448" s="218" t="s">
        <v>246</v>
      </c>
      <c r="C448" s="218" t="s">
        <v>813</v>
      </c>
      <c r="D448" s="218" t="s">
        <v>1148</v>
      </c>
      <c r="E448" s="219">
        <v>20884.0</v>
      </c>
      <c r="F448" s="220" t="s">
        <v>1149</v>
      </c>
      <c r="G448" s="221" t="s">
        <v>518</v>
      </c>
      <c r="H448" s="221" t="s">
        <v>1150</v>
      </c>
      <c r="I448" s="221" t="s">
        <v>490</v>
      </c>
      <c r="J448" s="221" t="s">
        <v>819</v>
      </c>
      <c r="K448" s="223">
        <v>3.0</v>
      </c>
      <c r="L448" s="223" t="b">
        <v>1</v>
      </c>
      <c r="M448" s="223" t="s">
        <v>490</v>
      </c>
      <c r="N448" s="223">
        <v>29.613489</v>
      </c>
      <c r="O448" s="224"/>
      <c r="P448" s="225" t="s">
        <v>155</v>
      </c>
      <c r="Q448" s="225" t="s">
        <v>155</v>
      </c>
      <c r="R448" s="225" t="s">
        <v>155</v>
      </c>
      <c r="S448" s="225" t="s">
        <v>155</v>
      </c>
      <c r="T448" s="226"/>
      <c r="U448" s="227"/>
      <c r="V448" s="52" t="s">
        <v>250</v>
      </c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</row>
    <row r="449" ht="30.0" customHeight="1">
      <c r="A449" s="159"/>
      <c r="B449" s="218" t="s">
        <v>246</v>
      </c>
      <c r="C449" s="218" t="s">
        <v>813</v>
      </c>
      <c r="D449" s="218" t="s">
        <v>1148</v>
      </c>
      <c r="E449" s="219">
        <v>15863.0</v>
      </c>
      <c r="F449" s="220" t="s">
        <v>1151</v>
      </c>
      <c r="G449" s="221" t="s">
        <v>518</v>
      </c>
      <c r="H449" s="221" t="s">
        <v>1152</v>
      </c>
      <c r="I449" s="221" t="s">
        <v>269</v>
      </c>
      <c r="J449" s="221" t="s">
        <v>356</v>
      </c>
      <c r="K449" s="223">
        <v>2.0</v>
      </c>
      <c r="L449" s="223" t="b">
        <v>1</v>
      </c>
      <c r="M449" s="223" t="s">
        <v>269</v>
      </c>
      <c r="N449" s="223">
        <v>35.507658</v>
      </c>
      <c r="O449" s="224" t="s">
        <v>238</v>
      </c>
      <c r="P449" s="225" t="s">
        <v>155</v>
      </c>
      <c r="Q449" s="225" t="s">
        <v>155</v>
      </c>
      <c r="R449" s="225" t="s">
        <v>155</v>
      </c>
      <c r="S449" s="225" t="s">
        <v>155</v>
      </c>
      <c r="T449" s="226"/>
      <c r="U449" s="227"/>
      <c r="V449" s="52" t="s">
        <v>250</v>
      </c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</row>
    <row r="450" ht="30.0" customHeight="1">
      <c r="A450" s="159"/>
      <c r="B450" s="218" t="s">
        <v>246</v>
      </c>
      <c r="C450" s="218" t="s">
        <v>813</v>
      </c>
      <c r="D450" s="218" t="s">
        <v>1148</v>
      </c>
      <c r="E450" s="219">
        <v>112800.0</v>
      </c>
      <c r="F450" s="220" t="s">
        <v>1153</v>
      </c>
      <c r="G450" s="221" t="s">
        <v>518</v>
      </c>
      <c r="H450" s="221" t="s">
        <v>1154</v>
      </c>
      <c r="I450" s="221" t="s">
        <v>1155</v>
      </c>
      <c r="J450" s="222" t="s">
        <v>250</v>
      </c>
      <c r="K450" s="223">
        <v>1.0</v>
      </c>
      <c r="L450" s="223" t="b">
        <v>0</v>
      </c>
      <c r="M450" s="223" t="s">
        <v>289</v>
      </c>
      <c r="N450" s="223">
        <v>0.209411</v>
      </c>
      <c r="O450" s="224"/>
      <c r="P450" s="225" t="s">
        <v>155</v>
      </c>
      <c r="Q450" s="225" t="s">
        <v>155</v>
      </c>
      <c r="R450" s="225" t="s">
        <v>155</v>
      </c>
      <c r="S450" s="225" t="s">
        <v>155</v>
      </c>
      <c r="T450" s="226"/>
      <c r="U450" s="227"/>
      <c r="V450" s="52" t="s">
        <v>250</v>
      </c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</row>
    <row r="451" ht="30.0" customHeight="1">
      <c r="A451" s="159"/>
      <c r="B451" s="218" t="s">
        <v>246</v>
      </c>
      <c r="C451" s="218" t="s">
        <v>813</v>
      </c>
      <c r="D451" s="218" t="s">
        <v>1148</v>
      </c>
      <c r="E451" s="219">
        <v>112798.0</v>
      </c>
      <c r="F451" s="220" t="s">
        <v>1156</v>
      </c>
      <c r="G451" s="221" t="s">
        <v>518</v>
      </c>
      <c r="H451" s="221" t="s">
        <v>1154</v>
      </c>
      <c r="I451" s="221" t="s">
        <v>1157</v>
      </c>
      <c r="J451" s="222" t="s">
        <v>250</v>
      </c>
      <c r="K451" s="223">
        <v>1.0</v>
      </c>
      <c r="L451" s="223" t="b">
        <v>0</v>
      </c>
      <c r="M451" s="223" t="s">
        <v>289</v>
      </c>
      <c r="N451" s="223">
        <v>0.18</v>
      </c>
      <c r="O451" s="224"/>
      <c r="P451" s="225" t="s">
        <v>155</v>
      </c>
      <c r="Q451" s="225" t="s">
        <v>155</v>
      </c>
      <c r="R451" s="225" t="s">
        <v>155</v>
      </c>
      <c r="S451" s="225" t="s">
        <v>155</v>
      </c>
      <c r="T451" s="226"/>
      <c r="U451" s="227"/>
      <c r="V451" s="52" t="s">
        <v>250</v>
      </c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</row>
    <row r="452" ht="30.0" customHeight="1">
      <c r="A452" s="159"/>
      <c r="B452" s="218" t="s">
        <v>246</v>
      </c>
      <c r="C452" s="218" t="s">
        <v>813</v>
      </c>
      <c r="D452" s="218" t="s">
        <v>1148</v>
      </c>
      <c r="E452" s="219">
        <v>112802.0</v>
      </c>
      <c r="F452" s="220" t="s">
        <v>1158</v>
      </c>
      <c r="G452" s="221" t="s">
        <v>518</v>
      </c>
      <c r="H452" s="221" t="s">
        <v>1154</v>
      </c>
      <c r="I452" s="221" t="s">
        <v>1155</v>
      </c>
      <c r="J452" s="222" t="s">
        <v>250</v>
      </c>
      <c r="K452" s="223">
        <v>1.0</v>
      </c>
      <c r="L452" s="223" t="b">
        <v>0</v>
      </c>
      <c r="M452" s="223" t="s">
        <v>289</v>
      </c>
      <c r="N452" s="223">
        <v>0.209285</v>
      </c>
      <c r="O452" s="224"/>
      <c r="P452" s="225" t="s">
        <v>155</v>
      </c>
      <c r="Q452" s="225" t="s">
        <v>155</v>
      </c>
      <c r="R452" s="225" t="s">
        <v>155</v>
      </c>
      <c r="S452" s="225" t="s">
        <v>155</v>
      </c>
      <c r="T452" s="226"/>
      <c r="U452" s="227"/>
      <c r="V452" s="52" t="s">
        <v>250</v>
      </c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</row>
    <row r="453" ht="30.0" customHeight="1">
      <c r="A453" s="209"/>
      <c r="B453" s="210" t="s">
        <v>1159</v>
      </c>
      <c r="C453" s="211"/>
      <c r="D453" s="211"/>
      <c r="E453" s="212"/>
      <c r="F453" s="213"/>
      <c r="G453" s="213"/>
      <c r="H453" s="213"/>
      <c r="I453" s="212"/>
      <c r="J453" s="212"/>
      <c r="K453" s="214"/>
      <c r="L453" s="214"/>
      <c r="M453" s="214"/>
      <c r="N453" s="214"/>
      <c r="O453" s="215"/>
      <c r="P453" s="216"/>
      <c r="Q453" s="216"/>
      <c r="R453" s="216"/>
      <c r="S453" s="216"/>
      <c r="T453" s="217"/>
      <c r="U453" s="217"/>
      <c r="V453" s="217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</row>
    <row r="454" ht="30.0" customHeight="1">
      <c r="A454" s="159"/>
      <c r="B454" s="218" t="s">
        <v>246</v>
      </c>
      <c r="C454" s="218" t="s">
        <v>813</v>
      </c>
      <c r="D454" s="218" t="s">
        <v>1159</v>
      </c>
      <c r="E454" s="219">
        <v>15700.0</v>
      </c>
      <c r="F454" s="220" t="s">
        <v>1160</v>
      </c>
      <c r="G454" s="221" t="s">
        <v>369</v>
      </c>
      <c r="H454" s="221" t="s">
        <v>1051</v>
      </c>
      <c r="I454" s="221" t="s">
        <v>616</v>
      </c>
      <c r="J454" s="221" t="s">
        <v>1161</v>
      </c>
      <c r="K454" s="223">
        <v>2.0</v>
      </c>
      <c r="L454" s="223" t="b">
        <v>0</v>
      </c>
      <c r="M454" s="228"/>
      <c r="N454" s="228"/>
      <c r="O454" s="224"/>
      <c r="P454" s="225" t="s">
        <v>155</v>
      </c>
      <c r="Q454" s="225" t="s">
        <v>155</v>
      </c>
      <c r="R454" s="225" t="s">
        <v>155</v>
      </c>
      <c r="S454" s="225" t="s">
        <v>155</v>
      </c>
      <c r="T454" s="226"/>
      <c r="U454" s="227"/>
      <c r="V454" s="52" t="s">
        <v>250</v>
      </c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</row>
    <row r="455" ht="30.0" customHeight="1">
      <c r="A455" s="159"/>
      <c r="B455" s="218" t="s">
        <v>246</v>
      </c>
      <c r="C455" s="218" t="s">
        <v>813</v>
      </c>
      <c r="D455" s="218" t="s">
        <v>1159</v>
      </c>
      <c r="E455" s="219">
        <v>109631.0</v>
      </c>
      <c r="F455" s="220" t="s">
        <v>1162</v>
      </c>
      <c r="G455" s="221" t="s">
        <v>518</v>
      </c>
      <c r="H455" s="221" t="s">
        <v>1163</v>
      </c>
      <c r="I455" s="221" t="s">
        <v>389</v>
      </c>
      <c r="J455" s="222" t="s">
        <v>250</v>
      </c>
      <c r="K455" s="223">
        <v>2.0</v>
      </c>
      <c r="L455" s="223" t="b">
        <v>1</v>
      </c>
      <c r="M455" s="223" t="s">
        <v>389</v>
      </c>
      <c r="N455" s="223">
        <v>119.662</v>
      </c>
      <c r="O455" s="224"/>
      <c r="P455" s="225" t="s">
        <v>155</v>
      </c>
      <c r="Q455" s="225" t="s">
        <v>155</v>
      </c>
      <c r="R455" s="225" t="s">
        <v>155</v>
      </c>
      <c r="S455" s="225" t="s">
        <v>155</v>
      </c>
      <c r="T455" s="226"/>
      <c r="U455" s="227"/>
      <c r="V455" s="52" t="s">
        <v>250</v>
      </c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</row>
    <row r="456" ht="30.0" customHeight="1">
      <c r="A456" s="159"/>
      <c r="B456" s="218" t="s">
        <v>246</v>
      </c>
      <c r="C456" s="218" t="s">
        <v>813</v>
      </c>
      <c r="D456" s="218" t="s">
        <v>1159</v>
      </c>
      <c r="E456" s="219">
        <v>15701.0</v>
      </c>
      <c r="F456" s="220" t="s">
        <v>1164</v>
      </c>
      <c r="G456" s="221" t="s">
        <v>518</v>
      </c>
      <c r="H456" s="222"/>
      <c r="I456" s="221" t="s">
        <v>42</v>
      </c>
      <c r="J456" s="222" t="s">
        <v>250</v>
      </c>
      <c r="K456" s="223">
        <v>1.0</v>
      </c>
      <c r="L456" s="223" t="b">
        <v>1</v>
      </c>
      <c r="M456" s="223" t="s">
        <v>42</v>
      </c>
      <c r="N456" s="223">
        <v>14.356</v>
      </c>
      <c r="O456" s="224"/>
      <c r="P456" s="225" t="s">
        <v>155</v>
      </c>
      <c r="Q456" s="225" t="s">
        <v>155</v>
      </c>
      <c r="R456" s="225" t="s">
        <v>155</v>
      </c>
      <c r="S456" s="225" t="s">
        <v>155</v>
      </c>
      <c r="T456" s="226"/>
      <c r="U456" s="227"/>
      <c r="V456" s="52" t="s">
        <v>250</v>
      </c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</row>
    <row r="457" ht="30.0" customHeight="1">
      <c r="A457" s="159"/>
      <c r="B457" s="218" t="s">
        <v>246</v>
      </c>
      <c r="C457" s="218" t="s">
        <v>813</v>
      </c>
      <c r="D457" s="218" t="s">
        <v>1159</v>
      </c>
      <c r="E457" s="219">
        <v>15707.0</v>
      </c>
      <c r="F457" s="220" t="s">
        <v>1165</v>
      </c>
      <c r="G457" s="221" t="s">
        <v>518</v>
      </c>
      <c r="H457" s="221" t="s">
        <v>1166</v>
      </c>
      <c r="I457" s="221" t="s">
        <v>613</v>
      </c>
      <c r="J457" s="222" t="s">
        <v>250</v>
      </c>
      <c r="K457" s="223">
        <v>2.0</v>
      </c>
      <c r="L457" s="223" t="b">
        <v>0</v>
      </c>
      <c r="M457" s="223" t="s">
        <v>613</v>
      </c>
      <c r="N457" s="223">
        <v>50.130588</v>
      </c>
      <c r="O457" s="224"/>
      <c r="P457" s="225" t="s">
        <v>155</v>
      </c>
      <c r="Q457" s="225" t="s">
        <v>155</v>
      </c>
      <c r="R457" s="225" t="s">
        <v>155</v>
      </c>
      <c r="S457" s="225" t="s">
        <v>155</v>
      </c>
      <c r="T457" s="226"/>
      <c r="U457" s="227"/>
      <c r="V457" s="52" t="s">
        <v>250</v>
      </c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</row>
    <row r="458" ht="30.0" customHeight="1">
      <c r="A458" s="159"/>
      <c r="B458" s="218" t="s">
        <v>246</v>
      </c>
      <c r="C458" s="218" t="s">
        <v>813</v>
      </c>
      <c r="D458" s="218" t="s">
        <v>1159</v>
      </c>
      <c r="E458" s="219">
        <v>109630.0</v>
      </c>
      <c r="F458" s="220" t="s">
        <v>1167</v>
      </c>
      <c r="G458" s="221" t="s">
        <v>518</v>
      </c>
      <c r="H458" s="221" t="s">
        <v>1051</v>
      </c>
      <c r="I458" s="221" t="s">
        <v>389</v>
      </c>
      <c r="J458" s="222" t="s">
        <v>250</v>
      </c>
      <c r="K458" s="223">
        <v>2.0</v>
      </c>
      <c r="L458" s="223" t="b">
        <v>1</v>
      </c>
      <c r="M458" s="223" t="s">
        <v>389</v>
      </c>
      <c r="N458" s="223">
        <v>6.232857</v>
      </c>
      <c r="O458" s="224"/>
      <c r="P458" s="225" t="s">
        <v>155</v>
      </c>
      <c r="Q458" s="225" t="s">
        <v>155</v>
      </c>
      <c r="R458" s="225" t="s">
        <v>155</v>
      </c>
      <c r="S458" s="225" t="s">
        <v>155</v>
      </c>
      <c r="T458" s="226"/>
      <c r="U458" s="227"/>
      <c r="V458" s="52" t="s">
        <v>250</v>
      </c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</row>
    <row r="459" ht="30.0" customHeight="1">
      <c r="A459" s="159"/>
      <c r="B459" s="218" t="s">
        <v>246</v>
      </c>
      <c r="C459" s="218" t="s">
        <v>813</v>
      </c>
      <c r="D459" s="218" t="s">
        <v>1159</v>
      </c>
      <c r="E459" s="219">
        <v>15814.0</v>
      </c>
      <c r="F459" s="220" t="s">
        <v>1168</v>
      </c>
      <c r="G459" s="221" t="s">
        <v>369</v>
      </c>
      <c r="H459" s="222"/>
      <c r="I459" s="221" t="s">
        <v>389</v>
      </c>
      <c r="J459" s="222" t="s">
        <v>250</v>
      </c>
      <c r="K459" s="223">
        <v>2.0</v>
      </c>
      <c r="L459" s="223" t="b">
        <v>1</v>
      </c>
      <c r="M459" s="223" t="s">
        <v>739</v>
      </c>
      <c r="N459" s="223">
        <v>22.640977</v>
      </c>
      <c r="O459" s="224" t="s">
        <v>238</v>
      </c>
      <c r="P459" s="225" t="s">
        <v>155</v>
      </c>
      <c r="Q459" s="225" t="s">
        <v>155</v>
      </c>
      <c r="R459" s="225" t="s">
        <v>155</v>
      </c>
      <c r="S459" s="225" t="s">
        <v>155</v>
      </c>
      <c r="T459" s="226"/>
      <c r="U459" s="227"/>
      <c r="V459" s="52" t="s">
        <v>250</v>
      </c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</row>
    <row r="460" ht="30.0" customHeight="1">
      <c r="A460" s="159"/>
      <c r="B460" s="218" t="s">
        <v>246</v>
      </c>
      <c r="C460" s="218" t="s">
        <v>813</v>
      </c>
      <c r="D460" s="218" t="s">
        <v>1159</v>
      </c>
      <c r="E460" s="219">
        <v>15703.0</v>
      </c>
      <c r="F460" s="220" t="s">
        <v>1169</v>
      </c>
      <c r="G460" s="221" t="s">
        <v>518</v>
      </c>
      <c r="H460" s="222"/>
      <c r="I460" s="221" t="s">
        <v>269</v>
      </c>
      <c r="J460" s="222" t="s">
        <v>250</v>
      </c>
      <c r="K460" s="223">
        <v>1.0</v>
      </c>
      <c r="L460" s="223" t="b">
        <v>1</v>
      </c>
      <c r="M460" s="223" t="s">
        <v>269</v>
      </c>
      <c r="N460" s="223">
        <v>44.265633</v>
      </c>
      <c r="O460" s="224" t="s">
        <v>238</v>
      </c>
      <c r="P460" s="225" t="s">
        <v>155</v>
      </c>
      <c r="Q460" s="225" t="s">
        <v>155</v>
      </c>
      <c r="R460" s="225" t="s">
        <v>155</v>
      </c>
      <c r="S460" s="225" t="s">
        <v>155</v>
      </c>
      <c r="T460" s="226"/>
      <c r="U460" s="227"/>
      <c r="V460" s="52" t="s">
        <v>250</v>
      </c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</row>
    <row r="461" ht="30.0" customHeight="1">
      <c r="A461" s="159"/>
      <c r="B461" s="218" t="s">
        <v>246</v>
      </c>
      <c r="C461" s="218" t="s">
        <v>813</v>
      </c>
      <c r="D461" s="218" t="s">
        <v>1159</v>
      </c>
      <c r="E461" s="219">
        <v>143571.0</v>
      </c>
      <c r="F461" s="220" t="s">
        <v>1170</v>
      </c>
      <c r="G461" s="221" t="s">
        <v>518</v>
      </c>
      <c r="H461" s="221" t="s">
        <v>846</v>
      </c>
      <c r="I461" s="221" t="s">
        <v>1171</v>
      </c>
      <c r="J461" s="222" t="s">
        <v>250</v>
      </c>
      <c r="K461" s="223">
        <v>4.0</v>
      </c>
      <c r="L461" s="223" t="b">
        <v>1</v>
      </c>
      <c r="M461" s="228"/>
      <c r="N461" s="228"/>
      <c r="O461" s="224"/>
      <c r="P461" s="225" t="s">
        <v>155</v>
      </c>
      <c r="Q461" s="225" t="s">
        <v>155</v>
      </c>
      <c r="R461" s="225" t="s">
        <v>155</v>
      </c>
      <c r="S461" s="225" t="s">
        <v>155</v>
      </c>
      <c r="T461" s="226"/>
      <c r="U461" s="227"/>
      <c r="V461" s="52" t="s">
        <v>250</v>
      </c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</row>
    <row r="462" ht="30.0" customHeight="1">
      <c r="A462" s="159"/>
      <c r="B462" s="218" t="s">
        <v>246</v>
      </c>
      <c r="C462" s="218" t="s">
        <v>813</v>
      </c>
      <c r="D462" s="218" t="s">
        <v>1159</v>
      </c>
      <c r="E462" s="219">
        <v>11949.0</v>
      </c>
      <c r="F462" s="220" t="s">
        <v>1172</v>
      </c>
      <c r="G462" s="221" t="s">
        <v>369</v>
      </c>
      <c r="H462" s="221" t="s">
        <v>1051</v>
      </c>
      <c r="I462" s="221" t="s">
        <v>1173</v>
      </c>
      <c r="J462" s="221" t="s">
        <v>1161</v>
      </c>
      <c r="K462" s="223">
        <v>2.0</v>
      </c>
      <c r="L462" s="223" t="b">
        <v>0</v>
      </c>
      <c r="M462" s="223" t="s">
        <v>1173</v>
      </c>
      <c r="N462" s="223">
        <v>37.237692</v>
      </c>
      <c r="O462" s="224" t="s">
        <v>238</v>
      </c>
      <c r="P462" s="225" t="s">
        <v>155</v>
      </c>
      <c r="Q462" s="225" t="s">
        <v>155</v>
      </c>
      <c r="R462" s="225" t="s">
        <v>155</v>
      </c>
      <c r="S462" s="225" t="s">
        <v>155</v>
      </c>
      <c r="T462" s="226"/>
      <c r="U462" s="227"/>
      <c r="V462" s="52" t="s">
        <v>250</v>
      </c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</row>
    <row r="463" ht="30.0" customHeight="1">
      <c r="A463" s="159"/>
      <c r="B463" s="218" t="s">
        <v>246</v>
      </c>
      <c r="C463" s="218" t="s">
        <v>813</v>
      </c>
      <c r="D463" s="218" t="s">
        <v>1159</v>
      </c>
      <c r="E463" s="219">
        <v>40107.0</v>
      </c>
      <c r="F463" s="220" t="s">
        <v>1174</v>
      </c>
      <c r="G463" s="221" t="s">
        <v>518</v>
      </c>
      <c r="H463" s="222"/>
      <c r="I463" s="221" t="s">
        <v>455</v>
      </c>
      <c r="J463" s="222" t="s">
        <v>250</v>
      </c>
      <c r="K463" s="223">
        <v>2.0</v>
      </c>
      <c r="L463" s="223" t="b">
        <v>0</v>
      </c>
      <c r="M463" s="223" t="s">
        <v>455</v>
      </c>
      <c r="N463" s="223">
        <v>72.444756</v>
      </c>
      <c r="O463" s="224" t="s">
        <v>238</v>
      </c>
      <c r="P463" s="225" t="s">
        <v>155</v>
      </c>
      <c r="Q463" s="225" t="s">
        <v>155</v>
      </c>
      <c r="R463" s="225" t="s">
        <v>155</v>
      </c>
      <c r="S463" s="225" t="s">
        <v>155</v>
      </c>
      <c r="T463" s="226"/>
      <c r="U463" s="227"/>
      <c r="V463" s="52" t="s">
        <v>250</v>
      </c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</row>
    <row r="464" ht="30.0" customHeight="1">
      <c r="A464" s="159"/>
      <c r="B464" s="218" t="s">
        <v>246</v>
      </c>
      <c r="C464" s="218" t="s">
        <v>813</v>
      </c>
      <c r="D464" s="218" t="s">
        <v>1159</v>
      </c>
      <c r="E464" s="219">
        <v>15805.0</v>
      </c>
      <c r="F464" s="220" t="s">
        <v>1175</v>
      </c>
      <c r="G464" s="221" t="s">
        <v>369</v>
      </c>
      <c r="H464" s="221" t="s">
        <v>1176</v>
      </c>
      <c r="I464" s="221" t="s">
        <v>42</v>
      </c>
      <c r="J464" s="221" t="s">
        <v>1161</v>
      </c>
      <c r="K464" s="223">
        <v>2.0</v>
      </c>
      <c r="L464" s="223" t="b">
        <v>0</v>
      </c>
      <c r="M464" s="223" t="s">
        <v>42</v>
      </c>
      <c r="N464" s="223">
        <v>3.266981</v>
      </c>
      <c r="O464" s="224" t="s">
        <v>238</v>
      </c>
      <c r="P464" s="225" t="s">
        <v>155</v>
      </c>
      <c r="Q464" s="225" t="s">
        <v>155</v>
      </c>
      <c r="R464" s="225" t="s">
        <v>155</v>
      </c>
      <c r="S464" s="225" t="s">
        <v>155</v>
      </c>
      <c r="T464" s="229" t="s">
        <v>550</v>
      </c>
      <c r="U464" s="227"/>
      <c r="V464" s="109" t="s">
        <v>1177</v>
      </c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</row>
    <row r="465" ht="30.0" customHeight="1">
      <c r="A465" s="159"/>
      <c r="B465" s="218" t="s">
        <v>246</v>
      </c>
      <c r="C465" s="218" t="s">
        <v>813</v>
      </c>
      <c r="D465" s="218" t="s">
        <v>1159</v>
      </c>
      <c r="E465" s="219">
        <v>15804.0</v>
      </c>
      <c r="F465" s="220" t="s">
        <v>1178</v>
      </c>
      <c r="G465" s="221" t="s">
        <v>369</v>
      </c>
      <c r="H465" s="221" t="s">
        <v>1176</v>
      </c>
      <c r="I465" s="221" t="s">
        <v>42</v>
      </c>
      <c r="J465" s="222" t="s">
        <v>250</v>
      </c>
      <c r="K465" s="223">
        <v>2.0</v>
      </c>
      <c r="L465" s="223" t="b">
        <v>0</v>
      </c>
      <c r="M465" s="223" t="s">
        <v>42</v>
      </c>
      <c r="N465" s="223">
        <v>1.646363</v>
      </c>
      <c r="O465" s="224" t="s">
        <v>238</v>
      </c>
      <c r="P465" s="225" t="s">
        <v>155</v>
      </c>
      <c r="Q465" s="225" t="s">
        <v>155</v>
      </c>
      <c r="R465" s="225" t="s">
        <v>155</v>
      </c>
      <c r="S465" s="225" t="s">
        <v>155</v>
      </c>
      <c r="T465" s="229" t="s">
        <v>550</v>
      </c>
      <c r="U465" s="227"/>
      <c r="V465" s="52" t="s">
        <v>250</v>
      </c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</row>
    <row r="466" ht="30.0" customHeight="1">
      <c r="A466" s="159"/>
      <c r="B466" s="218" t="s">
        <v>246</v>
      </c>
      <c r="C466" s="218" t="s">
        <v>813</v>
      </c>
      <c r="D466" s="218" t="s">
        <v>1159</v>
      </c>
      <c r="E466" s="219">
        <v>102790.0</v>
      </c>
      <c r="F466" s="220" t="s">
        <v>1179</v>
      </c>
      <c r="G466" s="221" t="s">
        <v>518</v>
      </c>
      <c r="H466" s="221" t="s">
        <v>1180</v>
      </c>
      <c r="I466" s="221" t="s">
        <v>42</v>
      </c>
      <c r="J466" s="221" t="s">
        <v>371</v>
      </c>
      <c r="K466" s="223">
        <v>3.0</v>
      </c>
      <c r="L466" s="223" t="b">
        <v>0</v>
      </c>
      <c r="M466" s="228"/>
      <c r="N466" s="228"/>
      <c r="O466" s="224"/>
      <c r="P466" s="225" t="s">
        <v>155</v>
      </c>
      <c r="Q466" s="225" t="s">
        <v>155</v>
      </c>
      <c r="R466" s="225" t="s">
        <v>155</v>
      </c>
      <c r="S466" s="225" t="s">
        <v>155</v>
      </c>
      <c r="T466" s="226"/>
      <c r="U466" s="227"/>
      <c r="V466" s="52" t="s">
        <v>250</v>
      </c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</row>
    <row r="467" ht="30.0" customHeight="1">
      <c r="A467" s="209"/>
      <c r="B467" s="210" t="s">
        <v>1181</v>
      </c>
      <c r="C467" s="211"/>
      <c r="D467" s="211"/>
      <c r="E467" s="212"/>
      <c r="F467" s="213"/>
      <c r="G467" s="213"/>
      <c r="H467" s="213"/>
      <c r="I467" s="212"/>
      <c r="J467" s="212"/>
      <c r="K467" s="214"/>
      <c r="L467" s="214"/>
      <c r="M467" s="214"/>
      <c r="N467" s="214"/>
      <c r="O467" s="215"/>
      <c r="P467" s="216"/>
      <c r="Q467" s="216"/>
      <c r="R467" s="216"/>
      <c r="S467" s="216"/>
      <c r="T467" s="217"/>
      <c r="U467" s="217"/>
      <c r="V467" s="217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</row>
    <row r="468" ht="30.0" customHeight="1">
      <c r="A468" s="159"/>
      <c r="B468" s="218" t="s">
        <v>246</v>
      </c>
      <c r="C468" s="218" t="s">
        <v>813</v>
      </c>
      <c r="D468" s="218" t="s">
        <v>1181</v>
      </c>
      <c r="E468" s="219">
        <v>51438.0</v>
      </c>
      <c r="F468" s="220" t="s">
        <v>1182</v>
      </c>
      <c r="G468" s="221" t="s">
        <v>518</v>
      </c>
      <c r="H468" s="222"/>
      <c r="I468" s="221" t="s">
        <v>1183</v>
      </c>
      <c r="J468" s="222" t="s">
        <v>250</v>
      </c>
      <c r="K468" s="223">
        <v>2.0</v>
      </c>
      <c r="L468" s="223" t="b">
        <v>0</v>
      </c>
      <c r="M468" s="223" t="s">
        <v>1183</v>
      </c>
      <c r="N468" s="223">
        <v>74.630769</v>
      </c>
      <c r="O468" s="224"/>
      <c r="P468" s="225" t="s">
        <v>155</v>
      </c>
      <c r="Q468" s="225" t="s">
        <v>155</v>
      </c>
      <c r="R468" s="225" t="s">
        <v>155</v>
      </c>
      <c r="S468" s="225" t="s">
        <v>155</v>
      </c>
      <c r="T468" s="226"/>
      <c r="U468" s="227"/>
      <c r="V468" s="52" t="s">
        <v>250</v>
      </c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</row>
    <row r="469" ht="30.0" customHeight="1">
      <c r="A469" s="159"/>
      <c r="B469" s="218" t="s">
        <v>246</v>
      </c>
      <c r="C469" s="218" t="s">
        <v>813</v>
      </c>
      <c r="D469" s="218" t="s">
        <v>1181</v>
      </c>
      <c r="E469" s="219">
        <v>51163.0</v>
      </c>
      <c r="F469" s="220" t="s">
        <v>1184</v>
      </c>
      <c r="G469" s="221" t="s">
        <v>518</v>
      </c>
      <c r="H469" s="222"/>
      <c r="I469" s="221" t="s">
        <v>289</v>
      </c>
      <c r="J469" s="222" t="s">
        <v>250</v>
      </c>
      <c r="K469" s="223">
        <v>2.0</v>
      </c>
      <c r="L469" s="223" t="b">
        <v>0</v>
      </c>
      <c r="M469" s="223" t="s">
        <v>289</v>
      </c>
      <c r="N469" s="223">
        <v>3.227777</v>
      </c>
      <c r="O469" s="224"/>
      <c r="P469" s="225" t="s">
        <v>155</v>
      </c>
      <c r="Q469" s="225" t="s">
        <v>155</v>
      </c>
      <c r="R469" s="225" t="s">
        <v>155</v>
      </c>
      <c r="S469" s="225" t="s">
        <v>155</v>
      </c>
      <c r="T469" s="226"/>
      <c r="U469" s="227"/>
      <c r="V469" s="52" t="s">
        <v>250</v>
      </c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</row>
    <row r="470" ht="30.0" customHeight="1">
      <c r="A470" s="159"/>
      <c r="B470" s="218" t="s">
        <v>246</v>
      </c>
      <c r="C470" s="218" t="s">
        <v>813</v>
      </c>
      <c r="D470" s="218" t="s">
        <v>1181</v>
      </c>
      <c r="E470" s="219">
        <v>51210.0</v>
      </c>
      <c r="F470" s="220" t="s">
        <v>1185</v>
      </c>
      <c r="G470" s="221" t="s">
        <v>518</v>
      </c>
      <c r="H470" s="221" t="s">
        <v>1088</v>
      </c>
      <c r="I470" s="221" t="s">
        <v>432</v>
      </c>
      <c r="J470" s="222" t="s">
        <v>250</v>
      </c>
      <c r="K470" s="223">
        <v>2.0</v>
      </c>
      <c r="L470" s="223" t="b">
        <v>0</v>
      </c>
      <c r="M470" s="223" t="s">
        <v>432</v>
      </c>
      <c r="N470" s="223">
        <v>182.022945</v>
      </c>
      <c r="O470" s="224" t="s">
        <v>238</v>
      </c>
      <c r="P470" s="225" t="s">
        <v>155</v>
      </c>
      <c r="Q470" s="225" t="s">
        <v>155</v>
      </c>
      <c r="R470" s="225" t="s">
        <v>155</v>
      </c>
      <c r="S470" s="225" t="s">
        <v>155</v>
      </c>
      <c r="T470" s="226"/>
      <c r="U470" s="227"/>
      <c r="V470" s="109" t="s">
        <v>1186</v>
      </c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</row>
    <row r="471" ht="30.0" customHeight="1">
      <c r="A471" s="159"/>
      <c r="B471" s="218" t="s">
        <v>246</v>
      </c>
      <c r="C471" s="218" t="s">
        <v>813</v>
      </c>
      <c r="D471" s="218" t="s">
        <v>1181</v>
      </c>
      <c r="E471" s="219">
        <v>112826.0</v>
      </c>
      <c r="F471" s="220" t="s">
        <v>1187</v>
      </c>
      <c r="G471" s="221" t="s">
        <v>518</v>
      </c>
      <c r="H471" s="221" t="s">
        <v>1188</v>
      </c>
      <c r="I471" s="221" t="s">
        <v>1189</v>
      </c>
      <c r="J471" s="222" t="s">
        <v>250</v>
      </c>
      <c r="K471" s="223">
        <v>3.0</v>
      </c>
      <c r="L471" s="223" t="b">
        <v>0</v>
      </c>
      <c r="M471" s="223" t="s">
        <v>1190</v>
      </c>
      <c r="N471" s="223">
        <v>0.3875</v>
      </c>
      <c r="O471" s="224"/>
      <c r="P471" s="225" t="s">
        <v>155</v>
      </c>
      <c r="Q471" s="225" t="s">
        <v>155</v>
      </c>
      <c r="R471" s="225" t="s">
        <v>155</v>
      </c>
      <c r="S471" s="225" t="s">
        <v>155</v>
      </c>
      <c r="T471" s="226"/>
      <c r="U471" s="227"/>
      <c r="V471" s="52" t="s">
        <v>250</v>
      </c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</row>
    <row r="472" ht="30.0" customHeight="1">
      <c r="A472" s="159"/>
      <c r="B472" s="218" t="s">
        <v>246</v>
      </c>
      <c r="C472" s="218" t="s">
        <v>813</v>
      </c>
      <c r="D472" s="218" t="s">
        <v>1181</v>
      </c>
      <c r="E472" s="219">
        <v>101193.0</v>
      </c>
      <c r="F472" s="220" t="s">
        <v>1191</v>
      </c>
      <c r="G472" s="221" t="s">
        <v>518</v>
      </c>
      <c r="H472" s="221" t="s">
        <v>1192</v>
      </c>
      <c r="I472" s="221" t="s">
        <v>389</v>
      </c>
      <c r="J472" s="222" t="s">
        <v>250</v>
      </c>
      <c r="K472" s="223">
        <v>2.0</v>
      </c>
      <c r="L472" s="223" t="b">
        <v>0</v>
      </c>
      <c r="M472" s="223" t="s">
        <v>389</v>
      </c>
      <c r="N472" s="223">
        <v>62.495</v>
      </c>
      <c r="O472" s="224"/>
      <c r="P472" s="225" t="s">
        <v>155</v>
      </c>
      <c r="Q472" s="225" t="s">
        <v>155</v>
      </c>
      <c r="R472" s="225" t="s">
        <v>155</v>
      </c>
      <c r="S472" s="225" t="s">
        <v>155</v>
      </c>
      <c r="T472" s="226"/>
      <c r="U472" s="227"/>
      <c r="V472" s="52" t="s">
        <v>250</v>
      </c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</row>
    <row r="473" ht="30.0" customHeight="1">
      <c r="A473" s="159"/>
      <c r="B473" s="218" t="s">
        <v>246</v>
      </c>
      <c r="C473" s="218" t="s">
        <v>813</v>
      </c>
      <c r="D473" s="218" t="s">
        <v>1181</v>
      </c>
      <c r="E473" s="219">
        <v>101181.0</v>
      </c>
      <c r="F473" s="220" t="s">
        <v>1193</v>
      </c>
      <c r="G473" s="221" t="s">
        <v>518</v>
      </c>
      <c r="H473" s="222"/>
      <c r="I473" s="221" t="s">
        <v>1194</v>
      </c>
      <c r="J473" s="221" t="s">
        <v>840</v>
      </c>
      <c r="K473" s="223">
        <v>2.0</v>
      </c>
      <c r="L473" s="223" t="b">
        <v>0</v>
      </c>
      <c r="M473" s="223" t="s">
        <v>1194</v>
      </c>
      <c r="N473" s="223">
        <v>38.882549</v>
      </c>
      <c r="O473" s="224"/>
      <c r="P473" s="225" t="s">
        <v>155</v>
      </c>
      <c r="Q473" s="225" t="s">
        <v>155</v>
      </c>
      <c r="R473" s="225" t="s">
        <v>155</v>
      </c>
      <c r="S473" s="225" t="s">
        <v>155</v>
      </c>
      <c r="T473" s="226"/>
      <c r="U473" s="227"/>
      <c r="V473" s="109" t="s">
        <v>866</v>
      </c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</row>
    <row r="474" ht="30.0" customHeight="1">
      <c r="A474" s="159"/>
      <c r="B474" s="218" t="s">
        <v>246</v>
      </c>
      <c r="C474" s="218" t="s">
        <v>813</v>
      </c>
      <c r="D474" s="218" t="s">
        <v>1181</v>
      </c>
      <c r="E474" s="219">
        <v>148639.0</v>
      </c>
      <c r="F474" s="220" t="s">
        <v>1195</v>
      </c>
      <c r="G474" s="221" t="s">
        <v>518</v>
      </c>
      <c r="H474" s="221" t="s">
        <v>1188</v>
      </c>
      <c r="I474" s="221" t="s">
        <v>1196</v>
      </c>
      <c r="J474" s="222" t="s">
        <v>250</v>
      </c>
      <c r="K474" s="223">
        <v>2.0</v>
      </c>
      <c r="L474" s="223" t="b">
        <v>0</v>
      </c>
      <c r="M474" s="228"/>
      <c r="N474" s="228"/>
      <c r="O474" s="224"/>
      <c r="P474" s="230"/>
      <c r="Q474" s="225" t="s">
        <v>155</v>
      </c>
      <c r="R474" s="225" t="s">
        <v>155</v>
      </c>
      <c r="S474" s="230"/>
      <c r="T474" s="229" t="s">
        <v>651</v>
      </c>
      <c r="U474" s="227"/>
      <c r="V474" s="52" t="s">
        <v>250</v>
      </c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</row>
    <row r="475" ht="30.0" customHeight="1">
      <c r="A475" s="209"/>
      <c r="B475" s="209" t="s">
        <v>1197</v>
      </c>
      <c r="C475" s="211"/>
      <c r="D475" s="211"/>
      <c r="E475" s="212"/>
      <c r="F475" s="213"/>
      <c r="G475" s="213"/>
      <c r="H475" s="213"/>
      <c r="I475" s="212"/>
      <c r="J475" s="212"/>
      <c r="K475" s="214"/>
      <c r="L475" s="214"/>
      <c r="M475" s="214"/>
      <c r="N475" s="214"/>
      <c r="O475" s="215"/>
      <c r="P475" s="216"/>
      <c r="Q475" s="216"/>
      <c r="R475" s="216"/>
      <c r="S475" s="216"/>
      <c r="T475" s="217"/>
      <c r="U475" s="217"/>
      <c r="V475" s="217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</row>
    <row r="476" ht="30.0" customHeight="1">
      <c r="A476" s="159"/>
      <c r="B476" s="218" t="s">
        <v>246</v>
      </c>
      <c r="C476" s="218" t="s">
        <v>1198</v>
      </c>
      <c r="D476" s="218" t="s">
        <v>1199</v>
      </c>
      <c r="E476" s="219">
        <v>110837.0</v>
      </c>
      <c r="F476" s="220" t="s">
        <v>1200</v>
      </c>
      <c r="G476" s="221" t="s">
        <v>518</v>
      </c>
      <c r="H476" s="222" t="s">
        <v>250</v>
      </c>
      <c r="I476" s="221" t="s">
        <v>1201</v>
      </c>
      <c r="J476" s="222" t="s">
        <v>250</v>
      </c>
      <c r="K476" s="223">
        <v>2.0</v>
      </c>
      <c r="L476" s="223" t="b">
        <v>1</v>
      </c>
      <c r="M476" s="223" t="s">
        <v>1201</v>
      </c>
      <c r="N476" s="223">
        <v>27.35</v>
      </c>
      <c r="O476" s="224"/>
      <c r="P476" s="225" t="s">
        <v>155</v>
      </c>
      <c r="Q476" s="225" t="s">
        <v>155</v>
      </c>
      <c r="R476" s="225" t="s">
        <v>155</v>
      </c>
      <c r="S476" s="225" t="s">
        <v>155</v>
      </c>
      <c r="T476" s="226"/>
      <c r="U476" s="227"/>
      <c r="V476" s="109" t="s">
        <v>1202</v>
      </c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</row>
    <row r="477" ht="30.0" customHeight="1">
      <c r="A477" s="159"/>
      <c r="B477" s="218" t="s">
        <v>246</v>
      </c>
      <c r="C477" s="218" t="s">
        <v>1198</v>
      </c>
      <c r="D477" s="218" t="s">
        <v>1197</v>
      </c>
      <c r="E477" s="219">
        <v>112134.0</v>
      </c>
      <c r="F477" s="220" t="s">
        <v>1203</v>
      </c>
      <c r="G477" s="221" t="s">
        <v>518</v>
      </c>
      <c r="H477" s="221" t="s">
        <v>1204</v>
      </c>
      <c r="I477" s="221" t="s">
        <v>972</v>
      </c>
      <c r="J477" s="222" t="s">
        <v>250</v>
      </c>
      <c r="K477" s="223">
        <v>4.0</v>
      </c>
      <c r="L477" s="223" t="b">
        <v>0</v>
      </c>
      <c r="M477" s="228"/>
      <c r="N477" s="228"/>
      <c r="O477" s="224"/>
      <c r="P477" s="230"/>
      <c r="Q477" s="230"/>
      <c r="R477" s="225" t="s">
        <v>155</v>
      </c>
      <c r="S477" s="230"/>
      <c r="T477" s="229" t="s">
        <v>833</v>
      </c>
      <c r="U477" s="227"/>
      <c r="V477" s="52" t="s">
        <v>250</v>
      </c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</row>
    <row r="478" ht="30.0" customHeight="1">
      <c r="A478" s="159"/>
      <c r="B478" s="218" t="s">
        <v>246</v>
      </c>
      <c r="C478" s="218" t="s">
        <v>1198</v>
      </c>
      <c r="D478" s="218" t="s">
        <v>1197</v>
      </c>
      <c r="E478" s="219">
        <v>112133.0</v>
      </c>
      <c r="F478" s="220" t="s">
        <v>1205</v>
      </c>
      <c r="G478" s="221" t="s">
        <v>518</v>
      </c>
      <c r="H478" s="221" t="s">
        <v>1206</v>
      </c>
      <c r="I478" s="221" t="s">
        <v>1207</v>
      </c>
      <c r="J478" s="221" t="s">
        <v>819</v>
      </c>
      <c r="K478" s="223">
        <v>3.0</v>
      </c>
      <c r="L478" s="223" t="b">
        <v>0</v>
      </c>
      <c r="M478" s="223" t="s">
        <v>1207</v>
      </c>
      <c r="N478" s="223">
        <v>7.3612</v>
      </c>
      <c r="O478" s="224" t="s">
        <v>238</v>
      </c>
      <c r="P478" s="225" t="s">
        <v>155</v>
      </c>
      <c r="Q478" s="225" t="s">
        <v>155</v>
      </c>
      <c r="R478" s="225" t="s">
        <v>155</v>
      </c>
      <c r="S478" s="225" t="s">
        <v>155</v>
      </c>
      <c r="T478" s="229" t="s">
        <v>550</v>
      </c>
      <c r="U478" s="227"/>
      <c r="V478" s="52" t="s">
        <v>250</v>
      </c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</row>
    <row r="479" ht="30.0" customHeight="1">
      <c r="A479" s="159"/>
      <c r="B479" s="218" t="s">
        <v>246</v>
      </c>
      <c r="C479" s="218" t="s">
        <v>1198</v>
      </c>
      <c r="D479" s="218" t="s">
        <v>1197</v>
      </c>
      <c r="E479" s="219">
        <v>78834.0</v>
      </c>
      <c r="F479" s="220" t="s">
        <v>1208</v>
      </c>
      <c r="G479" s="221" t="s">
        <v>518</v>
      </c>
      <c r="H479" s="221" t="s">
        <v>1209</v>
      </c>
      <c r="I479" s="221" t="s">
        <v>1210</v>
      </c>
      <c r="J479" s="221" t="s">
        <v>819</v>
      </c>
      <c r="K479" s="223">
        <v>2.0</v>
      </c>
      <c r="L479" s="223" t="b">
        <v>1</v>
      </c>
      <c r="M479" s="223" t="s">
        <v>1210</v>
      </c>
      <c r="N479" s="223">
        <v>34.119333</v>
      </c>
      <c r="O479" s="224" t="s">
        <v>238</v>
      </c>
      <c r="P479" s="225" t="s">
        <v>155</v>
      </c>
      <c r="Q479" s="225" t="s">
        <v>155</v>
      </c>
      <c r="R479" s="225" t="s">
        <v>155</v>
      </c>
      <c r="S479" s="225" t="s">
        <v>155</v>
      </c>
      <c r="T479" s="229" t="s">
        <v>550</v>
      </c>
      <c r="U479" s="227"/>
      <c r="V479" s="109" t="s">
        <v>1211</v>
      </c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</row>
    <row r="480" ht="30.0" customHeight="1">
      <c r="A480" s="159"/>
      <c r="B480" s="218" t="s">
        <v>246</v>
      </c>
      <c r="C480" s="218" t="s">
        <v>1198</v>
      </c>
      <c r="D480" s="218" t="s">
        <v>1197</v>
      </c>
      <c r="E480" s="219">
        <v>78831.0</v>
      </c>
      <c r="F480" s="220" t="s">
        <v>1212</v>
      </c>
      <c r="G480" s="221" t="s">
        <v>518</v>
      </c>
      <c r="H480" s="221" t="s">
        <v>1213</v>
      </c>
      <c r="I480" s="221" t="s">
        <v>1214</v>
      </c>
      <c r="J480" s="221" t="s">
        <v>819</v>
      </c>
      <c r="K480" s="223">
        <v>1.0</v>
      </c>
      <c r="L480" s="223" t="b">
        <v>0</v>
      </c>
      <c r="M480" s="223" t="s">
        <v>1214</v>
      </c>
      <c r="N480" s="223">
        <v>16.332666</v>
      </c>
      <c r="O480" s="224" t="s">
        <v>238</v>
      </c>
      <c r="P480" s="225" t="s">
        <v>155</v>
      </c>
      <c r="Q480" s="225" t="s">
        <v>155</v>
      </c>
      <c r="R480" s="225" t="s">
        <v>155</v>
      </c>
      <c r="S480" s="225" t="s">
        <v>155</v>
      </c>
      <c r="T480" s="229" t="s">
        <v>550</v>
      </c>
      <c r="U480" s="227"/>
      <c r="V480" s="109" t="s">
        <v>1215</v>
      </c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</row>
    <row r="481" ht="30.0" customHeight="1">
      <c r="A481" s="159"/>
      <c r="B481" s="218" t="s">
        <v>246</v>
      </c>
      <c r="C481" s="218" t="s">
        <v>1198</v>
      </c>
      <c r="D481" s="218" t="s">
        <v>1197</v>
      </c>
      <c r="E481" s="219">
        <v>77864.0</v>
      </c>
      <c r="F481" s="220" t="s">
        <v>1216</v>
      </c>
      <c r="G481" s="221" t="s">
        <v>518</v>
      </c>
      <c r="H481" s="221" t="s">
        <v>1213</v>
      </c>
      <c r="I481" s="221" t="s">
        <v>1217</v>
      </c>
      <c r="J481" s="221" t="s">
        <v>819</v>
      </c>
      <c r="K481" s="223">
        <v>4.0</v>
      </c>
      <c r="L481" s="223" t="b">
        <v>0</v>
      </c>
      <c r="M481" s="223" t="s">
        <v>1217</v>
      </c>
      <c r="N481" s="223">
        <v>62.039816</v>
      </c>
      <c r="O481" s="224" t="s">
        <v>238</v>
      </c>
      <c r="P481" s="225" t="s">
        <v>155</v>
      </c>
      <c r="Q481" s="225" t="s">
        <v>155</v>
      </c>
      <c r="R481" s="225" t="s">
        <v>155</v>
      </c>
      <c r="S481" s="225" t="s">
        <v>155</v>
      </c>
      <c r="T481" s="229" t="s">
        <v>550</v>
      </c>
      <c r="U481" s="227"/>
      <c r="V481" s="52" t="s">
        <v>250</v>
      </c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</row>
    <row r="482" ht="30.0" customHeight="1">
      <c r="A482" s="159"/>
      <c r="B482" s="218" t="s">
        <v>246</v>
      </c>
      <c r="C482" s="218" t="s">
        <v>1198</v>
      </c>
      <c r="D482" s="218" t="s">
        <v>1197</v>
      </c>
      <c r="E482" s="219">
        <v>78829.0</v>
      </c>
      <c r="F482" s="220" t="s">
        <v>1218</v>
      </c>
      <c r="G482" s="221" t="s">
        <v>518</v>
      </c>
      <c r="H482" s="221" t="s">
        <v>1209</v>
      </c>
      <c r="I482" s="221" t="s">
        <v>1219</v>
      </c>
      <c r="J482" s="221" t="s">
        <v>1220</v>
      </c>
      <c r="K482" s="223">
        <v>4.0</v>
      </c>
      <c r="L482" s="223" t="b">
        <v>0</v>
      </c>
      <c r="M482" s="223" t="s">
        <v>1219</v>
      </c>
      <c r="N482" s="223">
        <v>36.6033</v>
      </c>
      <c r="O482" s="224" t="s">
        <v>238</v>
      </c>
      <c r="P482" s="225" t="s">
        <v>155</v>
      </c>
      <c r="Q482" s="225" t="s">
        <v>155</v>
      </c>
      <c r="R482" s="225" t="s">
        <v>155</v>
      </c>
      <c r="S482" s="225" t="s">
        <v>155</v>
      </c>
      <c r="T482" s="226"/>
      <c r="U482" s="227"/>
      <c r="V482" s="52" t="s">
        <v>250</v>
      </c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</row>
    <row r="483" ht="30.0" customHeight="1">
      <c r="A483" s="159"/>
      <c r="B483" s="218" t="s">
        <v>246</v>
      </c>
      <c r="C483" s="218" t="s">
        <v>1198</v>
      </c>
      <c r="D483" s="218" t="s">
        <v>1197</v>
      </c>
      <c r="E483" s="219">
        <v>100708.0</v>
      </c>
      <c r="F483" s="220" t="s">
        <v>1221</v>
      </c>
      <c r="G483" s="221" t="s">
        <v>518</v>
      </c>
      <c r="H483" s="221" t="s">
        <v>1204</v>
      </c>
      <c r="I483" s="221" t="s">
        <v>1222</v>
      </c>
      <c r="J483" s="221" t="s">
        <v>819</v>
      </c>
      <c r="K483" s="223">
        <v>4.0</v>
      </c>
      <c r="L483" s="223" t="b">
        <v>0</v>
      </c>
      <c r="M483" s="223" t="s">
        <v>1222</v>
      </c>
      <c r="N483" s="223">
        <v>46.496101</v>
      </c>
      <c r="O483" s="224" t="s">
        <v>238</v>
      </c>
      <c r="P483" s="225" t="s">
        <v>155</v>
      </c>
      <c r="Q483" s="225" t="s">
        <v>155</v>
      </c>
      <c r="R483" s="225" t="s">
        <v>155</v>
      </c>
      <c r="S483" s="225" t="s">
        <v>155</v>
      </c>
      <c r="T483" s="226"/>
      <c r="U483" s="227"/>
      <c r="V483" s="52" t="s">
        <v>250</v>
      </c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</row>
    <row r="484" ht="30.0" customHeight="1">
      <c r="A484" s="159"/>
      <c r="B484" s="218" t="s">
        <v>246</v>
      </c>
      <c r="C484" s="218" t="s">
        <v>1198</v>
      </c>
      <c r="D484" s="218" t="s">
        <v>1197</v>
      </c>
      <c r="E484" s="219">
        <v>111684.0</v>
      </c>
      <c r="F484" s="220" t="s">
        <v>1223</v>
      </c>
      <c r="G484" s="221" t="s">
        <v>518</v>
      </c>
      <c r="H484" s="221" t="s">
        <v>1224</v>
      </c>
      <c r="I484" s="221" t="s">
        <v>1210</v>
      </c>
      <c r="J484" s="222" t="s">
        <v>250</v>
      </c>
      <c r="K484" s="223">
        <v>3.0</v>
      </c>
      <c r="L484" s="223" t="b">
        <v>1</v>
      </c>
      <c r="M484" s="223" t="s">
        <v>1210</v>
      </c>
      <c r="N484" s="223">
        <v>23.557722</v>
      </c>
      <c r="O484" s="224" t="s">
        <v>238</v>
      </c>
      <c r="P484" s="225" t="s">
        <v>155</v>
      </c>
      <c r="Q484" s="225" t="s">
        <v>155</v>
      </c>
      <c r="R484" s="225" t="s">
        <v>155</v>
      </c>
      <c r="S484" s="225" t="s">
        <v>155</v>
      </c>
      <c r="T484" s="226"/>
      <c r="U484" s="227"/>
      <c r="V484" s="52" t="s">
        <v>250</v>
      </c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</row>
    <row r="485" ht="30.0" customHeight="1">
      <c r="A485" s="159"/>
      <c r="B485" s="218" t="s">
        <v>246</v>
      </c>
      <c r="C485" s="218" t="s">
        <v>1198</v>
      </c>
      <c r="D485" s="218" t="s">
        <v>1197</v>
      </c>
      <c r="E485" s="219">
        <v>100513.0</v>
      </c>
      <c r="F485" s="220" t="s">
        <v>1225</v>
      </c>
      <c r="G485" s="221" t="s">
        <v>518</v>
      </c>
      <c r="H485" s="221" t="s">
        <v>1204</v>
      </c>
      <c r="I485" s="221" t="s">
        <v>1226</v>
      </c>
      <c r="J485" s="222" t="s">
        <v>250</v>
      </c>
      <c r="K485" s="223">
        <v>2.0</v>
      </c>
      <c r="L485" s="223" t="b">
        <v>1</v>
      </c>
      <c r="M485" s="223" t="s">
        <v>1226</v>
      </c>
      <c r="N485" s="223">
        <v>65.373103</v>
      </c>
      <c r="O485" s="224" t="s">
        <v>238</v>
      </c>
      <c r="P485" s="225" t="s">
        <v>155</v>
      </c>
      <c r="Q485" s="225" t="s">
        <v>155</v>
      </c>
      <c r="R485" s="225" t="s">
        <v>155</v>
      </c>
      <c r="S485" s="225" t="s">
        <v>155</v>
      </c>
      <c r="T485" s="226"/>
      <c r="U485" s="227"/>
      <c r="V485" s="52" t="s">
        <v>250</v>
      </c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</row>
    <row r="486" ht="30.0" customHeight="1">
      <c r="A486" s="159"/>
      <c r="B486" s="218" t="s">
        <v>246</v>
      </c>
      <c r="C486" s="218" t="s">
        <v>1198</v>
      </c>
      <c r="D486" s="218" t="s">
        <v>1197</v>
      </c>
      <c r="E486" s="219">
        <v>100514.0</v>
      </c>
      <c r="F486" s="220" t="s">
        <v>1227</v>
      </c>
      <c r="G486" s="221" t="s">
        <v>518</v>
      </c>
      <c r="H486" s="221" t="s">
        <v>1204</v>
      </c>
      <c r="I486" s="221" t="s">
        <v>389</v>
      </c>
      <c r="J486" s="222" t="s">
        <v>250</v>
      </c>
      <c r="K486" s="223">
        <v>2.0</v>
      </c>
      <c r="L486" s="223" t="b">
        <v>1</v>
      </c>
      <c r="M486" s="223" t="s">
        <v>389</v>
      </c>
      <c r="N486" s="223">
        <v>3.46</v>
      </c>
      <c r="O486" s="224"/>
      <c r="P486" s="225" t="s">
        <v>155</v>
      </c>
      <c r="Q486" s="225" t="s">
        <v>155</v>
      </c>
      <c r="R486" s="225" t="s">
        <v>155</v>
      </c>
      <c r="S486" s="225" t="s">
        <v>155</v>
      </c>
      <c r="T486" s="226"/>
      <c r="U486" s="227"/>
      <c r="V486" s="52" t="s">
        <v>250</v>
      </c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</row>
    <row r="487" ht="30.0" customHeight="1">
      <c r="A487" s="159"/>
      <c r="B487" s="218" t="s">
        <v>246</v>
      </c>
      <c r="C487" s="218" t="s">
        <v>1198</v>
      </c>
      <c r="D487" s="218" t="s">
        <v>1197</v>
      </c>
      <c r="E487" s="219">
        <v>107133.0</v>
      </c>
      <c r="F487" s="220" t="s">
        <v>1228</v>
      </c>
      <c r="G487" s="221" t="s">
        <v>518</v>
      </c>
      <c r="H487" s="221" t="s">
        <v>1204</v>
      </c>
      <c r="I487" s="221" t="s">
        <v>42</v>
      </c>
      <c r="J487" s="222" t="s">
        <v>250</v>
      </c>
      <c r="K487" s="223">
        <v>2.0</v>
      </c>
      <c r="L487" s="223" t="b">
        <v>1</v>
      </c>
      <c r="M487" s="228"/>
      <c r="N487" s="228"/>
      <c r="O487" s="224"/>
      <c r="P487" s="225" t="s">
        <v>155</v>
      </c>
      <c r="Q487" s="225" t="s">
        <v>155</v>
      </c>
      <c r="R487" s="225" t="s">
        <v>155</v>
      </c>
      <c r="S487" s="225" t="s">
        <v>155</v>
      </c>
      <c r="T487" s="226"/>
      <c r="U487" s="227"/>
      <c r="V487" s="52" t="s">
        <v>250</v>
      </c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</row>
    <row r="488" ht="30.0" customHeight="1">
      <c r="A488" s="159"/>
      <c r="B488" s="218" t="s">
        <v>246</v>
      </c>
      <c r="C488" s="218" t="s">
        <v>1198</v>
      </c>
      <c r="D488" s="218" t="s">
        <v>1197</v>
      </c>
      <c r="E488" s="219">
        <v>100549.0</v>
      </c>
      <c r="F488" s="220" t="s">
        <v>1229</v>
      </c>
      <c r="G488" s="221" t="s">
        <v>518</v>
      </c>
      <c r="H488" s="221" t="s">
        <v>1204</v>
      </c>
      <c r="I488" s="221" t="s">
        <v>1230</v>
      </c>
      <c r="J488" s="222" t="s">
        <v>250</v>
      </c>
      <c r="K488" s="223">
        <v>2.0</v>
      </c>
      <c r="L488" s="223" t="b">
        <v>1</v>
      </c>
      <c r="M488" s="223" t="s">
        <v>42</v>
      </c>
      <c r="N488" s="223">
        <v>3.699411</v>
      </c>
      <c r="O488" s="224"/>
      <c r="P488" s="225" t="s">
        <v>155</v>
      </c>
      <c r="Q488" s="225" t="s">
        <v>155</v>
      </c>
      <c r="R488" s="225" t="s">
        <v>155</v>
      </c>
      <c r="S488" s="225" t="s">
        <v>155</v>
      </c>
      <c r="T488" s="226"/>
      <c r="U488" s="227"/>
      <c r="V488" s="52" t="s">
        <v>250</v>
      </c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</row>
    <row r="489" ht="30.0" customHeight="1">
      <c r="A489" s="159"/>
      <c r="B489" s="218" t="s">
        <v>246</v>
      </c>
      <c r="C489" s="218" t="s">
        <v>1198</v>
      </c>
      <c r="D489" s="218" t="s">
        <v>1197</v>
      </c>
      <c r="E489" s="219">
        <v>15923.0</v>
      </c>
      <c r="F489" s="220" t="s">
        <v>1231</v>
      </c>
      <c r="G489" s="221" t="s">
        <v>518</v>
      </c>
      <c r="H489" s="221" t="s">
        <v>1232</v>
      </c>
      <c r="I489" s="221" t="s">
        <v>1222</v>
      </c>
      <c r="J489" s="221" t="s">
        <v>390</v>
      </c>
      <c r="K489" s="223">
        <v>3.0</v>
      </c>
      <c r="L489" s="223" t="b">
        <v>0</v>
      </c>
      <c r="M489" s="223" t="s">
        <v>1233</v>
      </c>
      <c r="N489" s="223">
        <v>6.553571</v>
      </c>
      <c r="O489" s="224" t="s">
        <v>238</v>
      </c>
      <c r="P489" s="225" t="s">
        <v>155</v>
      </c>
      <c r="Q489" s="225" t="s">
        <v>155</v>
      </c>
      <c r="R489" s="225" t="s">
        <v>155</v>
      </c>
      <c r="S489" s="225" t="s">
        <v>155</v>
      </c>
      <c r="T489" s="229" t="s">
        <v>550</v>
      </c>
      <c r="U489" s="227"/>
      <c r="V489" s="52" t="s">
        <v>250</v>
      </c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</row>
    <row r="490" ht="30.0" customHeight="1">
      <c r="A490" s="159"/>
      <c r="B490" s="218" t="s">
        <v>246</v>
      </c>
      <c r="C490" s="218" t="s">
        <v>1198</v>
      </c>
      <c r="D490" s="218" t="s">
        <v>1197</v>
      </c>
      <c r="E490" s="219">
        <v>110955.0</v>
      </c>
      <c r="F490" s="220" t="s">
        <v>1234</v>
      </c>
      <c r="G490" s="221" t="s">
        <v>518</v>
      </c>
      <c r="H490" s="221" t="s">
        <v>1235</v>
      </c>
      <c r="I490" s="221" t="s">
        <v>1236</v>
      </c>
      <c r="J490" s="222" t="s">
        <v>250</v>
      </c>
      <c r="K490" s="223">
        <v>2.0</v>
      </c>
      <c r="L490" s="223" t="b">
        <v>1</v>
      </c>
      <c r="M490" s="223" t="s">
        <v>1237</v>
      </c>
      <c r="N490" s="223">
        <v>30.992105</v>
      </c>
      <c r="O490" s="224" t="s">
        <v>238</v>
      </c>
      <c r="P490" s="225" t="s">
        <v>155</v>
      </c>
      <c r="Q490" s="225" t="s">
        <v>155</v>
      </c>
      <c r="R490" s="225" t="s">
        <v>155</v>
      </c>
      <c r="S490" s="225" t="s">
        <v>155</v>
      </c>
      <c r="T490" s="229" t="s">
        <v>550</v>
      </c>
      <c r="U490" s="227"/>
      <c r="V490" s="52" t="s">
        <v>250</v>
      </c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</row>
    <row r="491" ht="30.0" customHeight="1">
      <c r="A491" s="159"/>
      <c r="B491" s="218" t="s">
        <v>246</v>
      </c>
      <c r="C491" s="218" t="s">
        <v>1198</v>
      </c>
      <c r="D491" s="218" t="s">
        <v>1197</v>
      </c>
      <c r="E491" s="219">
        <v>15935.0</v>
      </c>
      <c r="F491" s="220" t="s">
        <v>1238</v>
      </c>
      <c r="G491" s="221" t="s">
        <v>518</v>
      </c>
      <c r="H491" s="221" t="s">
        <v>1239</v>
      </c>
      <c r="I491" s="221" t="s">
        <v>726</v>
      </c>
      <c r="J491" s="221" t="s">
        <v>1240</v>
      </c>
      <c r="K491" s="223">
        <v>3.0</v>
      </c>
      <c r="L491" s="223" t="b">
        <v>1</v>
      </c>
      <c r="M491" s="223" t="s">
        <v>726</v>
      </c>
      <c r="N491" s="223">
        <v>43.027241</v>
      </c>
      <c r="O491" s="224"/>
      <c r="P491" s="225" t="s">
        <v>155</v>
      </c>
      <c r="Q491" s="225" t="s">
        <v>155</v>
      </c>
      <c r="R491" s="225" t="s">
        <v>155</v>
      </c>
      <c r="S491" s="225" t="s">
        <v>155</v>
      </c>
      <c r="T491" s="226"/>
      <c r="U491" s="227"/>
      <c r="V491" s="52" t="s">
        <v>250</v>
      </c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</row>
    <row r="492" ht="30.0" customHeight="1">
      <c r="A492" s="159"/>
      <c r="B492" s="218" t="s">
        <v>246</v>
      </c>
      <c r="C492" s="218" t="s">
        <v>1198</v>
      </c>
      <c r="D492" s="218" t="s">
        <v>1197</v>
      </c>
      <c r="E492" s="219">
        <v>110639.0</v>
      </c>
      <c r="F492" s="220" t="s">
        <v>1241</v>
      </c>
      <c r="G492" s="221" t="s">
        <v>518</v>
      </c>
      <c r="H492" s="221" t="s">
        <v>1242</v>
      </c>
      <c r="I492" s="221" t="s">
        <v>334</v>
      </c>
      <c r="J492" s="222" t="s">
        <v>250</v>
      </c>
      <c r="K492" s="223">
        <v>3.0</v>
      </c>
      <c r="L492" s="223" t="b">
        <v>1</v>
      </c>
      <c r="M492" s="223" t="s">
        <v>1243</v>
      </c>
      <c r="N492" s="223">
        <v>0.84387</v>
      </c>
      <c r="O492" s="224"/>
      <c r="P492" s="225" t="s">
        <v>155</v>
      </c>
      <c r="Q492" s="225" t="s">
        <v>155</v>
      </c>
      <c r="R492" s="225" t="s">
        <v>155</v>
      </c>
      <c r="S492" s="225" t="s">
        <v>155</v>
      </c>
      <c r="T492" s="226"/>
      <c r="U492" s="227"/>
      <c r="V492" s="52" t="s">
        <v>250</v>
      </c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</row>
    <row r="493" ht="30.0" customHeight="1">
      <c r="A493" s="159"/>
      <c r="B493" s="218" t="s">
        <v>246</v>
      </c>
      <c r="C493" s="218" t="s">
        <v>1198</v>
      </c>
      <c r="D493" s="218" t="s">
        <v>1197</v>
      </c>
      <c r="E493" s="219">
        <v>109650.0</v>
      </c>
      <c r="F493" s="220" t="s">
        <v>1244</v>
      </c>
      <c r="G493" s="221" t="s">
        <v>518</v>
      </c>
      <c r="H493" s="221" t="s">
        <v>821</v>
      </c>
      <c r="I493" s="221" t="s">
        <v>42</v>
      </c>
      <c r="J493" s="222" t="s">
        <v>250</v>
      </c>
      <c r="K493" s="223">
        <v>3.0</v>
      </c>
      <c r="L493" s="223" t="b">
        <v>1</v>
      </c>
      <c r="M493" s="223" t="s">
        <v>42</v>
      </c>
      <c r="N493" s="223">
        <v>0.660705</v>
      </c>
      <c r="O493" s="224" t="s">
        <v>238</v>
      </c>
      <c r="P493" s="225" t="s">
        <v>155</v>
      </c>
      <c r="Q493" s="225" t="s">
        <v>155</v>
      </c>
      <c r="R493" s="225" t="s">
        <v>155</v>
      </c>
      <c r="S493" s="225" t="s">
        <v>155</v>
      </c>
      <c r="T493" s="226"/>
      <c r="U493" s="227"/>
      <c r="V493" s="109" t="s">
        <v>1245</v>
      </c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</row>
    <row r="494" ht="30.0" customHeight="1">
      <c r="A494" s="209"/>
      <c r="B494" s="210" t="s">
        <v>1246</v>
      </c>
      <c r="C494" s="211"/>
      <c r="D494" s="211"/>
      <c r="E494" s="212"/>
      <c r="F494" s="213"/>
      <c r="G494" s="213"/>
      <c r="H494" s="213"/>
      <c r="I494" s="212"/>
      <c r="J494" s="212"/>
      <c r="K494" s="214"/>
      <c r="L494" s="214"/>
      <c r="M494" s="214"/>
      <c r="N494" s="214"/>
      <c r="O494" s="215"/>
      <c r="P494" s="216"/>
      <c r="Q494" s="216"/>
      <c r="R494" s="216"/>
      <c r="S494" s="216"/>
      <c r="T494" s="217"/>
      <c r="U494" s="217"/>
      <c r="V494" s="217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</row>
    <row r="495" ht="30.0" customHeight="1">
      <c r="A495" s="159"/>
      <c r="B495" s="218" t="s">
        <v>246</v>
      </c>
      <c r="C495" s="218" t="s">
        <v>1198</v>
      </c>
      <c r="D495" s="218" t="s">
        <v>1246</v>
      </c>
      <c r="E495" s="219">
        <v>106303.0</v>
      </c>
      <c r="F495" s="220" t="s">
        <v>1247</v>
      </c>
      <c r="G495" s="221" t="s">
        <v>518</v>
      </c>
      <c r="H495" s="221" t="s">
        <v>1248</v>
      </c>
      <c r="I495" s="221" t="s">
        <v>1249</v>
      </c>
      <c r="J495" s="222" t="s">
        <v>250</v>
      </c>
      <c r="K495" s="223">
        <v>1.0</v>
      </c>
      <c r="L495" s="223" t="b">
        <v>0</v>
      </c>
      <c r="M495" s="223" t="s">
        <v>1250</v>
      </c>
      <c r="N495" s="223">
        <v>1.563571</v>
      </c>
      <c r="O495" s="224"/>
      <c r="P495" s="225" t="s">
        <v>155</v>
      </c>
      <c r="Q495" s="225" t="s">
        <v>155</v>
      </c>
      <c r="R495" s="225" t="s">
        <v>155</v>
      </c>
      <c r="S495" s="225" t="s">
        <v>155</v>
      </c>
      <c r="T495" s="226"/>
      <c r="U495" s="227"/>
      <c r="V495" s="109" t="s">
        <v>1251</v>
      </c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</row>
    <row r="496" ht="30.0" customHeight="1">
      <c r="A496" s="159"/>
      <c r="B496" s="218" t="s">
        <v>246</v>
      </c>
      <c r="C496" s="218" t="s">
        <v>1198</v>
      </c>
      <c r="D496" s="218" t="s">
        <v>1246</v>
      </c>
      <c r="E496" s="219">
        <v>23904.0</v>
      </c>
      <c r="F496" s="220" t="s">
        <v>1252</v>
      </c>
      <c r="G496" s="221" t="s">
        <v>518</v>
      </c>
      <c r="H496" s="221" t="s">
        <v>1253</v>
      </c>
      <c r="I496" s="221" t="s">
        <v>1254</v>
      </c>
      <c r="J496" s="222" t="s">
        <v>250</v>
      </c>
      <c r="K496" s="223">
        <v>3.0</v>
      </c>
      <c r="L496" s="223" t="b">
        <v>1</v>
      </c>
      <c r="M496" s="228"/>
      <c r="N496" s="228"/>
      <c r="O496" s="224"/>
      <c r="P496" s="225" t="s">
        <v>155</v>
      </c>
      <c r="Q496" s="225" t="s">
        <v>155</v>
      </c>
      <c r="R496" s="225" t="s">
        <v>155</v>
      </c>
      <c r="S496" s="225" t="s">
        <v>155</v>
      </c>
      <c r="T496" s="226"/>
      <c r="U496" s="227"/>
      <c r="V496" s="52" t="s">
        <v>250</v>
      </c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</row>
    <row r="497" ht="30.0" customHeight="1">
      <c r="A497" s="159"/>
      <c r="B497" s="218" t="s">
        <v>246</v>
      </c>
      <c r="C497" s="218" t="s">
        <v>1198</v>
      </c>
      <c r="D497" s="218" t="s">
        <v>1246</v>
      </c>
      <c r="E497" s="219">
        <v>15813.0</v>
      </c>
      <c r="F497" s="220" t="s">
        <v>1255</v>
      </c>
      <c r="G497" s="221" t="s">
        <v>518</v>
      </c>
      <c r="H497" s="222"/>
      <c r="I497" s="221" t="s">
        <v>1256</v>
      </c>
      <c r="J497" s="222" t="s">
        <v>250</v>
      </c>
      <c r="K497" s="223">
        <v>4.0</v>
      </c>
      <c r="L497" s="223" t="b">
        <v>1</v>
      </c>
      <c r="M497" s="223" t="s">
        <v>1256</v>
      </c>
      <c r="N497" s="223">
        <v>73.378153</v>
      </c>
      <c r="O497" s="224" t="s">
        <v>238</v>
      </c>
      <c r="P497" s="225" t="s">
        <v>155</v>
      </c>
      <c r="Q497" s="225" t="s">
        <v>155</v>
      </c>
      <c r="R497" s="225" t="s">
        <v>155</v>
      </c>
      <c r="S497" s="225" t="s">
        <v>155</v>
      </c>
      <c r="T497" s="229" t="s">
        <v>550</v>
      </c>
      <c r="U497" s="227"/>
      <c r="V497" s="109" t="s">
        <v>1257</v>
      </c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</row>
    <row r="498" ht="30.0" customHeight="1">
      <c r="A498" s="159"/>
      <c r="B498" s="218" t="s">
        <v>246</v>
      </c>
      <c r="C498" s="218" t="s">
        <v>1198</v>
      </c>
      <c r="D498" s="218" t="s">
        <v>1246</v>
      </c>
      <c r="E498" s="219">
        <v>17917.0</v>
      </c>
      <c r="F498" s="220" t="s">
        <v>1258</v>
      </c>
      <c r="G498" s="221" t="s">
        <v>518</v>
      </c>
      <c r="H498" s="221" t="s">
        <v>1259</v>
      </c>
      <c r="I498" s="221" t="s">
        <v>269</v>
      </c>
      <c r="J498" s="222" t="s">
        <v>250</v>
      </c>
      <c r="K498" s="223">
        <v>4.0</v>
      </c>
      <c r="L498" s="223" t="b">
        <v>1</v>
      </c>
      <c r="M498" s="223" t="s">
        <v>269</v>
      </c>
      <c r="N498" s="223">
        <v>22.200625</v>
      </c>
      <c r="O498" s="224" t="s">
        <v>238</v>
      </c>
      <c r="P498" s="225" t="s">
        <v>155</v>
      </c>
      <c r="Q498" s="225" t="s">
        <v>155</v>
      </c>
      <c r="R498" s="225" t="s">
        <v>155</v>
      </c>
      <c r="S498" s="225" t="s">
        <v>155</v>
      </c>
      <c r="T498" s="229" t="s">
        <v>550</v>
      </c>
      <c r="U498" s="227"/>
      <c r="V498" s="109" t="s">
        <v>1260</v>
      </c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</row>
    <row r="499" ht="30.0" customHeight="1">
      <c r="A499" s="159"/>
      <c r="B499" s="218" t="s">
        <v>246</v>
      </c>
      <c r="C499" s="218" t="s">
        <v>1198</v>
      </c>
      <c r="D499" s="218" t="s">
        <v>1246</v>
      </c>
      <c r="E499" s="219">
        <v>33374.0</v>
      </c>
      <c r="F499" s="220" t="s">
        <v>1261</v>
      </c>
      <c r="G499" s="221" t="s">
        <v>518</v>
      </c>
      <c r="H499" s="222"/>
      <c r="I499" s="221" t="s">
        <v>1262</v>
      </c>
      <c r="J499" s="222" t="s">
        <v>250</v>
      </c>
      <c r="K499" s="223">
        <v>2.0</v>
      </c>
      <c r="L499" s="223" t="b">
        <v>1</v>
      </c>
      <c r="M499" s="223" t="s">
        <v>1262</v>
      </c>
      <c r="N499" s="223">
        <v>23.287943</v>
      </c>
      <c r="O499" s="224" t="s">
        <v>238</v>
      </c>
      <c r="P499" s="225" t="s">
        <v>155</v>
      </c>
      <c r="Q499" s="225" t="s">
        <v>155</v>
      </c>
      <c r="R499" s="225" t="s">
        <v>155</v>
      </c>
      <c r="S499" s="225" t="s">
        <v>155</v>
      </c>
      <c r="T499" s="229" t="s">
        <v>550</v>
      </c>
      <c r="U499" s="227"/>
      <c r="V499" s="109" t="s">
        <v>1257</v>
      </c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</row>
    <row r="500" ht="30.0" customHeight="1">
      <c r="A500" s="159"/>
      <c r="B500" s="218" t="s">
        <v>246</v>
      </c>
      <c r="C500" s="218" t="s">
        <v>1198</v>
      </c>
      <c r="D500" s="218" t="s">
        <v>1246</v>
      </c>
      <c r="E500" s="219">
        <v>33375.0</v>
      </c>
      <c r="F500" s="220" t="s">
        <v>1263</v>
      </c>
      <c r="G500" s="221" t="s">
        <v>518</v>
      </c>
      <c r="H500" s="221" t="s">
        <v>1264</v>
      </c>
      <c r="I500" s="221" t="s">
        <v>269</v>
      </c>
      <c r="J500" s="222" t="s">
        <v>250</v>
      </c>
      <c r="K500" s="223">
        <v>3.0</v>
      </c>
      <c r="L500" s="223" t="b">
        <v>1</v>
      </c>
      <c r="M500" s="223" t="s">
        <v>1265</v>
      </c>
      <c r="N500" s="223">
        <v>115.48184</v>
      </c>
      <c r="O500" s="224" t="s">
        <v>238</v>
      </c>
      <c r="P500" s="225" t="s">
        <v>155</v>
      </c>
      <c r="Q500" s="225" t="s">
        <v>155</v>
      </c>
      <c r="R500" s="225" t="s">
        <v>155</v>
      </c>
      <c r="S500" s="225" t="s">
        <v>155</v>
      </c>
      <c r="T500" s="229" t="s">
        <v>550</v>
      </c>
      <c r="U500" s="227"/>
      <c r="V500" s="109" t="s">
        <v>1257</v>
      </c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</row>
    <row r="501" ht="30.0" customHeight="1">
      <c r="A501" s="159"/>
      <c r="B501" s="218" t="s">
        <v>246</v>
      </c>
      <c r="C501" s="218" t="s">
        <v>1198</v>
      </c>
      <c r="D501" s="218" t="s">
        <v>1246</v>
      </c>
      <c r="E501" s="219">
        <v>111619.0</v>
      </c>
      <c r="F501" s="220" t="s">
        <v>1266</v>
      </c>
      <c r="G501" s="221" t="s">
        <v>518</v>
      </c>
      <c r="H501" s="221" t="s">
        <v>1267</v>
      </c>
      <c r="I501" s="221" t="s">
        <v>1268</v>
      </c>
      <c r="J501" s="222" t="s">
        <v>250</v>
      </c>
      <c r="K501" s="223">
        <v>2.0</v>
      </c>
      <c r="L501" s="223" t="b">
        <v>1</v>
      </c>
      <c r="M501" s="223" t="s">
        <v>42</v>
      </c>
      <c r="N501" s="223">
        <v>1.37909</v>
      </c>
      <c r="O501" s="224" t="s">
        <v>238</v>
      </c>
      <c r="P501" s="225" t="s">
        <v>155</v>
      </c>
      <c r="Q501" s="225" t="s">
        <v>155</v>
      </c>
      <c r="R501" s="225" t="s">
        <v>155</v>
      </c>
      <c r="S501" s="225" t="s">
        <v>155</v>
      </c>
      <c r="T501" s="229" t="s">
        <v>550</v>
      </c>
      <c r="U501" s="227"/>
      <c r="V501" s="52" t="s">
        <v>250</v>
      </c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</row>
    <row r="502" ht="30.0" customHeight="1">
      <c r="A502" s="159"/>
      <c r="B502" s="218" t="s">
        <v>246</v>
      </c>
      <c r="C502" s="218" t="s">
        <v>1198</v>
      </c>
      <c r="D502" s="218" t="s">
        <v>1246</v>
      </c>
      <c r="E502" s="219">
        <v>111618.0</v>
      </c>
      <c r="F502" s="220" t="s">
        <v>1269</v>
      </c>
      <c r="G502" s="221" t="s">
        <v>518</v>
      </c>
      <c r="H502" s="221" t="s">
        <v>1267</v>
      </c>
      <c r="I502" s="221" t="s">
        <v>1268</v>
      </c>
      <c r="J502" s="222" t="s">
        <v>250</v>
      </c>
      <c r="K502" s="223">
        <v>1.0</v>
      </c>
      <c r="L502" s="223" t="b">
        <v>1</v>
      </c>
      <c r="M502" s="223" t="s">
        <v>42</v>
      </c>
      <c r="N502" s="223">
        <v>1.497812</v>
      </c>
      <c r="O502" s="224" t="s">
        <v>238</v>
      </c>
      <c r="P502" s="225" t="s">
        <v>155</v>
      </c>
      <c r="Q502" s="225" t="s">
        <v>155</v>
      </c>
      <c r="R502" s="225" t="s">
        <v>155</v>
      </c>
      <c r="S502" s="225" t="s">
        <v>155</v>
      </c>
      <c r="T502" s="229" t="s">
        <v>550</v>
      </c>
      <c r="U502" s="227"/>
      <c r="V502" s="52" t="s">
        <v>250</v>
      </c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</row>
    <row r="503" ht="30.0" customHeight="1">
      <c r="A503" s="159"/>
      <c r="B503" s="218" t="s">
        <v>246</v>
      </c>
      <c r="C503" s="218" t="s">
        <v>1198</v>
      </c>
      <c r="D503" s="218" t="s">
        <v>1246</v>
      </c>
      <c r="E503" s="219">
        <v>16400.0</v>
      </c>
      <c r="F503" s="220" t="s">
        <v>1270</v>
      </c>
      <c r="G503" s="221" t="s">
        <v>518</v>
      </c>
      <c r="H503" s="222"/>
      <c r="I503" s="221" t="s">
        <v>1271</v>
      </c>
      <c r="J503" s="222" t="s">
        <v>250</v>
      </c>
      <c r="K503" s="223">
        <v>2.0</v>
      </c>
      <c r="L503" s="223" t="b">
        <v>1</v>
      </c>
      <c r="M503" s="223" t="s">
        <v>1271</v>
      </c>
      <c r="N503" s="223">
        <v>3.844705</v>
      </c>
      <c r="O503" s="224" t="s">
        <v>238</v>
      </c>
      <c r="P503" s="225" t="s">
        <v>155</v>
      </c>
      <c r="Q503" s="225" t="s">
        <v>155</v>
      </c>
      <c r="R503" s="225" t="s">
        <v>155</v>
      </c>
      <c r="S503" s="225" t="s">
        <v>155</v>
      </c>
      <c r="T503" s="229" t="s">
        <v>550</v>
      </c>
      <c r="U503" s="227"/>
      <c r="V503" s="109" t="s">
        <v>1272</v>
      </c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</row>
    <row r="504" ht="30.0" customHeight="1">
      <c r="A504" s="159"/>
      <c r="B504" s="218" t="s">
        <v>246</v>
      </c>
      <c r="C504" s="218" t="s">
        <v>1198</v>
      </c>
      <c r="D504" s="218" t="s">
        <v>1246</v>
      </c>
      <c r="E504" s="219">
        <v>42554.0</v>
      </c>
      <c r="F504" s="220" t="s">
        <v>1273</v>
      </c>
      <c r="G504" s="221" t="s">
        <v>518</v>
      </c>
      <c r="H504" s="221" t="s">
        <v>1274</v>
      </c>
      <c r="I504" s="221" t="s">
        <v>1275</v>
      </c>
      <c r="J504" s="221" t="s">
        <v>1276</v>
      </c>
      <c r="K504" s="223">
        <v>4.0</v>
      </c>
      <c r="L504" s="223" t="b">
        <v>1</v>
      </c>
      <c r="M504" s="223" t="s">
        <v>1275</v>
      </c>
      <c r="N504" s="223">
        <v>6.325104</v>
      </c>
      <c r="O504" s="224" t="s">
        <v>238</v>
      </c>
      <c r="P504" s="225" t="s">
        <v>155</v>
      </c>
      <c r="Q504" s="225" t="s">
        <v>155</v>
      </c>
      <c r="R504" s="225" t="s">
        <v>155</v>
      </c>
      <c r="S504" s="225" t="s">
        <v>155</v>
      </c>
      <c r="T504" s="229" t="s">
        <v>550</v>
      </c>
      <c r="U504" s="227"/>
      <c r="V504" s="52" t="s">
        <v>250</v>
      </c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</row>
    <row r="505" ht="30.0" customHeight="1">
      <c r="A505" s="159"/>
      <c r="B505" s="218" t="s">
        <v>246</v>
      </c>
      <c r="C505" s="218" t="s">
        <v>1198</v>
      </c>
      <c r="D505" s="218" t="s">
        <v>1246</v>
      </c>
      <c r="E505" s="219">
        <v>103696.0</v>
      </c>
      <c r="F505" s="220" t="s">
        <v>1277</v>
      </c>
      <c r="G505" s="221" t="s">
        <v>518</v>
      </c>
      <c r="H505" s="221" t="s">
        <v>1278</v>
      </c>
      <c r="I505" s="221" t="s">
        <v>691</v>
      </c>
      <c r="J505" s="221" t="s">
        <v>1279</v>
      </c>
      <c r="K505" s="223">
        <v>2.0</v>
      </c>
      <c r="L505" s="223" t="b">
        <v>1</v>
      </c>
      <c r="M505" s="223" t="s">
        <v>691</v>
      </c>
      <c r="N505" s="223">
        <v>71.561105</v>
      </c>
      <c r="O505" s="224" t="s">
        <v>238</v>
      </c>
      <c r="P505" s="225" t="s">
        <v>155</v>
      </c>
      <c r="Q505" s="225" t="s">
        <v>155</v>
      </c>
      <c r="R505" s="225" t="s">
        <v>155</v>
      </c>
      <c r="S505" s="225" t="s">
        <v>155</v>
      </c>
      <c r="T505" s="229" t="s">
        <v>550</v>
      </c>
      <c r="U505" s="227"/>
      <c r="V505" s="52" t="s">
        <v>250</v>
      </c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</row>
    <row r="506" ht="30.0" customHeight="1">
      <c r="A506" s="159"/>
      <c r="B506" s="218" t="s">
        <v>246</v>
      </c>
      <c r="C506" s="218" t="s">
        <v>1198</v>
      </c>
      <c r="D506" s="218" t="s">
        <v>1246</v>
      </c>
      <c r="E506" s="219">
        <v>112841.0</v>
      </c>
      <c r="F506" s="220" t="s">
        <v>1280</v>
      </c>
      <c r="G506" s="221" t="s">
        <v>518</v>
      </c>
      <c r="H506" s="221" t="s">
        <v>1281</v>
      </c>
      <c r="I506" s="221" t="s">
        <v>691</v>
      </c>
      <c r="J506" s="221" t="s">
        <v>1282</v>
      </c>
      <c r="K506" s="223">
        <v>3.0</v>
      </c>
      <c r="L506" s="223" t="b">
        <v>0</v>
      </c>
      <c r="M506" s="223" t="s">
        <v>42</v>
      </c>
      <c r="N506" s="223">
        <v>2.2365</v>
      </c>
      <c r="O506" s="224"/>
      <c r="P506" s="225" t="s">
        <v>155</v>
      </c>
      <c r="Q506" s="225" t="s">
        <v>155</v>
      </c>
      <c r="R506" s="225" t="s">
        <v>155</v>
      </c>
      <c r="S506" s="225" t="s">
        <v>155</v>
      </c>
      <c r="T506" s="229" t="s">
        <v>550</v>
      </c>
      <c r="U506" s="227"/>
      <c r="V506" s="52" t="s">
        <v>250</v>
      </c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</row>
    <row r="507" ht="30.0" customHeight="1">
      <c r="A507" s="159"/>
      <c r="B507" s="218" t="s">
        <v>246</v>
      </c>
      <c r="C507" s="218" t="s">
        <v>1198</v>
      </c>
      <c r="D507" s="218" t="s">
        <v>1246</v>
      </c>
      <c r="E507" s="219">
        <v>103525.0</v>
      </c>
      <c r="F507" s="220" t="s">
        <v>1283</v>
      </c>
      <c r="G507" s="221" t="s">
        <v>518</v>
      </c>
      <c r="H507" s="222"/>
      <c r="I507" s="221" t="s">
        <v>389</v>
      </c>
      <c r="J507" s="222" t="s">
        <v>250</v>
      </c>
      <c r="K507" s="223">
        <v>2.0</v>
      </c>
      <c r="L507" s="223" t="b">
        <v>1</v>
      </c>
      <c r="M507" s="228"/>
      <c r="N507" s="228"/>
      <c r="O507" s="224"/>
      <c r="P507" s="230"/>
      <c r="Q507" s="230"/>
      <c r="R507" s="230"/>
      <c r="S507" s="225" t="s">
        <v>155</v>
      </c>
      <c r="T507" s="229" t="s">
        <v>418</v>
      </c>
      <c r="U507" s="227"/>
      <c r="V507" s="52" t="s">
        <v>250</v>
      </c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</row>
    <row r="508" ht="30.0" customHeight="1">
      <c r="A508" s="159"/>
      <c r="B508" s="218" t="s">
        <v>246</v>
      </c>
      <c r="C508" s="218" t="s">
        <v>1198</v>
      </c>
      <c r="D508" s="218" t="s">
        <v>1284</v>
      </c>
      <c r="E508" s="219">
        <v>29904.0</v>
      </c>
      <c r="F508" s="220" t="s">
        <v>1285</v>
      </c>
      <c r="G508" s="221" t="s">
        <v>518</v>
      </c>
      <c r="H508" s="221" t="s">
        <v>1286</v>
      </c>
      <c r="I508" s="221" t="s">
        <v>1287</v>
      </c>
      <c r="J508" s="222" t="s">
        <v>250</v>
      </c>
      <c r="K508" s="223">
        <v>4.0</v>
      </c>
      <c r="L508" s="223" t="b">
        <v>1</v>
      </c>
      <c r="M508" s="223" t="s">
        <v>1287</v>
      </c>
      <c r="N508" s="223">
        <v>83.624942</v>
      </c>
      <c r="O508" s="224" t="s">
        <v>238</v>
      </c>
      <c r="P508" s="225" t="s">
        <v>155</v>
      </c>
      <c r="Q508" s="225" t="s">
        <v>155</v>
      </c>
      <c r="R508" s="225" t="s">
        <v>155</v>
      </c>
      <c r="S508" s="225" t="s">
        <v>155</v>
      </c>
      <c r="T508" s="229" t="s">
        <v>550</v>
      </c>
      <c r="U508" s="227"/>
      <c r="V508" s="52" t="s">
        <v>250</v>
      </c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</row>
    <row r="509" ht="30.0" customHeight="1">
      <c r="A509" s="209"/>
      <c r="B509" s="210" t="s">
        <v>1288</v>
      </c>
      <c r="C509" s="211"/>
      <c r="D509" s="211"/>
      <c r="E509" s="212"/>
      <c r="F509" s="213"/>
      <c r="G509" s="213"/>
      <c r="H509" s="213"/>
      <c r="I509" s="212"/>
      <c r="J509" s="212"/>
      <c r="K509" s="214"/>
      <c r="L509" s="214"/>
      <c r="M509" s="214"/>
      <c r="N509" s="214"/>
      <c r="O509" s="215"/>
      <c r="P509" s="216"/>
      <c r="Q509" s="216"/>
      <c r="R509" s="216"/>
      <c r="S509" s="216"/>
      <c r="T509" s="217"/>
      <c r="U509" s="217"/>
      <c r="V509" s="217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</row>
    <row r="510" ht="30.0" customHeight="1">
      <c r="A510" s="159"/>
      <c r="B510" s="218" t="s">
        <v>246</v>
      </c>
      <c r="C510" s="218" t="s">
        <v>1289</v>
      </c>
      <c r="D510" s="218" t="s">
        <v>1288</v>
      </c>
      <c r="E510" s="219">
        <v>107554.0</v>
      </c>
      <c r="F510" s="220" t="s">
        <v>1290</v>
      </c>
      <c r="G510" s="221" t="s">
        <v>518</v>
      </c>
      <c r="H510" s="221" t="s">
        <v>789</v>
      </c>
      <c r="I510" s="221" t="s">
        <v>793</v>
      </c>
      <c r="J510" s="222" t="s">
        <v>250</v>
      </c>
      <c r="K510" s="223">
        <v>2.0</v>
      </c>
      <c r="L510" s="223" t="b">
        <v>1</v>
      </c>
      <c r="M510" s="228"/>
      <c r="N510" s="228"/>
      <c r="O510" s="224"/>
      <c r="P510" s="225" t="s">
        <v>155</v>
      </c>
      <c r="Q510" s="225" t="s">
        <v>155</v>
      </c>
      <c r="R510" s="225" t="s">
        <v>155</v>
      </c>
      <c r="S510" s="225" t="s">
        <v>155</v>
      </c>
      <c r="T510" s="229" t="s">
        <v>554</v>
      </c>
      <c r="U510" s="227"/>
      <c r="V510" s="52" t="s">
        <v>250</v>
      </c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</row>
    <row r="511" ht="30.0" customHeight="1">
      <c r="A511" s="159"/>
      <c r="B511" s="218" t="s">
        <v>246</v>
      </c>
      <c r="C511" s="218" t="s">
        <v>1289</v>
      </c>
      <c r="D511" s="218" t="s">
        <v>1288</v>
      </c>
      <c r="E511" s="219">
        <v>107555.0</v>
      </c>
      <c r="F511" s="220" t="s">
        <v>1291</v>
      </c>
      <c r="G511" s="221" t="s">
        <v>518</v>
      </c>
      <c r="H511" s="221" t="s">
        <v>789</v>
      </c>
      <c r="I511" s="221" t="s">
        <v>793</v>
      </c>
      <c r="J511" s="222" t="s">
        <v>250</v>
      </c>
      <c r="K511" s="223">
        <v>2.0</v>
      </c>
      <c r="L511" s="223" t="b">
        <v>1</v>
      </c>
      <c r="M511" s="228"/>
      <c r="N511" s="228"/>
      <c r="O511" s="224"/>
      <c r="P511" s="225" t="s">
        <v>155</v>
      </c>
      <c r="Q511" s="225" t="s">
        <v>155</v>
      </c>
      <c r="R511" s="225" t="s">
        <v>155</v>
      </c>
      <c r="S511" s="225" t="s">
        <v>155</v>
      </c>
      <c r="T511" s="229" t="s">
        <v>554</v>
      </c>
      <c r="U511" s="227"/>
      <c r="V511" s="52" t="s">
        <v>250</v>
      </c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</row>
    <row r="512" ht="30.0" customHeight="1">
      <c r="A512" s="159"/>
      <c r="B512" s="218" t="s">
        <v>246</v>
      </c>
      <c r="C512" s="218" t="s">
        <v>1289</v>
      </c>
      <c r="D512" s="218" t="s">
        <v>1288</v>
      </c>
      <c r="E512" s="219">
        <v>15272.0</v>
      </c>
      <c r="F512" s="220" t="s">
        <v>1292</v>
      </c>
      <c r="G512" s="221" t="s">
        <v>518</v>
      </c>
      <c r="H512" s="221" t="s">
        <v>789</v>
      </c>
      <c r="I512" s="221" t="s">
        <v>1293</v>
      </c>
      <c r="J512" s="222" t="s">
        <v>250</v>
      </c>
      <c r="K512" s="223">
        <v>2.0</v>
      </c>
      <c r="L512" s="223" t="b">
        <v>0</v>
      </c>
      <c r="M512" s="223" t="s">
        <v>1293</v>
      </c>
      <c r="N512" s="223">
        <v>38.314193</v>
      </c>
      <c r="O512" s="224"/>
      <c r="P512" s="225" t="s">
        <v>155</v>
      </c>
      <c r="Q512" s="225" t="s">
        <v>155</v>
      </c>
      <c r="R512" s="225" t="s">
        <v>155</v>
      </c>
      <c r="S512" s="225" t="s">
        <v>155</v>
      </c>
      <c r="T512" s="229" t="s">
        <v>554</v>
      </c>
      <c r="U512" s="227"/>
      <c r="V512" s="109" t="s">
        <v>1294</v>
      </c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</row>
    <row r="513" ht="30.0" customHeight="1">
      <c r="A513" s="159"/>
      <c r="B513" s="218" t="s">
        <v>246</v>
      </c>
      <c r="C513" s="218" t="s">
        <v>1289</v>
      </c>
      <c r="D513" s="218" t="s">
        <v>1288</v>
      </c>
      <c r="E513" s="219">
        <v>12297.0</v>
      </c>
      <c r="F513" s="220" t="s">
        <v>1295</v>
      </c>
      <c r="G513" s="221" t="s">
        <v>518</v>
      </c>
      <c r="H513" s="221" t="s">
        <v>1296</v>
      </c>
      <c r="I513" s="221" t="s">
        <v>1297</v>
      </c>
      <c r="J513" s="222" t="s">
        <v>250</v>
      </c>
      <c r="K513" s="223">
        <v>4.0</v>
      </c>
      <c r="L513" s="223" t="b">
        <v>0</v>
      </c>
      <c r="M513" s="223" t="s">
        <v>1297</v>
      </c>
      <c r="N513" s="223">
        <v>34.416368</v>
      </c>
      <c r="O513" s="224" t="s">
        <v>238</v>
      </c>
      <c r="P513" s="225" t="s">
        <v>155</v>
      </c>
      <c r="Q513" s="225" t="s">
        <v>155</v>
      </c>
      <c r="R513" s="225" t="s">
        <v>155</v>
      </c>
      <c r="S513" s="225" t="s">
        <v>155</v>
      </c>
      <c r="T513" s="229" t="s">
        <v>550</v>
      </c>
      <c r="U513" s="227"/>
      <c r="V513" s="52" t="s">
        <v>250</v>
      </c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</row>
    <row r="514" ht="30.0" customHeight="1">
      <c r="A514" s="159"/>
      <c r="B514" s="218" t="s">
        <v>246</v>
      </c>
      <c r="C514" s="218" t="s">
        <v>1289</v>
      </c>
      <c r="D514" s="218" t="s">
        <v>1288</v>
      </c>
      <c r="E514" s="219">
        <v>45616.0</v>
      </c>
      <c r="F514" s="220" t="s">
        <v>1298</v>
      </c>
      <c r="G514" s="221" t="s">
        <v>518</v>
      </c>
      <c r="H514" s="221" t="s">
        <v>1299</v>
      </c>
      <c r="I514" s="221" t="s">
        <v>1300</v>
      </c>
      <c r="J514" s="222" t="s">
        <v>250</v>
      </c>
      <c r="K514" s="223">
        <v>4.0</v>
      </c>
      <c r="L514" s="223" t="b">
        <v>0</v>
      </c>
      <c r="M514" s="223" t="s">
        <v>1300</v>
      </c>
      <c r="N514" s="223">
        <v>18.322572</v>
      </c>
      <c r="O514" s="224" t="s">
        <v>238</v>
      </c>
      <c r="P514" s="225" t="s">
        <v>155</v>
      </c>
      <c r="Q514" s="225" t="s">
        <v>155</v>
      </c>
      <c r="R514" s="225" t="s">
        <v>155</v>
      </c>
      <c r="S514" s="225" t="s">
        <v>155</v>
      </c>
      <c r="T514" s="229" t="s">
        <v>550</v>
      </c>
      <c r="U514" s="227"/>
      <c r="V514" s="52" t="s">
        <v>250</v>
      </c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</row>
    <row r="515" ht="30.0" customHeight="1">
      <c r="A515" s="159"/>
      <c r="B515" s="218" t="s">
        <v>246</v>
      </c>
      <c r="C515" s="218" t="s">
        <v>1289</v>
      </c>
      <c r="D515" s="218" t="s">
        <v>1288</v>
      </c>
      <c r="E515" s="219">
        <v>45619.0</v>
      </c>
      <c r="F515" s="220" t="s">
        <v>1301</v>
      </c>
      <c r="G515" s="221" t="s">
        <v>518</v>
      </c>
      <c r="H515" s="221" t="s">
        <v>1299</v>
      </c>
      <c r="I515" s="221" t="s">
        <v>1302</v>
      </c>
      <c r="J515" s="222" t="s">
        <v>250</v>
      </c>
      <c r="K515" s="223">
        <v>4.0</v>
      </c>
      <c r="L515" s="223" t="b">
        <v>0</v>
      </c>
      <c r="M515" s="223" t="s">
        <v>1302</v>
      </c>
      <c r="N515" s="223">
        <v>15.091097</v>
      </c>
      <c r="O515" s="224"/>
      <c r="P515" s="225" t="s">
        <v>155</v>
      </c>
      <c r="Q515" s="225" t="s">
        <v>155</v>
      </c>
      <c r="R515" s="225" t="s">
        <v>155</v>
      </c>
      <c r="S515" s="225" t="s">
        <v>155</v>
      </c>
      <c r="T515" s="229" t="s">
        <v>550</v>
      </c>
      <c r="U515" s="227"/>
      <c r="V515" s="52" t="s">
        <v>250</v>
      </c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</row>
    <row r="516" ht="30.0" customHeight="1">
      <c r="A516" s="159"/>
      <c r="B516" s="218" t="s">
        <v>246</v>
      </c>
      <c r="C516" s="218" t="s">
        <v>1289</v>
      </c>
      <c r="D516" s="218" t="s">
        <v>1288</v>
      </c>
      <c r="E516" s="219">
        <v>49551.0</v>
      </c>
      <c r="F516" s="220" t="s">
        <v>1303</v>
      </c>
      <c r="G516" s="221" t="s">
        <v>518</v>
      </c>
      <c r="H516" s="221" t="s">
        <v>1299</v>
      </c>
      <c r="I516" s="221" t="s">
        <v>1300</v>
      </c>
      <c r="J516" s="222" t="s">
        <v>250</v>
      </c>
      <c r="K516" s="223">
        <v>4.0</v>
      </c>
      <c r="L516" s="223" t="b">
        <v>0</v>
      </c>
      <c r="M516" s="223" t="s">
        <v>1300</v>
      </c>
      <c r="N516" s="223">
        <v>17.490111</v>
      </c>
      <c r="O516" s="224" t="s">
        <v>238</v>
      </c>
      <c r="P516" s="225" t="s">
        <v>155</v>
      </c>
      <c r="Q516" s="225" t="s">
        <v>155</v>
      </c>
      <c r="R516" s="225" t="s">
        <v>155</v>
      </c>
      <c r="S516" s="225" t="s">
        <v>155</v>
      </c>
      <c r="T516" s="229" t="s">
        <v>550</v>
      </c>
      <c r="U516" s="227"/>
      <c r="V516" s="52" t="s">
        <v>250</v>
      </c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</row>
    <row r="517" ht="30.0" customHeight="1">
      <c r="A517" s="159"/>
      <c r="B517" s="218" t="s">
        <v>246</v>
      </c>
      <c r="C517" s="218" t="s">
        <v>1289</v>
      </c>
      <c r="D517" s="218" t="s">
        <v>1288</v>
      </c>
      <c r="E517" s="219">
        <v>10019.0</v>
      </c>
      <c r="F517" s="220" t="s">
        <v>1304</v>
      </c>
      <c r="G517" s="221" t="s">
        <v>518</v>
      </c>
      <c r="H517" s="221" t="s">
        <v>1299</v>
      </c>
      <c r="I517" s="221" t="s">
        <v>1302</v>
      </c>
      <c r="J517" s="222" t="s">
        <v>250</v>
      </c>
      <c r="K517" s="223">
        <v>3.0</v>
      </c>
      <c r="L517" s="223" t="b">
        <v>0</v>
      </c>
      <c r="M517" s="223" t="s">
        <v>1302</v>
      </c>
      <c r="N517" s="223">
        <v>15.567243</v>
      </c>
      <c r="O517" s="224"/>
      <c r="P517" s="225" t="s">
        <v>155</v>
      </c>
      <c r="Q517" s="225" t="s">
        <v>155</v>
      </c>
      <c r="R517" s="225" t="s">
        <v>155</v>
      </c>
      <c r="S517" s="225" t="s">
        <v>155</v>
      </c>
      <c r="T517" s="229" t="s">
        <v>550</v>
      </c>
      <c r="U517" s="227"/>
      <c r="V517" s="52" t="s">
        <v>250</v>
      </c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</row>
    <row r="518" ht="30.0" customHeight="1">
      <c r="A518" s="159"/>
      <c r="B518" s="218" t="s">
        <v>246</v>
      </c>
      <c r="C518" s="218" t="s">
        <v>1289</v>
      </c>
      <c r="D518" s="218" t="s">
        <v>1288</v>
      </c>
      <c r="E518" s="219">
        <v>45622.0</v>
      </c>
      <c r="F518" s="220" t="s">
        <v>1305</v>
      </c>
      <c r="G518" s="221" t="s">
        <v>518</v>
      </c>
      <c r="H518" s="221" t="s">
        <v>1299</v>
      </c>
      <c r="I518" s="221" t="s">
        <v>1306</v>
      </c>
      <c r="J518" s="222" t="s">
        <v>250</v>
      </c>
      <c r="K518" s="223">
        <v>4.0</v>
      </c>
      <c r="L518" s="223" t="b">
        <v>0</v>
      </c>
      <c r="M518" s="228"/>
      <c r="N518" s="228"/>
      <c r="O518" s="224"/>
      <c r="P518" s="225" t="s">
        <v>155</v>
      </c>
      <c r="Q518" s="225" t="s">
        <v>155</v>
      </c>
      <c r="R518" s="225" t="s">
        <v>155</v>
      </c>
      <c r="S518" s="225" t="s">
        <v>155</v>
      </c>
      <c r="T518" s="229" t="s">
        <v>550</v>
      </c>
      <c r="U518" s="227"/>
      <c r="V518" s="52" t="s">
        <v>250</v>
      </c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</row>
    <row r="519" ht="30.0" customHeight="1">
      <c r="A519" s="159"/>
      <c r="B519" s="218" t="s">
        <v>246</v>
      </c>
      <c r="C519" s="218" t="s">
        <v>1289</v>
      </c>
      <c r="D519" s="218" t="s">
        <v>1288</v>
      </c>
      <c r="E519" s="219">
        <v>45621.0</v>
      </c>
      <c r="F519" s="220" t="s">
        <v>1307</v>
      </c>
      <c r="G519" s="221" t="s">
        <v>518</v>
      </c>
      <c r="H519" s="221" t="s">
        <v>1299</v>
      </c>
      <c r="I519" s="221" t="s">
        <v>1308</v>
      </c>
      <c r="J519" s="222" t="s">
        <v>250</v>
      </c>
      <c r="K519" s="223">
        <v>4.0</v>
      </c>
      <c r="L519" s="223" t="b">
        <v>0</v>
      </c>
      <c r="M519" s="223" t="s">
        <v>1308</v>
      </c>
      <c r="N519" s="223">
        <v>11.657255</v>
      </c>
      <c r="O519" s="224" t="s">
        <v>238</v>
      </c>
      <c r="P519" s="225" t="s">
        <v>155</v>
      </c>
      <c r="Q519" s="225" t="s">
        <v>155</v>
      </c>
      <c r="R519" s="225" t="s">
        <v>155</v>
      </c>
      <c r="S519" s="225" t="s">
        <v>155</v>
      </c>
      <c r="T519" s="229" t="s">
        <v>550</v>
      </c>
      <c r="U519" s="227"/>
      <c r="V519" s="52" t="s">
        <v>250</v>
      </c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</row>
    <row r="520" ht="30.0" customHeight="1">
      <c r="A520" s="209"/>
      <c r="B520" s="210" t="s">
        <v>1309</v>
      </c>
      <c r="C520" s="211"/>
      <c r="D520" s="211"/>
      <c r="E520" s="212"/>
      <c r="F520" s="213"/>
      <c r="G520" s="213"/>
      <c r="H520" s="213"/>
      <c r="I520" s="212"/>
      <c r="J520" s="212"/>
      <c r="K520" s="214"/>
      <c r="L520" s="214"/>
      <c r="M520" s="214"/>
      <c r="N520" s="214"/>
      <c r="O520" s="215"/>
      <c r="P520" s="216"/>
      <c r="Q520" s="216"/>
      <c r="R520" s="216"/>
      <c r="S520" s="216"/>
      <c r="T520" s="217"/>
      <c r="U520" s="217"/>
      <c r="V520" s="217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</row>
    <row r="521" ht="30.0" customHeight="1">
      <c r="A521" s="159"/>
      <c r="B521" s="218" t="s">
        <v>246</v>
      </c>
      <c r="C521" s="218" t="s">
        <v>1310</v>
      </c>
      <c r="D521" s="218" t="s">
        <v>1309</v>
      </c>
      <c r="E521" s="219">
        <v>36357.0</v>
      </c>
      <c r="F521" s="220" t="s">
        <v>1311</v>
      </c>
      <c r="G521" s="221" t="s">
        <v>518</v>
      </c>
      <c r="H521" s="222" t="s">
        <v>250</v>
      </c>
      <c r="I521" s="221" t="s">
        <v>712</v>
      </c>
      <c r="J521" s="222" t="s">
        <v>250</v>
      </c>
      <c r="K521" s="223">
        <v>4.0</v>
      </c>
      <c r="L521" s="223" t="b">
        <v>0</v>
      </c>
      <c r="M521" s="223" t="s">
        <v>712</v>
      </c>
      <c r="N521" s="223">
        <v>49.313898</v>
      </c>
      <c r="O521" s="224"/>
      <c r="P521" s="225" t="s">
        <v>155</v>
      </c>
      <c r="Q521" s="225" t="s">
        <v>155</v>
      </c>
      <c r="R521" s="225" t="s">
        <v>155</v>
      </c>
      <c r="S521" s="225" t="s">
        <v>155</v>
      </c>
      <c r="T521" s="226"/>
      <c r="U521" s="227"/>
      <c r="V521" s="52" t="s">
        <v>250</v>
      </c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</row>
    <row r="522" ht="30.0" customHeight="1">
      <c r="A522" s="159"/>
      <c r="B522" s="218" t="s">
        <v>246</v>
      </c>
      <c r="C522" s="218" t="s">
        <v>1310</v>
      </c>
      <c r="D522" s="218" t="s">
        <v>1309</v>
      </c>
      <c r="E522" s="219">
        <v>112139.0</v>
      </c>
      <c r="F522" s="220" t="s">
        <v>1312</v>
      </c>
      <c r="G522" s="221" t="s">
        <v>518</v>
      </c>
      <c r="H522" s="221" t="s">
        <v>1313</v>
      </c>
      <c r="I522" s="221" t="s">
        <v>1314</v>
      </c>
      <c r="J522" s="222" t="s">
        <v>250</v>
      </c>
      <c r="K522" s="223">
        <v>3.0</v>
      </c>
      <c r="L522" s="223" t="b">
        <v>0</v>
      </c>
      <c r="M522" s="223" t="s">
        <v>1314</v>
      </c>
      <c r="N522" s="223">
        <v>76.53</v>
      </c>
      <c r="O522" s="224"/>
      <c r="P522" s="225" t="s">
        <v>155</v>
      </c>
      <c r="Q522" s="225" t="s">
        <v>155</v>
      </c>
      <c r="R522" s="225" t="s">
        <v>155</v>
      </c>
      <c r="S522" s="225" t="s">
        <v>155</v>
      </c>
      <c r="T522" s="226"/>
      <c r="U522" s="227"/>
      <c r="V522" s="52" t="s">
        <v>250</v>
      </c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</row>
    <row r="523" ht="30.0" customHeight="1">
      <c r="A523" s="159"/>
      <c r="B523" s="218" t="s">
        <v>246</v>
      </c>
      <c r="C523" s="218" t="s">
        <v>1310</v>
      </c>
      <c r="D523" s="218" t="s">
        <v>1309</v>
      </c>
      <c r="E523" s="219">
        <v>16234.0</v>
      </c>
      <c r="F523" s="220" t="s">
        <v>1315</v>
      </c>
      <c r="G523" s="221" t="s">
        <v>518</v>
      </c>
      <c r="H523" s="221" t="s">
        <v>1316</v>
      </c>
      <c r="I523" s="221" t="s">
        <v>490</v>
      </c>
      <c r="J523" s="222" t="s">
        <v>250</v>
      </c>
      <c r="K523" s="223">
        <v>4.0</v>
      </c>
      <c r="L523" s="223" t="b">
        <v>1</v>
      </c>
      <c r="M523" s="223" t="s">
        <v>490</v>
      </c>
      <c r="N523" s="223">
        <v>31.813191</v>
      </c>
      <c r="O523" s="224" t="s">
        <v>238</v>
      </c>
      <c r="P523" s="225" t="s">
        <v>155</v>
      </c>
      <c r="Q523" s="225" t="s">
        <v>155</v>
      </c>
      <c r="R523" s="225" t="s">
        <v>155</v>
      </c>
      <c r="S523" s="225" t="s">
        <v>155</v>
      </c>
      <c r="T523" s="226"/>
      <c r="U523" s="227"/>
      <c r="V523" s="52" t="s">
        <v>250</v>
      </c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</row>
    <row r="524" ht="30.0" customHeight="1">
      <c r="A524" s="159"/>
      <c r="B524" s="218" t="s">
        <v>246</v>
      </c>
      <c r="C524" s="218" t="s">
        <v>1310</v>
      </c>
      <c r="D524" s="218" t="s">
        <v>1309</v>
      </c>
      <c r="E524" s="219">
        <v>40159.0</v>
      </c>
      <c r="F524" s="220" t="s">
        <v>1317</v>
      </c>
      <c r="G524" s="221" t="s">
        <v>518</v>
      </c>
      <c r="H524" s="221" t="s">
        <v>1318</v>
      </c>
      <c r="I524" s="221" t="s">
        <v>389</v>
      </c>
      <c r="J524" s="222" t="s">
        <v>250</v>
      </c>
      <c r="K524" s="223">
        <v>3.0</v>
      </c>
      <c r="L524" s="223" t="b">
        <v>1</v>
      </c>
      <c r="M524" s="223" t="s">
        <v>818</v>
      </c>
      <c r="N524" s="223">
        <v>23.873869</v>
      </c>
      <c r="O524" s="224" t="s">
        <v>238</v>
      </c>
      <c r="P524" s="225" t="s">
        <v>155</v>
      </c>
      <c r="Q524" s="225" t="s">
        <v>155</v>
      </c>
      <c r="R524" s="225" t="s">
        <v>155</v>
      </c>
      <c r="S524" s="225" t="s">
        <v>155</v>
      </c>
      <c r="T524" s="226"/>
      <c r="U524" s="227"/>
      <c r="V524" s="52" t="s">
        <v>250</v>
      </c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</row>
    <row r="525" ht="30.0" customHeight="1">
      <c r="A525" s="159"/>
      <c r="B525" s="218" t="s">
        <v>246</v>
      </c>
      <c r="C525" s="218" t="s">
        <v>1310</v>
      </c>
      <c r="D525" s="218" t="s">
        <v>1309</v>
      </c>
      <c r="E525" s="219">
        <v>24095.0</v>
      </c>
      <c r="F525" s="220" t="s">
        <v>1319</v>
      </c>
      <c r="G525" s="221" t="s">
        <v>518</v>
      </c>
      <c r="H525" s="222"/>
      <c r="I525" s="221" t="s">
        <v>42</v>
      </c>
      <c r="J525" s="222" t="s">
        <v>250</v>
      </c>
      <c r="K525" s="223">
        <v>3.0</v>
      </c>
      <c r="L525" s="223" t="b">
        <v>1</v>
      </c>
      <c r="M525" s="228"/>
      <c r="N525" s="228"/>
      <c r="O525" s="224"/>
      <c r="P525" s="225" t="s">
        <v>155</v>
      </c>
      <c r="Q525" s="225" t="s">
        <v>155</v>
      </c>
      <c r="R525" s="225" t="s">
        <v>155</v>
      </c>
      <c r="S525" s="225" t="s">
        <v>155</v>
      </c>
      <c r="T525" s="226"/>
      <c r="U525" s="227"/>
      <c r="V525" s="52" t="s">
        <v>250</v>
      </c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</row>
    <row r="526" ht="30.0" customHeight="1">
      <c r="A526" s="159"/>
      <c r="B526" s="218" t="s">
        <v>246</v>
      </c>
      <c r="C526" s="218" t="s">
        <v>1310</v>
      </c>
      <c r="D526" s="218" t="s">
        <v>1309</v>
      </c>
      <c r="E526" s="219">
        <v>20143.0</v>
      </c>
      <c r="F526" s="220" t="s">
        <v>1320</v>
      </c>
      <c r="G526" s="221" t="s">
        <v>518</v>
      </c>
      <c r="H526" s="221" t="s">
        <v>1321</v>
      </c>
      <c r="I526" s="221" t="s">
        <v>42</v>
      </c>
      <c r="J526" s="222" t="s">
        <v>250</v>
      </c>
      <c r="K526" s="223">
        <v>4.0</v>
      </c>
      <c r="L526" s="223" t="b">
        <v>1</v>
      </c>
      <c r="M526" s="228"/>
      <c r="N526" s="228"/>
      <c r="O526" s="224"/>
      <c r="P526" s="225" t="s">
        <v>155</v>
      </c>
      <c r="Q526" s="225" t="s">
        <v>155</v>
      </c>
      <c r="R526" s="225" t="s">
        <v>155</v>
      </c>
      <c r="S526" s="225" t="s">
        <v>155</v>
      </c>
      <c r="T526" s="226"/>
      <c r="U526" s="227"/>
      <c r="V526" s="52" t="s">
        <v>250</v>
      </c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</row>
    <row r="527" ht="30.0" customHeight="1">
      <c r="A527" s="159"/>
      <c r="B527" s="218" t="s">
        <v>246</v>
      </c>
      <c r="C527" s="218" t="s">
        <v>1310</v>
      </c>
      <c r="D527" s="218" t="s">
        <v>1309</v>
      </c>
      <c r="E527" s="219">
        <v>38014.0</v>
      </c>
      <c r="F527" s="220" t="s">
        <v>1322</v>
      </c>
      <c r="G527" s="221" t="s">
        <v>518</v>
      </c>
      <c r="H527" s="222"/>
      <c r="I527" s="221" t="s">
        <v>1323</v>
      </c>
      <c r="J527" s="222" t="s">
        <v>250</v>
      </c>
      <c r="K527" s="223">
        <v>2.0</v>
      </c>
      <c r="L527" s="223" t="b">
        <v>1</v>
      </c>
      <c r="M527" s="223" t="s">
        <v>1323</v>
      </c>
      <c r="N527" s="223">
        <v>46.924838</v>
      </c>
      <c r="O527" s="224" t="s">
        <v>238</v>
      </c>
      <c r="P527" s="225" t="s">
        <v>155</v>
      </c>
      <c r="Q527" s="225" t="s">
        <v>155</v>
      </c>
      <c r="R527" s="225" t="s">
        <v>155</v>
      </c>
      <c r="S527" s="225" t="s">
        <v>155</v>
      </c>
      <c r="T527" s="226"/>
      <c r="U527" s="227"/>
      <c r="V527" s="52" t="s">
        <v>250</v>
      </c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</row>
    <row r="528" ht="30.0" customHeight="1">
      <c r="A528" s="159"/>
      <c r="B528" s="218" t="s">
        <v>246</v>
      </c>
      <c r="C528" s="218" t="s">
        <v>1310</v>
      </c>
      <c r="D528" s="218" t="s">
        <v>1309</v>
      </c>
      <c r="E528" s="219">
        <v>40158.0</v>
      </c>
      <c r="F528" s="220" t="s">
        <v>1324</v>
      </c>
      <c r="G528" s="221" t="s">
        <v>518</v>
      </c>
      <c r="H528" s="222"/>
      <c r="I528" s="221" t="s">
        <v>389</v>
      </c>
      <c r="J528" s="222" t="s">
        <v>250</v>
      </c>
      <c r="K528" s="223">
        <v>3.0</v>
      </c>
      <c r="L528" s="223" t="b">
        <v>1</v>
      </c>
      <c r="M528" s="223" t="s">
        <v>389</v>
      </c>
      <c r="N528" s="223">
        <v>1.712554</v>
      </c>
      <c r="O528" s="224"/>
      <c r="P528" s="225" t="s">
        <v>155</v>
      </c>
      <c r="Q528" s="225" t="s">
        <v>155</v>
      </c>
      <c r="R528" s="225" t="s">
        <v>155</v>
      </c>
      <c r="S528" s="225" t="s">
        <v>155</v>
      </c>
      <c r="T528" s="226"/>
      <c r="U528" s="227"/>
      <c r="V528" s="52" t="s">
        <v>250</v>
      </c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</row>
    <row r="529" ht="30.0" customHeight="1">
      <c r="A529" s="159"/>
      <c r="B529" s="218" t="s">
        <v>246</v>
      </c>
      <c r="C529" s="218" t="s">
        <v>1310</v>
      </c>
      <c r="D529" s="218" t="s">
        <v>1309</v>
      </c>
      <c r="E529" s="219">
        <v>38010.0</v>
      </c>
      <c r="F529" s="220" t="s">
        <v>1325</v>
      </c>
      <c r="G529" s="221" t="s">
        <v>518</v>
      </c>
      <c r="H529" s="222"/>
      <c r="I529" s="221" t="s">
        <v>389</v>
      </c>
      <c r="J529" s="222" t="s">
        <v>250</v>
      </c>
      <c r="K529" s="223">
        <v>3.0</v>
      </c>
      <c r="L529" s="223" t="b">
        <v>1</v>
      </c>
      <c r="M529" s="223" t="s">
        <v>389</v>
      </c>
      <c r="N529" s="223">
        <v>1.181886</v>
      </c>
      <c r="O529" s="224" t="s">
        <v>238</v>
      </c>
      <c r="P529" s="225" t="s">
        <v>155</v>
      </c>
      <c r="Q529" s="225" t="s">
        <v>155</v>
      </c>
      <c r="R529" s="225" t="s">
        <v>155</v>
      </c>
      <c r="S529" s="225" t="s">
        <v>155</v>
      </c>
      <c r="T529" s="226"/>
      <c r="U529" s="227"/>
      <c r="V529" s="52" t="s">
        <v>250</v>
      </c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</row>
    <row r="530" ht="30.0" customHeight="1">
      <c r="A530" s="209"/>
      <c r="B530" s="210" t="s">
        <v>1326</v>
      </c>
      <c r="C530" s="211"/>
      <c r="D530" s="211"/>
      <c r="E530" s="212"/>
      <c r="F530" s="213"/>
      <c r="G530" s="213"/>
      <c r="H530" s="213"/>
      <c r="I530" s="212"/>
      <c r="J530" s="212"/>
      <c r="K530" s="214"/>
      <c r="L530" s="214"/>
      <c r="M530" s="214"/>
      <c r="N530" s="214"/>
      <c r="O530" s="215"/>
      <c r="P530" s="216"/>
      <c r="Q530" s="216"/>
      <c r="R530" s="216"/>
      <c r="S530" s="216"/>
      <c r="T530" s="217"/>
      <c r="U530" s="217"/>
      <c r="V530" s="217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</row>
    <row r="531" ht="30.0" customHeight="1">
      <c r="A531" s="159"/>
      <c r="B531" s="218" t="s">
        <v>246</v>
      </c>
      <c r="C531" s="218" t="s">
        <v>1310</v>
      </c>
      <c r="D531" s="218" t="s">
        <v>1326</v>
      </c>
      <c r="E531" s="219">
        <v>111987.0</v>
      </c>
      <c r="F531" s="220" t="s">
        <v>1327</v>
      </c>
      <c r="G531" s="221" t="s">
        <v>518</v>
      </c>
      <c r="H531" s="222" t="s">
        <v>250</v>
      </c>
      <c r="I531" s="221" t="s">
        <v>1328</v>
      </c>
      <c r="J531" s="222" t="s">
        <v>250</v>
      </c>
      <c r="K531" s="223">
        <v>2.0</v>
      </c>
      <c r="L531" s="223" t="b">
        <v>1</v>
      </c>
      <c r="M531" s="228"/>
      <c r="N531" s="228"/>
      <c r="O531" s="224"/>
      <c r="P531" s="225" t="s">
        <v>155</v>
      </c>
      <c r="Q531" s="225" t="s">
        <v>155</v>
      </c>
      <c r="R531" s="225" t="s">
        <v>155</v>
      </c>
      <c r="S531" s="225" t="s">
        <v>155</v>
      </c>
      <c r="T531" s="226"/>
      <c r="U531" s="227"/>
      <c r="V531" s="52" t="s">
        <v>250</v>
      </c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</row>
    <row r="532" ht="30.0" customHeight="1">
      <c r="A532" s="159"/>
      <c r="B532" s="218" t="s">
        <v>246</v>
      </c>
      <c r="C532" s="218" t="s">
        <v>1310</v>
      </c>
      <c r="D532" s="218" t="s">
        <v>1326</v>
      </c>
      <c r="E532" s="219">
        <v>16178.0</v>
      </c>
      <c r="F532" s="220" t="s">
        <v>1329</v>
      </c>
      <c r="G532" s="221" t="s">
        <v>518</v>
      </c>
      <c r="H532" s="221" t="s">
        <v>1330</v>
      </c>
      <c r="I532" s="221" t="s">
        <v>349</v>
      </c>
      <c r="J532" s="222" t="s">
        <v>250</v>
      </c>
      <c r="K532" s="223">
        <v>2.0</v>
      </c>
      <c r="L532" s="223" t="b">
        <v>1</v>
      </c>
      <c r="M532" s="223" t="s">
        <v>349</v>
      </c>
      <c r="N532" s="223">
        <v>15.201707</v>
      </c>
      <c r="O532" s="224" t="s">
        <v>238</v>
      </c>
      <c r="P532" s="225" t="s">
        <v>155</v>
      </c>
      <c r="Q532" s="225" t="s">
        <v>155</v>
      </c>
      <c r="R532" s="225" t="s">
        <v>155</v>
      </c>
      <c r="S532" s="225" t="s">
        <v>155</v>
      </c>
      <c r="T532" s="226"/>
      <c r="U532" s="227"/>
      <c r="V532" s="109" t="s">
        <v>1331</v>
      </c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</row>
    <row r="533" ht="30.0" customHeight="1">
      <c r="A533" s="159"/>
      <c r="B533" s="218" t="s">
        <v>246</v>
      </c>
      <c r="C533" s="218" t="s">
        <v>1310</v>
      </c>
      <c r="D533" s="218" t="s">
        <v>1326</v>
      </c>
      <c r="E533" s="219">
        <v>38208.0</v>
      </c>
      <c r="F533" s="220" t="s">
        <v>1332</v>
      </c>
      <c r="G533" s="221" t="s">
        <v>518</v>
      </c>
      <c r="H533" s="222"/>
      <c r="I533" s="221" t="s">
        <v>389</v>
      </c>
      <c r="J533" s="222" t="s">
        <v>250</v>
      </c>
      <c r="K533" s="223">
        <v>1.0</v>
      </c>
      <c r="L533" s="223" t="b">
        <v>1</v>
      </c>
      <c r="M533" s="223" t="s">
        <v>389</v>
      </c>
      <c r="N533" s="223">
        <v>2.671666</v>
      </c>
      <c r="O533" s="224"/>
      <c r="P533" s="225" t="s">
        <v>155</v>
      </c>
      <c r="Q533" s="225" t="s">
        <v>155</v>
      </c>
      <c r="R533" s="225" t="s">
        <v>155</v>
      </c>
      <c r="S533" s="225" t="s">
        <v>155</v>
      </c>
      <c r="T533" s="226"/>
      <c r="U533" s="227"/>
      <c r="V533" s="52" t="s">
        <v>250</v>
      </c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</row>
    <row r="534" ht="30.0" customHeight="1">
      <c r="A534" s="159"/>
      <c r="B534" s="218" t="s">
        <v>246</v>
      </c>
      <c r="C534" s="218" t="s">
        <v>1310</v>
      </c>
      <c r="D534" s="218" t="s">
        <v>1326</v>
      </c>
      <c r="E534" s="219">
        <v>26627.0</v>
      </c>
      <c r="F534" s="220" t="s">
        <v>1333</v>
      </c>
      <c r="G534" s="221" t="s">
        <v>518</v>
      </c>
      <c r="H534" s="221" t="s">
        <v>1334</v>
      </c>
      <c r="I534" s="221" t="s">
        <v>349</v>
      </c>
      <c r="J534" s="222" t="s">
        <v>250</v>
      </c>
      <c r="K534" s="223">
        <v>2.0</v>
      </c>
      <c r="L534" s="223" t="b">
        <v>0</v>
      </c>
      <c r="M534" s="223" t="s">
        <v>349</v>
      </c>
      <c r="N534" s="223">
        <v>24.671244</v>
      </c>
      <c r="O534" s="224" t="s">
        <v>238</v>
      </c>
      <c r="P534" s="225" t="s">
        <v>155</v>
      </c>
      <c r="Q534" s="225" t="s">
        <v>155</v>
      </c>
      <c r="R534" s="225" t="s">
        <v>155</v>
      </c>
      <c r="S534" s="225" t="s">
        <v>155</v>
      </c>
      <c r="T534" s="226"/>
      <c r="U534" s="227"/>
      <c r="V534" s="52" t="s">
        <v>250</v>
      </c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</row>
    <row r="535" ht="30.0" customHeight="1">
      <c r="A535" s="159"/>
      <c r="B535" s="218" t="s">
        <v>246</v>
      </c>
      <c r="C535" s="218" t="s">
        <v>1310</v>
      </c>
      <c r="D535" s="218" t="s">
        <v>1326</v>
      </c>
      <c r="E535" s="219">
        <v>111130.0</v>
      </c>
      <c r="F535" s="220" t="s">
        <v>1335</v>
      </c>
      <c r="G535" s="221" t="s">
        <v>518</v>
      </c>
      <c r="H535" s="221" t="s">
        <v>1336</v>
      </c>
      <c r="I535" s="221" t="s">
        <v>42</v>
      </c>
      <c r="J535" s="222"/>
      <c r="K535" s="228"/>
      <c r="L535" s="228"/>
      <c r="M535" s="228"/>
      <c r="N535" s="228"/>
      <c r="O535" s="224"/>
      <c r="P535" s="225" t="s">
        <v>155</v>
      </c>
      <c r="Q535" s="230"/>
      <c r="R535" s="225" t="s">
        <v>155</v>
      </c>
      <c r="S535" s="225" t="s">
        <v>155</v>
      </c>
      <c r="T535" s="226"/>
      <c r="U535" s="227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</row>
    <row r="536" ht="30.0" customHeight="1">
      <c r="A536" s="159"/>
      <c r="B536" s="218" t="s">
        <v>246</v>
      </c>
      <c r="C536" s="218" t="s">
        <v>1310</v>
      </c>
      <c r="D536" s="218" t="s">
        <v>1326</v>
      </c>
      <c r="E536" s="219">
        <v>16227.0</v>
      </c>
      <c r="F536" s="220" t="s">
        <v>1337</v>
      </c>
      <c r="G536" s="221" t="s">
        <v>518</v>
      </c>
      <c r="H536" s="221" t="s">
        <v>1336</v>
      </c>
      <c r="I536" s="221" t="s">
        <v>1338</v>
      </c>
      <c r="J536" s="222" t="s">
        <v>250</v>
      </c>
      <c r="K536" s="223">
        <v>2.0</v>
      </c>
      <c r="L536" s="223" t="b">
        <v>0</v>
      </c>
      <c r="M536" s="223" t="s">
        <v>1338</v>
      </c>
      <c r="N536" s="223">
        <v>73.375192</v>
      </c>
      <c r="O536" s="224" t="s">
        <v>238</v>
      </c>
      <c r="P536" s="225" t="s">
        <v>155</v>
      </c>
      <c r="Q536" s="225" t="s">
        <v>155</v>
      </c>
      <c r="R536" s="225" t="s">
        <v>155</v>
      </c>
      <c r="S536" s="225" t="s">
        <v>155</v>
      </c>
      <c r="T536" s="226"/>
      <c r="U536" s="227"/>
      <c r="V536" s="52" t="s">
        <v>250</v>
      </c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</row>
    <row r="537" ht="30.0" customHeight="1">
      <c r="A537" s="159"/>
      <c r="B537" s="218" t="s">
        <v>246</v>
      </c>
      <c r="C537" s="218" t="s">
        <v>1310</v>
      </c>
      <c r="D537" s="218" t="s">
        <v>1326</v>
      </c>
      <c r="E537" s="219">
        <v>48982.0</v>
      </c>
      <c r="F537" s="220" t="s">
        <v>1339</v>
      </c>
      <c r="G537" s="221" t="s">
        <v>518</v>
      </c>
      <c r="H537" s="221" t="s">
        <v>1340</v>
      </c>
      <c r="I537" s="221" t="s">
        <v>42</v>
      </c>
      <c r="J537" s="222" t="s">
        <v>250</v>
      </c>
      <c r="K537" s="223">
        <v>3.0</v>
      </c>
      <c r="L537" s="223" t="b">
        <v>0</v>
      </c>
      <c r="M537" s="223" t="s">
        <v>42</v>
      </c>
      <c r="N537" s="223">
        <v>1.035876</v>
      </c>
      <c r="O537" s="224" t="s">
        <v>238</v>
      </c>
      <c r="P537" s="225" t="s">
        <v>155</v>
      </c>
      <c r="Q537" s="225" t="s">
        <v>155</v>
      </c>
      <c r="R537" s="225" t="s">
        <v>155</v>
      </c>
      <c r="S537" s="225" t="s">
        <v>155</v>
      </c>
      <c r="T537" s="226"/>
      <c r="U537" s="227"/>
      <c r="V537" s="52" t="s">
        <v>250</v>
      </c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</row>
    <row r="538" ht="30.0" customHeight="1">
      <c r="A538" s="159"/>
      <c r="B538" s="218" t="s">
        <v>246</v>
      </c>
      <c r="C538" s="218" t="s">
        <v>1310</v>
      </c>
      <c r="D538" s="218" t="s">
        <v>1326</v>
      </c>
      <c r="E538" s="219">
        <v>16175.0</v>
      </c>
      <c r="F538" s="220" t="s">
        <v>1341</v>
      </c>
      <c r="G538" s="221" t="s">
        <v>518</v>
      </c>
      <c r="H538" s="221" t="s">
        <v>1342</v>
      </c>
      <c r="I538" s="221" t="s">
        <v>349</v>
      </c>
      <c r="J538" s="222" t="s">
        <v>250</v>
      </c>
      <c r="K538" s="223">
        <v>1.0</v>
      </c>
      <c r="L538" s="223" t="b">
        <v>1</v>
      </c>
      <c r="M538" s="223" t="s">
        <v>349</v>
      </c>
      <c r="N538" s="223">
        <v>14.457634</v>
      </c>
      <c r="O538" s="224" t="s">
        <v>238</v>
      </c>
      <c r="P538" s="225" t="s">
        <v>155</v>
      </c>
      <c r="Q538" s="225" t="s">
        <v>155</v>
      </c>
      <c r="R538" s="225" t="s">
        <v>155</v>
      </c>
      <c r="S538" s="225" t="s">
        <v>155</v>
      </c>
      <c r="T538" s="226"/>
      <c r="U538" s="227"/>
      <c r="V538" s="52" t="s">
        <v>250</v>
      </c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</row>
    <row r="539" ht="30.0" customHeight="1">
      <c r="A539" s="159"/>
      <c r="B539" s="218" t="s">
        <v>246</v>
      </c>
      <c r="C539" s="218" t="s">
        <v>1310</v>
      </c>
      <c r="D539" s="218" t="s">
        <v>1326</v>
      </c>
      <c r="E539" s="219">
        <v>16208.0</v>
      </c>
      <c r="F539" s="220" t="s">
        <v>1343</v>
      </c>
      <c r="G539" s="221" t="s">
        <v>518</v>
      </c>
      <c r="H539" s="221" t="s">
        <v>1342</v>
      </c>
      <c r="I539" s="221" t="s">
        <v>349</v>
      </c>
      <c r="J539" s="222" t="s">
        <v>250</v>
      </c>
      <c r="K539" s="223">
        <v>1.0</v>
      </c>
      <c r="L539" s="223" t="b">
        <v>0</v>
      </c>
      <c r="M539" s="223" t="s">
        <v>349</v>
      </c>
      <c r="N539" s="223">
        <v>13.922745</v>
      </c>
      <c r="O539" s="224" t="s">
        <v>238</v>
      </c>
      <c r="P539" s="225" t="s">
        <v>155</v>
      </c>
      <c r="Q539" s="225" t="s">
        <v>155</v>
      </c>
      <c r="R539" s="225" t="s">
        <v>155</v>
      </c>
      <c r="S539" s="225" t="s">
        <v>155</v>
      </c>
      <c r="T539" s="226"/>
      <c r="U539" s="227"/>
      <c r="V539" s="52" t="s">
        <v>250</v>
      </c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</row>
    <row r="540" ht="30.0" customHeight="1">
      <c r="A540" s="159"/>
      <c r="B540" s="218" t="s">
        <v>246</v>
      </c>
      <c r="C540" s="218" t="s">
        <v>1310</v>
      </c>
      <c r="D540" s="218" t="s">
        <v>1326</v>
      </c>
      <c r="E540" s="219">
        <v>16210.0</v>
      </c>
      <c r="F540" s="220" t="s">
        <v>1344</v>
      </c>
      <c r="G540" s="221" t="s">
        <v>518</v>
      </c>
      <c r="H540" s="222"/>
      <c r="I540" s="221" t="s">
        <v>349</v>
      </c>
      <c r="J540" s="222" t="s">
        <v>250</v>
      </c>
      <c r="K540" s="223">
        <v>2.0</v>
      </c>
      <c r="L540" s="223" t="b">
        <v>0</v>
      </c>
      <c r="M540" s="223" t="s">
        <v>349</v>
      </c>
      <c r="N540" s="223">
        <v>16.719551</v>
      </c>
      <c r="O540" s="224" t="s">
        <v>238</v>
      </c>
      <c r="P540" s="225" t="s">
        <v>155</v>
      </c>
      <c r="Q540" s="225" t="s">
        <v>155</v>
      </c>
      <c r="R540" s="225" t="s">
        <v>155</v>
      </c>
      <c r="S540" s="225" t="s">
        <v>155</v>
      </c>
      <c r="T540" s="226"/>
      <c r="U540" s="227"/>
      <c r="V540" s="52" t="s">
        <v>250</v>
      </c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</row>
    <row r="541" ht="30.0" customHeight="1">
      <c r="A541" s="159"/>
      <c r="B541" s="218" t="s">
        <v>246</v>
      </c>
      <c r="C541" s="218" t="s">
        <v>1310</v>
      </c>
      <c r="D541" s="218" t="s">
        <v>1326</v>
      </c>
      <c r="E541" s="219">
        <v>24910.0</v>
      </c>
      <c r="F541" s="220" t="s">
        <v>1345</v>
      </c>
      <c r="G541" s="221" t="s">
        <v>518</v>
      </c>
      <c r="H541" s="222"/>
      <c r="I541" s="221" t="s">
        <v>349</v>
      </c>
      <c r="J541" s="222" t="s">
        <v>250</v>
      </c>
      <c r="K541" s="223">
        <v>2.0</v>
      </c>
      <c r="L541" s="223" t="b">
        <v>1</v>
      </c>
      <c r="M541" s="223" t="s">
        <v>349</v>
      </c>
      <c r="N541" s="223">
        <v>13.110454</v>
      </c>
      <c r="O541" s="224"/>
      <c r="P541" s="225" t="s">
        <v>155</v>
      </c>
      <c r="Q541" s="225" t="s">
        <v>155</v>
      </c>
      <c r="R541" s="225" t="s">
        <v>155</v>
      </c>
      <c r="S541" s="225" t="s">
        <v>155</v>
      </c>
      <c r="T541" s="226"/>
      <c r="U541" s="227"/>
      <c r="V541" s="52" t="s">
        <v>250</v>
      </c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</row>
    <row r="542" ht="30.0" customHeight="1">
      <c r="A542" s="159"/>
      <c r="B542" s="218" t="s">
        <v>246</v>
      </c>
      <c r="C542" s="218" t="s">
        <v>1310</v>
      </c>
      <c r="D542" s="218" t="s">
        <v>1326</v>
      </c>
      <c r="E542" s="219">
        <v>108981.0</v>
      </c>
      <c r="F542" s="220" t="s">
        <v>1346</v>
      </c>
      <c r="G542" s="221" t="s">
        <v>518</v>
      </c>
      <c r="H542" s="222"/>
      <c r="I542" s="221" t="s">
        <v>389</v>
      </c>
      <c r="J542" s="222" t="s">
        <v>250</v>
      </c>
      <c r="K542" s="223">
        <v>3.0</v>
      </c>
      <c r="L542" s="223" t="b">
        <v>0</v>
      </c>
      <c r="M542" s="228"/>
      <c r="N542" s="228"/>
      <c r="O542" s="224"/>
      <c r="P542" s="225" t="s">
        <v>155</v>
      </c>
      <c r="Q542" s="225" t="s">
        <v>155</v>
      </c>
      <c r="R542" s="225" t="s">
        <v>155</v>
      </c>
      <c r="S542" s="225" t="s">
        <v>155</v>
      </c>
      <c r="T542" s="226"/>
      <c r="U542" s="227"/>
      <c r="V542" s="52" t="s">
        <v>250</v>
      </c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</row>
    <row r="543" ht="30.0" customHeight="1">
      <c r="A543" s="159"/>
      <c r="B543" s="218" t="s">
        <v>246</v>
      </c>
      <c r="C543" s="218" t="s">
        <v>1310</v>
      </c>
      <c r="D543" s="218" t="s">
        <v>1326</v>
      </c>
      <c r="E543" s="219">
        <v>16169.0</v>
      </c>
      <c r="F543" s="220" t="s">
        <v>1347</v>
      </c>
      <c r="G543" s="221" t="s">
        <v>518</v>
      </c>
      <c r="H543" s="221" t="s">
        <v>1342</v>
      </c>
      <c r="I543" s="221" t="s">
        <v>349</v>
      </c>
      <c r="J543" s="222" t="s">
        <v>250</v>
      </c>
      <c r="K543" s="223">
        <v>2.0</v>
      </c>
      <c r="L543" s="223" t="b">
        <v>0</v>
      </c>
      <c r="M543" s="223" t="s">
        <v>349</v>
      </c>
      <c r="N543" s="223">
        <v>21.365177</v>
      </c>
      <c r="O543" s="224" t="s">
        <v>238</v>
      </c>
      <c r="P543" s="225" t="s">
        <v>155</v>
      </c>
      <c r="Q543" s="225" t="s">
        <v>155</v>
      </c>
      <c r="R543" s="225" t="s">
        <v>155</v>
      </c>
      <c r="S543" s="225" t="s">
        <v>155</v>
      </c>
      <c r="T543" s="226"/>
      <c r="U543" s="227"/>
      <c r="V543" s="52" t="s">
        <v>250</v>
      </c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</row>
    <row r="544" ht="30.0" customHeight="1">
      <c r="A544" s="159"/>
      <c r="B544" s="218" t="s">
        <v>246</v>
      </c>
      <c r="C544" s="218" t="s">
        <v>1310</v>
      </c>
      <c r="D544" s="218" t="s">
        <v>1326</v>
      </c>
      <c r="E544" s="219">
        <v>105864.0</v>
      </c>
      <c r="F544" s="220" t="s">
        <v>1348</v>
      </c>
      <c r="G544" s="221" t="s">
        <v>518</v>
      </c>
      <c r="H544" s="221" t="s">
        <v>519</v>
      </c>
      <c r="I544" s="221" t="s">
        <v>1349</v>
      </c>
      <c r="J544" s="222" t="s">
        <v>250</v>
      </c>
      <c r="K544" s="223">
        <v>4.0</v>
      </c>
      <c r="L544" s="223" t="b">
        <v>1</v>
      </c>
      <c r="M544" s="223" t="s">
        <v>42</v>
      </c>
      <c r="N544" s="223">
        <v>1.485</v>
      </c>
      <c r="O544" s="224"/>
      <c r="P544" s="225" t="s">
        <v>155</v>
      </c>
      <c r="Q544" s="225" t="s">
        <v>155</v>
      </c>
      <c r="R544" s="225" t="s">
        <v>155</v>
      </c>
      <c r="S544" s="225" t="s">
        <v>155</v>
      </c>
      <c r="T544" s="226"/>
      <c r="U544" s="227"/>
      <c r="V544" s="52" t="s">
        <v>250</v>
      </c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</row>
    <row r="545" ht="30.0" customHeight="1">
      <c r="A545" s="159"/>
      <c r="B545" s="218" t="s">
        <v>246</v>
      </c>
      <c r="C545" s="218" t="s">
        <v>1310</v>
      </c>
      <c r="D545" s="218" t="s">
        <v>1326</v>
      </c>
      <c r="E545" s="219">
        <v>110953.0</v>
      </c>
      <c r="F545" s="220" t="s">
        <v>1350</v>
      </c>
      <c r="G545" s="221" t="s">
        <v>518</v>
      </c>
      <c r="H545" s="222"/>
      <c r="I545" s="221" t="s">
        <v>42</v>
      </c>
      <c r="J545" s="222" t="s">
        <v>250</v>
      </c>
      <c r="K545" s="223">
        <v>2.0</v>
      </c>
      <c r="L545" s="223" t="b">
        <v>0</v>
      </c>
      <c r="M545" s="228"/>
      <c r="N545" s="228"/>
      <c r="O545" s="224"/>
      <c r="P545" s="225" t="s">
        <v>155</v>
      </c>
      <c r="Q545" s="225" t="s">
        <v>155</v>
      </c>
      <c r="R545" s="225" t="s">
        <v>155</v>
      </c>
      <c r="S545" s="225" t="s">
        <v>155</v>
      </c>
      <c r="T545" s="226"/>
      <c r="U545" s="227"/>
      <c r="V545" s="52" t="s">
        <v>250</v>
      </c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</row>
    <row r="546" ht="30.0" customHeight="1">
      <c r="A546" s="209"/>
      <c r="B546" s="210" t="s">
        <v>1351</v>
      </c>
      <c r="C546" s="211"/>
      <c r="D546" s="211"/>
      <c r="E546" s="212"/>
      <c r="F546" s="213"/>
      <c r="G546" s="213"/>
      <c r="H546" s="213"/>
      <c r="I546" s="212"/>
      <c r="J546" s="212"/>
      <c r="K546" s="214"/>
      <c r="L546" s="214"/>
      <c r="M546" s="214"/>
      <c r="N546" s="214"/>
      <c r="O546" s="215"/>
      <c r="P546" s="216"/>
      <c r="Q546" s="216"/>
      <c r="R546" s="216"/>
      <c r="S546" s="216"/>
      <c r="T546" s="217"/>
      <c r="U546" s="217"/>
      <c r="V546" s="217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</row>
    <row r="547" ht="30.0" customHeight="1">
      <c r="A547" s="159"/>
      <c r="B547" s="218" t="s">
        <v>246</v>
      </c>
      <c r="C547" s="218" t="s">
        <v>1310</v>
      </c>
      <c r="D547" s="218" t="s">
        <v>1351</v>
      </c>
      <c r="E547" s="219">
        <v>40202.0</v>
      </c>
      <c r="F547" s="220" t="s">
        <v>1352</v>
      </c>
      <c r="G547" s="221" t="s">
        <v>518</v>
      </c>
      <c r="H547" s="222" t="s">
        <v>250</v>
      </c>
      <c r="I547" s="221" t="s">
        <v>389</v>
      </c>
      <c r="J547" s="221" t="s">
        <v>819</v>
      </c>
      <c r="K547" s="223">
        <v>1.0</v>
      </c>
      <c r="L547" s="223" t="b">
        <v>1</v>
      </c>
      <c r="M547" s="228"/>
      <c r="N547" s="228"/>
      <c r="O547" s="224"/>
      <c r="P547" s="230"/>
      <c r="Q547" s="225" t="s">
        <v>155</v>
      </c>
      <c r="R547" s="230"/>
      <c r="S547" s="230"/>
      <c r="T547" s="229" t="s">
        <v>1353</v>
      </c>
      <c r="U547" s="227"/>
      <c r="V547" s="52" t="s">
        <v>250</v>
      </c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</row>
    <row r="548" ht="30.0" customHeight="1">
      <c r="A548" s="159"/>
      <c r="B548" s="218" t="s">
        <v>246</v>
      </c>
      <c r="C548" s="218" t="s">
        <v>1310</v>
      </c>
      <c r="D548" s="218" t="s">
        <v>1351</v>
      </c>
      <c r="E548" s="219">
        <v>142455.0</v>
      </c>
      <c r="F548" s="220" t="s">
        <v>1354</v>
      </c>
      <c r="G548" s="221" t="s">
        <v>518</v>
      </c>
      <c r="H548" s="221" t="s">
        <v>519</v>
      </c>
      <c r="I548" s="221" t="s">
        <v>65</v>
      </c>
      <c r="J548" s="222" t="s">
        <v>250</v>
      </c>
      <c r="K548" s="223">
        <v>3.0</v>
      </c>
      <c r="L548" s="223" t="b">
        <v>0</v>
      </c>
      <c r="M548" s="223" t="s">
        <v>65</v>
      </c>
      <c r="N548" s="223">
        <v>0.302162</v>
      </c>
      <c r="O548" s="224"/>
      <c r="P548" s="225" t="s">
        <v>155</v>
      </c>
      <c r="Q548" s="225" t="s">
        <v>155</v>
      </c>
      <c r="R548" s="225" t="s">
        <v>155</v>
      </c>
      <c r="S548" s="225" t="s">
        <v>155</v>
      </c>
      <c r="T548" s="226"/>
      <c r="U548" s="227"/>
      <c r="V548" s="52" t="s">
        <v>250</v>
      </c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</row>
    <row r="549" ht="30.0" customHeight="1">
      <c r="A549" s="159"/>
      <c r="B549" s="218" t="s">
        <v>246</v>
      </c>
      <c r="C549" s="218" t="s">
        <v>1310</v>
      </c>
      <c r="D549" s="218" t="s">
        <v>1351</v>
      </c>
      <c r="E549" s="219">
        <v>150115.0</v>
      </c>
      <c r="F549" s="220" t="s">
        <v>1355</v>
      </c>
      <c r="G549" s="221" t="s">
        <v>518</v>
      </c>
      <c r="H549" s="221" t="s">
        <v>1356</v>
      </c>
      <c r="I549" s="221" t="s">
        <v>42</v>
      </c>
      <c r="J549" s="222" t="s">
        <v>250</v>
      </c>
      <c r="K549" s="223">
        <v>4.0</v>
      </c>
      <c r="L549" s="223" t="b">
        <v>0</v>
      </c>
      <c r="M549" s="228"/>
      <c r="N549" s="228"/>
      <c r="O549" s="224"/>
      <c r="P549" s="225" t="s">
        <v>155</v>
      </c>
      <c r="Q549" s="225" t="s">
        <v>155</v>
      </c>
      <c r="R549" s="225" t="s">
        <v>155</v>
      </c>
      <c r="S549" s="225" t="s">
        <v>155</v>
      </c>
      <c r="T549" s="226"/>
      <c r="U549" s="227"/>
      <c r="V549" s="52" t="s">
        <v>250</v>
      </c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</row>
    <row r="550" ht="30.0" customHeight="1">
      <c r="A550" s="159"/>
      <c r="B550" s="218" t="s">
        <v>246</v>
      </c>
      <c r="C550" s="218" t="s">
        <v>1310</v>
      </c>
      <c r="D550" s="218" t="s">
        <v>1351</v>
      </c>
      <c r="E550" s="219">
        <v>149876.0</v>
      </c>
      <c r="F550" s="220" t="s">
        <v>1357</v>
      </c>
      <c r="G550" s="221" t="s">
        <v>518</v>
      </c>
      <c r="H550" s="221" t="s">
        <v>1358</v>
      </c>
      <c r="I550" s="221" t="s">
        <v>62</v>
      </c>
      <c r="J550" s="222" t="s">
        <v>250</v>
      </c>
      <c r="K550" s="223">
        <v>4.0</v>
      </c>
      <c r="L550" s="223" t="b">
        <v>0</v>
      </c>
      <c r="M550" s="228"/>
      <c r="N550" s="228"/>
      <c r="O550" s="224"/>
      <c r="P550" s="225" t="s">
        <v>155</v>
      </c>
      <c r="Q550" s="225" t="s">
        <v>155</v>
      </c>
      <c r="R550" s="225" t="s">
        <v>155</v>
      </c>
      <c r="S550" s="225" t="s">
        <v>155</v>
      </c>
      <c r="T550" s="229" t="s">
        <v>1359</v>
      </c>
      <c r="U550" s="227"/>
      <c r="V550" s="52" t="s">
        <v>250</v>
      </c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</row>
    <row r="551" ht="30.0" customHeight="1">
      <c r="A551" s="159"/>
      <c r="B551" s="218" t="s">
        <v>246</v>
      </c>
      <c r="C551" s="218" t="s">
        <v>1310</v>
      </c>
      <c r="D551" s="218" t="s">
        <v>1351</v>
      </c>
      <c r="E551" s="219">
        <v>112187.0</v>
      </c>
      <c r="F551" s="220" t="s">
        <v>1360</v>
      </c>
      <c r="G551" s="221" t="s">
        <v>249</v>
      </c>
      <c r="H551" s="221" t="s">
        <v>1361</v>
      </c>
      <c r="I551" s="221" t="s">
        <v>1362</v>
      </c>
      <c r="J551" s="221" t="s">
        <v>819</v>
      </c>
      <c r="K551" s="223">
        <v>2.0</v>
      </c>
      <c r="L551" s="223" t="b">
        <v>0</v>
      </c>
      <c r="M551" s="223" t="s">
        <v>1363</v>
      </c>
      <c r="N551" s="223">
        <v>0.8068</v>
      </c>
      <c r="O551" s="224"/>
      <c r="P551" s="225" t="s">
        <v>155</v>
      </c>
      <c r="Q551" s="225" t="s">
        <v>155</v>
      </c>
      <c r="R551" s="225" t="s">
        <v>155</v>
      </c>
      <c r="S551" s="225" t="s">
        <v>155</v>
      </c>
      <c r="T551" s="226"/>
      <c r="U551" s="227"/>
      <c r="V551" s="52" t="s">
        <v>250</v>
      </c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</row>
    <row r="552" ht="30.0" customHeight="1">
      <c r="A552" s="159"/>
      <c r="B552" s="218" t="s">
        <v>246</v>
      </c>
      <c r="C552" s="218" t="s">
        <v>1310</v>
      </c>
      <c r="D552" s="218" t="s">
        <v>1351</v>
      </c>
      <c r="E552" s="219">
        <v>112186.0</v>
      </c>
      <c r="F552" s="220" t="s">
        <v>1364</v>
      </c>
      <c r="G552" s="221" t="s">
        <v>249</v>
      </c>
      <c r="H552" s="221" t="s">
        <v>1365</v>
      </c>
      <c r="I552" s="221" t="s">
        <v>1366</v>
      </c>
      <c r="J552" s="222" t="s">
        <v>250</v>
      </c>
      <c r="K552" s="223">
        <v>1.0</v>
      </c>
      <c r="L552" s="223" t="b">
        <v>0</v>
      </c>
      <c r="M552" s="223" t="s">
        <v>1366</v>
      </c>
      <c r="N552" s="223">
        <v>92.788235</v>
      </c>
      <c r="O552" s="224"/>
      <c r="P552" s="225" t="s">
        <v>155</v>
      </c>
      <c r="Q552" s="225" t="s">
        <v>155</v>
      </c>
      <c r="R552" s="225" t="s">
        <v>155</v>
      </c>
      <c r="S552" s="225" t="s">
        <v>155</v>
      </c>
      <c r="T552" s="226"/>
      <c r="U552" s="227"/>
      <c r="V552" s="52" t="s">
        <v>250</v>
      </c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</row>
    <row r="553" ht="30.0" customHeight="1">
      <c r="A553" s="159"/>
      <c r="B553" s="218" t="s">
        <v>246</v>
      </c>
      <c r="C553" s="218" t="s">
        <v>1310</v>
      </c>
      <c r="D553" s="218" t="s">
        <v>1351</v>
      </c>
      <c r="E553" s="219">
        <v>19955.0</v>
      </c>
      <c r="F553" s="220" t="s">
        <v>1367</v>
      </c>
      <c r="G553" s="221" t="s">
        <v>518</v>
      </c>
      <c r="H553" s="221" t="s">
        <v>1368</v>
      </c>
      <c r="I553" s="221" t="s">
        <v>349</v>
      </c>
      <c r="J553" s="221" t="s">
        <v>819</v>
      </c>
      <c r="K553" s="223">
        <v>4.0</v>
      </c>
      <c r="L553" s="223" t="b">
        <v>1</v>
      </c>
      <c r="M553" s="223" t="s">
        <v>349</v>
      </c>
      <c r="N553" s="223">
        <v>18.391611</v>
      </c>
      <c r="O553" s="224" t="s">
        <v>238</v>
      </c>
      <c r="P553" s="225" t="s">
        <v>155</v>
      </c>
      <c r="Q553" s="225" t="s">
        <v>155</v>
      </c>
      <c r="R553" s="225" t="s">
        <v>155</v>
      </c>
      <c r="S553" s="225" t="s">
        <v>155</v>
      </c>
      <c r="T553" s="226"/>
      <c r="U553" s="227"/>
      <c r="V553" s="52" t="s">
        <v>250</v>
      </c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</row>
    <row r="554" ht="30.0" customHeight="1">
      <c r="A554" s="159"/>
      <c r="B554" s="218" t="s">
        <v>246</v>
      </c>
      <c r="C554" s="218" t="s">
        <v>1310</v>
      </c>
      <c r="D554" s="218" t="s">
        <v>1351</v>
      </c>
      <c r="E554" s="219">
        <v>111802.0</v>
      </c>
      <c r="F554" s="220" t="s">
        <v>1369</v>
      </c>
      <c r="G554" s="221" t="s">
        <v>518</v>
      </c>
      <c r="H554" s="221" t="s">
        <v>1370</v>
      </c>
      <c r="I554" s="221" t="s">
        <v>464</v>
      </c>
      <c r="J554" s="221" t="s">
        <v>819</v>
      </c>
      <c r="K554" s="223">
        <v>2.0</v>
      </c>
      <c r="L554" s="223" t="b">
        <v>1</v>
      </c>
      <c r="M554" s="223" t="s">
        <v>464</v>
      </c>
      <c r="N554" s="223">
        <v>54.960166</v>
      </c>
      <c r="O554" s="224"/>
      <c r="P554" s="225" t="s">
        <v>155</v>
      </c>
      <c r="Q554" s="225" t="s">
        <v>155</v>
      </c>
      <c r="R554" s="225" t="s">
        <v>155</v>
      </c>
      <c r="S554" s="225" t="s">
        <v>155</v>
      </c>
      <c r="T554" s="226"/>
      <c r="U554" s="227"/>
      <c r="V554" s="52" t="s">
        <v>250</v>
      </c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</row>
    <row r="555" ht="30.0" customHeight="1">
      <c r="A555" s="159"/>
      <c r="B555" s="218" t="s">
        <v>246</v>
      </c>
      <c r="C555" s="218" t="s">
        <v>1310</v>
      </c>
      <c r="D555" s="218" t="s">
        <v>1351</v>
      </c>
      <c r="E555" s="219">
        <v>15952.0</v>
      </c>
      <c r="F555" s="220" t="s">
        <v>1371</v>
      </c>
      <c r="G555" s="221" t="s">
        <v>518</v>
      </c>
      <c r="H555" s="221" t="s">
        <v>1368</v>
      </c>
      <c r="I555" s="221" t="s">
        <v>1372</v>
      </c>
      <c r="J555" s="221" t="s">
        <v>819</v>
      </c>
      <c r="K555" s="223">
        <v>4.0</v>
      </c>
      <c r="L555" s="223" t="b">
        <v>1</v>
      </c>
      <c r="M555" s="223" t="s">
        <v>1372</v>
      </c>
      <c r="N555" s="223">
        <v>3.177042</v>
      </c>
      <c r="O555" s="224" t="s">
        <v>238</v>
      </c>
      <c r="P555" s="225" t="s">
        <v>155</v>
      </c>
      <c r="Q555" s="225" t="s">
        <v>155</v>
      </c>
      <c r="R555" s="225" t="s">
        <v>155</v>
      </c>
      <c r="S555" s="225" t="s">
        <v>155</v>
      </c>
      <c r="T555" s="226"/>
      <c r="U555" s="227"/>
      <c r="V555" s="52" t="s">
        <v>250</v>
      </c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</row>
    <row r="556" ht="30.0" customHeight="1">
      <c r="A556" s="159"/>
      <c r="B556" s="218" t="s">
        <v>246</v>
      </c>
      <c r="C556" s="218" t="s">
        <v>1310</v>
      </c>
      <c r="D556" s="218" t="s">
        <v>1351</v>
      </c>
      <c r="E556" s="219">
        <v>15963.0</v>
      </c>
      <c r="F556" s="220" t="s">
        <v>1373</v>
      </c>
      <c r="G556" s="221" t="s">
        <v>518</v>
      </c>
      <c r="H556" s="221" t="s">
        <v>1368</v>
      </c>
      <c r="I556" s="221" t="s">
        <v>349</v>
      </c>
      <c r="J556" s="221" t="s">
        <v>819</v>
      </c>
      <c r="K556" s="223">
        <v>3.0</v>
      </c>
      <c r="L556" s="223" t="b">
        <v>1</v>
      </c>
      <c r="M556" s="223" t="s">
        <v>349</v>
      </c>
      <c r="N556" s="223">
        <v>14.031044</v>
      </c>
      <c r="O556" s="224" t="s">
        <v>238</v>
      </c>
      <c r="P556" s="225" t="s">
        <v>155</v>
      </c>
      <c r="Q556" s="225" t="s">
        <v>155</v>
      </c>
      <c r="R556" s="225" t="s">
        <v>155</v>
      </c>
      <c r="S556" s="225" t="s">
        <v>155</v>
      </c>
      <c r="T556" s="226"/>
      <c r="U556" s="227"/>
      <c r="V556" s="52" t="s">
        <v>250</v>
      </c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</row>
    <row r="557" ht="30.0" customHeight="1">
      <c r="A557" s="159"/>
      <c r="B557" s="218" t="s">
        <v>246</v>
      </c>
      <c r="C557" s="218" t="s">
        <v>1310</v>
      </c>
      <c r="D557" s="218" t="s">
        <v>1351</v>
      </c>
      <c r="E557" s="219">
        <v>15973.0</v>
      </c>
      <c r="F557" s="220" t="s">
        <v>1374</v>
      </c>
      <c r="G557" s="221" t="s">
        <v>518</v>
      </c>
      <c r="H557" s="221" t="s">
        <v>1375</v>
      </c>
      <c r="I557" s="221" t="s">
        <v>42</v>
      </c>
      <c r="J557" s="221" t="s">
        <v>819</v>
      </c>
      <c r="K557" s="223">
        <v>3.0</v>
      </c>
      <c r="L557" s="223" t="b">
        <v>1</v>
      </c>
      <c r="M557" s="228"/>
      <c r="N557" s="228"/>
      <c r="O557" s="224"/>
      <c r="P557" s="225" t="s">
        <v>155</v>
      </c>
      <c r="Q557" s="225" t="s">
        <v>155</v>
      </c>
      <c r="R557" s="225" t="s">
        <v>155</v>
      </c>
      <c r="S557" s="225" t="s">
        <v>155</v>
      </c>
      <c r="T557" s="226"/>
      <c r="U557" s="227"/>
      <c r="V557" s="52" t="s">
        <v>250</v>
      </c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</row>
    <row r="558" ht="30.0" customHeight="1">
      <c r="A558" s="159"/>
      <c r="B558" s="218" t="s">
        <v>246</v>
      </c>
      <c r="C558" s="218" t="s">
        <v>1310</v>
      </c>
      <c r="D558" s="218" t="s">
        <v>1351</v>
      </c>
      <c r="E558" s="219">
        <v>15977.0</v>
      </c>
      <c r="F558" s="220" t="s">
        <v>1376</v>
      </c>
      <c r="G558" s="221" t="s">
        <v>518</v>
      </c>
      <c r="H558" s="221" t="s">
        <v>1368</v>
      </c>
      <c r="I558" s="221" t="s">
        <v>349</v>
      </c>
      <c r="J558" s="221" t="s">
        <v>819</v>
      </c>
      <c r="K558" s="223">
        <v>3.0</v>
      </c>
      <c r="L558" s="223" t="b">
        <v>1</v>
      </c>
      <c r="M558" s="223" t="s">
        <v>349</v>
      </c>
      <c r="N558" s="223">
        <v>14.8415</v>
      </c>
      <c r="O558" s="224" t="s">
        <v>238</v>
      </c>
      <c r="P558" s="225" t="s">
        <v>155</v>
      </c>
      <c r="Q558" s="225" t="s">
        <v>155</v>
      </c>
      <c r="R558" s="225" t="s">
        <v>155</v>
      </c>
      <c r="S558" s="225" t="s">
        <v>155</v>
      </c>
      <c r="T558" s="226"/>
      <c r="U558" s="227"/>
      <c r="V558" s="52" t="s">
        <v>250</v>
      </c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</row>
    <row r="559" ht="30.0" customHeight="1">
      <c r="A559" s="159"/>
      <c r="B559" s="218" t="s">
        <v>246</v>
      </c>
      <c r="C559" s="218" t="s">
        <v>1310</v>
      </c>
      <c r="D559" s="218" t="s">
        <v>1351</v>
      </c>
      <c r="E559" s="219">
        <v>15955.0</v>
      </c>
      <c r="F559" s="220" t="s">
        <v>1377</v>
      </c>
      <c r="G559" s="221" t="s">
        <v>518</v>
      </c>
      <c r="H559" s="221" t="s">
        <v>1368</v>
      </c>
      <c r="I559" s="221" t="s">
        <v>349</v>
      </c>
      <c r="J559" s="221" t="s">
        <v>819</v>
      </c>
      <c r="K559" s="223">
        <v>1.0</v>
      </c>
      <c r="L559" s="223" t="b">
        <v>1</v>
      </c>
      <c r="M559" s="223" t="s">
        <v>349</v>
      </c>
      <c r="N559" s="223">
        <v>14.181791</v>
      </c>
      <c r="O559" s="224" t="s">
        <v>238</v>
      </c>
      <c r="P559" s="225" t="s">
        <v>155</v>
      </c>
      <c r="Q559" s="225" t="s">
        <v>155</v>
      </c>
      <c r="R559" s="225" t="s">
        <v>155</v>
      </c>
      <c r="S559" s="225" t="s">
        <v>155</v>
      </c>
      <c r="T559" s="226"/>
      <c r="U559" s="227"/>
      <c r="V559" s="52" t="s">
        <v>250</v>
      </c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</row>
    <row r="560" ht="30.0" customHeight="1">
      <c r="A560" s="159"/>
      <c r="B560" s="218" t="s">
        <v>246</v>
      </c>
      <c r="C560" s="218" t="s">
        <v>1310</v>
      </c>
      <c r="D560" s="218" t="s">
        <v>1351</v>
      </c>
      <c r="E560" s="219">
        <v>15960.0</v>
      </c>
      <c r="F560" s="220" t="s">
        <v>1378</v>
      </c>
      <c r="G560" s="221" t="s">
        <v>518</v>
      </c>
      <c r="H560" s="221" t="s">
        <v>1368</v>
      </c>
      <c r="I560" s="221" t="s">
        <v>961</v>
      </c>
      <c r="J560" s="221" t="s">
        <v>1379</v>
      </c>
      <c r="K560" s="223">
        <v>4.0</v>
      </c>
      <c r="L560" s="223" t="b">
        <v>1</v>
      </c>
      <c r="M560" s="223" t="s">
        <v>961</v>
      </c>
      <c r="N560" s="223">
        <v>50.975</v>
      </c>
      <c r="O560" s="224" t="s">
        <v>238</v>
      </c>
      <c r="P560" s="225" t="s">
        <v>155</v>
      </c>
      <c r="Q560" s="225" t="s">
        <v>155</v>
      </c>
      <c r="R560" s="225" t="s">
        <v>155</v>
      </c>
      <c r="S560" s="225" t="s">
        <v>155</v>
      </c>
      <c r="T560" s="226"/>
      <c r="U560" s="227"/>
      <c r="V560" s="52" t="s">
        <v>250</v>
      </c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</row>
    <row r="561" ht="30.0" customHeight="1">
      <c r="A561" s="159"/>
      <c r="B561" s="218" t="s">
        <v>246</v>
      </c>
      <c r="C561" s="218" t="s">
        <v>1310</v>
      </c>
      <c r="D561" s="218" t="s">
        <v>1351</v>
      </c>
      <c r="E561" s="219">
        <v>24911.0</v>
      </c>
      <c r="F561" s="220" t="s">
        <v>1380</v>
      </c>
      <c r="G561" s="221" t="s">
        <v>518</v>
      </c>
      <c r="H561" s="221" t="s">
        <v>1368</v>
      </c>
      <c r="I561" s="221" t="s">
        <v>42</v>
      </c>
      <c r="J561" s="221" t="s">
        <v>819</v>
      </c>
      <c r="K561" s="223">
        <v>3.0</v>
      </c>
      <c r="L561" s="223" t="b">
        <v>1</v>
      </c>
      <c r="M561" s="228"/>
      <c r="N561" s="228"/>
      <c r="O561" s="224"/>
      <c r="P561" s="225" t="s">
        <v>155</v>
      </c>
      <c r="Q561" s="225" t="s">
        <v>155</v>
      </c>
      <c r="R561" s="225" t="s">
        <v>155</v>
      </c>
      <c r="S561" s="225" t="s">
        <v>155</v>
      </c>
      <c r="T561" s="226"/>
      <c r="U561" s="227"/>
      <c r="V561" s="52" t="s">
        <v>250</v>
      </c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</row>
    <row r="562" ht="30.0" customHeight="1">
      <c r="A562" s="159"/>
      <c r="B562" s="218" t="s">
        <v>246</v>
      </c>
      <c r="C562" s="218" t="s">
        <v>1381</v>
      </c>
      <c r="D562" s="218" t="s">
        <v>1382</v>
      </c>
      <c r="E562" s="219">
        <v>144832.0</v>
      </c>
      <c r="F562" s="220" t="s">
        <v>1383</v>
      </c>
      <c r="G562" s="221" t="s">
        <v>518</v>
      </c>
      <c r="H562" s="221" t="s">
        <v>1384</v>
      </c>
      <c r="I562" s="221" t="s">
        <v>389</v>
      </c>
      <c r="J562" s="221" t="b">
        <v>0</v>
      </c>
      <c r="K562" s="223">
        <v>1.0</v>
      </c>
      <c r="L562" s="223" t="b">
        <v>0</v>
      </c>
      <c r="M562" s="223" t="s">
        <v>1385</v>
      </c>
      <c r="N562" s="223" t="s">
        <v>1386</v>
      </c>
      <c r="O562" s="224"/>
      <c r="P562" s="230"/>
      <c r="Q562" s="225" t="s">
        <v>155</v>
      </c>
      <c r="R562" s="230"/>
      <c r="S562" s="230"/>
      <c r="T562" s="229" t="s">
        <v>592</v>
      </c>
      <c r="U562" s="227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</row>
    <row r="563" ht="30.0" customHeight="1">
      <c r="A563" s="209"/>
      <c r="B563" s="210" t="s">
        <v>1387</v>
      </c>
      <c r="C563" s="211"/>
      <c r="D563" s="211"/>
      <c r="E563" s="212"/>
      <c r="F563" s="213"/>
      <c r="G563" s="213"/>
      <c r="H563" s="213"/>
      <c r="I563" s="212"/>
      <c r="J563" s="212"/>
      <c r="K563" s="214"/>
      <c r="L563" s="214"/>
      <c r="M563" s="214"/>
      <c r="N563" s="214"/>
      <c r="O563" s="215"/>
      <c r="P563" s="216"/>
      <c r="Q563" s="216"/>
      <c r="R563" s="216"/>
      <c r="S563" s="216"/>
      <c r="T563" s="217"/>
      <c r="U563" s="217"/>
      <c r="V563" s="217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</row>
    <row r="564" ht="30.0" customHeight="1">
      <c r="A564" s="159"/>
      <c r="B564" s="218" t="s">
        <v>246</v>
      </c>
      <c r="C564" s="218" t="s">
        <v>1310</v>
      </c>
      <c r="D564" s="218" t="s">
        <v>1387</v>
      </c>
      <c r="E564" s="219">
        <v>142489.0</v>
      </c>
      <c r="F564" s="220" t="s">
        <v>1388</v>
      </c>
      <c r="G564" s="221" t="s">
        <v>518</v>
      </c>
      <c r="H564" s="221" t="s">
        <v>1389</v>
      </c>
      <c r="I564" s="221" t="s">
        <v>42</v>
      </c>
      <c r="J564" s="221" t="b">
        <v>0</v>
      </c>
      <c r="K564" s="223" t="b">
        <v>0</v>
      </c>
      <c r="L564" s="223" t="b">
        <v>0</v>
      </c>
      <c r="M564" s="223" t="s">
        <v>1390</v>
      </c>
      <c r="N564" s="223">
        <v>55.0</v>
      </c>
      <c r="O564" s="224"/>
      <c r="P564" s="230"/>
      <c r="Q564" s="225" t="s">
        <v>155</v>
      </c>
      <c r="R564" s="230"/>
      <c r="S564" s="230"/>
      <c r="T564" s="229" t="s">
        <v>592</v>
      </c>
      <c r="U564" s="227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</row>
    <row r="565" ht="30.0" customHeight="1">
      <c r="A565" s="159"/>
      <c r="B565" s="218" t="s">
        <v>246</v>
      </c>
      <c r="C565" s="218" t="s">
        <v>1310</v>
      </c>
      <c r="D565" s="218" t="s">
        <v>1387</v>
      </c>
      <c r="E565" s="219">
        <v>16882.0</v>
      </c>
      <c r="F565" s="220" t="s">
        <v>1391</v>
      </c>
      <c r="G565" s="221" t="s">
        <v>518</v>
      </c>
      <c r="H565" s="222" t="s">
        <v>250</v>
      </c>
      <c r="I565" s="221" t="s">
        <v>42</v>
      </c>
      <c r="J565" s="222" t="s">
        <v>250</v>
      </c>
      <c r="K565" s="223">
        <v>4.0</v>
      </c>
      <c r="L565" s="223" t="b">
        <v>1</v>
      </c>
      <c r="M565" s="228"/>
      <c r="N565" s="228"/>
      <c r="O565" s="224"/>
      <c r="P565" s="225" t="s">
        <v>155</v>
      </c>
      <c r="Q565" s="225" t="s">
        <v>155</v>
      </c>
      <c r="R565" s="225" t="s">
        <v>155</v>
      </c>
      <c r="S565" s="225" t="s">
        <v>155</v>
      </c>
      <c r="T565" s="226"/>
      <c r="U565" s="227"/>
      <c r="V565" s="109" t="s">
        <v>1392</v>
      </c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</row>
    <row r="566" ht="30.0" customHeight="1">
      <c r="A566" s="159"/>
      <c r="B566" s="218" t="s">
        <v>246</v>
      </c>
      <c r="C566" s="218" t="s">
        <v>1310</v>
      </c>
      <c r="D566" s="218" t="s">
        <v>1387</v>
      </c>
      <c r="E566" s="219">
        <v>10883.0</v>
      </c>
      <c r="F566" s="220" t="s">
        <v>1393</v>
      </c>
      <c r="G566" s="221" t="s">
        <v>518</v>
      </c>
      <c r="H566" s="221" t="s">
        <v>1394</v>
      </c>
      <c r="I566" s="221" t="s">
        <v>1395</v>
      </c>
      <c r="J566" s="222" t="s">
        <v>250</v>
      </c>
      <c r="K566" s="223">
        <v>4.0</v>
      </c>
      <c r="L566" s="223" t="b">
        <v>0</v>
      </c>
      <c r="M566" s="223" t="s">
        <v>1396</v>
      </c>
      <c r="N566" s="223">
        <v>3.002517</v>
      </c>
      <c r="O566" s="224" t="s">
        <v>238</v>
      </c>
      <c r="P566" s="225" t="s">
        <v>155</v>
      </c>
      <c r="Q566" s="225" t="s">
        <v>155</v>
      </c>
      <c r="R566" s="225" t="s">
        <v>155</v>
      </c>
      <c r="S566" s="225" t="s">
        <v>155</v>
      </c>
      <c r="T566" s="226"/>
      <c r="U566" s="227"/>
      <c r="V566" s="52" t="s">
        <v>250</v>
      </c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</row>
    <row r="567" ht="30.0" customHeight="1">
      <c r="A567" s="159"/>
      <c r="B567" s="218" t="s">
        <v>246</v>
      </c>
      <c r="C567" s="218" t="s">
        <v>1310</v>
      </c>
      <c r="D567" s="218" t="s">
        <v>1387</v>
      </c>
      <c r="E567" s="219">
        <v>112792.0</v>
      </c>
      <c r="F567" s="220" t="s">
        <v>1397</v>
      </c>
      <c r="G567" s="221" t="s">
        <v>518</v>
      </c>
      <c r="H567" s="221" t="s">
        <v>1398</v>
      </c>
      <c r="I567" s="221" t="s">
        <v>981</v>
      </c>
      <c r="J567" s="222" t="s">
        <v>250</v>
      </c>
      <c r="K567" s="223">
        <v>2.0</v>
      </c>
      <c r="L567" s="223" t="b">
        <v>1</v>
      </c>
      <c r="M567" s="223" t="s">
        <v>42</v>
      </c>
      <c r="N567" s="223">
        <v>5.822459</v>
      </c>
      <c r="O567" s="224"/>
      <c r="P567" s="225" t="s">
        <v>155</v>
      </c>
      <c r="Q567" s="225" t="s">
        <v>155</v>
      </c>
      <c r="R567" s="225" t="s">
        <v>155</v>
      </c>
      <c r="S567" s="225" t="s">
        <v>155</v>
      </c>
      <c r="T567" s="226"/>
      <c r="U567" s="227"/>
      <c r="V567" s="52" t="s">
        <v>250</v>
      </c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</row>
    <row r="568" ht="30.0" customHeight="1">
      <c r="A568" s="159"/>
      <c r="B568" s="218" t="s">
        <v>246</v>
      </c>
      <c r="C568" s="218" t="s">
        <v>1310</v>
      </c>
      <c r="D568" s="218" t="s">
        <v>1387</v>
      </c>
      <c r="E568" s="219">
        <v>112793.0</v>
      </c>
      <c r="F568" s="220" t="s">
        <v>1399</v>
      </c>
      <c r="G568" s="221" t="s">
        <v>518</v>
      </c>
      <c r="H568" s="221" t="s">
        <v>1400</v>
      </c>
      <c r="I568" s="221" t="s">
        <v>1401</v>
      </c>
      <c r="J568" s="221" t="s">
        <v>819</v>
      </c>
      <c r="K568" s="223">
        <v>2.0</v>
      </c>
      <c r="L568" s="223" t="b">
        <v>1</v>
      </c>
      <c r="M568" s="223" t="s">
        <v>42</v>
      </c>
      <c r="N568" s="223">
        <v>3.384782</v>
      </c>
      <c r="O568" s="224"/>
      <c r="P568" s="225" t="s">
        <v>155</v>
      </c>
      <c r="Q568" s="225" t="s">
        <v>155</v>
      </c>
      <c r="R568" s="225" t="s">
        <v>155</v>
      </c>
      <c r="S568" s="225" t="s">
        <v>155</v>
      </c>
      <c r="T568" s="226"/>
      <c r="U568" s="227"/>
      <c r="V568" s="52" t="s">
        <v>250</v>
      </c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</row>
    <row r="569" ht="30.0" customHeight="1">
      <c r="A569" s="159"/>
      <c r="B569" s="218" t="s">
        <v>246</v>
      </c>
      <c r="C569" s="218" t="s">
        <v>1310</v>
      </c>
      <c r="D569" s="218" t="s">
        <v>1387</v>
      </c>
      <c r="E569" s="219">
        <v>16869.0</v>
      </c>
      <c r="F569" s="220" t="s">
        <v>1402</v>
      </c>
      <c r="G569" s="221" t="s">
        <v>518</v>
      </c>
      <c r="H569" s="221" t="s">
        <v>1403</v>
      </c>
      <c r="I569" s="221" t="s">
        <v>1404</v>
      </c>
      <c r="J569" s="221" t="s">
        <v>1405</v>
      </c>
      <c r="K569" s="223">
        <v>4.0</v>
      </c>
      <c r="L569" s="223" t="b">
        <v>1</v>
      </c>
      <c r="M569" s="223" t="s">
        <v>1404</v>
      </c>
      <c r="N569" s="223">
        <v>43.123138</v>
      </c>
      <c r="O569" s="224" t="s">
        <v>238</v>
      </c>
      <c r="P569" s="225" t="s">
        <v>155</v>
      </c>
      <c r="Q569" s="225" t="s">
        <v>155</v>
      </c>
      <c r="R569" s="225" t="s">
        <v>155</v>
      </c>
      <c r="S569" s="225" t="s">
        <v>155</v>
      </c>
      <c r="T569" s="226"/>
      <c r="U569" s="227"/>
      <c r="V569" s="52" t="s">
        <v>250</v>
      </c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</row>
    <row r="570" ht="30.0" customHeight="1">
      <c r="A570" s="159"/>
      <c r="B570" s="218" t="s">
        <v>246</v>
      </c>
      <c r="C570" s="218" t="s">
        <v>1310</v>
      </c>
      <c r="D570" s="218" t="s">
        <v>1387</v>
      </c>
      <c r="E570" s="219">
        <v>16885.0</v>
      </c>
      <c r="F570" s="220" t="s">
        <v>1406</v>
      </c>
      <c r="G570" s="221" t="s">
        <v>518</v>
      </c>
      <c r="H570" s="221" t="s">
        <v>1407</v>
      </c>
      <c r="I570" s="221" t="s">
        <v>42</v>
      </c>
      <c r="J570" s="222" t="s">
        <v>250</v>
      </c>
      <c r="K570" s="223">
        <v>4.0</v>
      </c>
      <c r="L570" s="223" t="b">
        <v>1</v>
      </c>
      <c r="M570" s="223" t="s">
        <v>42</v>
      </c>
      <c r="N570" s="223">
        <v>0.694222</v>
      </c>
      <c r="O570" s="224" t="s">
        <v>238</v>
      </c>
      <c r="P570" s="225" t="s">
        <v>155</v>
      </c>
      <c r="Q570" s="225" t="s">
        <v>155</v>
      </c>
      <c r="R570" s="225" t="s">
        <v>155</v>
      </c>
      <c r="S570" s="225" t="s">
        <v>155</v>
      </c>
      <c r="T570" s="226"/>
      <c r="U570" s="227"/>
      <c r="V570" s="52" t="s">
        <v>250</v>
      </c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</row>
    <row r="571" ht="30.0" customHeight="1">
      <c r="A571" s="159"/>
      <c r="B571" s="218" t="s">
        <v>246</v>
      </c>
      <c r="C571" s="218" t="s">
        <v>1310</v>
      </c>
      <c r="D571" s="218" t="s">
        <v>1387</v>
      </c>
      <c r="E571" s="219">
        <v>112791.0</v>
      </c>
      <c r="F571" s="220" t="s">
        <v>1408</v>
      </c>
      <c r="G571" s="221" t="s">
        <v>369</v>
      </c>
      <c r="H571" s="221" t="s">
        <v>1409</v>
      </c>
      <c r="I571" s="221" t="s">
        <v>269</v>
      </c>
      <c r="J571" s="221" t="s">
        <v>390</v>
      </c>
      <c r="K571" s="223">
        <v>3.0</v>
      </c>
      <c r="L571" s="223" t="b">
        <v>0</v>
      </c>
      <c r="M571" s="223" t="s">
        <v>42</v>
      </c>
      <c r="N571" s="223">
        <v>8.89</v>
      </c>
      <c r="O571" s="224"/>
      <c r="P571" s="225" t="s">
        <v>155</v>
      </c>
      <c r="Q571" s="225" t="s">
        <v>155</v>
      </c>
      <c r="R571" s="225" t="s">
        <v>155</v>
      </c>
      <c r="S571" s="225" t="s">
        <v>155</v>
      </c>
      <c r="T571" s="229" t="s">
        <v>1410</v>
      </c>
      <c r="U571" s="227"/>
      <c r="V571" s="52" t="s">
        <v>250</v>
      </c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</row>
    <row r="572" ht="30.0" customHeight="1">
      <c r="A572" s="159"/>
      <c r="B572" s="218" t="s">
        <v>246</v>
      </c>
      <c r="C572" s="218" t="s">
        <v>1310</v>
      </c>
      <c r="D572" s="218" t="s">
        <v>1387</v>
      </c>
      <c r="E572" s="219">
        <v>12817.0</v>
      </c>
      <c r="F572" s="220" t="s">
        <v>1411</v>
      </c>
      <c r="G572" s="221" t="s">
        <v>518</v>
      </c>
      <c r="H572" s="221" t="s">
        <v>1412</v>
      </c>
      <c r="I572" s="221" t="s">
        <v>952</v>
      </c>
      <c r="J572" s="221" t="s">
        <v>819</v>
      </c>
      <c r="K572" s="223">
        <v>2.0</v>
      </c>
      <c r="L572" s="223" t="b">
        <v>1</v>
      </c>
      <c r="M572" s="228"/>
      <c r="N572" s="228"/>
      <c r="O572" s="224"/>
      <c r="P572" s="225" t="s">
        <v>155</v>
      </c>
      <c r="Q572" s="225" t="s">
        <v>155</v>
      </c>
      <c r="R572" s="225" t="s">
        <v>155</v>
      </c>
      <c r="S572" s="225" t="s">
        <v>155</v>
      </c>
      <c r="T572" s="229" t="s">
        <v>554</v>
      </c>
      <c r="U572" s="227"/>
      <c r="V572" s="52" t="s">
        <v>250</v>
      </c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</row>
    <row r="573" ht="30.0" customHeight="1">
      <c r="A573" s="159"/>
      <c r="B573" s="218" t="s">
        <v>246</v>
      </c>
      <c r="C573" s="218" t="s">
        <v>1310</v>
      </c>
      <c r="D573" s="218" t="s">
        <v>1387</v>
      </c>
      <c r="E573" s="219">
        <v>112794.0</v>
      </c>
      <c r="F573" s="220" t="s">
        <v>1413</v>
      </c>
      <c r="G573" s="221" t="s">
        <v>518</v>
      </c>
      <c r="H573" s="221" t="s">
        <v>1414</v>
      </c>
      <c r="I573" s="221" t="s">
        <v>1415</v>
      </c>
      <c r="J573" s="222" t="s">
        <v>250</v>
      </c>
      <c r="K573" s="223">
        <v>2.0</v>
      </c>
      <c r="L573" s="223" t="b">
        <v>0</v>
      </c>
      <c r="M573" s="223" t="s">
        <v>42</v>
      </c>
      <c r="N573" s="223">
        <v>8.638823</v>
      </c>
      <c r="O573" s="224"/>
      <c r="P573" s="225" t="s">
        <v>155</v>
      </c>
      <c r="Q573" s="225" t="s">
        <v>155</v>
      </c>
      <c r="R573" s="225" t="s">
        <v>155</v>
      </c>
      <c r="S573" s="225" t="s">
        <v>155</v>
      </c>
      <c r="T573" s="226"/>
      <c r="U573" s="227"/>
      <c r="V573" s="52" t="s">
        <v>250</v>
      </c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</row>
    <row r="574" ht="30.0" customHeight="1">
      <c r="A574" s="209"/>
      <c r="B574" s="210" t="s">
        <v>521</v>
      </c>
      <c r="C574" s="211"/>
      <c r="D574" s="211"/>
      <c r="E574" s="212"/>
      <c r="F574" s="213"/>
      <c r="G574" s="213"/>
      <c r="H574" s="213"/>
      <c r="I574" s="212"/>
      <c r="J574" s="212"/>
      <c r="K574" s="214"/>
      <c r="L574" s="214"/>
      <c r="M574" s="214"/>
      <c r="N574" s="214"/>
      <c r="O574" s="215"/>
      <c r="P574" s="216"/>
      <c r="Q574" s="216"/>
      <c r="R574" s="216"/>
      <c r="S574" s="216"/>
      <c r="T574" s="217"/>
      <c r="U574" s="217"/>
      <c r="V574" s="217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</row>
    <row r="575" ht="30.0" customHeight="1">
      <c r="A575" s="159"/>
      <c r="B575" s="218" t="s">
        <v>246</v>
      </c>
      <c r="C575" s="218" t="s">
        <v>1416</v>
      </c>
      <c r="D575" s="218" t="s">
        <v>521</v>
      </c>
      <c r="E575" s="219">
        <v>111691.0</v>
      </c>
      <c r="F575" s="220" t="s">
        <v>1417</v>
      </c>
      <c r="G575" s="221" t="s">
        <v>518</v>
      </c>
      <c r="H575" s="221" t="s">
        <v>1418</v>
      </c>
      <c r="I575" s="221" t="s">
        <v>857</v>
      </c>
      <c r="J575" s="222" t="s">
        <v>250</v>
      </c>
      <c r="K575" s="223">
        <v>2.0</v>
      </c>
      <c r="L575" s="223" t="b">
        <v>1</v>
      </c>
      <c r="M575" s="223" t="s">
        <v>42</v>
      </c>
      <c r="N575" s="223">
        <v>10.381428</v>
      </c>
      <c r="O575" s="224"/>
      <c r="P575" s="225" t="s">
        <v>155</v>
      </c>
      <c r="Q575" s="225" t="s">
        <v>155</v>
      </c>
      <c r="R575" s="225" t="s">
        <v>155</v>
      </c>
      <c r="S575" s="225" t="s">
        <v>155</v>
      </c>
      <c r="T575" s="226"/>
      <c r="U575" s="227"/>
      <c r="V575" s="52" t="s">
        <v>250</v>
      </c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</row>
    <row r="576" ht="30.0" customHeight="1">
      <c r="A576" s="159"/>
      <c r="B576" s="218" t="s">
        <v>246</v>
      </c>
      <c r="C576" s="218" t="s">
        <v>1416</v>
      </c>
      <c r="D576" s="218" t="s">
        <v>521</v>
      </c>
      <c r="E576" s="219">
        <v>112721.0</v>
      </c>
      <c r="F576" s="220" t="s">
        <v>1419</v>
      </c>
      <c r="G576" s="221" t="s">
        <v>518</v>
      </c>
      <c r="H576" s="221" t="s">
        <v>1420</v>
      </c>
      <c r="I576" s="221" t="s">
        <v>1421</v>
      </c>
      <c r="J576" s="222" t="s">
        <v>250</v>
      </c>
      <c r="K576" s="223">
        <v>1.0</v>
      </c>
      <c r="L576" s="223" t="b">
        <v>0</v>
      </c>
      <c r="M576" s="223" t="s">
        <v>42</v>
      </c>
      <c r="N576" s="223">
        <v>21.178571</v>
      </c>
      <c r="O576" s="224"/>
      <c r="P576" s="225" t="s">
        <v>155</v>
      </c>
      <c r="Q576" s="225" t="s">
        <v>155</v>
      </c>
      <c r="R576" s="225" t="s">
        <v>155</v>
      </c>
      <c r="S576" s="225" t="s">
        <v>155</v>
      </c>
      <c r="T576" s="226"/>
      <c r="U576" s="227"/>
      <c r="V576" s="52" t="s">
        <v>250</v>
      </c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</row>
    <row r="577" ht="30.0" customHeight="1">
      <c r="A577" s="159"/>
      <c r="B577" s="218" t="s">
        <v>246</v>
      </c>
      <c r="C577" s="218" t="s">
        <v>1416</v>
      </c>
      <c r="D577" s="218" t="s">
        <v>521</v>
      </c>
      <c r="E577" s="219">
        <v>111692.0</v>
      </c>
      <c r="F577" s="220" t="s">
        <v>1422</v>
      </c>
      <c r="G577" s="221" t="s">
        <v>518</v>
      </c>
      <c r="H577" s="221" t="s">
        <v>1423</v>
      </c>
      <c r="I577" s="221" t="s">
        <v>1424</v>
      </c>
      <c r="J577" s="222" t="s">
        <v>250</v>
      </c>
      <c r="K577" s="223">
        <v>2.0</v>
      </c>
      <c r="L577" s="223" t="b">
        <v>1</v>
      </c>
      <c r="M577" s="223" t="s">
        <v>42</v>
      </c>
      <c r="N577" s="223">
        <v>5.814166</v>
      </c>
      <c r="O577" s="224"/>
      <c r="P577" s="225" t="s">
        <v>155</v>
      </c>
      <c r="Q577" s="225" t="s">
        <v>155</v>
      </c>
      <c r="R577" s="225" t="s">
        <v>155</v>
      </c>
      <c r="S577" s="225" t="s">
        <v>155</v>
      </c>
      <c r="T577" s="236"/>
      <c r="U577" s="235"/>
      <c r="V577" s="52" t="s">
        <v>250</v>
      </c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</row>
    <row r="578" ht="30.0" customHeight="1">
      <c r="A578" s="159"/>
      <c r="B578" s="218" t="s">
        <v>246</v>
      </c>
      <c r="C578" s="218" t="s">
        <v>1416</v>
      </c>
      <c r="D578" s="218" t="s">
        <v>521</v>
      </c>
      <c r="E578" s="219">
        <v>111083.0</v>
      </c>
      <c r="F578" s="220" t="s">
        <v>1425</v>
      </c>
      <c r="G578" s="221" t="s">
        <v>518</v>
      </c>
      <c r="H578" s="221" t="s">
        <v>1426</v>
      </c>
      <c r="I578" s="221" t="s">
        <v>857</v>
      </c>
      <c r="J578" s="222" t="s">
        <v>250</v>
      </c>
      <c r="K578" s="223">
        <v>2.0</v>
      </c>
      <c r="L578" s="223" t="b">
        <v>0</v>
      </c>
      <c r="M578" s="223" t="s">
        <v>42</v>
      </c>
      <c r="N578" s="223">
        <v>23.875365</v>
      </c>
      <c r="O578" s="224"/>
      <c r="P578" s="225" t="s">
        <v>155</v>
      </c>
      <c r="Q578" s="225" t="s">
        <v>155</v>
      </c>
      <c r="R578" s="225" t="s">
        <v>155</v>
      </c>
      <c r="S578" s="225" t="s">
        <v>155</v>
      </c>
      <c r="T578" s="236"/>
      <c r="U578" s="235"/>
      <c r="V578" s="52" t="s">
        <v>250</v>
      </c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</row>
    <row r="579" ht="30.0" customHeight="1">
      <c r="A579" s="159"/>
      <c r="B579" s="218" t="s">
        <v>246</v>
      </c>
      <c r="C579" s="218" t="s">
        <v>1416</v>
      </c>
      <c r="D579" s="218" t="s">
        <v>521</v>
      </c>
      <c r="E579" s="219">
        <v>16262.0</v>
      </c>
      <c r="F579" s="220" t="s">
        <v>1427</v>
      </c>
      <c r="G579" s="221" t="s">
        <v>518</v>
      </c>
      <c r="H579" s="221" t="s">
        <v>863</v>
      </c>
      <c r="I579" s="221" t="s">
        <v>1428</v>
      </c>
      <c r="J579" s="222" t="s">
        <v>250</v>
      </c>
      <c r="K579" s="223">
        <v>3.0</v>
      </c>
      <c r="L579" s="223" t="b">
        <v>0</v>
      </c>
      <c r="M579" s="223" t="s">
        <v>1428</v>
      </c>
      <c r="N579" s="223">
        <v>14.446206</v>
      </c>
      <c r="O579" s="224" t="s">
        <v>238</v>
      </c>
      <c r="P579" s="225" t="s">
        <v>155</v>
      </c>
      <c r="Q579" s="225" t="s">
        <v>155</v>
      </c>
      <c r="R579" s="225" t="s">
        <v>155</v>
      </c>
      <c r="S579" s="225" t="s">
        <v>155</v>
      </c>
      <c r="T579" s="236"/>
      <c r="U579" s="235"/>
      <c r="V579" s="52" t="s">
        <v>250</v>
      </c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</row>
    <row r="580" ht="30.0" customHeight="1">
      <c r="A580" s="159"/>
      <c r="B580" s="218" t="s">
        <v>246</v>
      </c>
      <c r="C580" s="218" t="s">
        <v>1416</v>
      </c>
      <c r="D580" s="218" t="s">
        <v>521</v>
      </c>
      <c r="E580" s="219">
        <v>16304.0</v>
      </c>
      <c r="F580" s="220" t="s">
        <v>1429</v>
      </c>
      <c r="G580" s="221" t="s">
        <v>518</v>
      </c>
      <c r="H580" s="221" t="s">
        <v>863</v>
      </c>
      <c r="I580" s="221" t="s">
        <v>1430</v>
      </c>
      <c r="J580" s="222" t="s">
        <v>250</v>
      </c>
      <c r="K580" s="223">
        <v>2.0</v>
      </c>
      <c r="L580" s="223" t="b">
        <v>0</v>
      </c>
      <c r="M580" s="223" t="s">
        <v>1430</v>
      </c>
      <c r="N580" s="223">
        <v>8.579479</v>
      </c>
      <c r="O580" s="224" t="s">
        <v>238</v>
      </c>
      <c r="P580" s="225" t="s">
        <v>155</v>
      </c>
      <c r="Q580" s="225" t="s">
        <v>155</v>
      </c>
      <c r="R580" s="225" t="s">
        <v>155</v>
      </c>
      <c r="S580" s="225" t="s">
        <v>155</v>
      </c>
      <c r="T580" s="236"/>
      <c r="U580" s="235"/>
      <c r="V580" s="52" t="s">
        <v>250</v>
      </c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</row>
    <row r="581" ht="30.0" customHeight="1">
      <c r="A581" s="159"/>
      <c r="B581" s="218" t="s">
        <v>246</v>
      </c>
      <c r="C581" s="218" t="s">
        <v>1416</v>
      </c>
      <c r="D581" s="218" t="s">
        <v>521</v>
      </c>
      <c r="E581" s="219">
        <v>108988.0</v>
      </c>
      <c r="F581" s="220" t="s">
        <v>1431</v>
      </c>
      <c r="G581" s="221" t="s">
        <v>518</v>
      </c>
      <c r="H581" s="221" t="s">
        <v>1432</v>
      </c>
      <c r="I581" s="221" t="s">
        <v>42</v>
      </c>
      <c r="J581" s="222" t="s">
        <v>250</v>
      </c>
      <c r="K581" s="223">
        <v>3.0</v>
      </c>
      <c r="L581" s="223" t="b">
        <v>0</v>
      </c>
      <c r="M581" s="228"/>
      <c r="N581" s="228"/>
      <c r="O581" s="224"/>
      <c r="P581" s="230"/>
      <c r="Q581" s="230"/>
      <c r="R581" s="225" t="s">
        <v>155</v>
      </c>
      <c r="S581" s="230"/>
      <c r="T581" s="237" t="s">
        <v>833</v>
      </c>
      <c r="U581" s="235"/>
      <c r="V581" s="52" t="s">
        <v>250</v>
      </c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</row>
    <row r="582" ht="30.0" customHeight="1">
      <c r="A582" s="159"/>
      <c r="B582" s="218" t="s">
        <v>246</v>
      </c>
      <c r="C582" s="218" t="s">
        <v>1416</v>
      </c>
      <c r="D582" s="218" t="s">
        <v>521</v>
      </c>
      <c r="E582" s="219">
        <v>16250.0</v>
      </c>
      <c r="F582" s="220" t="s">
        <v>1433</v>
      </c>
      <c r="G582" s="221" t="s">
        <v>518</v>
      </c>
      <c r="H582" s="221" t="s">
        <v>1434</v>
      </c>
      <c r="I582" s="221" t="s">
        <v>42</v>
      </c>
      <c r="J582" s="222" t="s">
        <v>250</v>
      </c>
      <c r="K582" s="223">
        <v>2.0</v>
      </c>
      <c r="L582" s="223" t="b">
        <v>1</v>
      </c>
      <c r="M582" s="223" t="s">
        <v>42</v>
      </c>
      <c r="N582" s="223">
        <v>10.652547</v>
      </c>
      <c r="O582" s="224" t="s">
        <v>238</v>
      </c>
      <c r="P582" s="225" t="s">
        <v>155</v>
      </c>
      <c r="Q582" s="225" t="s">
        <v>155</v>
      </c>
      <c r="R582" s="225" t="s">
        <v>155</v>
      </c>
      <c r="S582" s="225" t="s">
        <v>155</v>
      </c>
      <c r="T582" s="236"/>
      <c r="U582" s="235"/>
      <c r="V582" s="52" t="s">
        <v>250</v>
      </c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</row>
    <row r="583" ht="30.0" customHeight="1">
      <c r="A583" s="159"/>
      <c r="B583" s="218" t="s">
        <v>246</v>
      </c>
      <c r="C583" s="218" t="s">
        <v>1416</v>
      </c>
      <c r="D583" s="218" t="s">
        <v>521</v>
      </c>
      <c r="E583" s="219">
        <v>109688.0</v>
      </c>
      <c r="F583" s="220" t="s">
        <v>1435</v>
      </c>
      <c r="G583" s="221" t="s">
        <v>518</v>
      </c>
      <c r="H583" s="221" t="s">
        <v>1436</v>
      </c>
      <c r="I583" s="221" t="s">
        <v>1437</v>
      </c>
      <c r="J583" s="222" t="s">
        <v>250</v>
      </c>
      <c r="K583" s="223">
        <v>2.0</v>
      </c>
      <c r="L583" s="223" t="b">
        <v>0</v>
      </c>
      <c r="M583" s="223" t="s">
        <v>1437</v>
      </c>
      <c r="N583" s="223">
        <v>26.37</v>
      </c>
      <c r="O583" s="224"/>
      <c r="P583" s="225" t="s">
        <v>155</v>
      </c>
      <c r="Q583" s="225" t="s">
        <v>155</v>
      </c>
      <c r="R583" s="225" t="s">
        <v>155</v>
      </c>
      <c r="S583" s="225" t="s">
        <v>155</v>
      </c>
      <c r="T583" s="236"/>
      <c r="U583" s="235"/>
      <c r="V583" s="52" t="s">
        <v>250</v>
      </c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</row>
    <row r="584" ht="30.0" customHeight="1">
      <c r="A584" s="159"/>
      <c r="B584" s="218" t="s">
        <v>246</v>
      </c>
      <c r="C584" s="218" t="s">
        <v>1416</v>
      </c>
      <c r="D584" s="218" t="s">
        <v>521</v>
      </c>
      <c r="E584" s="219">
        <v>142518.0</v>
      </c>
      <c r="F584" s="220" t="s">
        <v>1438</v>
      </c>
      <c r="G584" s="221" t="s">
        <v>518</v>
      </c>
      <c r="H584" s="221" t="s">
        <v>1439</v>
      </c>
      <c r="I584" s="221" t="s">
        <v>42</v>
      </c>
      <c r="J584" s="221" t="b">
        <v>0</v>
      </c>
      <c r="K584" s="223" t="b">
        <v>0</v>
      </c>
      <c r="L584" s="223" t="b">
        <v>0</v>
      </c>
      <c r="M584" s="223" t="s">
        <v>1440</v>
      </c>
      <c r="N584" s="223">
        <v>280.0</v>
      </c>
      <c r="O584" s="224"/>
      <c r="P584" s="230"/>
      <c r="Q584" s="225" t="s">
        <v>155</v>
      </c>
      <c r="R584" s="230"/>
      <c r="S584" s="230"/>
      <c r="T584" s="237" t="s">
        <v>592</v>
      </c>
      <c r="U584" s="235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</row>
    <row r="585" ht="30.0" customHeight="1">
      <c r="A585" s="159"/>
      <c r="B585" s="218" t="s">
        <v>246</v>
      </c>
      <c r="C585" s="218" t="s">
        <v>1416</v>
      </c>
      <c r="D585" s="218" t="s">
        <v>521</v>
      </c>
      <c r="E585" s="219">
        <v>20775.0</v>
      </c>
      <c r="F585" s="220" t="s">
        <v>1441</v>
      </c>
      <c r="G585" s="221" t="s">
        <v>518</v>
      </c>
      <c r="H585" s="221" t="s">
        <v>1384</v>
      </c>
      <c r="I585" s="221" t="s">
        <v>389</v>
      </c>
      <c r="J585" s="221" t="b">
        <v>0</v>
      </c>
      <c r="K585" s="223" t="b">
        <v>0</v>
      </c>
      <c r="L585" s="223" t="b">
        <v>0</v>
      </c>
      <c r="M585" s="223" t="s">
        <v>1442</v>
      </c>
      <c r="N585" s="223" t="s">
        <v>1443</v>
      </c>
      <c r="O585" s="224"/>
      <c r="P585" s="230"/>
      <c r="Q585" s="225" t="s">
        <v>155</v>
      </c>
      <c r="R585" s="230"/>
      <c r="S585" s="230"/>
      <c r="T585" s="237" t="s">
        <v>592</v>
      </c>
      <c r="U585" s="235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</row>
    <row r="586" ht="30.0" customHeight="1">
      <c r="A586" s="159"/>
      <c r="B586" s="218" t="s">
        <v>246</v>
      </c>
      <c r="C586" s="218" t="s">
        <v>1416</v>
      </c>
      <c r="D586" s="218" t="s">
        <v>521</v>
      </c>
      <c r="E586" s="219">
        <v>111824.0</v>
      </c>
      <c r="F586" s="220" t="s">
        <v>1444</v>
      </c>
      <c r="G586" s="221" t="s">
        <v>518</v>
      </c>
      <c r="H586" s="221" t="s">
        <v>519</v>
      </c>
      <c r="I586" s="221" t="s">
        <v>42</v>
      </c>
      <c r="J586" s="222" t="s">
        <v>250</v>
      </c>
      <c r="K586" s="223">
        <v>2.0</v>
      </c>
      <c r="L586" s="223" t="b">
        <v>1</v>
      </c>
      <c r="M586" s="223" t="s">
        <v>42</v>
      </c>
      <c r="N586" s="223">
        <v>55.975555</v>
      </c>
      <c r="O586" s="224"/>
      <c r="P586" s="225" t="s">
        <v>155</v>
      </c>
      <c r="Q586" s="225" t="s">
        <v>155</v>
      </c>
      <c r="R586" s="225" t="s">
        <v>155</v>
      </c>
      <c r="S586" s="225" t="s">
        <v>155</v>
      </c>
      <c r="T586" s="236"/>
      <c r="U586" s="235"/>
      <c r="V586" s="52" t="s">
        <v>250</v>
      </c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</row>
    <row r="587" ht="30.0" customHeight="1">
      <c r="A587" s="159"/>
      <c r="B587" s="218" t="s">
        <v>246</v>
      </c>
      <c r="C587" s="218" t="s">
        <v>1416</v>
      </c>
      <c r="D587" s="218" t="s">
        <v>521</v>
      </c>
      <c r="E587" s="219">
        <v>16290.0</v>
      </c>
      <c r="F587" s="220" t="s">
        <v>1445</v>
      </c>
      <c r="G587" s="221" t="s">
        <v>518</v>
      </c>
      <c r="H587" s="221" t="s">
        <v>863</v>
      </c>
      <c r="I587" s="221" t="s">
        <v>553</v>
      </c>
      <c r="J587" s="222" t="s">
        <v>250</v>
      </c>
      <c r="K587" s="223">
        <v>3.0</v>
      </c>
      <c r="L587" s="223" t="b">
        <v>1</v>
      </c>
      <c r="M587" s="223" t="s">
        <v>553</v>
      </c>
      <c r="N587" s="223">
        <v>26.42959</v>
      </c>
      <c r="O587" s="224" t="s">
        <v>238</v>
      </c>
      <c r="P587" s="225" t="s">
        <v>155</v>
      </c>
      <c r="Q587" s="225" t="s">
        <v>155</v>
      </c>
      <c r="R587" s="225" t="s">
        <v>155</v>
      </c>
      <c r="S587" s="225" t="s">
        <v>155</v>
      </c>
      <c r="T587" s="226"/>
      <c r="U587" s="227"/>
      <c r="V587" s="52" t="s">
        <v>250</v>
      </c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</row>
    <row r="588" ht="30.0" customHeight="1">
      <c r="A588" s="159"/>
      <c r="B588" s="218" t="s">
        <v>246</v>
      </c>
      <c r="C588" s="218" t="s">
        <v>1416</v>
      </c>
      <c r="D588" s="218" t="s">
        <v>521</v>
      </c>
      <c r="E588" s="219">
        <v>16309.0</v>
      </c>
      <c r="F588" s="220" t="s">
        <v>1446</v>
      </c>
      <c r="G588" s="221" t="s">
        <v>518</v>
      </c>
      <c r="H588" s="222" t="s">
        <v>250</v>
      </c>
      <c r="I588" s="221" t="s">
        <v>1428</v>
      </c>
      <c r="J588" s="222" t="s">
        <v>250</v>
      </c>
      <c r="K588" s="223">
        <v>3.0</v>
      </c>
      <c r="L588" s="223" t="b">
        <v>0</v>
      </c>
      <c r="M588" s="223" t="s">
        <v>1428</v>
      </c>
      <c r="N588" s="223">
        <v>32.056944</v>
      </c>
      <c r="O588" s="224" t="s">
        <v>238</v>
      </c>
      <c r="P588" s="225" t="s">
        <v>155</v>
      </c>
      <c r="Q588" s="225" t="s">
        <v>155</v>
      </c>
      <c r="R588" s="225" t="s">
        <v>155</v>
      </c>
      <c r="S588" s="225" t="s">
        <v>155</v>
      </c>
      <c r="T588" s="226"/>
      <c r="U588" s="227"/>
      <c r="V588" s="52" t="s">
        <v>250</v>
      </c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</row>
    <row r="589" ht="30.0" customHeight="1">
      <c r="A589" s="159"/>
      <c r="B589" s="218" t="s">
        <v>246</v>
      </c>
      <c r="C589" s="218" t="s">
        <v>1416</v>
      </c>
      <c r="D589" s="218" t="s">
        <v>521</v>
      </c>
      <c r="E589" s="219">
        <v>111011.0</v>
      </c>
      <c r="F589" s="220" t="s">
        <v>1447</v>
      </c>
      <c r="G589" s="221" t="s">
        <v>518</v>
      </c>
      <c r="H589" s="221" t="s">
        <v>1420</v>
      </c>
      <c r="I589" s="221" t="s">
        <v>1448</v>
      </c>
      <c r="J589" s="222" t="s">
        <v>250</v>
      </c>
      <c r="K589" s="223">
        <v>2.0</v>
      </c>
      <c r="L589" s="223" t="b">
        <v>0</v>
      </c>
      <c r="M589" s="223" t="s">
        <v>1448</v>
      </c>
      <c r="N589" s="223">
        <v>177.6275</v>
      </c>
      <c r="O589" s="224"/>
      <c r="P589" s="225" t="s">
        <v>155</v>
      </c>
      <c r="Q589" s="225" t="s">
        <v>155</v>
      </c>
      <c r="R589" s="225" t="s">
        <v>155</v>
      </c>
      <c r="S589" s="225" t="s">
        <v>155</v>
      </c>
      <c r="T589" s="226"/>
      <c r="U589" s="227"/>
      <c r="V589" s="52" t="s">
        <v>250</v>
      </c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</row>
    <row r="590" ht="30.0" customHeight="1">
      <c r="A590" s="159"/>
      <c r="B590" s="218" t="s">
        <v>246</v>
      </c>
      <c r="C590" s="218" t="s">
        <v>1416</v>
      </c>
      <c r="D590" s="218" t="s">
        <v>521</v>
      </c>
      <c r="E590" s="219">
        <v>111705.0</v>
      </c>
      <c r="F590" s="220" t="s">
        <v>1449</v>
      </c>
      <c r="G590" s="221" t="s">
        <v>518</v>
      </c>
      <c r="H590" s="221" t="s">
        <v>1450</v>
      </c>
      <c r="I590" s="221" t="s">
        <v>1250</v>
      </c>
      <c r="J590" s="222" t="s">
        <v>250</v>
      </c>
      <c r="K590" s="223">
        <v>2.0</v>
      </c>
      <c r="L590" s="223" t="b">
        <v>0</v>
      </c>
      <c r="M590" s="223" t="s">
        <v>1250</v>
      </c>
      <c r="N590" s="223">
        <v>47.486</v>
      </c>
      <c r="O590" s="224"/>
      <c r="P590" s="225" t="s">
        <v>155</v>
      </c>
      <c r="Q590" s="225" t="s">
        <v>155</v>
      </c>
      <c r="R590" s="225" t="s">
        <v>155</v>
      </c>
      <c r="S590" s="225" t="s">
        <v>155</v>
      </c>
      <c r="T590" s="226"/>
      <c r="U590" s="227"/>
      <c r="V590" s="52" t="s">
        <v>250</v>
      </c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</row>
    <row r="591" ht="30.0" customHeight="1">
      <c r="A591" s="159"/>
      <c r="B591" s="218" t="s">
        <v>246</v>
      </c>
      <c r="C591" s="218" t="s">
        <v>1416</v>
      </c>
      <c r="D591" s="218" t="s">
        <v>521</v>
      </c>
      <c r="E591" s="219">
        <v>111026.0</v>
      </c>
      <c r="F591" s="220" t="s">
        <v>1451</v>
      </c>
      <c r="G591" s="221" t="s">
        <v>518</v>
      </c>
      <c r="H591" s="221" t="s">
        <v>1436</v>
      </c>
      <c r="I591" s="221" t="s">
        <v>42</v>
      </c>
      <c r="J591" s="222" t="s">
        <v>250</v>
      </c>
      <c r="K591" s="223">
        <v>2.0</v>
      </c>
      <c r="L591" s="223" t="b">
        <v>0</v>
      </c>
      <c r="M591" s="223" t="s">
        <v>42</v>
      </c>
      <c r="N591" s="223">
        <v>75.765</v>
      </c>
      <c r="O591" s="224"/>
      <c r="P591" s="225" t="s">
        <v>155</v>
      </c>
      <c r="Q591" s="225" t="s">
        <v>155</v>
      </c>
      <c r="R591" s="225" t="s">
        <v>155</v>
      </c>
      <c r="S591" s="225" t="s">
        <v>155</v>
      </c>
      <c r="T591" s="226"/>
      <c r="U591" s="227"/>
      <c r="V591" s="52" t="s">
        <v>250</v>
      </c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</row>
    <row r="592" ht="30.0" customHeight="1">
      <c r="A592" s="159"/>
      <c r="B592" s="218" t="s">
        <v>246</v>
      </c>
      <c r="C592" s="218" t="s">
        <v>1416</v>
      </c>
      <c r="D592" s="218" t="s">
        <v>521</v>
      </c>
      <c r="E592" s="219">
        <v>35186.0</v>
      </c>
      <c r="F592" s="220" t="s">
        <v>1452</v>
      </c>
      <c r="G592" s="221" t="s">
        <v>518</v>
      </c>
      <c r="H592" s="221" t="s">
        <v>1045</v>
      </c>
      <c r="I592" s="221" t="s">
        <v>1453</v>
      </c>
      <c r="J592" s="222" t="s">
        <v>250</v>
      </c>
      <c r="K592" s="223">
        <v>2.0</v>
      </c>
      <c r="L592" s="223" t="b">
        <v>0</v>
      </c>
      <c r="M592" s="223" t="s">
        <v>1453</v>
      </c>
      <c r="N592" s="223">
        <v>3.794</v>
      </c>
      <c r="O592" s="224"/>
      <c r="P592" s="225" t="s">
        <v>155</v>
      </c>
      <c r="Q592" s="225" t="s">
        <v>155</v>
      </c>
      <c r="R592" s="225" t="s">
        <v>155</v>
      </c>
      <c r="S592" s="225" t="s">
        <v>155</v>
      </c>
      <c r="T592" s="226"/>
      <c r="U592" s="227"/>
      <c r="V592" s="109" t="s">
        <v>1454</v>
      </c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</row>
    <row r="593" ht="30.0" customHeight="1">
      <c r="A593" s="159"/>
      <c r="B593" s="218" t="s">
        <v>246</v>
      </c>
      <c r="C593" s="218" t="s">
        <v>1416</v>
      </c>
      <c r="D593" s="218" t="s">
        <v>521</v>
      </c>
      <c r="E593" s="219">
        <v>11957.0</v>
      </c>
      <c r="F593" s="220" t="s">
        <v>1455</v>
      </c>
      <c r="G593" s="221" t="s">
        <v>518</v>
      </c>
      <c r="H593" s="221" t="s">
        <v>1434</v>
      </c>
      <c r="I593" s="221" t="s">
        <v>1456</v>
      </c>
      <c r="J593" s="221" t="s">
        <v>1457</v>
      </c>
      <c r="K593" s="223">
        <v>2.0</v>
      </c>
      <c r="L593" s="223" t="b">
        <v>0</v>
      </c>
      <c r="M593" s="223" t="s">
        <v>42</v>
      </c>
      <c r="N593" s="223">
        <v>2.871764</v>
      </c>
      <c r="O593" s="224"/>
      <c r="P593" s="225" t="s">
        <v>155</v>
      </c>
      <c r="Q593" s="225" t="s">
        <v>155</v>
      </c>
      <c r="R593" s="225" t="s">
        <v>155</v>
      </c>
      <c r="S593" s="225" t="s">
        <v>155</v>
      </c>
      <c r="T593" s="226"/>
      <c r="U593" s="227"/>
      <c r="V593" s="52" t="s">
        <v>250</v>
      </c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</row>
    <row r="594" ht="30.0" customHeight="1">
      <c r="A594" s="159"/>
      <c r="B594" s="218" t="s">
        <v>246</v>
      </c>
      <c r="C594" s="218" t="s">
        <v>1416</v>
      </c>
      <c r="D594" s="218" t="s">
        <v>521</v>
      </c>
      <c r="E594" s="219">
        <v>48393.0</v>
      </c>
      <c r="F594" s="220" t="s">
        <v>1458</v>
      </c>
      <c r="G594" s="221" t="s">
        <v>518</v>
      </c>
      <c r="H594" s="221" t="s">
        <v>1459</v>
      </c>
      <c r="I594" s="221" t="s">
        <v>42</v>
      </c>
      <c r="J594" s="222" t="s">
        <v>250</v>
      </c>
      <c r="K594" s="223">
        <v>2.0</v>
      </c>
      <c r="L594" s="223" t="b">
        <v>1</v>
      </c>
      <c r="M594" s="223" t="s">
        <v>42</v>
      </c>
      <c r="N594" s="223">
        <v>11.2328</v>
      </c>
      <c r="O594" s="224" t="s">
        <v>238</v>
      </c>
      <c r="P594" s="225" t="s">
        <v>155</v>
      </c>
      <c r="Q594" s="225" t="s">
        <v>155</v>
      </c>
      <c r="R594" s="225" t="s">
        <v>155</v>
      </c>
      <c r="S594" s="225" t="s">
        <v>155</v>
      </c>
      <c r="T594" s="226"/>
      <c r="U594" s="227"/>
      <c r="V594" s="52" t="s">
        <v>250</v>
      </c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</row>
    <row r="595" ht="30.0" customHeight="1">
      <c r="A595" s="159"/>
      <c r="B595" s="218" t="s">
        <v>246</v>
      </c>
      <c r="C595" s="218" t="s">
        <v>1416</v>
      </c>
      <c r="D595" s="218" t="s">
        <v>521</v>
      </c>
      <c r="E595" s="219">
        <v>16308.0</v>
      </c>
      <c r="F595" s="220" t="s">
        <v>1460</v>
      </c>
      <c r="G595" s="221" t="s">
        <v>518</v>
      </c>
      <c r="H595" s="221" t="s">
        <v>1434</v>
      </c>
      <c r="I595" s="221" t="s">
        <v>1461</v>
      </c>
      <c r="J595" s="222" t="s">
        <v>250</v>
      </c>
      <c r="K595" s="223">
        <v>2.0</v>
      </c>
      <c r="L595" s="223" t="b">
        <v>0</v>
      </c>
      <c r="M595" s="223" t="s">
        <v>1461</v>
      </c>
      <c r="N595" s="223">
        <v>4.778653</v>
      </c>
      <c r="O595" s="224" t="s">
        <v>238</v>
      </c>
      <c r="P595" s="225" t="s">
        <v>155</v>
      </c>
      <c r="Q595" s="225" t="s">
        <v>155</v>
      </c>
      <c r="R595" s="225" t="s">
        <v>155</v>
      </c>
      <c r="S595" s="225" t="s">
        <v>155</v>
      </c>
      <c r="T595" s="229" t="s">
        <v>550</v>
      </c>
      <c r="U595" s="227"/>
      <c r="V595" s="52" t="s">
        <v>250</v>
      </c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</row>
    <row r="596" ht="30.0" customHeight="1">
      <c r="A596" s="159"/>
      <c r="B596" s="218" t="s">
        <v>246</v>
      </c>
      <c r="C596" s="218" t="s">
        <v>1416</v>
      </c>
      <c r="D596" s="218" t="s">
        <v>521</v>
      </c>
      <c r="E596" s="219">
        <v>110039.0</v>
      </c>
      <c r="F596" s="220" t="s">
        <v>1462</v>
      </c>
      <c r="G596" s="221" t="s">
        <v>518</v>
      </c>
      <c r="H596" s="221" t="s">
        <v>1463</v>
      </c>
      <c r="I596" s="221" t="s">
        <v>1464</v>
      </c>
      <c r="J596" s="222" t="s">
        <v>250</v>
      </c>
      <c r="K596" s="223">
        <v>1.0</v>
      </c>
      <c r="L596" s="223" t="b">
        <v>1</v>
      </c>
      <c r="M596" s="223" t="s">
        <v>1464</v>
      </c>
      <c r="N596" s="223">
        <v>16.006153</v>
      </c>
      <c r="O596" s="224"/>
      <c r="P596" s="225" t="s">
        <v>155</v>
      </c>
      <c r="Q596" s="225" t="s">
        <v>155</v>
      </c>
      <c r="R596" s="225" t="s">
        <v>155</v>
      </c>
      <c r="S596" s="225" t="s">
        <v>155</v>
      </c>
      <c r="T596" s="226"/>
      <c r="U596" s="227"/>
      <c r="V596" s="52" t="s">
        <v>250</v>
      </c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</row>
    <row r="597" ht="30.0" customHeight="1">
      <c r="A597" s="159"/>
      <c r="B597" s="218" t="s">
        <v>246</v>
      </c>
      <c r="C597" s="218" t="s">
        <v>1465</v>
      </c>
      <c r="D597" s="218" t="s">
        <v>1466</v>
      </c>
      <c r="E597" s="219">
        <v>22328.0</v>
      </c>
      <c r="F597" s="220" t="s">
        <v>1467</v>
      </c>
      <c r="G597" s="221" t="s">
        <v>518</v>
      </c>
      <c r="H597" s="221" t="s">
        <v>1468</v>
      </c>
      <c r="I597" s="221" t="s">
        <v>389</v>
      </c>
      <c r="J597" s="222" t="s">
        <v>250</v>
      </c>
      <c r="K597" s="223">
        <v>1.0</v>
      </c>
      <c r="L597" s="223" t="b">
        <v>0</v>
      </c>
      <c r="M597" s="223" t="s">
        <v>389</v>
      </c>
      <c r="N597" s="223">
        <v>27.953214</v>
      </c>
      <c r="O597" s="224"/>
      <c r="P597" s="225" t="s">
        <v>155</v>
      </c>
      <c r="Q597" s="225" t="s">
        <v>155</v>
      </c>
      <c r="R597" s="225" t="s">
        <v>155</v>
      </c>
      <c r="S597" s="225" t="s">
        <v>155</v>
      </c>
      <c r="T597" s="226"/>
      <c r="U597" s="227"/>
      <c r="V597" s="52" t="s">
        <v>250</v>
      </c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</row>
    <row r="598" ht="30.0" customHeight="1">
      <c r="A598" s="159"/>
      <c r="B598" s="218" t="s">
        <v>246</v>
      </c>
      <c r="C598" s="218" t="s">
        <v>1416</v>
      </c>
      <c r="D598" s="218" t="s">
        <v>521</v>
      </c>
      <c r="E598" s="219">
        <v>16252.0</v>
      </c>
      <c r="F598" s="220" t="s">
        <v>1469</v>
      </c>
      <c r="G598" s="221" t="s">
        <v>518</v>
      </c>
      <c r="H598" s="221" t="s">
        <v>1434</v>
      </c>
      <c r="I598" s="221" t="s">
        <v>1428</v>
      </c>
      <c r="J598" s="222" t="s">
        <v>250</v>
      </c>
      <c r="K598" s="223">
        <v>4.0</v>
      </c>
      <c r="L598" s="223" t="b">
        <v>1</v>
      </c>
      <c r="M598" s="223" t="s">
        <v>1428</v>
      </c>
      <c r="N598" s="223">
        <v>5.038314</v>
      </c>
      <c r="O598" s="224" t="s">
        <v>238</v>
      </c>
      <c r="P598" s="225" t="s">
        <v>155</v>
      </c>
      <c r="Q598" s="225" t="s">
        <v>155</v>
      </c>
      <c r="R598" s="225" t="s">
        <v>155</v>
      </c>
      <c r="S598" s="225" t="s">
        <v>155</v>
      </c>
      <c r="T598" s="226"/>
      <c r="U598" s="227"/>
      <c r="V598" s="52" t="s">
        <v>250</v>
      </c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</row>
    <row r="599" ht="30.0" customHeight="1">
      <c r="A599" s="159"/>
      <c r="B599" s="218" t="s">
        <v>246</v>
      </c>
      <c r="C599" s="218" t="s">
        <v>1416</v>
      </c>
      <c r="D599" s="218" t="s">
        <v>521</v>
      </c>
      <c r="E599" s="219">
        <v>16265.0</v>
      </c>
      <c r="F599" s="220" t="s">
        <v>1470</v>
      </c>
      <c r="G599" s="221" t="s">
        <v>518</v>
      </c>
      <c r="H599" s="221" t="s">
        <v>1434</v>
      </c>
      <c r="I599" s="221" t="s">
        <v>1471</v>
      </c>
      <c r="J599" s="222" t="s">
        <v>250</v>
      </c>
      <c r="K599" s="223">
        <v>3.0</v>
      </c>
      <c r="L599" s="223" t="b">
        <v>1</v>
      </c>
      <c r="M599" s="223" t="s">
        <v>42</v>
      </c>
      <c r="N599" s="223">
        <v>11.312083</v>
      </c>
      <c r="O599" s="224" t="s">
        <v>238</v>
      </c>
      <c r="P599" s="225" t="s">
        <v>155</v>
      </c>
      <c r="Q599" s="225" t="s">
        <v>155</v>
      </c>
      <c r="R599" s="225" t="s">
        <v>155</v>
      </c>
      <c r="S599" s="225" t="s">
        <v>155</v>
      </c>
      <c r="T599" s="226"/>
      <c r="U599" s="227"/>
      <c r="V599" s="52" t="s">
        <v>250</v>
      </c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</row>
    <row r="600" ht="30.0" customHeight="1">
      <c r="A600" s="159"/>
      <c r="B600" s="218" t="s">
        <v>246</v>
      </c>
      <c r="C600" s="218" t="s">
        <v>1416</v>
      </c>
      <c r="D600" s="218" t="s">
        <v>521</v>
      </c>
      <c r="E600" s="219">
        <v>16253.0</v>
      </c>
      <c r="F600" s="220" t="s">
        <v>1472</v>
      </c>
      <c r="G600" s="221" t="s">
        <v>518</v>
      </c>
      <c r="H600" s="222" t="s">
        <v>250</v>
      </c>
      <c r="I600" s="221" t="s">
        <v>1473</v>
      </c>
      <c r="J600" s="222" t="s">
        <v>250</v>
      </c>
      <c r="K600" s="223">
        <v>2.0</v>
      </c>
      <c r="L600" s="223" t="b">
        <v>1</v>
      </c>
      <c r="M600" s="223" t="s">
        <v>1473</v>
      </c>
      <c r="N600" s="223">
        <v>5.02038</v>
      </c>
      <c r="O600" s="224" t="s">
        <v>238</v>
      </c>
      <c r="P600" s="225" t="s">
        <v>155</v>
      </c>
      <c r="Q600" s="225" t="s">
        <v>155</v>
      </c>
      <c r="R600" s="225" t="s">
        <v>155</v>
      </c>
      <c r="S600" s="225" t="s">
        <v>155</v>
      </c>
      <c r="T600" s="229" t="s">
        <v>550</v>
      </c>
      <c r="U600" s="227"/>
      <c r="V600" s="52" t="s">
        <v>250</v>
      </c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</row>
    <row r="601" ht="30.0" customHeight="1">
      <c r="A601" s="159"/>
      <c r="B601" s="218" t="s">
        <v>246</v>
      </c>
      <c r="C601" s="218" t="s">
        <v>1416</v>
      </c>
      <c r="D601" s="218" t="s">
        <v>521</v>
      </c>
      <c r="E601" s="219">
        <v>16267.0</v>
      </c>
      <c r="F601" s="220" t="s">
        <v>1474</v>
      </c>
      <c r="G601" s="221" t="s">
        <v>518</v>
      </c>
      <c r="H601" s="221" t="s">
        <v>863</v>
      </c>
      <c r="I601" s="221" t="s">
        <v>42</v>
      </c>
      <c r="J601" s="222" t="s">
        <v>250</v>
      </c>
      <c r="K601" s="223">
        <v>2.0</v>
      </c>
      <c r="L601" s="223" t="b">
        <v>0</v>
      </c>
      <c r="M601" s="223" t="s">
        <v>42</v>
      </c>
      <c r="N601" s="223">
        <v>10.82909</v>
      </c>
      <c r="O601" s="224" t="s">
        <v>238</v>
      </c>
      <c r="P601" s="225" t="s">
        <v>155</v>
      </c>
      <c r="Q601" s="225" t="s">
        <v>155</v>
      </c>
      <c r="R601" s="225" t="s">
        <v>155</v>
      </c>
      <c r="S601" s="225" t="s">
        <v>155</v>
      </c>
      <c r="T601" s="229" t="s">
        <v>554</v>
      </c>
      <c r="U601" s="227"/>
      <c r="V601" s="52" t="s">
        <v>250</v>
      </c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</row>
    <row r="602" ht="30.0" customHeight="1">
      <c r="A602" s="159"/>
      <c r="B602" s="218" t="s">
        <v>246</v>
      </c>
      <c r="C602" s="218" t="s">
        <v>1416</v>
      </c>
      <c r="D602" s="218" t="s">
        <v>521</v>
      </c>
      <c r="E602" s="219">
        <v>40584.0</v>
      </c>
      <c r="F602" s="220" t="s">
        <v>1475</v>
      </c>
      <c r="G602" s="221" t="s">
        <v>518</v>
      </c>
      <c r="H602" s="221" t="s">
        <v>863</v>
      </c>
      <c r="I602" s="221" t="s">
        <v>1064</v>
      </c>
      <c r="J602" s="222" t="s">
        <v>250</v>
      </c>
      <c r="K602" s="223">
        <v>1.0</v>
      </c>
      <c r="L602" s="223" t="b">
        <v>0</v>
      </c>
      <c r="M602" s="223" t="s">
        <v>1064</v>
      </c>
      <c r="N602" s="223">
        <v>34.291</v>
      </c>
      <c r="O602" s="224"/>
      <c r="P602" s="225" t="s">
        <v>155</v>
      </c>
      <c r="Q602" s="225" t="s">
        <v>155</v>
      </c>
      <c r="R602" s="225" t="s">
        <v>155</v>
      </c>
      <c r="S602" s="225" t="s">
        <v>155</v>
      </c>
      <c r="T602" s="226"/>
      <c r="U602" s="227"/>
      <c r="V602" s="52" t="s">
        <v>250</v>
      </c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</row>
    <row r="603" ht="30.0" customHeight="1">
      <c r="A603" s="159"/>
      <c r="B603" s="218" t="s">
        <v>246</v>
      </c>
      <c r="C603" s="218" t="s">
        <v>1416</v>
      </c>
      <c r="D603" s="218" t="s">
        <v>521</v>
      </c>
      <c r="E603" s="219">
        <v>16254.0</v>
      </c>
      <c r="F603" s="220" t="s">
        <v>1476</v>
      </c>
      <c r="G603" s="221" t="s">
        <v>518</v>
      </c>
      <c r="H603" s="221" t="s">
        <v>1434</v>
      </c>
      <c r="I603" s="221" t="s">
        <v>1428</v>
      </c>
      <c r="J603" s="222" t="s">
        <v>250</v>
      </c>
      <c r="K603" s="223">
        <v>2.0</v>
      </c>
      <c r="L603" s="223" t="b">
        <v>0</v>
      </c>
      <c r="M603" s="223" t="s">
        <v>1428</v>
      </c>
      <c r="N603" s="223">
        <v>11.499142</v>
      </c>
      <c r="O603" s="224" t="s">
        <v>238</v>
      </c>
      <c r="P603" s="225" t="s">
        <v>155</v>
      </c>
      <c r="Q603" s="225" t="s">
        <v>155</v>
      </c>
      <c r="R603" s="225" t="s">
        <v>155</v>
      </c>
      <c r="S603" s="225" t="s">
        <v>155</v>
      </c>
      <c r="T603" s="226"/>
      <c r="U603" s="227"/>
      <c r="V603" s="52" t="s">
        <v>250</v>
      </c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</row>
    <row r="604" ht="30.0" customHeight="1">
      <c r="A604" s="159"/>
      <c r="B604" s="218" t="s">
        <v>246</v>
      </c>
      <c r="C604" s="218" t="s">
        <v>1416</v>
      </c>
      <c r="D604" s="218" t="s">
        <v>521</v>
      </c>
      <c r="E604" s="219">
        <v>16289.0</v>
      </c>
      <c r="F604" s="220" t="s">
        <v>1477</v>
      </c>
      <c r="G604" s="221" t="s">
        <v>518</v>
      </c>
      <c r="H604" s="221" t="s">
        <v>863</v>
      </c>
      <c r="I604" s="221" t="s">
        <v>1478</v>
      </c>
      <c r="J604" s="222" t="s">
        <v>250</v>
      </c>
      <c r="K604" s="223">
        <v>2.0</v>
      </c>
      <c r="L604" s="223" t="b">
        <v>1</v>
      </c>
      <c r="M604" s="223" t="s">
        <v>1478</v>
      </c>
      <c r="N604" s="223">
        <v>14.811773</v>
      </c>
      <c r="O604" s="224" t="s">
        <v>238</v>
      </c>
      <c r="P604" s="225" t="s">
        <v>155</v>
      </c>
      <c r="Q604" s="225" t="s">
        <v>155</v>
      </c>
      <c r="R604" s="225" t="s">
        <v>155</v>
      </c>
      <c r="S604" s="225" t="s">
        <v>155</v>
      </c>
      <c r="T604" s="226"/>
      <c r="U604" s="227"/>
      <c r="V604" s="52" t="s">
        <v>250</v>
      </c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</row>
    <row r="605" ht="30.0" customHeight="1">
      <c r="A605" s="159"/>
      <c r="B605" s="218" t="s">
        <v>246</v>
      </c>
      <c r="C605" s="218" t="s">
        <v>1416</v>
      </c>
      <c r="D605" s="218" t="s">
        <v>521</v>
      </c>
      <c r="E605" s="219">
        <v>16288.0</v>
      </c>
      <c r="F605" s="220" t="s">
        <v>1479</v>
      </c>
      <c r="G605" s="221" t="s">
        <v>518</v>
      </c>
      <c r="H605" s="221" t="s">
        <v>863</v>
      </c>
      <c r="I605" s="221" t="s">
        <v>1064</v>
      </c>
      <c r="J605" s="222" t="s">
        <v>250</v>
      </c>
      <c r="K605" s="223">
        <v>2.0</v>
      </c>
      <c r="L605" s="223" t="b">
        <v>0</v>
      </c>
      <c r="M605" s="223" t="s">
        <v>1064</v>
      </c>
      <c r="N605" s="223">
        <v>55.68</v>
      </c>
      <c r="O605" s="224" t="s">
        <v>238</v>
      </c>
      <c r="P605" s="225" t="s">
        <v>155</v>
      </c>
      <c r="Q605" s="225" t="s">
        <v>155</v>
      </c>
      <c r="R605" s="225" t="s">
        <v>155</v>
      </c>
      <c r="S605" s="225" t="s">
        <v>155</v>
      </c>
      <c r="T605" s="226"/>
      <c r="U605" s="227"/>
      <c r="V605" s="52" t="s">
        <v>250</v>
      </c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</row>
    <row r="606" ht="30.0" customHeight="1">
      <c r="A606" s="159"/>
      <c r="B606" s="218" t="s">
        <v>246</v>
      </c>
      <c r="C606" s="218" t="s">
        <v>1416</v>
      </c>
      <c r="D606" s="218" t="s">
        <v>521</v>
      </c>
      <c r="E606" s="219">
        <v>16256.0</v>
      </c>
      <c r="F606" s="220" t="s">
        <v>1480</v>
      </c>
      <c r="G606" s="221" t="s">
        <v>518</v>
      </c>
      <c r="H606" s="221" t="s">
        <v>1434</v>
      </c>
      <c r="I606" s="221" t="s">
        <v>42</v>
      </c>
      <c r="J606" s="222" t="s">
        <v>250</v>
      </c>
      <c r="K606" s="223">
        <v>2.0</v>
      </c>
      <c r="L606" s="223" t="b">
        <v>1</v>
      </c>
      <c r="M606" s="223" t="s">
        <v>42</v>
      </c>
      <c r="N606" s="223">
        <v>2.85631</v>
      </c>
      <c r="O606" s="224" t="s">
        <v>238</v>
      </c>
      <c r="P606" s="225" t="s">
        <v>155</v>
      </c>
      <c r="Q606" s="225" t="s">
        <v>155</v>
      </c>
      <c r="R606" s="225" t="s">
        <v>155</v>
      </c>
      <c r="S606" s="225" t="s">
        <v>155</v>
      </c>
      <c r="T606" s="226"/>
      <c r="U606" s="227"/>
      <c r="V606" s="52" t="s">
        <v>250</v>
      </c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</row>
    <row r="607" ht="30.0" customHeight="1">
      <c r="A607" s="159"/>
      <c r="B607" s="218" t="s">
        <v>246</v>
      </c>
      <c r="C607" s="218" t="s">
        <v>1416</v>
      </c>
      <c r="D607" s="218" t="s">
        <v>521</v>
      </c>
      <c r="E607" s="219">
        <v>16264.0</v>
      </c>
      <c r="F607" s="220" t="s">
        <v>1481</v>
      </c>
      <c r="G607" s="221" t="s">
        <v>518</v>
      </c>
      <c r="H607" s="221" t="s">
        <v>863</v>
      </c>
      <c r="I607" s="221" t="s">
        <v>1482</v>
      </c>
      <c r="J607" s="222" t="s">
        <v>250</v>
      </c>
      <c r="K607" s="223">
        <v>2.0</v>
      </c>
      <c r="L607" s="223" t="b">
        <v>1</v>
      </c>
      <c r="M607" s="223" t="s">
        <v>1482</v>
      </c>
      <c r="N607" s="223">
        <v>20.7925</v>
      </c>
      <c r="O607" s="224" t="s">
        <v>238</v>
      </c>
      <c r="P607" s="225" t="s">
        <v>155</v>
      </c>
      <c r="Q607" s="225" t="s">
        <v>155</v>
      </c>
      <c r="R607" s="225" t="s">
        <v>155</v>
      </c>
      <c r="S607" s="225" t="s">
        <v>155</v>
      </c>
      <c r="T607" s="226"/>
      <c r="U607" s="227"/>
      <c r="V607" s="52" t="s">
        <v>250</v>
      </c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</row>
    <row r="608" ht="30.0" customHeight="1">
      <c r="A608" s="159"/>
      <c r="B608" s="218" t="s">
        <v>246</v>
      </c>
      <c r="C608" s="218" t="s">
        <v>1416</v>
      </c>
      <c r="D608" s="218" t="s">
        <v>521</v>
      </c>
      <c r="E608" s="219">
        <v>16257.0</v>
      </c>
      <c r="F608" s="220" t="s">
        <v>1483</v>
      </c>
      <c r="G608" s="221" t="s">
        <v>518</v>
      </c>
      <c r="H608" s="221" t="s">
        <v>863</v>
      </c>
      <c r="I608" s="221" t="s">
        <v>1482</v>
      </c>
      <c r="J608" s="222" t="s">
        <v>250</v>
      </c>
      <c r="K608" s="223">
        <v>4.0</v>
      </c>
      <c r="L608" s="223" t="b">
        <v>1</v>
      </c>
      <c r="M608" s="223" t="s">
        <v>1482</v>
      </c>
      <c r="N608" s="223">
        <v>26.587819</v>
      </c>
      <c r="O608" s="224" t="s">
        <v>238</v>
      </c>
      <c r="P608" s="225" t="s">
        <v>155</v>
      </c>
      <c r="Q608" s="225" t="s">
        <v>155</v>
      </c>
      <c r="R608" s="225" t="s">
        <v>155</v>
      </c>
      <c r="S608" s="225" t="s">
        <v>155</v>
      </c>
      <c r="T608" s="226"/>
      <c r="U608" s="227"/>
      <c r="V608" s="52" t="s">
        <v>250</v>
      </c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</row>
    <row r="609" ht="30.0" customHeight="1">
      <c r="A609" s="159"/>
      <c r="B609" s="218" t="s">
        <v>246</v>
      </c>
      <c r="C609" s="218" t="s">
        <v>1416</v>
      </c>
      <c r="D609" s="218" t="s">
        <v>521</v>
      </c>
      <c r="E609" s="219">
        <v>16313.0</v>
      </c>
      <c r="F609" s="220" t="s">
        <v>1484</v>
      </c>
      <c r="G609" s="221" t="s">
        <v>518</v>
      </c>
      <c r="H609" s="221" t="s">
        <v>1485</v>
      </c>
      <c r="I609" s="221" t="s">
        <v>42</v>
      </c>
      <c r="J609" s="221" t="b">
        <v>0</v>
      </c>
      <c r="K609" s="223" t="b">
        <v>0</v>
      </c>
      <c r="L609" s="223" t="b">
        <v>0</v>
      </c>
      <c r="M609" s="223" t="s">
        <v>42</v>
      </c>
      <c r="N609" s="223">
        <v>65.85</v>
      </c>
      <c r="O609" s="224"/>
      <c r="P609" s="225" t="s">
        <v>155</v>
      </c>
      <c r="Q609" s="225" t="s">
        <v>155</v>
      </c>
      <c r="R609" s="225" t="s">
        <v>155</v>
      </c>
      <c r="S609" s="225" t="s">
        <v>155</v>
      </c>
      <c r="T609" s="229" t="s">
        <v>1486</v>
      </c>
      <c r="U609" s="227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</row>
    <row r="610" ht="30.0" customHeight="1">
      <c r="A610" s="159"/>
      <c r="B610" s="218" t="s">
        <v>246</v>
      </c>
      <c r="C610" s="218" t="s">
        <v>1416</v>
      </c>
      <c r="D610" s="218" t="s">
        <v>521</v>
      </c>
      <c r="E610" s="219">
        <v>16259.0</v>
      </c>
      <c r="F610" s="220" t="s">
        <v>1487</v>
      </c>
      <c r="G610" s="221" t="s">
        <v>518</v>
      </c>
      <c r="H610" s="221" t="s">
        <v>863</v>
      </c>
      <c r="I610" s="221" t="s">
        <v>1488</v>
      </c>
      <c r="J610" s="222" t="s">
        <v>250</v>
      </c>
      <c r="K610" s="223">
        <v>2.0</v>
      </c>
      <c r="L610" s="223" t="b">
        <v>0</v>
      </c>
      <c r="M610" s="223" t="s">
        <v>1488</v>
      </c>
      <c r="N610" s="223">
        <v>46.229354</v>
      </c>
      <c r="O610" s="224" t="s">
        <v>238</v>
      </c>
      <c r="P610" s="225" t="s">
        <v>155</v>
      </c>
      <c r="Q610" s="225" t="s">
        <v>155</v>
      </c>
      <c r="R610" s="225" t="s">
        <v>155</v>
      </c>
      <c r="S610" s="225" t="s">
        <v>155</v>
      </c>
      <c r="T610" s="229" t="s">
        <v>554</v>
      </c>
      <c r="U610" s="227"/>
      <c r="V610" s="52" t="s">
        <v>250</v>
      </c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</row>
    <row r="611" ht="30.0" customHeight="1">
      <c r="A611" s="159"/>
      <c r="B611" s="218" t="s">
        <v>246</v>
      </c>
      <c r="C611" s="218" t="s">
        <v>1416</v>
      </c>
      <c r="D611" s="218" t="s">
        <v>521</v>
      </c>
      <c r="E611" s="219">
        <v>31226.0</v>
      </c>
      <c r="F611" s="220" t="s">
        <v>1489</v>
      </c>
      <c r="G611" s="221" t="s">
        <v>518</v>
      </c>
      <c r="H611" s="221" t="s">
        <v>1490</v>
      </c>
      <c r="I611" s="221" t="s">
        <v>42</v>
      </c>
      <c r="J611" s="222" t="s">
        <v>250</v>
      </c>
      <c r="K611" s="223">
        <v>3.0</v>
      </c>
      <c r="L611" s="223" t="b">
        <v>0</v>
      </c>
      <c r="M611" s="223" t="s">
        <v>42</v>
      </c>
      <c r="N611" s="223">
        <v>12.107714</v>
      </c>
      <c r="O611" s="224"/>
      <c r="P611" s="225" t="s">
        <v>155</v>
      </c>
      <c r="Q611" s="225" t="s">
        <v>155</v>
      </c>
      <c r="R611" s="225" t="s">
        <v>155</v>
      </c>
      <c r="S611" s="225" t="s">
        <v>155</v>
      </c>
      <c r="T611" s="226"/>
      <c r="U611" s="227"/>
      <c r="V611" s="52" t="s">
        <v>250</v>
      </c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</row>
    <row r="612" ht="30.0" customHeight="1">
      <c r="A612" s="159"/>
      <c r="B612" s="218" t="s">
        <v>246</v>
      </c>
      <c r="C612" s="218" t="s">
        <v>1416</v>
      </c>
      <c r="D612" s="218" t="s">
        <v>521</v>
      </c>
      <c r="E612" s="219">
        <v>16337.0</v>
      </c>
      <c r="F612" s="220" t="s">
        <v>1491</v>
      </c>
      <c r="G612" s="221" t="s">
        <v>518</v>
      </c>
      <c r="H612" s="221" t="s">
        <v>1492</v>
      </c>
      <c r="I612" s="221" t="s">
        <v>1493</v>
      </c>
      <c r="J612" s="222" t="s">
        <v>250</v>
      </c>
      <c r="K612" s="223">
        <v>2.0</v>
      </c>
      <c r="L612" s="223" t="b">
        <v>1</v>
      </c>
      <c r="M612" s="223" t="s">
        <v>1493</v>
      </c>
      <c r="N612" s="223">
        <v>7.131594</v>
      </c>
      <c r="O612" s="224" t="s">
        <v>238</v>
      </c>
      <c r="P612" s="225" t="s">
        <v>155</v>
      </c>
      <c r="Q612" s="225" t="s">
        <v>155</v>
      </c>
      <c r="R612" s="225" t="s">
        <v>155</v>
      </c>
      <c r="S612" s="225" t="s">
        <v>155</v>
      </c>
      <c r="T612" s="226"/>
      <c r="U612" s="227"/>
      <c r="V612" s="52" t="s">
        <v>250</v>
      </c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</row>
    <row r="613" ht="30.0" customHeight="1">
      <c r="A613" s="159"/>
      <c r="B613" s="218" t="s">
        <v>246</v>
      </c>
      <c r="C613" s="218" t="s">
        <v>1416</v>
      </c>
      <c r="D613" s="218" t="s">
        <v>521</v>
      </c>
      <c r="E613" s="219">
        <v>16260.0</v>
      </c>
      <c r="F613" s="220" t="s">
        <v>1494</v>
      </c>
      <c r="G613" s="221" t="s">
        <v>518</v>
      </c>
      <c r="H613" s="222"/>
      <c r="I613" s="221" t="s">
        <v>1495</v>
      </c>
      <c r="J613" s="222" t="s">
        <v>250</v>
      </c>
      <c r="K613" s="223">
        <v>2.0</v>
      </c>
      <c r="L613" s="223" t="b">
        <v>1</v>
      </c>
      <c r="M613" s="223" t="s">
        <v>1495</v>
      </c>
      <c r="N613" s="223">
        <v>5.04817</v>
      </c>
      <c r="O613" s="224" t="s">
        <v>238</v>
      </c>
      <c r="P613" s="225" t="s">
        <v>155</v>
      </c>
      <c r="Q613" s="225" t="s">
        <v>155</v>
      </c>
      <c r="R613" s="225" t="s">
        <v>155</v>
      </c>
      <c r="S613" s="225" t="s">
        <v>155</v>
      </c>
      <c r="T613" s="226"/>
      <c r="U613" s="227"/>
      <c r="V613" s="52" t="s">
        <v>250</v>
      </c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</row>
    <row r="614" ht="30.0" customHeight="1">
      <c r="A614" s="159"/>
      <c r="B614" s="218" t="s">
        <v>246</v>
      </c>
      <c r="C614" s="218" t="s">
        <v>1416</v>
      </c>
      <c r="D614" s="218" t="s">
        <v>521</v>
      </c>
      <c r="E614" s="219">
        <v>16261.0</v>
      </c>
      <c r="F614" s="220" t="s">
        <v>1496</v>
      </c>
      <c r="G614" s="221" t="s">
        <v>518</v>
      </c>
      <c r="H614" s="221" t="s">
        <v>1434</v>
      </c>
      <c r="I614" s="221" t="s">
        <v>1428</v>
      </c>
      <c r="J614" s="222" t="s">
        <v>250</v>
      </c>
      <c r="K614" s="223">
        <v>4.0</v>
      </c>
      <c r="L614" s="223" t="b">
        <v>1</v>
      </c>
      <c r="M614" s="223" t="s">
        <v>1428</v>
      </c>
      <c r="N614" s="223">
        <v>4.370408</v>
      </c>
      <c r="O614" s="224" t="s">
        <v>238</v>
      </c>
      <c r="P614" s="225" t="s">
        <v>155</v>
      </c>
      <c r="Q614" s="225" t="s">
        <v>155</v>
      </c>
      <c r="R614" s="225" t="s">
        <v>155</v>
      </c>
      <c r="S614" s="225" t="s">
        <v>155</v>
      </c>
      <c r="T614" s="226"/>
      <c r="U614" s="227"/>
      <c r="V614" s="52" t="s">
        <v>250</v>
      </c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</row>
    <row r="615" ht="30.0" customHeight="1">
      <c r="A615" s="159"/>
      <c r="B615" s="218" t="s">
        <v>246</v>
      </c>
      <c r="C615" s="218" t="s">
        <v>1416</v>
      </c>
      <c r="D615" s="218" t="s">
        <v>521</v>
      </c>
      <c r="E615" s="219">
        <v>110091.0</v>
      </c>
      <c r="F615" s="220" t="s">
        <v>1497</v>
      </c>
      <c r="G615" s="221" t="s">
        <v>518</v>
      </c>
      <c r="H615" s="221" t="s">
        <v>519</v>
      </c>
      <c r="I615" s="221" t="s">
        <v>65</v>
      </c>
      <c r="J615" s="222" t="s">
        <v>250</v>
      </c>
      <c r="K615" s="223">
        <v>2.0</v>
      </c>
      <c r="L615" s="223" t="b">
        <v>1</v>
      </c>
      <c r="M615" s="223" t="s">
        <v>65</v>
      </c>
      <c r="N615" s="223">
        <v>1.189375</v>
      </c>
      <c r="O615" s="224"/>
      <c r="P615" s="225" t="s">
        <v>155</v>
      </c>
      <c r="Q615" s="225" t="s">
        <v>155</v>
      </c>
      <c r="R615" s="225" t="s">
        <v>155</v>
      </c>
      <c r="S615" s="225" t="s">
        <v>155</v>
      </c>
      <c r="T615" s="226"/>
      <c r="U615" s="227"/>
      <c r="V615" s="52" t="s">
        <v>250</v>
      </c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</row>
    <row r="616" ht="30.0" customHeight="1">
      <c r="A616" s="159"/>
      <c r="B616" s="218" t="s">
        <v>246</v>
      </c>
      <c r="C616" s="218" t="s">
        <v>1416</v>
      </c>
      <c r="D616" s="218" t="s">
        <v>521</v>
      </c>
      <c r="E616" s="219">
        <v>150521.0</v>
      </c>
      <c r="F616" s="220" t="s">
        <v>1498</v>
      </c>
      <c r="G616" s="221" t="s">
        <v>518</v>
      </c>
      <c r="H616" s="221" t="s">
        <v>1499</v>
      </c>
      <c r="I616" s="221" t="s">
        <v>857</v>
      </c>
      <c r="J616" s="222" t="s">
        <v>250</v>
      </c>
      <c r="K616" s="223">
        <v>3.0</v>
      </c>
      <c r="L616" s="223" t="b">
        <v>0</v>
      </c>
      <c r="M616" s="228"/>
      <c r="N616" s="228"/>
      <c r="O616" s="224"/>
      <c r="P616" s="230"/>
      <c r="Q616" s="230"/>
      <c r="R616" s="230"/>
      <c r="S616" s="225" t="s">
        <v>155</v>
      </c>
      <c r="T616" s="229" t="s">
        <v>1500</v>
      </c>
      <c r="U616" s="227"/>
      <c r="V616" s="52" t="s">
        <v>250</v>
      </c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</row>
    <row r="617" ht="30.0" customHeight="1">
      <c r="A617" s="159"/>
      <c r="B617" s="218" t="s">
        <v>246</v>
      </c>
      <c r="C617" s="218" t="s">
        <v>1416</v>
      </c>
      <c r="D617" s="218" t="s">
        <v>521</v>
      </c>
      <c r="E617" s="219">
        <v>16306.0</v>
      </c>
      <c r="F617" s="220" t="s">
        <v>1501</v>
      </c>
      <c r="G617" s="221" t="s">
        <v>518</v>
      </c>
      <c r="H617" s="221" t="s">
        <v>1434</v>
      </c>
      <c r="I617" s="221" t="s">
        <v>1502</v>
      </c>
      <c r="J617" s="222" t="s">
        <v>250</v>
      </c>
      <c r="K617" s="223">
        <v>2.0</v>
      </c>
      <c r="L617" s="223" t="b">
        <v>1</v>
      </c>
      <c r="M617" s="223" t="s">
        <v>1502</v>
      </c>
      <c r="N617" s="223">
        <v>102.922222</v>
      </c>
      <c r="O617" s="224" t="s">
        <v>238</v>
      </c>
      <c r="P617" s="225" t="s">
        <v>155</v>
      </c>
      <c r="Q617" s="225" t="s">
        <v>155</v>
      </c>
      <c r="R617" s="225" t="s">
        <v>155</v>
      </c>
      <c r="S617" s="225" t="s">
        <v>155</v>
      </c>
      <c r="T617" s="226"/>
      <c r="U617" s="227"/>
      <c r="V617" s="52" t="s">
        <v>250</v>
      </c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</row>
    <row r="618" ht="30.0" customHeight="1">
      <c r="A618" s="159"/>
      <c r="B618" s="218" t="s">
        <v>246</v>
      </c>
      <c r="C618" s="218" t="s">
        <v>1416</v>
      </c>
      <c r="D618" s="218" t="s">
        <v>521</v>
      </c>
      <c r="E618" s="219">
        <v>142508.0</v>
      </c>
      <c r="F618" s="220" t="s">
        <v>1503</v>
      </c>
      <c r="G618" s="221" t="s">
        <v>518</v>
      </c>
      <c r="H618" s="221" t="s">
        <v>1504</v>
      </c>
      <c r="I618" s="221" t="s">
        <v>42</v>
      </c>
      <c r="J618" s="222" t="s">
        <v>250</v>
      </c>
      <c r="K618" s="223">
        <v>3.0</v>
      </c>
      <c r="L618" s="223" t="b">
        <v>0</v>
      </c>
      <c r="M618" s="228"/>
      <c r="N618" s="228"/>
      <c r="O618" s="224"/>
      <c r="P618" s="225" t="s">
        <v>155</v>
      </c>
      <c r="Q618" s="225" t="s">
        <v>155</v>
      </c>
      <c r="R618" s="225" t="s">
        <v>155</v>
      </c>
      <c r="S618" s="225" t="s">
        <v>155</v>
      </c>
      <c r="T618" s="229" t="s">
        <v>1505</v>
      </c>
      <c r="U618" s="227"/>
      <c r="V618" s="52" t="s">
        <v>250</v>
      </c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</row>
    <row r="619" ht="30.0" customHeight="1">
      <c r="A619" s="159"/>
      <c r="B619" s="218" t="s">
        <v>246</v>
      </c>
      <c r="C619" s="218" t="s">
        <v>1416</v>
      </c>
      <c r="D619" s="218" t="s">
        <v>521</v>
      </c>
      <c r="E619" s="219">
        <v>111018.0</v>
      </c>
      <c r="F619" s="220" t="s">
        <v>1506</v>
      </c>
      <c r="G619" s="221" t="s">
        <v>518</v>
      </c>
      <c r="H619" s="222" t="s">
        <v>250</v>
      </c>
      <c r="I619" s="221" t="s">
        <v>1507</v>
      </c>
      <c r="J619" s="222" t="s">
        <v>250</v>
      </c>
      <c r="K619" s="223">
        <v>2.0</v>
      </c>
      <c r="L619" s="223" t="b">
        <v>0</v>
      </c>
      <c r="M619" s="228"/>
      <c r="N619" s="228"/>
      <c r="O619" s="224"/>
      <c r="P619" s="225" t="s">
        <v>155</v>
      </c>
      <c r="Q619" s="225" t="s">
        <v>155</v>
      </c>
      <c r="R619" s="225" t="s">
        <v>155</v>
      </c>
      <c r="S619" s="225" t="s">
        <v>155</v>
      </c>
      <c r="T619" s="226"/>
      <c r="U619" s="227"/>
      <c r="V619" s="52" t="s">
        <v>250</v>
      </c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</row>
    <row r="620" ht="30.0" customHeight="1">
      <c r="A620" s="159"/>
      <c r="B620" s="218" t="s">
        <v>246</v>
      </c>
      <c r="C620" s="218" t="s">
        <v>1416</v>
      </c>
      <c r="D620" s="218" t="s">
        <v>521</v>
      </c>
      <c r="E620" s="219">
        <v>16258.0</v>
      </c>
      <c r="F620" s="220" t="s">
        <v>1508</v>
      </c>
      <c r="G620" s="221" t="s">
        <v>518</v>
      </c>
      <c r="H620" s="221" t="s">
        <v>1509</v>
      </c>
      <c r="I620" s="221" t="s">
        <v>42</v>
      </c>
      <c r="J620" s="221" t="s">
        <v>1510</v>
      </c>
      <c r="K620" s="223">
        <v>4.0</v>
      </c>
      <c r="L620" s="223" t="b">
        <v>1</v>
      </c>
      <c r="M620" s="223" t="s">
        <v>42</v>
      </c>
      <c r="N620" s="223">
        <v>11.146842</v>
      </c>
      <c r="O620" s="224" t="s">
        <v>238</v>
      </c>
      <c r="P620" s="225" t="s">
        <v>155</v>
      </c>
      <c r="Q620" s="225" t="s">
        <v>155</v>
      </c>
      <c r="R620" s="225" t="s">
        <v>155</v>
      </c>
      <c r="S620" s="225" t="s">
        <v>155</v>
      </c>
      <c r="T620" s="229" t="s">
        <v>550</v>
      </c>
      <c r="U620" s="227"/>
      <c r="V620" s="52" t="s">
        <v>250</v>
      </c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</row>
    <row r="621" ht="30.0" customHeight="1">
      <c r="A621" s="159"/>
      <c r="B621" s="218" t="s">
        <v>246</v>
      </c>
      <c r="C621" s="218" t="s">
        <v>1416</v>
      </c>
      <c r="D621" s="218" t="s">
        <v>521</v>
      </c>
      <c r="E621" s="219">
        <v>16320.0</v>
      </c>
      <c r="F621" s="220" t="s">
        <v>1511</v>
      </c>
      <c r="G621" s="221" t="s">
        <v>518</v>
      </c>
      <c r="H621" s="221" t="s">
        <v>1434</v>
      </c>
      <c r="I621" s="221" t="s">
        <v>1428</v>
      </c>
      <c r="J621" s="221" t="s">
        <v>1510</v>
      </c>
      <c r="K621" s="223">
        <v>2.0</v>
      </c>
      <c r="L621" s="223" t="b">
        <v>0</v>
      </c>
      <c r="M621" s="223" t="s">
        <v>1428</v>
      </c>
      <c r="N621" s="223">
        <v>4.249791</v>
      </c>
      <c r="O621" s="224" t="s">
        <v>238</v>
      </c>
      <c r="P621" s="225" t="s">
        <v>155</v>
      </c>
      <c r="Q621" s="225" t="s">
        <v>155</v>
      </c>
      <c r="R621" s="225" t="s">
        <v>155</v>
      </c>
      <c r="S621" s="225" t="s">
        <v>155</v>
      </c>
      <c r="T621" s="226"/>
      <c r="U621" s="227"/>
      <c r="V621" s="109" t="s">
        <v>1074</v>
      </c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</row>
    <row r="622" ht="30.0" customHeight="1">
      <c r="A622" s="159"/>
      <c r="B622" s="218" t="s">
        <v>246</v>
      </c>
      <c r="C622" s="218" t="s">
        <v>1416</v>
      </c>
      <c r="D622" s="218" t="s">
        <v>521</v>
      </c>
      <c r="E622" s="219">
        <v>142509.0</v>
      </c>
      <c r="F622" s="220" t="s">
        <v>1512</v>
      </c>
      <c r="G622" s="221" t="s">
        <v>518</v>
      </c>
      <c r="H622" s="221" t="s">
        <v>1513</v>
      </c>
      <c r="I622" s="221" t="s">
        <v>42</v>
      </c>
      <c r="J622" s="221" t="b">
        <v>0</v>
      </c>
      <c r="K622" s="223" t="b">
        <v>0</v>
      </c>
      <c r="L622" s="223" t="b">
        <v>0</v>
      </c>
      <c r="M622" s="223" t="s">
        <v>1514</v>
      </c>
      <c r="N622" s="223">
        <v>49.95</v>
      </c>
      <c r="O622" s="224"/>
      <c r="P622" s="230"/>
      <c r="Q622" s="225" t="s">
        <v>155</v>
      </c>
      <c r="R622" s="230"/>
      <c r="S622" s="230"/>
      <c r="T622" s="237" t="s">
        <v>592</v>
      </c>
      <c r="U622" s="235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</row>
    <row r="623" ht="30.0" customHeight="1">
      <c r="A623" s="159"/>
      <c r="B623" s="218" t="s">
        <v>246</v>
      </c>
      <c r="C623" s="218" t="s">
        <v>1416</v>
      </c>
      <c r="D623" s="218" t="s">
        <v>521</v>
      </c>
      <c r="E623" s="219">
        <v>16266.0</v>
      </c>
      <c r="F623" s="220" t="s">
        <v>1515</v>
      </c>
      <c r="G623" s="221" t="s">
        <v>518</v>
      </c>
      <c r="H623" s="221" t="s">
        <v>1434</v>
      </c>
      <c r="I623" s="221" t="s">
        <v>1428</v>
      </c>
      <c r="J623" s="222" t="s">
        <v>250</v>
      </c>
      <c r="K623" s="223">
        <v>2.0</v>
      </c>
      <c r="L623" s="223" t="b">
        <v>0</v>
      </c>
      <c r="M623" s="223" t="s">
        <v>1428</v>
      </c>
      <c r="N623" s="223">
        <v>8.811739</v>
      </c>
      <c r="O623" s="224" t="s">
        <v>238</v>
      </c>
      <c r="P623" s="225" t="s">
        <v>155</v>
      </c>
      <c r="Q623" s="225" t="s">
        <v>155</v>
      </c>
      <c r="R623" s="225" t="s">
        <v>155</v>
      </c>
      <c r="S623" s="225" t="s">
        <v>155</v>
      </c>
      <c r="T623" s="226"/>
      <c r="U623" s="227"/>
      <c r="V623" s="109" t="s">
        <v>1074</v>
      </c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</row>
    <row r="624" ht="30.0" customHeight="1">
      <c r="A624" s="159"/>
      <c r="B624" s="218" t="s">
        <v>246</v>
      </c>
      <c r="C624" s="218" t="s">
        <v>1416</v>
      </c>
      <c r="D624" s="218" t="s">
        <v>521</v>
      </c>
      <c r="E624" s="219">
        <v>18644.0</v>
      </c>
      <c r="F624" s="220" t="s">
        <v>1516</v>
      </c>
      <c r="G624" s="221" t="s">
        <v>518</v>
      </c>
      <c r="H624" s="221" t="s">
        <v>1517</v>
      </c>
      <c r="I624" s="221" t="s">
        <v>1518</v>
      </c>
      <c r="J624" s="221" t="s">
        <v>1519</v>
      </c>
      <c r="K624" s="223">
        <v>3.0</v>
      </c>
      <c r="L624" s="223" t="b">
        <v>0</v>
      </c>
      <c r="M624" s="223" t="s">
        <v>1520</v>
      </c>
      <c r="N624" s="223">
        <v>7.588076</v>
      </c>
      <c r="O624" s="224"/>
      <c r="P624" s="225" t="s">
        <v>155</v>
      </c>
      <c r="Q624" s="225" t="s">
        <v>155</v>
      </c>
      <c r="R624" s="225" t="s">
        <v>155</v>
      </c>
      <c r="S624" s="225" t="s">
        <v>155</v>
      </c>
      <c r="T624" s="226"/>
      <c r="U624" s="227"/>
      <c r="V624" s="109" t="s">
        <v>1074</v>
      </c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</row>
    <row r="625" ht="30.0" customHeight="1">
      <c r="A625" s="159"/>
      <c r="B625" s="218" t="s">
        <v>246</v>
      </c>
      <c r="C625" s="218" t="s">
        <v>1416</v>
      </c>
      <c r="D625" s="218" t="s">
        <v>521</v>
      </c>
      <c r="E625" s="219">
        <v>142069.0</v>
      </c>
      <c r="F625" s="220" t="s">
        <v>1521</v>
      </c>
      <c r="G625" s="221" t="s">
        <v>518</v>
      </c>
      <c r="H625" s="221" t="s">
        <v>863</v>
      </c>
      <c r="I625" s="221" t="s">
        <v>42</v>
      </c>
      <c r="J625" s="221" t="s">
        <v>727</v>
      </c>
      <c r="K625" s="223">
        <v>3.0</v>
      </c>
      <c r="L625" s="223" t="b">
        <v>0</v>
      </c>
      <c r="M625" s="228"/>
      <c r="N625" s="228"/>
      <c r="O625" s="224"/>
      <c r="P625" s="225" t="s">
        <v>155</v>
      </c>
      <c r="Q625" s="225" t="s">
        <v>155</v>
      </c>
      <c r="R625" s="225" t="s">
        <v>155</v>
      </c>
      <c r="S625" s="225" t="s">
        <v>155</v>
      </c>
      <c r="T625" s="226"/>
      <c r="U625" s="227"/>
      <c r="V625" s="52" t="s">
        <v>250</v>
      </c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</row>
    <row r="626" ht="30.0" customHeight="1">
      <c r="A626" s="159"/>
      <c r="B626" s="218" t="s">
        <v>246</v>
      </c>
      <c r="C626" s="218" t="s">
        <v>1416</v>
      </c>
      <c r="D626" s="218" t="s">
        <v>521</v>
      </c>
      <c r="E626" s="219">
        <v>62951.0</v>
      </c>
      <c r="F626" s="220" t="s">
        <v>1522</v>
      </c>
      <c r="G626" s="221" t="s">
        <v>518</v>
      </c>
      <c r="H626" s="222" t="s">
        <v>250</v>
      </c>
      <c r="I626" s="221" t="s">
        <v>42</v>
      </c>
      <c r="J626" s="222" t="s">
        <v>250</v>
      </c>
      <c r="K626" s="223">
        <v>3.0</v>
      </c>
      <c r="L626" s="223" t="b">
        <v>1</v>
      </c>
      <c r="M626" s="223" t="s">
        <v>42</v>
      </c>
      <c r="N626" s="223">
        <v>6.636511</v>
      </c>
      <c r="O626" s="224" t="s">
        <v>238</v>
      </c>
      <c r="P626" s="225" t="s">
        <v>155</v>
      </c>
      <c r="Q626" s="225" t="s">
        <v>155</v>
      </c>
      <c r="R626" s="225" t="s">
        <v>155</v>
      </c>
      <c r="S626" s="225" t="s">
        <v>155</v>
      </c>
      <c r="T626" s="226"/>
      <c r="U626" s="227"/>
      <c r="V626" s="52" t="s">
        <v>250</v>
      </c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</row>
    <row r="627" ht="30.0" customHeight="1">
      <c r="A627" s="159"/>
      <c r="B627" s="218" t="s">
        <v>246</v>
      </c>
      <c r="C627" s="218" t="s">
        <v>1416</v>
      </c>
      <c r="D627" s="218" t="s">
        <v>521</v>
      </c>
      <c r="E627" s="219">
        <v>16268.0</v>
      </c>
      <c r="F627" s="220" t="s">
        <v>1523</v>
      </c>
      <c r="G627" s="221" t="s">
        <v>518</v>
      </c>
      <c r="H627" s="221" t="s">
        <v>1434</v>
      </c>
      <c r="I627" s="221" t="s">
        <v>1524</v>
      </c>
      <c r="J627" s="222" t="s">
        <v>250</v>
      </c>
      <c r="K627" s="223">
        <v>1.0</v>
      </c>
      <c r="L627" s="223" t="b">
        <v>1</v>
      </c>
      <c r="M627" s="223" t="s">
        <v>1524</v>
      </c>
      <c r="N627" s="223">
        <v>2.073759</v>
      </c>
      <c r="O627" s="224" t="s">
        <v>238</v>
      </c>
      <c r="P627" s="225" t="s">
        <v>155</v>
      </c>
      <c r="Q627" s="225" t="s">
        <v>155</v>
      </c>
      <c r="R627" s="225" t="s">
        <v>155</v>
      </c>
      <c r="S627" s="225" t="s">
        <v>155</v>
      </c>
      <c r="T627" s="226"/>
      <c r="U627" s="227"/>
      <c r="V627" s="52" t="s">
        <v>250</v>
      </c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</row>
    <row r="628" ht="30.0" customHeight="1">
      <c r="A628" s="159"/>
      <c r="B628" s="218" t="s">
        <v>246</v>
      </c>
      <c r="C628" s="218" t="s">
        <v>1416</v>
      </c>
      <c r="D628" s="218" t="s">
        <v>521</v>
      </c>
      <c r="E628" s="219">
        <v>106302.0</v>
      </c>
      <c r="F628" s="220" t="s">
        <v>1525</v>
      </c>
      <c r="G628" s="221" t="s">
        <v>518</v>
      </c>
      <c r="H628" s="221" t="s">
        <v>1420</v>
      </c>
      <c r="I628" s="221" t="s">
        <v>1526</v>
      </c>
      <c r="J628" s="222" t="s">
        <v>250</v>
      </c>
      <c r="K628" s="223">
        <v>3.0</v>
      </c>
      <c r="L628" s="223" t="b">
        <v>0</v>
      </c>
      <c r="M628" s="223" t="s">
        <v>65</v>
      </c>
      <c r="N628" s="223">
        <v>3.033333</v>
      </c>
      <c r="O628" s="224"/>
      <c r="P628" s="225" t="s">
        <v>155</v>
      </c>
      <c r="Q628" s="225" t="s">
        <v>155</v>
      </c>
      <c r="R628" s="225" t="s">
        <v>155</v>
      </c>
      <c r="S628" s="225" t="s">
        <v>155</v>
      </c>
      <c r="T628" s="226"/>
      <c r="U628" s="227"/>
      <c r="V628" s="109" t="s">
        <v>1251</v>
      </c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</row>
    <row r="629" ht="30.0" customHeight="1">
      <c r="A629" s="159"/>
      <c r="B629" s="218" t="s">
        <v>246</v>
      </c>
      <c r="C629" s="218" t="s">
        <v>1416</v>
      </c>
      <c r="D629" s="218" t="s">
        <v>521</v>
      </c>
      <c r="E629" s="219">
        <v>142507.0</v>
      </c>
      <c r="F629" s="220" t="s">
        <v>1527</v>
      </c>
      <c r="G629" s="221" t="s">
        <v>518</v>
      </c>
      <c r="H629" s="221" t="s">
        <v>1384</v>
      </c>
      <c r="I629" s="221" t="s">
        <v>42</v>
      </c>
      <c r="J629" s="221" t="b">
        <v>0</v>
      </c>
      <c r="K629" s="223" t="b">
        <v>0</v>
      </c>
      <c r="L629" s="223" t="b">
        <v>0</v>
      </c>
      <c r="M629" s="223" t="s">
        <v>1528</v>
      </c>
      <c r="N629" s="223">
        <v>39.5</v>
      </c>
      <c r="O629" s="224"/>
      <c r="P629" s="230"/>
      <c r="Q629" s="225" t="s">
        <v>155</v>
      </c>
      <c r="R629" s="230"/>
      <c r="S629" s="230"/>
      <c r="T629" s="237" t="s">
        <v>592</v>
      </c>
      <c r="U629" s="235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</row>
    <row r="630" ht="30.0" customHeight="1">
      <c r="A630" s="159"/>
      <c r="B630" s="218" t="s">
        <v>246</v>
      </c>
      <c r="C630" s="218" t="s">
        <v>1416</v>
      </c>
      <c r="D630" s="218" t="s">
        <v>521</v>
      </c>
      <c r="E630" s="219">
        <v>109697.0</v>
      </c>
      <c r="F630" s="220" t="s">
        <v>1529</v>
      </c>
      <c r="G630" s="221" t="s">
        <v>518</v>
      </c>
      <c r="H630" s="221" t="s">
        <v>1530</v>
      </c>
      <c r="I630" s="221" t="s">
        <v>389</v>
      </c>
      <c r="J630" s="222" t="s">
        <v>250</v>
      </c>
      <c r="K630" s="223">
        <v>1.0</v>
      </c>
      <c r="L630" s="223" t="b">
        <v>1</v>
      </c>
      <c r="M630" s="223" t="s">
        <v>389</v>
      </c>
      <c r="N630" s="223">
        <v>20.370909</v>
      </c>
      <c r="O630" s="224"/>
      <c r="P630" s="225" t="s">
        <v>155</v>
      </c>
      <c r="Q630" s="225" t="s">
        <v>155</v>
      </c>
      <c r="R630" s="225" t="s">
        <v>155</v>
      </c>
      <c r="S630" s="225" t="s">
        <v>155</v>
      </c>
      <c r="T630" s="226"/>
      <c r="U630" s="227"/>
      <c r="V630" s="52" t="s">
        <v>250</v>
      </c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</row>
    <row r="631" ht="30.0" customHeight="1">
      <c r="A631" s="159"/>
      <c r="B631" s="218" t="s">
        <v>246</v>
      </c>
      <c r="C631" s="218" t="s">
        <v>1416</v>
      </c>
      <c r="D631" s="218" t="s">
        <v>521</v>
      </c>
      <c r="E631" s="219">
        <v>16269.0</v>
      </c>
      <c r="F631" s="220" t="s">
        <v>1531</v>
      </c>
      <c r="G631" s="221" t="s">
        <v>518</v>
      </c>
      <c r="H631" s="221" t="s">
        <v>1434</v>
      </c>
      <c r="I631" s="221" t="s">
        <v>42</v>
      </c>
      <c r="J631" s="222" t="s">
        <v>250</v>
      </c>
      <c r="K631" s="223">
        <v>3.0</v>
      </c>
      <c r="L631" s="223" t="b">
        <v>1</v>
      </c>
      <c r="M631" s="223" t="s">
        <v>42</v>
      </c>
      <c r="N631" s="223">
        <v>6.772031</v>
      </c>
      <c r="O631" s="224" t="s">
        <v>238</v>
      </c>
      <c r="P631" s="225" t="s">
        <v>155</v>
      </c>
      <c r="Q631" s="225" t="s">
        <v>155</v>
      </c>
      <c r="R631" s="225" t="s">
        <v>155</v>
      </c>
      <c r="S631" s="225" t="s">
        <v>155</v>
      </c>
      <c r="T631" s="226"/>
      <c r="U631" s="227"/>
      <c r="V631" s="52" t="s">
        <v>250</v>
      </c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</row>
    <row r="632" ht="30.0" customHeight="1">
      <c r="A632" s="159"/>
      <c r="B632" s="218" t="s">
        <v>246</v>
      </c>
      <c r="C632" s="218" t="s">
        <v>1416</v>
      </c>
      <c r="D632" s="218" t="s">
        <v>521</v>
      </c>
      <c r="E632" s="219">
        <v>112723.0</v>
      </c>
      <c r="F632" s="220" t="s">
        <v>1532</v>
      </c>
      <c r="G632" s="221" t="s">
        <v>518</v>
      </c>
      <c r="H632" s="221" t="s">
        <v>863</v>
      </c>
      <c r="I632" s="221" t="s">
        <v>1533</v>
      </c>
      <c r="J632" s="222" t="s">
        <v>250</v>
      </c>
      <c r="K632" s="223">
        <v>2.0</v>
      </c>
      <c r="L632" s="223" t="b">
        <v>0</v>
      </c>
      <c r="M632" s="223" t="s">
        <v>1534</v>
      </c>
      <c r="N632" s="223">
        <v>1.23</v>
      </c>
      <c r="O632" s="224"/>
      <c r="P632" s="230"/>
      <c r="Q632" s="225" t="s">
        <v>155</v>
      </c>
      <c r="R632" s="230"/>
      <c r="S632" s="230"/>
      <c r="T632" s="229" t="s">
        <v>1535</v>
      </c>
      <c r="U632" s="227"/>
      <c r="V632" s="52" t="s">
        <v>250</v>
      </c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</row>
    <row r="633" ht="30.0" customHeight="1">
      <c r="A633" s="159"/>
      <c r="B633" s="218" t="s">
        <v>246</v>
      </c>
      <c r="C633" s="218" t="s">
        <v>1416</v>
      </c>
      <c r="D633" s="218" t="s">
        <v>521</v>
      </c>
      <c r="E633" s="219">
        <v>16239.0</v>
      </c>
      <c r="F633" s="220" t="s">
        <v>1536</v>
      </c>
      <c r="G633" s="221" t="s">
        <v>518</v>
      </c>
      <c r="H633" s="221" t="s">
        <v>1537</v>
      </c>
      <c r="I633" s="221" t="s">
        <v>1538</v>
      </c>
      <c r="J633" s="221" t="s">
        <v>481</v>
      </c>
      <c r="K633" s="223">
        <v>4.0</v>
      </c>
      <c r="L633" s="223" t="b">
        <v>1</v>
      </c>
      <c r="M633" s="223" t="s">
        <v>1538</v>
      </c>
      <c r="N633" s="223">
        <v>63.9595</v>
      </c>
      <c r="O633" s="224" t="s">
        <v>238</v>
      </c>
      <c r="P633" s="225" t="s">
        <v>155</v>
      </c>
      <c r="Q633" s="225" t="s">
        <v>155</v>
      </c>
      <c r="R633" s="225" t="s">
        <v>155</v>
      </c>
      <c r="S633" s="225" t="s">
        <v>155</v>
      </c>
      <c r="T633" s="226"/>
      <c r="U633" s="227"/>
      <c r="V633" s="52" t="s">
        <v>250</v>
      </c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</row>
    <row r="634" ht="30.0" customHeight="1">
      <c r="A634" s="159"/>
      <c r="B634" s="218" t="s">
        <v>246</v>
      </c>
      <c r="C634" s="218" t="s">
        <v>1416</v>
      </c>
      <c r="D634" s="218" t="s">
        <v>521</v>
      </c>
      <c r="E634" s="219">
        <v>16238.0</v>
      </c>
      <c r="F634" s="220" t="s">
        <v>1539</v>
      </c>
      <c r="G634" s="221" t="s">
        <v>518</v>
      </c>
      <c r="H634" s="221" t="s">
        <v>1537</v>
      </c>
      <c r="I634" s="221" t="s">
        <v>1538</v>
      </c>
      <c r="J634" s="221" t="s">
        <v>481</v>
      </c>
      <c r="K634" s="223">
        <v>4.0</v>
      </c>
      <c r="L634" s="223" t="b">
        <v>1</v>
      </c>
      <c r="M634" s="223" t="s">
        <v>1538</v>
      </c>
      <c r="N634" s="223">
        <v>400.495294</v>
      </c>
      <c r="O634" s="224" t="s">
        <v>238</v>
      </c>
      <c r="P634" s="225" t="s">
        <v>155</v>
      </c>
      <c r="Q634" s="225" t="s">
        <v>155</v>
      </c>
      <c r="R634" s="225" t="s">
        <v>155</v>
      </c>
      <c r="S634" s="225" t="s">
        <v>155</v>
      </c>
      <c r="T634" s="226"/>
      <c r="U634" s="227"/>
      <c r="V634" s="109" t="s">
        <v>1074</v>
      </c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</row>
    <row r="635" ht="30.0" customHeight="1">
      <c r="A635" s="159"/>
      <c r="B635" s="218" t="s">
        <v>246</v>
      </c>
      <c r="C635" s="218" t="s">
        <v>1416</v>
      </c>
      <c r="D635" s="218" t="s">
        <v>521</v>
      </c>
      <c r="E635" s="219">
        <v>108553.0</v>
      </c>
      <c r="F635" s="220" t="s">
        <v>1540</v>
      </c>
      <c r="G635" s="221" t="s">
        <v>518</v>
      </c>
      <c r="H635" s="221" t="s">
        <v>1434</v>
      </c>
      <c r="I635" s="221" t="s">
        <v>389</v>
      </c>
      <c r="J635" s="222" t="s">
        <v>250</v>
      </c>
      <c r="K635" s="223">
        <v>3.0</v>
      </c>
      <c r="L635" s="223" t="b">
        <v>0</v>
      </c>
      <c r="M635" s="223" t="s">
        <v>389</v>
      </c>
      <c r="N635" s="223">
        <v>27.8</v>
      </c>
      <c r="O635" s="224"/>
      <c r="P635" s="225" t="s">
        <v>155</v>
      </c>
      <c r="Q635" s="225" t="s">
        <v>155</v>
      </c>
      <c r="R635" s="225" t="s">
        <v>155</v>
      </c>
      <c r="S635" s="225" t="s">
        <v>155</v>
      </c>
      <c r="T635" s="226"/>
      <c r="U635" s="227"/>
      <c r="V635" s="52" t="s">
        <v>250</v>
      </c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</row>
    <row r="636" ht="30.0" customHeight="1">
      <c r="A636" s="159"/>
      <c r="B636" s="218" t="s">
        <v>246</v>
      </c>
      <c r="C636" s="218" t="s">
        <v>1416</v>
      </c>
      <c r="D636" s="218" t="s">
        <v>521</v>
      </c>
      <c r="E636" s="219">
        <v>33681.0</v>
      </c>
      <c r="F636" s="220" t="s">
        <v>1541</v>
      </c>
      <c r="G636" s="221" t="s">
        <v>518</v>
      </c>
      <c r="H636" s="221" t="s">
        <v>863</v>
      </c>
      <c r="I636" s="221" t="s">
        <v>1482</v>
      </c>
      <c r="J636" s="222" t="s">
        <v>250</v>
      </c>
      <c r="K636" s="223">
        <v>2.0</v>
      </c>
      <c r="L636" s="223" t="b">
        <v>0</v>
      </c>
      <c r="M636" s="223" t="s">
        <v>1482</v>
      </c>
      <c r="N636" s="223">
        <v>23.823203</v>
      </c>
      <c r="O636" s="224" t="s">
        <v>238</v>
      </c>
      <c r="P636" s="225" t="s">
        <v>155</v>
      </c>
      <c r="Q636" s="225" t="s">
        <v>155</v>
      </c>
      <c r="R636" s="225" t="s">
        <v>155</v>
      </c>
      <c r="S636" s="225" t="s">
        <v>155</v>
      </c>
      <c r="T636" s="229" t="s">
        <v>550</v>
      </c>
      <c r="U636" s="227"/>
      <c r="V636" s="52" t="s">
        <v>250</v>
      </c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</row>
    <row r="637" ht="30.0" customHeight="1">
      <c r="A637" s="159"/>
      <c r="B637" s="218" t="s">
        <v>246</v>
      </c>
      <c r="C637" s="218" t="s">
        <v>1416</v>
      </c>
      <c r="D637" s="218" t="s">
        <v>521</v>
      </c>
      <c r="E637" s="219">
        <v>16302.0</v>
      </c>
      <c r="F637" s="220" t="s">
        <v>1542</v>
      </c>
      <c r="G637" s="221" t="s">
        <v>518</v>
      </c>
      <c r="H637" s="221" t="s">
        <v>863</v>
      </c>
      <c r="I637" s="221" t="s">
        <v>1482</v>
      </c>
      <c r="J637" s="222" t="s">
        <v>250</v>
      </c>
      <c r="K637" s="223">
        <v>2.0</v>
      </c>
      <c r="L637" s="223" t="b">
        <v>1</v>
      </c>
      <c r="M637" s="223" t="s">
        <v>1482</v>
      </c>
      <c r="N637" s="223">
        <v>25.506404</v>
      </c>
      <c r="O637" s="224" t="s">
        <v>238</v>
      </c>
      <c r="P637" s="225" t="s">
        <v>155</v>
      </c>
      <c r="Q637" s="225" t="s">
        <v>155</v>
      </c>
      <c r="R637" s="225" t="s">
        <v>155</v>
      </c>
      <c r="S637" s="225" t="s">
        <v>155</v>
      </c>
      <c r="T637" s="229" t="s">
        <v>554</v>
      </c>
      <c r="U637" s="227"/>
      <c r="V637" s="52" t="s">
        <v>250</v>
      </c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</row>
    <row r="638" ht="30.0" customHeight="1">
      <c r="A638" s="159"/>
      <c r="B638" s="218" t="s">
        <v>246</v>
      </c>
      <c r="C638" s="218" t="s">
        <v>1416</v>
      </c>
      <c r="D638" s="218" t="s">
        <v>521</v>
      </c>
      <c r="E638" s="219">
        <v>111695.0</v>
      </c>
      <c r="F638" s="220" t="s">
        <v>1543</v>
      </c>
      <c r="G638" s="221" t="s">
        <v>518</v>
      </c>
      <c r="H638" s="221" t="s">
        <v>1544</v>
      </c>
      <c r="I638" s="221" t="s">
        <v>42</v>
      </c>
      <c r="J638" s="222" t="s">
        <v>250</v>
      </c>
      <c r="K638" s="223">
        <v>1.0</v>
      </c>
      <c r="L638" s="223" t="b">
        <v>0</v>
      </c>
      <c r="M638" s="223" t="s">
        <v>42</v>
      </c>
      <c r="N638" s="223">
        <v>23.674166</v>
      </c>
      <c r="O638" s="224"/>
      <c r="P638" s="225" t="s">
        <v>155</v>
      </c>
      <c r="Q638" s="225" t="s">
        <v>155</v>
      </c>
      <c r="R638" s="225" t="s">
        <v>155</v>
      </c>
      <c r="S638" s="225" t="s">
        <v>155</v>
      </c>
      <c r="T638" s="226"/>
      <c r="U638" s="227"/>
      <c r="V638" s="52" t="s">
        <v>250</v>
      </c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</row>
    <row r="639" ht="30.0" customHeight="1">
      <c r="A639" s="159"/>
      <c r="B639" s="218" t="s">
        <v>246</v>
      </c>
      <c r="C639" s="218" t="s">
        <v>1416</v>
      </c>
      <c r="D639" s="218" t="s">
        <v>521</v>
      </c>
      <c r="E639" s="219">
        <v>111696.0</v>
      </c>
      <c r="F639" s="220" t="s">
        <v>1545</v>
      </c>
      <c r="G639" s="221" t="s">
        <v>518</v>
      </c>
      <c r="H639" s="221" t="s">
        <v>1418</v>
      </c>
      <c r="I639" s="221" t="s">
        <v>42</v>
      </c>
      <c r="J639" s="222" t="s">
        <v>250</v>
      </c>
      <c r="K639" s="223">
        <v>1.0</v>
      </c>
      <c r="L639" s="223" t="b">
        <v>0</v>
      </c>
      <c r="M639" s="223" t="s">
        <v>42</v>
      </c>
      <c r="N639" s="223">
        <v>10.48</v>
      </c>
      <c r="O639" s="224"/>
      <c r="P639" s="225" t="s">
        <v>155</v>
      </c>
      <c r="Q639" s="225" t="s">
        <v>155</v>
      </c>
      <c r="R639" s="225" t="s">
        <v>155</v>
      </c>
      <c r="S639" s="225" t="s">
        <v>155</v>
      </c>
      <c r="T639" s="226"/>
      <c r="U639" s="227"/>
      <c r="V639" s="52" t="s">
        <v>250</v>
      </c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</row>
    <row r="640" ht="30.0" customHeight="1">
      <c r="A640" s="159"/>
      <c r="B640" s="218" t="s">
        <v>246</v>
      </c>
      <c r="C640" s="218" t="s">
        <v>1416</v>
      </c>
      <c r="D640" s="218" t="s">
        <v>521</v>
      </c>
      <c r="E640" s="219">
        <v>111701.0</v>
      </c>
      <c r="F640" s="220" t="s">
        <v>1546</v>
      </c>
      <c r="G640" s="221" t="s">
        <v>518</v>
      </c>
      <c r="H640" s="221" t="s">
        <v>1547</v>
      </c>
      <c r="I640" s="221" t="s">
        <v>42</v>
      </c>
      <c r="J640" s="222" t="s">
        <v>250</v>
      </c>
      <c r="K640" s="223">
        <v>2.0</v>
      </c>
      <c r="L640" s="223" t="b">
        <v>0</v>
      </c>
      <c r="M640" s="223" t="s">
        <v>42</v>
      </c>
      <c r="N640" s="223">
        <v>13.624761</v>
      </c>
      <c r="O640" s="224"/>
      <c r="P640" s="225" t="s">
        <v>155</v>
      </c>
      <c r="Q640" s="225" t="s">
        <v>155</v>
      </c>
      <c r="R640" s="225" t="s">
        <v>155</v>
      </c>
      <c r="S640" s="225" t="s">
        <v>155</v>
      </c>
      <c r="T640" s="226"/>
      <c r="U640" s="227"/>
      <c r="V640" s="52" t="s">
        <v>250</v>
      </c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</row>
    <row r="641" ht="30.0" customHeight="1">
      <c r="A641" s="159"/>
      <c r="B641" s="218" t="s">
        <v>246</v>
      </c>
      <c r="C641" s="218" t="s">
        <v>1416</v>
      </c>
      <c r="D641" s="218" t="s">
        <v>521</v>
      </c>
      <c r="E641" s="219">
        <v>16272.0</v>
      </c>
      <c r="F641" s="220" t="s">
        <v>1548</v>
      </c>
      <c r="G641" s="221" t="s">
        <v>518</v>
      </c>
      <c r="H641" s="221" t="s">
        <v>1434</v>
      </c>
      <c r="I641" s="221" t="s">
        <v>1428</v>
      </c>
      <c r="J641" s="222" t="s">
        <v>250</v>
      </c>
      <c r="K641" s="223">
        <v>3.0</v>
      </c>
      <c r="L641" s="223" t="b">
        <v>1</v>
      </c>
      <c r="M641" s="223" t="s">
        <v>1428</v>
      </c>
      <c r="N641" s="223">
        <v>10.580566</v>
      </c>
      <c r="O641" s="224" t="s">
        <v>238</v>
      </c>
      <c r="P641" s="225" t="s">
        <v>155</v>
      </c>
      <c r="Q641" s="225" t="s">
        <v>155</v>
      </c>
      <c r="R641" s="225" t="s">
        <v>155</v>
      </c>
      <c r="S641" s="225" t="s">
        <v>155</v>
      </c>
      <c r="T641" s="226"/>
      <c r="U641" s="227"/>
      <c r="V641" s="52" t="s">
        <v>250</v>
      </c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</row>
    <row r="642" ht="30.0" customHeight="1">
      <c r="A642" s="159"/>
      <c r="B642" s="218" t="s">
        <v>246</v>
      </c>
      <c r="C642" s="218" t="s">
        <v>1416</v>
      </c>
      <c r="D642" s="218" t="s">
        <v>521</v>
      </c>
      <c r="E642" s="219">
        <v>16314.0</v>
      </c>
      <c r="F642" s="220" t="s">
        <v>1549</v>
      </c>
      <c r="G642" s="221" t="s">
        <v>518</v>
      </c>
      <c r="H642" s="222" t="s">
        <v>250</v>
      </c>
      <c r="I642" s="221" t="s">
        <v>1550</v>
      </c>
      <c r="J642" s="222" t="s">
        <v>250</v>
      </c>
      <c r="K642" s="223">
        <v>2.0</v>
      </c>
      <c r="L642" s="223" t="b">
        <v>0</v>
      </c>
      <c r="M642" s="223" t="s">
        <v>1550</v>
      </c>
      <c r="N642" s="223">
        <v>4.386111</v>
      </c>
      <c r="O642" s="224"/>
      <c r="P642" s="225" t="s">
        <v>155</v>
      </c>
      <c r="Q642" s="225" t="s">
        <v>155</v>
      </c>
      <c r="R642" s="225" t="s">
        <v>155</v>
      </c>
      <c r="S642" s="225" t="s">
        <v>155</v>
      </c>
      <c r="T642" s="229" t="s">
        <v>554</v>
      </c>
      <c r="U642" s="227"/>
      <c r="V642" s="52" t="s">
        <v>250</v>
      </c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</row>
    <row r="643" ht="30.0" customHeight="1">
      <c r="A643" s="159"/>
      <c r="B643" s="218" t="s">
        <v>246</v>
      </c>
      <c r="C643" s="218" t="s">
        <v>1416</v>
      </c>
      <c r="D643" s="218" t="s">
        <v>521</v>
      </c>
      <c r="E643" s="219">
        <v>30052.0</v>
      </c>
      <c r="F643" s="220" t="s">
        <v>1551</v>
      </c>
      <c r="G643" s="221" t="s">
        <v>518</v>
      </c>
      <c r="H643" s="221" t="s">
        <v>1552</v>
      </c>
      <c r="I643" s="221" t="s">
        <v>42</v>
      </c>
      <c r="J643" s="222" t="s">
        <v>250</v>
      </c>
      <c r="K643" s="223">
        <v>3.0</v>
      </c>
      <c r="L643" s="223" t="b">
        <v>0</v>
      </c>
      <c r="M643" s="223" t="s">
        <v>42</v>
      </c>
      <c r="N643" s="223">
        <v>45.578333</v>
      </c>
      <c r="O643" s="224"/>
      <c r="P643" s="225" t="s">
        <v>155</v>
      </c>
      <c r="Q643" s="225" t="s">
        <v>155</v>
      </c>
      <c r="R643" s="225" t="s">
        <v>155</v>
      </c>
      <c r="S643" s="225" t="s">
        <v>155</v>
      </c>
      <c r="T643" s="226"/>
      <c r="U643" s="227"/>
      <c r="V643" s="52" t="s">
        <v>250</v>
      </c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</row>
    <row r="644" ht="30.0" customHeight="1">
      <c r="A644" s="159"/>
      <c r="B644" s="218" t="s">
        <v>246</v>
      </c>
      <c r="C644" s="218" t="s">
        <v>1416</v>
      </c>
      <c r="D644" s="218" t="s">
        <v>521</v>
      </c>
      <c r="E644" s="219">
        <v>16305.0</v>
      </c>
      <c r="F644" s="220" t="s">
        <v>1553</v>
      </c>
      <c r="G644" s="221" t="s">
        <v>518</v>
      </c>
      <c r="H644" s="221" t="s">
        <v>1434</v>
      </c>
      <c r="I644" s="221" t="s">
        <v>1428</v>
      </c>
      <c r="J644" s="222" t="s">
        <v>250</v>
      </c>
      <c r="K644" s="223">
        <v>3.0</v>
      </c>
      <c r="L644" s="223" t="b">
        <v>1</v>
      </c>
      <c r="M644" s="223" t="s">
        <v>1428</v>
      </c>
      <c r="N644" s="223">
        <v>10.397</v>
      </c>
      <c r="O644" s="224" t="s">
        <v>238</v>
      </c>
      <c r="P644" s="225" t="s">
        <v>155</v>
      </c>
      <c r="Q644" s="225" t="s">
        <v>155</v>
      </c>
      <c r="R644" s="225" t="s">
        <v>155</v>
      </c>
      <c r="S644" s="225" t="s">
        <v>155</v>
      </c>
      <c r="T644" s="226"/>
      <c r="U644" s="227"/>
      <c r="V644" s="52" t="s">
        <v>250</v>
      </c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</row>
    <row r="645" ht="30.0" customHeight="1">
      <c r="A645" s="159"/>
      <c r="B645" s="218" t="s">
        <v>246</v>
      </c>
      <c r="C645" s="218" t="s">
        <v>1416</v>
      </c>
      <c r="D645" s="218" t="s">
        <v>521</v>
      </c>
      <c r="E645" s="219">
        <v>16300.0</v>
      </c>
      <c r="F645" s="220" t="s">
        <v>1554</v>
      </c>
      <c r="G645" s="221" t="s">
        <v>518</v>
      </c>
      <c r="H645" s="221" t="s">
        <v>1555</v>
      </c>
      <c r="I645" s="221" t="s">
        <v>1556</v>
      </c>
      <c r="J645" s="222" t="s">
        <v>250</v>
      </c>
      <c r="K645" s="223">
        <v>2.0</v>
      </c>
      <c r="L645" s="223" t="b">
        <v>1</v>
      </c>
      <c r="M645" s="228"/>
      <c r="N645" s="228"/>
      <c r="O645" s="224"/>
      <c r="P645" s="225" t="s">
        <v>155</v>
      </c>
      <c r="Q645" s="225" t="s">
        <v>155</v>
      </c>
      <c r="R645" s="225" t="s">
        <v>155</v>
      </c>
      <c r="S645" s="225" t="s">
        <v>155</v>
      </c>
      <c r="T645" s="226"/>
      <c r="U645" s="227"/>
      <c r="V645" s="52" t="s">
        <v>250</v>
      </c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</row>
    <row r="646" ht="30.0" customHeight="1">
      <c r="A646" s="159"/>
      <c r="B646" s="218" t="s">
        <v>246</v>
      </c>
      <c r="C646" s="218" t="s">
        <v>1416</v>
      </c>
      <c r="D646" s="218" t="s">
        <v>521</v>
      </c>
      <c r="E646" s="219">
        <v>16285.0</v>
      </c>
      <c r="F646" s="220" t="s">
        <v>1557</v>
      </c>
      <c r="G646" s="221" t="s">
        <v>518</v>
      </c>
      <c r="H646" s="221" t="s">
        <v>1434</v>
      </c>
      <c r="I646" s="221" t="s">
        <v>1495</v>
      </c>
      <c r="J646" s="222" t="s">
        <v>250</v>
      </c>
      <c r="K646" s="223">
        <v>2.0</v>
      </c>
      <c r="L646" s="223" t="b">
        <v>0</v>
      </c>
      <c r="M646" s="223" t="s">
        <v>1495</v>
      </c>
      <c r="N646" s="223">
        <v>8.425027</v>
      </c>
      <c r="O646" s="224" t="s">
        <v>238</v>
      </c>
      <c r="P646" s="225" t="s">
        <v>155</v>
      </c>
      <c r="Q646" s="225" t="s">
        <v>155</v>
      </c>
      <c r="R646" s="225" t="s">
        <v>155</v>
      </c>
      <c r="S646" s="225" t="s">
        <v>155</v>
      </c>
      <c r="T646" s="229" t="s">
        <v>543</v>
      </c>
      <c r="U646" s="227"/>
      <c r="V646" s="52" t="s">
        <v>250</v>
      </c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</row>
    <row r="647" ht="30.0" customHeight="1">
      <c r="A647" s="159"/>
      <c r="B647" s="218" t="s">
        <v>246</v>
      </c>
      <c r="C647" s="218" t="s">
        <v>1416</v>
      </c>
      <c r="D647" s="218" t="s">
        <v>521</v>
      </c>
      <c r="E647" s="219">
        <v>142523.0</v>
      </c>
      <c r="F647" s="220" t="s">
        <v>1558</v>
      </c>
      <c r="G647" s="221" t="s">
        <v>518</v>
      </c>
      <c r="H647" s="221" t="s">
        <v>1384</v>
      </c>
      <c r="I647" s="221" t="s">
        <v>65</v>
      </c>
      <c r="J647" s="221" t="b">
        <v>0</v>
      </c>
      <c r="K647" s="223" t="b">
        <v>0</v>
      </c>
      <c r="L647" s="223" t="b">
        <v>0</v>
      </c>
      <c r="M647" s="223" t="s">
        <v>1559</v>
      </c>
      <c r="N647" s="223">
        <v>70.0</v>
      </c>
      <c r="O647" s="224"/>
      <c r="P647" s="230"/>
      <c r="Q647" s="225" t="s">
        <v>155</v>
      </c>
      <c r="R647" s="230"/>
      <c r="S647" s="230"/>
      <c r="T647" s="237" t="s">
        <v>592</v>
      </c>
      <c r="U647" s="235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</row>
    <row r="648" ht="30.0" customHeight="1">
      <c r="A648" s="159"/>
      <c r="B648" s="218" t="s">
        <v>246</v>
      </c>
      <c r="C648" s="218" t="s">
        <v>1416</v>
      </c>
      <c r="D648" s="218" t="s">
        <v>521</v>
      </c>
      <c r="E648" s="219">
        <v>109709.0</v>
      </c>
      <c r="F648" s="220" t="s">
        <v>1560</v>
      </c>
      <c r="G648" s="221" t="s">
        <v>518</v>
      </c>
      <c r="H648" s="221" t="s">
        <v>1426</v>
      </c>
      <c r="I648" s="221" t="s">
        <v>1561</v>
      </c>
      <c r="J648" s="222" t="s">
        <v>250</v>
      </c>
      <c r="K648" s="223">
        <v>2.0</v>
      </c>
      <c r="L648" s="223" t="b">
        <v>0</v>
      </c>
      <c r="M648" s="223" t="s">
        <v>1561</v>
      </c>
      <c r="N648" s="223">
        <v>39.2104</v>
      </c>
      <c r="O648" s="224"/>
      <c r="P648" s="225" t="s">
        <v>155</v>
      </c>
      <c r="Q648" s="225" t="s">
        <v>155</v>
      </c>
      <c r="R648" s="225" t="s">
        <v>155</v>
      </c>
      <c r="S648" s="225" t="s">
        <v>155</v>
      </c>
      <c r="T648" s="226"/>
      <c r="U648" s="227"/>
      <c r="V648" s="52" t="s">
        <v>250</v>
      </c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</row>
    <row r="649" ht="30.0" customHeight="1">
      <c r="A649" s="159"/>
      <c r="B649" s="218" t="s">
        <v>246</v>
      </c>
      <c r="C649" s="218" t="s">
        <v>1416</v>
      </c>
      <c r="D649" s="218" t="s">
        <v>521</v>
      </c>
      <c r="E649" s="219">
        <v>111037.0</v>
      </c>
      <c r="F649" s="220" t="s">
        <v>1562</v>
      </c>
      <c r="G649" s="221" t="s">
        <v>518</v>
      </c>
      <c r="H649" s="221" t="s">
        <v>1563</v>
      </c>
      <c r="I649" s="221" t="s">
        <v>972</v>
      </c>
      <c r="J649" s="222" t="s">
        <v>250</v>
      </c>
      <c r="K649" s="223">
        <v>2.0</v>
      </c>
      <c r="L649" s="223" t="b">
        <v>1</v>
      </c>
      <c r="M649" s="228"/>
      <c r="N649" s="228"/>
      <c r="O649" s="224"/>
      <c r="P649" s="225" t="s">
        <v>155</v>
      </c>
      <c r="Q649" s="225" t="s">
        <v>155</v>
      </c>
      <c r="R649" s="225" t="s">
        <v>155</v>
      </c>
      <c r="S649" s="225" t="s">
        <v>155</v>
      </c>
      <c r="T649" s="226"/>
      <c r="U649" s="227"/>
      <c r="V649" s="52" t="s">
        <v>250</v>
      </c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</row>
    <row r="650" ht="30.0" customHeight="1">
      <c r="A650" s="159"/>
      <c r="B650" s="218" t="s">
        <v>246</v>
      </c>
      <c r="C650" s="218" t="s">
        <v>1416</v>
      </c>
      <c r="D650" s="218" t="s">
        <v>521</v>
      </c>
      <c r="E650" s="219">
        <v>53368.0</v>
      </c>
      <c r="F650" s="220" t="s">
        <v>1564</v>
      </c>
      <c r="G650" s="221" t="s">
        <v>518</v>
      </c>
      <c r="H650" s="221" t="s">
        <v>1439</v>
      </c>
      <c r="I650" s="221" t="s">
        <v>42</v>
      </c>
      <c r="J650" s="221" t="b">
        <v>0</v>
      </c>
      <c r="K650" s="223" t="b">
        <v>0</v>
      </c>
      <c r="L650" s="223" t="b">
        <v>0</v>
      </c>
      <c r="M650" s="223" t="s">
        <v>1565</v>
      </c>
      <c r="N650" s="223">
        <v>280.0</v>
      </c>
      <c r="O650" s="224"/>
      <c r="P650" s="230"/>
      <c r="Q650" s="225" t="s">
        <v>155</v>
      </c>
      <c r="R650" s="230"/>
      <c r="S650" s="230"/>
      <c r="T650" s="237" t="s">
        <v>592</v>
      </c>
      <c r="U650" s="235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</row>
    <row r="651" ht="30.0" customHeight="1">
      <c r="A651" s="159"/>
      <c r="B651" s="218" t="s">
        <v>246</v>
      </c>
      <c r="C651" s="218" t="s">
        <v>1416</v>
      </c>
      <c r="D651" s="218" t="s">
        <v>521</v>
      </c>
      <c r="E651" s="219">
        <v>111019.0</v>
      </c>
      <c r="F651" s="220" t="s">
        <v>1566</v>
      </c>
      <c r="G651" s="221" t="s">
        <v>518</v>
      </c>
      <c r="H651" s="221" t="s">
        <v>1045</v>
      </c>
      <c r="I651" s="221" t="s">
        <v>1567</v>
      </c>
      <c r="J651" s="222" t="s">
        <v>250</v>
      </c>
      <c r="K651" s="223">
        <v>2.0</v>
      </c>
      <c r="L651" s="223" t="b">
        <v>0</v>
      </c>
      <c r="M651" s="223" t="s">
        <v>1568</v>
      </c>
      <c r="N651" s="223">
        <v>7.07</v>
      </c>
      <c r="O651" s="224"/>
      <c r="P651" s="225" t="s">
        <v>155</v>
      </c>
      <c r="Q651" s="225" t="s">
        <v>155</v>
      </c>
      <c r="R651" s="225" t="s">
        <v>155</v>
      </c>
      <c r="S651" s="225" t="s">
        <v>155</v>
      </c>
      <c r="T651" s="226"/>
      <c r="U651" s="227"/>
      <c r="V651" s="52" t="s">
        <v>250</v>
      </c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</row>
    <row r="652" ht="30.0" customHeight="1">
      <c r="A652" s="159"/>
      <c r="B652" s="218" t="s">
        <v>246</v>
      </c>
      <c r="C652" s="218" t="s">
        <v>1416</v>
      </c>
      <c r="D652" s="218" t="s">
        <v>521</v>
      </c>
      <c r="E652" s="219">
        <v>16276.0</v>
      </c>
      <c r="F652" s="220" t="s">
        <v>1569</v>
      </c>
      <c r="G652" s="221" t="s">
        <v>518</v>
      </c>
      <c r="H652" s="221" t="s">
        <v>863</v>
      </c>
      <c r="I652" s="221" t="s">
        <v>1570</v>
      </c>
      <c r="J652" s="222" t="s">
        <v>250</v>
      </c>
      <c r="K652" s="223">
        <v>2.0</v>
      </c>
      <c r="L652" s="223" t="b">
        <v>0</v>
      </c>
      <c r="M652" s="223" t="s">
        <v>1570</v>
      </c>
      <c r="N652" s="223">
        <v>2.362564</v>
      </c>
      <c r="O652" s="224" t="s">
        <v>238</v>
      </c>
      <c r="P652" s="225" t="s">
        <v>155</v>
      </c>
      <c r="Q652" s="225" t="s">
        <v>155</v>
      </c>
      <c r="R652" s="225" t="s">
        <v>155</v>
      </c>
      <c r="S652" s="225" t="s">
        <v>155</v>
      </c>
      <c r="T652" s="226"/>
      <c r="U652" s="227"/>
      <c r="V652" s="52" t="s">
        <v>250</v>
      </c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</row>
    <row r="653" ht="30.0" customHeight="1">
      <c r="A653" s="159"/>
      <c r="B653" s="218" t="s">
        <v>246</v>
      </c>
      <c r="C653" s="218" t="s">
        <v>1416</v>
      </c>
      <c r="D653" s="218" t="s">
        <v>521</v>
      </c>
      <c r="E653" s="219">
        <v>33324.0</v>
      </c>
      <c r="F653" s="220" t="s">
        <v>1571</v>
      </c>
      <c r="G653" s="221" t="s">
        <v>518</v>
      </c>
      <c r="H653" s="221" t="s">
        <v>1572</v>
      </c>
      <c r="I653" s="221" t="s">
        <v>1573</v>
      </c>
      <c r="J653" s="222" t="s">
        <v>250</v>
      </c>
      <c r="K653" s="223">
        <v>4.0</v>
      </c>
      <c r="L653" s="223" t="b">
        <v>0</v>
      </c>
      <c r="M653" s="223" t="s">
        <v>1573</v>
      </c>
      <c r="N653" s="223">
        <v>40.937864</v>
      </c>
      <c r="O653" s="224" t="s">
        <v>238</v>
      </c>
      <c r="P653" s="225" t="s">
        <v>155</v>
      </c>
      <c r="Q653" s="225" t="s">
        <v>155</v>
      </c>
      <c r="R653" s="225" t="s">
        <v>155</v>
      </c>
      <c r="S653" s="225" t="s">
        <v>155</v>
      </c>
      <c r="T653" s="226"/>
      <c r="U653" s="227"/>
      <c r="V653" s="52" t="s">
        <v>250</v>
      </c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</row>
    <row r="654" ht="30.0" customHeight="1">
      <c r="A654" s="159"/>
      <c r="B654" s="218" t="s">
        <v>246</v>
      </c>
      <c r="C654" s="218" t="s">
        <v>1416</v>
      </c>
      <c r="D654" s="218" t="s">
        <v>521</v>
      </c>
      <c r="E654" s="219">
        <v>142891.0</v>
      </c>
      <c r="F654" s="220" t="s">
        <v>1574</v>
      </c>
      <c r="G654" s="221" t="s">
        <v>518</v>
      </c>
      <c r="H654" s="221" t="s">
        <v>1575</v>
      </c>
      <c r="I654" s="221" t="s">
        <v>1576</v>
      </c>
      <c r="J654" s="222" t="s">
        <v>250</v>
      </c>
      <c r="K654" s="223">
        <v>4.0</v>
      </c>
      <c r="L654" s="223" t="b">
        <v>0</v>
      </c>
      <c r="M654" s="223" t="s">
        <v>42</v>
      </c>
      <c r="N654" s="223">
        <v>13.194</v>
      </c>
      <c r="O654" s="224"/>
      <c r="P654" s="225" t="s">
        <v>155</v>
      </c>
      <c r="Q654" s="225" t="s">
        <v>155</v>
      </c>
      <c r="R654" s="225" t="s">
        <v>155</v>
      </c>
      <c r="S654" s="225" t="s">
        <v>155</v>
      </c>
      <c r="T654" s="226"/>
      <c r="U654" s="227"/>
      <c r="V654" s="52" t="s">
        <v>250</v>
      </c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</row>
    <row r="655" ht="30.0" customHeight="1">
      <c r="A655" s="159"/>
      <c r="B655" s="218" t="s">
        <v>246</v>
      </c>
      <c r="C655" s="218" t="s">
        <v>1416</v>
      </c>
      <c r="D655" s="218" t="s">
        <v>521</v>
      </c>
      <c r="E655" s="219">
        <v>16307.0</v>
      </c>
      <c r="F655" s="220" t="s">
        <v>1577</v>
      </c>
      <c r="G655" s="221" t="s">
        <v>518</v>
      </c>
      <c r="H655" s="221" t="s">
        <v>1578</v>
      </c>
      <c r="I655" s="221" t="s">
        <v>42</v>
      </c>
      <c r="J655" s="222" t="s">
        <v>250</v>
      </c>
      <c r="K655" s="223">
        <v>2.0</v>
      </c>
      <c r="L655" s="223" t="b">
        <v>1</v>
      </c>
      <c r="M655" s="223" t="s">
        <v>42</v>
      </c>
      <c r="N655" s="223">
        <v>1.473796</v>
      </c>
      <c r="O655" s="224" t="s">
        <v>238</v>
      </c>
      <c r="P655" s="225" t="s">
        <v>155</v>
      </c>
      <c r="Q655" s="225" t="s">
        <v>155</v>
      </c>
      <c r="R655" s="225" t="s">
        <v>155</v>
      </c>
      <c r="S655" s="225" t="s">
        <v>155</v>
      </c>
      <c r="T655" s="229" t="s">
        <v>550</v>
      </c>
      <c r="U655" s="227"/>
      <c r="V655" s="52" t="s">
        <v>250</v>
      </c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</row>
    <row r="656" ht="30.0" customHeight="1">
      <c r="A656" s="159"/>
      <c r="B656" s="218" t="s">
        <v>246</v>
      </c>
      <c r="C656" s="218" t="s">
        <v>1416</v>
      </c>
      <c r="D656" s="218" t="s">
        <v>521</v>
      </c>
      <c r="E656" s="219">
        <v>27243.0</v>
      </c>
      <c r="F656" s="220" t="s">
        <v>1579</v>
      </c>
      <c r="G656" s="221" t="s">
        <v>518</v>
      </c>
      <c r="H656" s="221" t="s">
        <v>846</v>
      </c>
      <c r="I656" s="221" t="s">
        <v>42</v>
      </c>
      <c r="J656" s="222" t="s">
        <v>250</v>
      </c>
      <c r="K656" s="223">
        <v>2.0</v>
      </c>
      <c r="L656" s="223" t="b">
        <v>0</v>
      </c>
      <c r="M656" s="223" t="s">
        <v>1580</v>
      </c>
      <c r="N656" s="223">
        <v>15.423</v>
      </c>
      <c r="O656" s="224" t="s">
        <v>238</v>
      </c>
      <c r="P656" s="225" t="s">
        <v>155</v>
      </c>
      <c r="Q656" s="225" t="s">
        <v>155</v>
      </c>
      <c r="R656" s="225" t="s">
        <v>155</v>
      </c>
      <c r="S656" s="225" t="s">
        <v>155</v>
      </c>
      <c r="T656" s="229" t="s">
        <v>550</v>
      </c>
      <c r="U656" s="227"/>
      <c r="V656" s="52" t="s">
        <v>250</v>
      </c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</row>
    <row r="657" ht="30.0" customHeight="1">
      <c r="A657" s="159"/>
      <c r="B657" s="218" t="s">
        <v>246</v>
      </c>
      <c r="C657" s="218" t="s">
        <v>1416</v>
      </c>
      <c r="D657" s="218" t="s">
        <v>521</v>
      </c>
      <c r="E657" s="219">
        <v>16280.0</v>
      </c>
      <c r="F657" s="220" t="s">
        <v>1581</v>
      </c>
      <c r="G657" s="221" t="s">
        <v>518</v>
      </c>
      <c r="H657" s="221" t="s">
        <v>1578</v>
      </c>
      <c r="I657" s="221" t="s">
        <v>1582</v>
      </c>
      <c r="J657" s="222" t="s">
        <v>250</v>
      </c>
      <c r="K657" s="223">
        <v>2.0</v>
      </c>
      <c r="L657" s="223" t="b">
        <v>1</v>
      </c>
      <c r="M657" s="223" t="s">
        <v>1582</v>
      </c>
      <c r="N657" s="223">
        <v>15.100882</v>
      </c>
      <c r="O657" s="224" t="s">
        <v>238</v>
      </c>
      <c r="P657" s="225" t="s">
        <v>155</v>
      </c>
      <c r="Q657" s="225" t="s">
        <v>155</v>
      </c>
      <c r="R657" s="225" t="s">
        <v>155</v>
      </c>
      <c r="S657" s="225" t="s">
        <v>155</v>
      </c>
      <c r="T657" s="229" t="s">
        <v>550</v>
      </c>
      <c r="U657" s="227"/>
      <c r="V657" s="52" t="s">
        <v>250</v>
      </c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</row>
    <row r="658" ht="30.0" customHeight="1">
      <c r="A658" s="159"/>
      <c r="B658" s="218" t="s">
        <v>246</v>
      </c>
      <c r="C658" s="218" t="s">
        <v>1416</v>
      </c>
      <c r="D658" s="218" t="s">
        <v>521</v>
      </c>
      <c r="E658" s="219">
        <v>40614.0</v>
      </c>
      <c r="F658" s="220" t="s">
        <v>1583</v>
      </c>
      <c r="G658" s="221" t="s">
        <v>518</v>
      </c>
      <c r="H658" s="222" t="s">
        <v>250</v>
      </c>
      <c r="I658" s="221" t="s">
        <v>828</v>
      </c>
      <c r="J658" s="222" t="s">
        <v>250</v>
      </c>
      <c r="K658" s="223">
        <v>2.0</v>
      </c>
      <c r="L658" s="223" t="b">
        <v>0</v>
      </c>
      <c r="M658" s="228"/>
      <c r="N658" s="228"/>
      <c r="O658" s="224"/>
      <c r="P658" s="225" t="s">
        <v>155</v>
      </c>
      <c r="Q658" s="225" t="s">
        <v>155</v>
      </c>
      <c r="R658" s="225" t="s">
        <v>155</v>
      </c>
      <c r="S658" s="225" t="s">
        <v>155</v>
      </c>
      <c r="T658" s="226"/>
      <c r="U658" s="227"/>
      <c r="V658" s="109" t="s">
        <v>1584</v>
      </c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</row>
    <row r="659" ht="30.0" customHeight="1">
      <c r="A659" s="159"/>
      <c r="B659" s="218" t="s">
        <v>246</v>
      </c>
      <c r="C659" s="218" t="s">
        <v>1416</v>
      </c>
      <c r="D659" s="218" t="s">
        <v>521</v>
      </c>
      <c r="E659" s="219">
        <v>16595.0</v>
      </c>
      <c r="F659" s="220" t="s">
        <v>1585</v>
      </c>
      <c r="G659" s="221" t="s">
        <v>518</v>
      </c>
      <c r="H659" s="221" t="s">
        <v>1586</v>
      </c>
      <c r="I659" s="221" t="s">
        <v>1587</v>
      </c>
      <c r="J659" s="221" t="b">
        <v>0</v>
      </c>
      <c r="K659" s="223" t="b">
        <v>0</v>
      </c>
      <c r="L659" s="223" t="b">
        <v>0</v>
      </c>
      <c r="M659" s="223" t="s">
        <v>1588</v>
      </c>
      <c r="N659" s="223">
        <v>25.0</v>
      </c>
      <c r="O659" s="224"/>
      <c r="P659" s="230"/>
      <c r="Q659" s="225" t="s">
        <v>155</v>
      </c>
      <c r="R659" s="230"/>
      <c r="S659" s="230"/>
      <c r="T659" s="237" t="s">
        <v>592</v>
      </c>
      <c r="U659" s="235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</row>
    <row r="660" ht="30.0" customHeight="1">
      <c r="A660" s="159"/>
      <c r="B660" s="218" t="s">
        <v>246</v>
      </c>
      <c r="C660" s="218" t="s">
        <v>1416</v>
      </c>
      <c r="D660" s="218" t="s">
        <v>521</v>
      </c>
      <c r="E660" s="219">
        <v>150522.0</v>
      </c>
      <c r="F660" s="220" t="s">
        <v>1589</v>
      </c>
      <c r="G660" s="221" t="s">
        <v>518</v>
      </c>
      <c r="H660" s="221" t="s">
        <v>1426</v>
      </c>
      <c r="I660" s="221" t="s">
        <v>857</v>
      </c>
      <c r="J660" s="222" t="s">
        <v>250</v>
      </c>
      <c r="K660" s="223">
        <v>3.0</v>
      </c>
      <c r="L660" s="223" t="b">
        <v>0</v>
      </c>
      <c r="M660" s="228"/>
      <c r="N660" s="228"/>
      <c r="O660" s="224"/>
      <c r="P660" s="230"/>
      <c r="Q660" s="230"/>
      <c r="R660" s="230"/>
      <c r="S660" s="225" t="s">
        <v>155</v>
      </c>
      <c r="T660" s="229" t="s">
        <v>1500</v>
      </c>
      <c r="U660" s="227"/>
      <c r="V660" s="52" t="s">
        <v>250</v>
      </c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</row>
    <row r="661" ht="30.0" customHeight="1">
      <c r="A661" s="159"/>
      <c r="B661" s="218" t="s">
        <v>246</v>
      </c>
      <c r="C661" s="218" t="s">
        <v>1416</v>
      </c>
      <c r="D661" s="218" t="s">
        <v>521</v>
      </c>
      <c r="E661" s="219">
        <v>20887.0</v>
      </c>
      <c r="F661" s="220" t="s">
        <v>1590</v>
      </c>
      <c r="G661" s="221" t="s">
        <v>518</v>
      </c>
      <c r="H661" s="222" t="s">
        <v>250</v>
      </c>
      <c r="I661" s="221" t="s">
        <v>42</v>
      </c>
      <c r="J661" s="221" t="s">
        <v>727</v>
      </c>
      <c r="K661" s="223">
        <v>4.0</v>
      </c>
      <c r="L661" s="223" t="b">
        <v>1</v>
      </c>
      <c r="M661" s="223" t="s">
        <v>42</v>
      </c>
      <c r="N661" s="223">
        <v>18.140677</v>
      </c>
      <c r="O661" s="224" t="s">
        <v>238</v>
      </c>
      <c r="P661" s="225" t="s">
        <v>155</v>
      </c>
      <c r="Q661" s="225" t="s">
        <v>155</v>
      </c>
      <c r="R661" s="225" t="s">
        <v>155</v>
      </c>
      <c r="S661" s="225" t="s">
        <v>155</v>
      </c>
      <c r="T661" s="229" t="s">
        <v>550</v>
      </c>
      <c r="U661" s="227"/>
      <c r="V661" s="109" t="s">
        <v>1074</v>
      </c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</row>
    <row r="662" ht="30.0" customHeight="1">
      <c r="A662" s="159"/>
      <c r="B662" s="218" t="s">
        <v>246</v>
      </c>
      <c r="C662" s="218" t="s">
        <v>1416</v>
      </c>
      <c r="D662" s="218" t="s">
        <v>521</v>
      </c>
      <c r="E662" s="219">
        <v>109695.0</v>
      </c>
      <c r="F662" s="220" t="s">
        <v>1591</v>
      </c>
      <c r="G662" s="221" t="s">
        <v>518</v>
      </c>
      <c r="H662" s="221" t="s">
        <v>1592</v>
      </c>
      <c r="I662" s="221" t="s">
        <v>42</v>
      </c>
      <c r="J662" s="222" t="s">
        <v>250</v>
      </c>
      <c r="K662" s="223">
        <v>2.0</v>
      </c>
      <c r="L662" s="223" t="b">
        <v>1</v>
      </c>
      <c r="M662" s="223" t="s">
        <v>42</v>
      </c>
      <c r="N662" s="223">
        <v>14.421219</v>
      </c>
      <c r="O662" s="224"/>
      <c r="P662" s="225" t="s">
        <v>155</v>
      </c>
      <c r="Q662" s="225" t="s">
        <v>155</v>
      </c>
      <c r="R662" s="225" t="s">
        <v>155</v>
      </c>
      <c r="S662" s="225" t="s">
        <v>155</v>
      </c>
      <c r="T662" s="226"/>
      <c r="U662" s="227"/>
      <c r="V662" s="52" t="s">
        <v>250</v>
      </c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</row>
    <row r="663" ht="30.0" customHeight="1">
      <c r="A663" s="159"/>
      <c r="B663" s="218" t="s">
        <v>246</v>
      </c>
      <c r="C663" s="218" t="s">
        <v>1416</v>
      </c>
      <c r="D663" s="218" t="s">
        <v>521</v>
      </c>
      <c r="E663" s="219">
        <v>109689.0</v>
      </c>
      <c r="F663" s="220" t="s">
        <v>1593</v>
      </c>
      <c r="G663" s="221" t="s">
        <v>518</v>
      </c>
      <c r="H663" s="221" t="s">
        <v>1426</v>
      </c>
      <c r="I663" s="221" t="s">
        <v>65</v>
      </c>
      <c r="J663" s="222" t="s">
        <v>250</v>
      </c>
      <c r="K663" s="223">
        <v>1.0</v>
      </c>
      <c r="L663" s="223" t="b">
        <v>0</v>
      </c>
      <c r="M663" s="223" t="s">
        <v>65</v>
      </c>
      <c r="N663" s="223">
        <v>2.38</v>
      </c>
      <c r="O663" s="224"/>
      <c r="P663" s="225" t="s">
        <v>155</v>
      </c>
      <c r="Q663" s="225" t="s">
        <v>155</v>
      </c>
      <c r="R663" s="225" t="s">
        <v>155</v>
      </c>
      <c r="S663" s="225" t="s">
        <v>155</v>
      </c>
      <c r="T663" s="226"/>
      <c r="U663" s="227"/>
      <c r="V663" s="52" t="s">
        <v>250</v>
      </c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</row>
    <row r="664" ht="30.0" customHeight="1">
      <c r="A664" s="159"/>
      <c r="B664" s="218" t="s">
        <v>246</v>
      </c>
      <c r="C664" s="218" t="s">
        <v>1416</v>
      </c>
      <c r="D664" s="218" t="s">
        <v>521</v>
      </c>
      <c r="E664" s="219">
        <v>111759.0</v>
      </c>
      <c r="F664" s="220" t="s">
        <v>1594</v>
      </c>
      <c r="G664" s="221" t="s">
        <v>518</v>
      </c>
      <c r="H664" s="221" t="s">
        <v>1595</v>
      </c>
      <c r="I664" s="221" t="s">
        <v>389</v>
      </c>
      <c r="J664" s="222" t="s">
        <v>250</v>
      </c>
      <c r="K664" s="223">
        <v>3.0</v>
      </c>
      <c r="L664" s="223" t="b">
        <v>0</v>
      </c>
      <c r="M664" s="228"/>
      <c r="N664" s="228"/>
      <c r="O664" s="224"/>
      <c r="P664" s="225" t="s">
        <v>155</v>
      </c>
      <c r="Q664" s="225" t="s">
        <v>155</v>
      </c>
      <c r="R664" s="225" t="s">
        <v>155</v>
      </c>
      <c r="S664" s="225" t="s">
        <v>155</v>
      </c>
      <c r="T664" s="226"/>
      <c r="U664" s="227"/>
      <c r="V664" s="109" t="s">
        <v>1596</v>
      </c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</row>
    <row r="665" ht="30.0" customHeight="1">
      <c r="A665" s="159"/>
      <c r="B665" s="218" t="s">
        <v>246</v>
      </c>
      <c r="C665" s="218" t="s">
        <v>1416</v>
      </c>
      <c r="D665" s="218" t="s">
        <v>521</v>
      </c>
      <c r="E665" s="219">
        <v>111762.0</v>
      </c>
      <c r="F665" s="220" t="s">
        <v>1597</v>
      </c>
      <c r="G665" s="221" t="s">
        <v>518</v>
      </c>
      <c r="H665" s="221" t="s">
        <v>1598</v>
      </c>
      <c r="I665" s="221" t="s">
        <v>389</v>
      </c>
      <c r="J665" s="222" t="s">
        <v>250</v>
      </c>
      <c r="K665" s="223">
        <v>1.0</v>
      </c>
      <c r="L665" s="223" t="b">
        <v>0</v>
      </c>
      <c r="M665" s="228"/>
      <c r="N665" s="228"/>
      <c r="O665" s="224"/>
      <c r="P665" s="225" t="s">
        <v>155</v>
      </c>
      <c r="Q665" s="225" t="s">
        <v>155</v>
      </c>
      <c r="R665" s="225" t="s">
        <v>155</v>
      </c>
      <c r="S665" s="225" t="s">
        <v>155</v>
      </c>
      <c r="T665" s="226"/>
      <c r="U665" s="227"/>
      <c r="V665" s="52" t="s">
        <v>250</v>
      </c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</row>
    <row r="666" ht="30.0" customHeight="1">
      <c r="A666" s="159"/>
      <c r="B666" s="218" t="s">
        <v>246</v>
      </c>
      <c r="C666" s="218" t="s">
        <v>1416</v>
      </c>
      <c r="D666" s="218" t="s">
        <v>521</v>
      </c>
      <c r="E666" s="219">
        <v>107138.0</v>
      </c>
      <c r="F666" s="220" t="s">
        <v>1599</v>
      </c>
      <c r="G666" s="221" t="s">
        <v>518</v>
      </c>
      <c r="H666" s="222" t="s">
        <v>250</v>
      </c>
      <c r="I666" s="221" t="s">
        <v>1573</v>
      </c>
      <c r="J666" s="222" t="s">
        <v>250</v>
      </c>
      <c r="K666" s="223">
        <v>4.0</v>
      </c>
      <c r="L666" s="223" t="b">
        <v>1</v>
      </c>
      <c r="M666" s="223" t="s">
        <v>1573</v>
      </c>
      <c r="N666" s="223">
        <v>39.451883</v>
      </c>
      <c r="O666" s="224"/>
      <c r="P666" s="225" t="s">
        <v>155</v>
      </c>
      <c r="Q666" s="225" t="s">
        <v>155</v>
      </c>
      <c r="R666" s="225" t="s">
        <v>155</v>
      </c>
      <c r="S666" s="225" t="s">
        <v>155</v>
      </c>
      <c r="T666" s="226"/>
      <c r="U666" s="227"/>
      <c r="V666" s="52" t="s">
        <v>250</v>
      </c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</row>
    <row r="667" ht="30.0" customHeight="1">
      <c r="A667" s="159"/>
      <c r="B667" s="218" t="s">
        <v>246</v>
      </c>
      <c r="C667" s="218" t="s">
        <v>1416</v>
      </c>
      <c r="D667" s="218" t="s">
        <v>521</v>
      </c>
      <c r="E667" s="219">
        <v>19407.0</v>
      </c>
      <c r="F667" s="220" t="s">
        <v>1600</v>
      </c>
      <c r="G667" s="221" t="s">
        <v>518</v>
      </c>
      <c r="H667" s="221" t="s">
        <v>1601</v>
      </c>
      <c r="I667" s="221" t="s">
        <v>42</v>
      </c>
      <c r="J667" s="222" t="s">
        <v>250</v>
      </c>
      <c r="K667" s="223">
        <v>2.0</v>
      </c>
      <c r="L667" s="223" t="b">
        <v>1</v>
      </c>
      <c r="M667" s="223" t="s">
        <v>42</v>
      </c>
      <c r="N667" s="223">
        <v>7.001666</v>
      </c>
      <c r="O667" s="224"/>
      <c r="P667" s="225" t="s">
        <v>155</v>
      </c>
      <c r="Q667" s="225" t="s">
        <v>155</v>
      </c>
      <c r="R667" s="225" t="s">
        <v>155</v>
      </c>
      <c r="S667" s="225" t="s">
        <v>155</v>
      </c>
      <c r="T667" s="226"/>
      <c r="U667" s="227"/>
      <c r="V667" s="52" t="s">
        <v>250</v>
      </c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</row>
    <row r="668" ht="30.0" customHeight="1">
      <c r="A668" s="159"/>
      <c r="B668" s="218" t="s">
        <v>246</v>
      </c>
      <c r="C668" s="218" t="s">
        <v>1416</v>
      </c>
      <c r="D668" s="218" t="s">
        <v>521</v>
      </c>
      <c r="E668" s="219">
        <v>40229.0</v>
      </c>
      <c r="F668" s="220" t="s">
        <v>1602</v>
      </c>
      <c r="G668" s="221" t="s">
        <v>518</v>
      </c>
      <c r="H668" s="221" t="s">
        <v>1603</v>
      </c>
      <c r="I668" s="221" t="s">
        <v>1604</v>
      </c>
      <c r="J668" s="222" t="s">
        <v>250</v>
      </c>
      <c r="K668" s="223">
        <v>1.0</v>
      </c>
      <c r="L668" s="223" t="b">
        <v>1</v>
      </c>
      <c r="M668" s="223" t="s">
        <v>1604</v>
      </c>
      <c r="N668" s="223">
        <v>20.718692</v>
      </c>
      <c r="O668" s="224" t="s">
        <v>238</v>
      </c>
      <c r="P668" s="225" t="s">
        <v>155</v>
      </c>
      <c r="Q668" s="225" t="s">
        <v>155</v>
      </c>
      <c r="R668" s="225" t="s">
        <v>155</v>
      </c>
      <c r="S668" s="225" t="s">
        <v>155</v>
      </c>
      <c r="T668" s="226"/>
      <c r="U668" s="227"/>
      <c r="V668" s="52" t="s">
        <v>250</v>
      </c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</row>
    <row r="669" ht="30.0" customHeight="1">
      <c r="A669" s="159"/>
      <c r="B669" s="218" t="s">
        <v>246</v>
      </c>
      <c r="C669" s="218" t="s">
        <v>1416</v>
      </c>
      <c r="D669" s="218" t="s">
        <v>521</v>
      </c>
      <c r="E669" s="219">
        <v>40230.0</v>
      </c>
      <c r="F669" s="220" t="s">
        <v>1605</v>
      </c>
      <c r="G669" s="221" t="s">
        <v>518</v>
      </c>
      <c r="H669" s="221" t="s">
        <v>1434</v>
      </c>
      <c r="I669" s="221" t="s">
        <v>1606</v>
      </c>
      <c r="J669" s="221" t="s">
        <v>1607</v>
      </c>
      <c r="K669" s="223">
        <v>1.0</v>
      </c>
      <c r="L669" s="223" t="b">
        <v>1</v>
      </c>
      <c r="M669" s="223" t="s">
        <v>1606</v>
      </c>
      <c r="N669" s="223">
        <v>20.551298</v>
      </c>
      <c r="O669" s="224" t="s">
        <v>238</v>
      </c>
      <c r="P669" s="225" t="s">
        <v>155</v>
      </c>
      <c r="Q669" s="225" t="s">
        <v>155</v>
      </c>
      <c r="R669" s="225" t="s">
        <v>155</v>
      </c>
      <c r="S669" s="225" t="s">
        <v>155</v>
      </c>
      <c r="T669" s="226"/>
      <c r="U669" s="227"/>
      <c r="V669" s="52" t="s">
        <v>250</v>
      </c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</row>
    <row r="670" ht="30.0" customHeight="1">
      <c r="A670" s="159"/>
      <c r="B670" s="218" t="s">
        <v>246</v>
      </c>
      <c r="C670" s="218" t="s">
        <v>1416</v>
      </c>
      <c r="D670" s="218" t="s">
        <v>521</v>
      </c>
      <c r="E670" s="219">
        <v>16310.0</v>
      </c>
      <c r="F670" s="220" t="s">
        <v>1608</v>
      </c>
      <c r="G670" s="221" t="s">
        <v>518</v>
      </c>
      <c r="H670" s="222"/>
      <c r="I670" s="221" t="s">
        <v>1482</v>
      </c>
      <c r="J670" s="222" t="s">
        <v>250</v>
      </c>
      <c r="K670" s="223">
        <v>2.0</v>
      </c>
      <c r="L670" s="223" t="b">
        <v>1</v>
      </c>
      <c r="M670" s="223" t="s">
        <v>1482</v>
      </c>
      <c r="N670" s="223">
        <v>26.455662</v>
      </c>
      <c r="O670" s="224" t="s">
        <v>238</v>
      </c>
      <c r="P670" s="225" t="s">
        <v>155</v>
      </c>
      <c r="Q670" s="225" t="s">
        <v>155</v>
      </c>
      <c r="R670" s="225" t="s">
        <v>155</v>
      </c>
      <c r="S670" s="225" t="s">
        <v>155</v>
      </c>
      <c r="T670" s="229" t="s">
        <v>554</v>
      </c>
      <c r="U670" s="227"/>
      <c r="V670" s="52" t="s">
        <v>250</v>
      </c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</row>
    <row r="671" ht="30.0" customHeight="1">
      <c r="A671" s="159"/>
      <c r="B671" s="218" t="s">
        <v>246</v>
      </c>
      <c r="C671" s="218" t="s">
        <v>1416</v>
      </c>
      <c r="D671" s="218" t="s">
        <v>521</v>
      </c>
      <c r="E671" s="219">
        <v>111082.0</v>
      </c>
      <c r="F671" s="220" t="s">
        <v>1609</v>
      </c>
      <c r="G671" s="221" t="s">
        <v>518</v>
      </c>
      <c r="H671" s="221" t="s">
        <v>1426</v>
      </c>
      <c r="I671" s="221" t="s">
        <v>857</v>
      </c>
      <c r="J671" s="222" t="s">
        <v>250</v>
      </c>
      <c r="K671" s="223">
        <v>1.0</v>
      </c>
      <c r="L671" s="223" t="b">
        <v>0</v>
      </c>
      <c r="M671" s="223" t="s">
        <v>42</v>
      </c>
      <c r="N671" s="223">
        <v>33.734</v>
      </c>
      <c r="O671" s="224"/>
      <c r="P671" s="225" t="s">
        <v>155</v>
      </c>
      <c r="Q671" s="225" t="s">
        <v>155</v>
      </c>
      <c r="R671" s="225" t="s">
        <v>155</v>
      </c>
      <c r="S671" s="225" t="s">
        <v>155</v>
      </c>
      <c r="T671" s="226"/>
      <c r="U671" s="227"/>
      <c r="V671" s="52" t="s">
        <v>250</v>
      </c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</row>
    <row r="672" ht="30.0" customHeight="1">
      <c r="A672" s="159"/>
      <c r="B672" s="218" t="s">
        <v>246</v>
      </c>
      <c r="C672" s="218" t="s">
        <v>1416</v>
      </c>
      <c r="D672" s="218" t="s">
        <v>521</v>
      </c>
      <c r="E672" s="219">
        <v>38071.0</v>
      </c>
      <c r="F672" s="220" t="s">
        <v>1610</v>
      </c>
      <c r="G672" s="221" t="s">
        <v>518</v>
      </c>
      <c r="H672" s="221" t="s">
        <v>1611</v>
      </c>
      <c r="I672" s="221" t="s">
        <v>389</v>
      </c>
      <c r="J672" s="221" t="s">
        <v>1510</v>
      </c>
      <c r="K672" s="223">
        <v>4.0</v>
      </c>
      <c r="L672" s="223" t="b">
        <v>0</v>
      </c>
      <c r="M672" s="223" t="s">
        <v>389</v>
      </c>
      <c r="N672" s="223">
        <v>14.707857</v>
      </c>
      <c r="O672" s="224"/>
      <c r="P672" s="225" t="s">
        <v>155</v>
      </c>
      <c r="Q672" s="225" t="s">
        <v>155</v>
      </c>
      <c r="R672" s="225" t="s">
        <v>155</v>
      </c>
      <c r="S672" s="225" t="s">
        <v>155</v>
      </c>
      <c r="T672" s="226"/>
      <c r="U672" s="227"/>
      <c r="V672" s="52" t="s">
        <v>250</v>
      </c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</row>
    <row r="673" ht="30.0" customHeight="1">
      <c r="A673" s="159"/>
      <c r="B673" s="218" t="s">
        <v>246</v>
      </c>
      <c r="C673" s="218" t="s">
        <v>1416</v>
      </c>
      <c r="D673" s="218" t="s">
        <v>521</v>
      </c>
      <c r="E673" s="219">
        <v>111706.0</v>
      </c>
      <c r="F673" s="220" t="s">
        <v>1612</v>
      </c>
      <c r="G673" s="221" t="s">
        <v>518</v>
      </c>
      <c r="H673" s="221" t="s">
        <v>1418</v>
      </c>
      <c r="I673" s="221" t="s">
        <v>1482</v>
      </c>
      <c r="J673" s="221" t="s">
        <v>727</v>
      </c>
      <c r="K673" s="223">
        <v>4.0</v>
      </c>
      <c r="L673" s="223" t="b">
        <v>0</v>
      </c>
      <c r="M673" s="228"/>
      <c r="N673" s="228"/>
      <c r="O673" s="224"/>
      <c r="P673" s="225" t="s">
        <v>155</v>
      </c>
      <c r="Q673" s="225" t="s">
        <v>155</v>
      </c>
      <c r="R673" s="225" t="s">
        <v>155</v>
      </c>
      <c r="S673" s="225" t="s">
        <v>155</v>
      </c>
      <c r="T673" s="226"/>
      <c r="U673" s="227"/>
      <c r="V673" s="52" t="s">
        <v>250</v>
      </c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</row>
    <row r="674" ht="30.0" customHeight="1">
      <c r="A674" s="209"/>
      <c r="B674" s="210" t="s">
        <v>1613</v>
      </c>
      <c r="C674" s="211"/>
      <c r="D674" s="211"/>
      <c r="E674" s="212"/>
      <c r="F674" s="213"/>
      <c r="G674" s="213"/>
      <c r="H674" s="213"/>
      <c r="I674" s="212"/>
      <c r="J674" s="212"/>
      <c r="K674" s="214"/>
      <c r="L674" s="214"/>
      <c r="M674" s="214"/>
      <c r="N674" s="214"/>
      <c r="O674" s="215"/>
      <c r="P674" s="216"/>
      <c r="Q674" s="216"/>
      <c r="R674" s="216"/>
      <c r="S674" s="216"/>
      <c r="T674" s="217"/>
      <c r="U674" s="217"/>
      <c r="V674" s="217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</row>
    <row r="675" ht="30.0" customHeight="1">
      <c r="A675" s="159"/>
      <c r="B675" s="218" t="s">
        <v>246</v>
      </c>
      <c r="C675" s="218" t="s">
        <v>1614</v>
      </c>
      <c r="D675" s="218" t="s">
        <v>1613</v>
      </c>
      <c r="E675" s="219">
        <v>16501.0</v>
      </c>
      <c r="F675" s="220" t="s">
        <v>1615</v>
      </c>
      <c r="G675" s="221" t="s">
        <v>518</v>
      </c>
      <c r="H675" s="221" t="s">
        <v>1616</v>
      </c>
      <c r="I675" s="221" t="s">
        <v>1617</v>
      </c>
      <c r="J675" s="222" t="s">
        <v>250</v>
      </c>
      <c r="K675" s="223">
        <v>3.0</v>
      </c>
      <c r="L675" s="223" t="b">
        <v>1</v>
      </c>
      <c r="M675" s="228"/>
      <c r="N675" s="228"/>
      <c r="O675" s="224" t="s">
        <v>238</v>
      </c>
      <c r="P675" s="225" t="s">
        <v>155</v>
      </c>
      <c r="Q675" s="225" t="s">
        <v>155</v>
      </c>
      <c r="R675" s="225" t="s">
        <v>155</v>
      </c>
      <c r="S675" s="225" t="s">
        <v>155</v>
      </c>
      <c r="T675" s="229" t="s">
        <v>550</v>
      </c>
      <c r="U675" s="227"/>
      <c r="V675" s="52" t="s">
        <v>250</v>
      </c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</row>
    <row r="676" ht="30.0" customHeight="1">
      <c r="A676" s="159"/>
      <c r="B676" s="218" t="s">
        <v>246</v>
      </c>
      <c r="C676" s="218" t="s">
        <v>1614</v>
      </c>
      <c r="D676" s="218" t="s">
        <v>1613</v>
      </c>
      <c r="E676" s="219">
        <v>12284.0</v>
      </c>
      <c r="F676" s="220" t="s">
        <v>1618</v>
      </c>
      <c r="G676" s="221" t="s">
        <v>518</v>
      </c>
      <c r="H676" s="222" t="s">
        <v>250</v>
      </c>
      <c r="I676" s="221" t="s">
        <v>1001</v>
      </c>
      <c r="J676" s="221" t="s">
        <v>356</v>
      </c>
      <c r="K676" s="223">
        <v>2.0</v>
      </c>
      <c r="L676" s="223" t="b">
        <v>0</v>
      </c>
      <c r="M676" s="223" t="s">
        <v>1001</v>
      </c>
      <c r="N676" s="223">
        <v>28.554827</v>
      </c>
      <c r="O676" s="224" t="s">
        <v>238</v>
      </c>
      <c r="P676" s="225" t="s">
        <v>155</v>
      </c>
      <c r="Q676" s="225" t="s">
        <v>155</v>
      </c>
      <c r="R676" s="225" t="s">
        <v>155</v>
      </c>
      <c r="S676" s="225" t="s">
        <v>155</v>
      </c>
      <c r="T676" s="229" t="s">
        <v>550</v>
      </c>
      <c r="U676" s="227"/>
      <c r="V676" s="109" t="s">
        <v>1619</v>
      </c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</row>
    <row r="677" ht="30.0" customHeight="1">
      <c r="A677" s="159"/>
      <c r="B677" s="218" t="s">
        <v>246</v>
      </c>
      <c r="C677" s="218" t="s">
        <v>1614</v>
      </c>
      <c r="D677" s="218" t="s">
        <v>1613</v>
      </c>
      <c r="E677" s="219">
        <v>100449.0</v>
      </c>
      <c r="F677" s="220" t="s">
        <v>1620</v>
      </c>
      <c r="G677" s="221" t="s">
        <v>518</v>
      </c>
      <c r="H677" s="222" t="s">
        <v>250</v>
      </c>
      <c r="I677" s="221" t="s">
        <v>42</v>
      </c>
      <c r="J677" s="222" t="s">
        <v>250</v>
      </c>
      <c r="K677" s="223">
        <v>4.0</v>
      </c>
      <c r="L677" s="223" t="b">
        <v>0</v>
      </c>
      <c r="M677" s="223" t="s">
        <v>42</v>
      </c>
      <c r="N677" s="223">
        <v>4.600111</v>
      </c>
      <c r="O677" s="224" t="s">
        <v>238</v>
      </c>
      <c r="P677" s="225" t="s">
        <v>155</v>
      </c>
      <c r="Q677" s="225" t="s">
        <v>155</v>
      </c>
      <c r="R677" s="225" t="s">
        <v>155</v>
      </c>
      <c r="S677" s="225" t="s">
        <v>155</v>
      </c>
      <c r="T677" s="226"/>
      <c r="U677" s="227"/>
      <c r="V677" s="52" t="s">
        <v>250</v>
      </c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</row>
    <row r="678" ht="30.0" customHeight="1">
      <c r="A678" s="159"/>
      <c r="B678" s="218" t="s">
        <v>246</v>
      </c>
      <c r="C678" s="218" t="s">
        <v>1614</v>
      </c>
      <c r="D678" s="218" t="s">
        <v>1613</v>
      </c>
      <c r="E678" s="219">
        <v>35667.0</v>
      </c>
      <c r="F678" s="220" t="s">
        <v>1621</v>
      </c>
      <c r="G678" s="221" t="s">
        <v>518</v>
      </c>
      <c r="H678" s="221" t="s">
        <v>1622</v>
      </c>
      <c r="I678" s="221" t="s">
        <v>1623</v>
      </c>
      <c r="J678" s="221" t="s">
        <v>819</v>
      </c>
      <c r="K678" s="223">
        <v>2.0</v>
      </c>
      <c r="L678" s="223" t="b">
        <v>1</v>
      </c>
      <c r="M678" s="223" t="s">
        <v>1623</v>
      </c>
      <c r="N678" s="223">
        <v>15.175</v>
      </c>
      <c r="O678" s="224"/>
      <c r="P678" s="225" t="s">
        <v>155</v>
      </c>
      <c r="Q678" s="225" t="s">
        <v>155</v>
      </c>
      <c r="R678" s="225" t="s">
        <v>155</v>
      </c>
      <c r="S678" s="225" t="s">
        <v>155</v>
      </c>
      <c r="T678" s="226"/>
      <c r="U678" s="227"/>
      <c r="V678" s="52" t="s">
        <v>250</v>
      </c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</row>
    <row r="679" ht="30.0" customHeight="1">
      <c r="A679" s="159"/>
      <c r="B679" s="218" t="s">
        <v>246</v>
      </c>
      <c r="C679" s="218" t="s">
        <v>1614</v>
      </c>
      <c r="D679" s="218" t="s">
        <v>1613</v>
      </c>
      <c r="E679" s="219">
        <v>112138.0</v>
      </c>
      <c r="F679" s="220" t="s">
        <v>1624</v>
      </c>
      <c r="G679" s="221" t="s">
        <v>369</v>
      </c>
      <c r="H679" s="221" t="s">
        <v>594</v>
      </c>
      <c r="I679" s="221" t="s">
        <v>65</v>
      </c>
      <c r="J679" s="221" t="s">
        <v>390</v>
      </c>
      <c r="K679" s="223">
        <v>2.0</v>
      </c>
      <c r="L679" s="223" t="b">
        <v>1</v>
      </c>
      <c r="M679" s="223" t="s">
        <v>65</v>
      </c>
      <c r="N679" s="223">
        <v>0.2012</v>
      </c>
      <c r="O679" s="224"/>
      <c r="P679" s="225" t="s">
        <v>155</v>
      </c>
      <c r="Q679" s="225" t="s">
        <v>155</v>
      </c>
      <c r="R679" s="225" t="s">
        <v>155</v>
      </c>
      <c r="S679" s="225" t="s">
        <v>155</v>
      </c>
      <c r="T679" s="226"/>
      <c r="U679" s="227"/>
      <c r="V679" s="52" t="s">
        <v>250</v>
      </c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</row>
    <row r="680" ht="30.0" customHeight="1">
      <c r="A680" s="159"/>
      <c r="B680" s="218" t="s">
        <v>246</v>
      </c>
      <c r="C680" s="218" t="s">
        <v>1614</v>
      </c>
      <c r="D680" s="218" t="s">
        <v>1613</v>
      </c>
      <c r="E680" s="219">
        <v>112137.0</v>
      </c>
      <c r="F680" s="220" t="s">
        <v>1625</v>
      </c>
      <c r="G680" s="221" t="s">
        <v>518</v>
      </c>
      <c r="H680" s="221" t="s">
        <v>594</v>
      </c>
      <c r="I680" s="221" t="s">
        <v>1256</v>
      </c>
      <c r="J680" s="221" t="s">
        <v>390</v>
      </c>
      <c r="K680" s="223">
        <v>2.0</v>
      </c>
      <c r="L680" s="223" t="b">
        <v>1</v>
      </c>
      <c r="M680" s="223" t="s">
        <v>1626</v>
      </c>
      <c r="N680" s="223">
        <v>21.455</v>
      </c>
      <c r="O680" s="224"/>
      <c r="P680" s="225" t="s">
        <v>155</v>
      </c>
      <c r="Q680" s="225" t="s">
        <v>155</v>
      </c>
      <c r="R680" s="225" t="s">
        <v>155</v>
      </c>
      <c r="S680" s="225" t="s">
        <v>155</v>
      </c>
      <c r="T680" s="226"/>
      <c r="U680" s="227"/>
      <c r="V680" s="52" t="s">
        <v>250</v>
      </c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</row>
    <row r="681" ht="30.0" customHeight="1">
      <c r="A681" s="159"/>
      <c r="B681" s="218" t="s">
        <v>246</v>
      </c>
      <c r="C681" s="218" t="s">
        <v>1614</v>
      </c>
      <c r="D681" s="218" t="s">
        <v>1613</v>
      </c>
      <c r="E681" s="219">
        <v>109681.0</v>
      </c>
      <c r="F681" s="220" t="s">
        <v>1627</v>
      </c>
      <c r="G681" s="221" t="s">
        <v>518</v>
      </c>
      <c r="H681" s="221" t="s">
        <v>1628</v>
      </c>
      <c r="I681" s="221" t="s">
        <v>1629</v>
      </c>
      <c r="J681" s="222" t="s">
        <v>250</v>
      </c>
      <c r="K681" s="223">
        <v>2.0</v>
      </c>
      <c r="L681" s="223" t="b">
        <v>1</v>
      </c>
      <c r="M681" s="223" t="s">
        <v>1630</v>
      </c>
      <c r="N681" s="223">
        <v>10.647894</v>
      </c>
      <c r="O681" s="224"/>
      <c r="P681" s="225" t="s">
        <v>155</v>
      </c>
      <c r="Q681" s="225" t="s">
        <v>155</v>
      </c>
      <c r="R681" s="225" t="s">
        <v>155</v>
      </c>
      <c r="S681" s="225" t="s">
        <v>155</v>
      </c>
      <c r="T681" s="226"/>
      <c r="U681" s="227"/>
      <c r="V681" s="52" t="s">
        <v>250</v>
      </c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</row>
    <row r="682" ht="30.0" customHeight="1">
      <c r="A682" s="159"/>
      <c r="B682" s="218" t="s">
        <v>246</v>
      </c>
      <c r="C682" s="218" t="s">
        <v>1614</v>
      </c>
      <c r="D682" s="218" t="s">
        <v>1613</v>
      </c>
      <c r="E682" s="219">
        <v>16343.0</v>
      </c>
      <c r="F682" s="220" t="s">
        <v>1631</v>
      </c>
      <c r="G682" s="221" t="s">
        <v>518</v>
      </c>
      <c r="H682" s="221" t="s">
        <v>1632</v>
      </c>
      <c r="I682" s="221" t="s">
        <v>1256</v>
      </c>
      <c r="J682" s="222" t="s">
        <v>250</v>
      </c>
      <c r="K682" s="223">
        <v>3.0</v>
      </c>
      <c r="L682" s="223" t="b">
        <v>1</v>
      </c>
      <c r="M682" s="223" t="s">
        <v>1256</v>
      </c>
      <c r="N682" s="223">
        <v>55.280468</v>
      </c>
      <c r="O682" s="224" t="s">
        <v>238</v>
      </c>
      <c r="P682" s="225" t="s">
        <v>155</v>
      </c>
      <c r="Q682" s="225" t="s">
        <v>155</v>
      </c>
      <c r="R682" s="225" t="s">
        <v>155</v>
      </c>
      <c r="S682" s="225" t="s">
        <v>155</v>
      </c>
      <c r="T682" s="229" t="s">
        <v>550</v>
      </c>
      <c r="U682" s="227"/>
      <c r="V682" s="109" t="s">
        <v>1633</v>
      </c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</row>
    <row r="683" ht="30.0" customHeight="1">
      <c r="A683" s="159"/>
      <c r="B683" s="218" t="s">
        <v>246</v>
      </c>
      <c r="C683" s="218" t="s">
        <v>1614</v>
      </c>
      <c r="D683" s="218" t="s">
        <v>1613</v>
      </c>
      <c r="E683" s="219">
        <v>16518.0</v>
      </c>
      <c r="F683" s="220" t="s">
        <v>1634</v>
      </c>
      <c r="G683" s="221" t="s">
        <v>518</v>
      </c>
      <c r="H683" s="221" t="s">
        <v>1166</v>
      </c>
      <c r="I683" s="221" t="s">
        <v>1256</v>
      </c>
      <c r="J683" s="222" t="s">
        <v>250</v>
      </c>
      <c r="K683" s="223">
        <v>2.0</v>
      </c>
      <c r="L683" s="223" t="b">
        <v>1</v>
      </c>
      <c r="M683" s="223" t="s">
        <v>1256</v>
      </c>
      <c r="N683" s="223">
        <v>49.310609</v>
      </c>
      <c r="O683" s="224" t="s">
        <v>238</v>
      </c>
      <c r="P683" s="225" t="s">
        <v>155</v>
      </c>
      <c r="Q683" s="225" t="s">
        <v>155</v>
      </c>
      <c r="R683" s="225" t="s">
        <v>155</v>
      </c>
      <c r="S683" s="225" t="s">
        <v>155</v>
      </c>
      <c r="T683" s="229" t="s">
        <v>550</v>
      </c>
      <c r="U683" s="227"/>
      <c r="V683" s="109" t="s">
        <v>1635</v>
      </c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</row>
    <row r="684" ht="30.0" customHeight="1">
      <c r="A684" s="159"/>
      <c r="B684" s="218" t="s">
        <v>246</v>
      </c>
      <c r="C684" s="218" t="s">
        <v>1614</v>
      </c>
      <c r="D684" s="218" t="s">
        <v>1613</v>
      </c>
      <c r="E684" s="219">
        <v>16167.0</v>
      </c>
      <c r="F684" s="220" t="s">
        <v>1636</v>
      </c>
      <c r="G684" s="221" t="s">
        <v>518</v>
      </c>
      <c r="H684" s="221" t="s">
        <v>1637</v>
      </c>
      <c r="I684" s="221" t="s">
        <v>1638</v>
      </c>
      <c r="J684" s="222" t="s">
        <v>250</v>
      </c>
      <c r="K684" s="223">
        <v>3.0</v>
      </c>
      <c r="L684" s="223" t="b">
        <v>1</v>
      </c>
      <c r="M684" s="223" t="s">
        <v>1638</v>
      </c>
      <c r="N684" s="223">
        <v>67.53032</v>
      </c>
      <c r="O684" s="224" t="s">
        <v>238</v>
      </c>
      <c r="P684" s="225" t="s">
        <v>155</v>
      </c>
      <c r="Q684" s="225" t="s">
        <v>155</v>
      </c>
      <c r="R684" s="225" t="s">
        <v>155</v>
      </c>
      <c r="S684" s="225" t="s">
        <v>155</v>
      </c>
      <c r="T684" s="229" t="s">
        <v>550</v>
      </c>
      <c r="U684" s="227"/>
      <c r="V684" s="52" t="s">
        <v>250</v>
      </c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</row>
    <row r="685" ht="30.0" customHeight="1">
      <c r="A685" s="159"/>
      <c r="B685" s="218" t="s">
        <v>246</v>
      </c>
      <c r="C685" s="218" t="s">
        <v>1614</v>
      </c>
      <c r="D685" s="218" t="s">
        <v>1613</v>
      </c>
      <c r="E685" s="219">
        <v>111106.0</v>
      </c>
      <c r="F685" s="220" t="s">
        <v>1639</v>
      </c>
      <c r="G685" s="221" t="s">
        <v>518</v>
      </c>
      <c r="H685" s="221" t="s">
        <v>1640</v>
      </c>
      <c r="I685" s="221" t="s">
        <v>1641</v>
      </c>
      <c r="J685" s="221" t="s">
        <v>356</v>
      </c>
      <c r="K685" s="223">
        <v>1.0</v>
      </c>
      <c r="L685" s="223" t="b">
        <v>1</v>
      </c>
      <c r="M685" s="223" t="s">
        <v>42</v>
      </c>
      <c r="N685" s="223">
        <v>1.1932</v>
      </c>
      <c r="O685" s="224"/>
      <c r="P685" s="225" t="s">
        <v>155</v>
      </c>
      <c r="Q685" s="225" t="s">
        <v>155</v>
      </c>
      <c r="R685" s="225" t="s">
        <v>155</v>
      </c>
      <c r="S685" s="225" t="s">
        <v>155</v>
      </c>
      <c r="T685" s="226"/>
      <c r="U685" s="227"/>
      <c r="V685" s="52" t="s">
        <v>250</v>
      </c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</row>
    <row r="686" ht="30.0" customHeight="1">
      <c r="A686" s="159"/>
      <c r="B686" s="218" t="s">
        <v>246</v>
      </c>
      <c r="C686" s="218" t="s">
        <v>1614</v>
      </c>
      <c r="D686" s="218" t="s">
        <v>1613</v>
      </c>
      <c r="E686" s="219">
        <v>16535.0</v>
      </c>
      <c r="F686" s="220" t="s">
        <v>1642</v>
      </c>
      <c r="G686" s="221" t="s">
        <v>518</v>
      </c>
      <c r="H686" s="221" t="s">
        <v>1643</v>
      </c>
      <c r="I686" s="221" t="s">
        <v>1644</v>
      </c>
      <c r="J686" s="221" t="s">
        <v>426</v>
      </c>
      <c r="K686" s="223">
        <v>4.0</v>
      </c>
      <c r="L686" s="223" t="b">
        <v>1</v>
      </c>
      <c r="M686" s="223" t="s">
        <v>1644</v>
      </c>
      <c r="N686" s="223">
        <v>43.811603</v>
      </c>
      <c r="O686" s="224" t="s">
        <v>238</v>
      </c>
      <c r="P686" s="225" t="s">
        <v>155</v>
      </c>
      <c r="Q686" s="225" t="s">
        <v>155</v>
      </c>
      <c r="R686" s="225" t="s">
        <v>155</v>
      </c>
      <c r="S686" s="225" t="s">
        <v>155</v>
      </c>
      <c r="T686" s="229" t="s">
        <v>550</v>
      </c>
      <c r="U686" s="227"/>
      <c r="V686" s="109" t="s">
        <v>1645</v>
      </c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</row>
    <row r="687" ht="30.0" customHeight="1">
      <c r="A687" s="159"/>
      <c r="B687" s="218" t="s">
        <v>246</v>
      </c>
      <c r="C687" s="218" t="s">
        <v>1614</v>
      </c>
      <c r="D687" s="218" t="s">
        <v>1613</v>
      </c>
      <c r="E687" s="219">
        <v>105726.0</v>
      </c>
      <c r="F687" s="220" t="s">
        <v>1646</v>
      </c>
      <c r="G687" s="221" t="s">
        <v>518</v>
      </c>
      <c r="H687" s="222" t="s">
        <v>250</v>
      </c>
      <c r="I687" s="221" t="s">
        <v>691</v>
      </c>
      <c r="J687" s="221" t="s">
        <v>1647</v>
      </c>
      <c r="K687" s="223">
        <v>4.0</v>
      </c>
      <c r="L687" s="223" t="b">
        <v>1</v>
      </c>
      <c r="M687" s="223" t="s">
        <v>691</v>
      </c>
      <c r="N687" s="223">
        <v>52.638606</v>
      </c>
      <c r="O687" s="224" t="s">
        <v>238</v>
      </c>
      <c r="P687" s="225" t="s">
        <v>155</v>
      </c>
      <c r="Q687" s="225" t="s">
        <v>155</v>
      </c>
      <c r="R687" s="225" t="s">
        <v>155</v>
      </c>
      <c r="S687" s="225" t="s">
        <v>155</v>
      </c>
      <c r="T687" s="226"/>
      <c r="U687" s="227"/>
      <c r="V687" s="109" t="s">
        <v>1648</v>
      </c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</row>
    <row r="688" ht="30.0" customHeight="1">
      <c r="A688" s="159"/>
      <c r="B688" s="218" t="s">
        <v>246</v>
      </c>
      <c r="C688" s="218" t="s">
        <v>1614</v>
      </c>
      <c r="D688" s="218" t="s">
        <v>1613</v>
      </c>
      <c r="E688" s="219">
        <v>109680.0</v>
      </c>
      <c r="F688" s="220" t="s">
        <v>1649</v>
      </c>
      <c r="G688" s="221" t="s">
        <v>518</v>
      </c>
      <c r="H688" s="221" t="s">
        <v>1650</v>
      </c>
      <c r="I688" s="221" t="s">
        <v>1651</v>
      </c>
      <c r="J688" s="222" t="s">
        <v>250</v>
      </c>
      <c r="K688" s="223">
        <v>2.0</v>
      </c>
      <c r="L688" s="223" t="b">
        <v>1</v>
      </c>
      <c r="M688" s="223" t="s">
        <v>1651</v>
      </c>
      <c r="N688" s="223">
        <v>122.279523</v>
      </c>
      <c r="O688" s="224" t="s">
        <v>238</v>
      </c>
      <c r="P688" s="225" t="s">
        <v>155</v>
      </c>
      <c r="Q688" s="225" t="s">
        <v>155</v>
      </c>
      <c r="R688" s="225" t="s">
        <v>155</v>
      </c>
      <c r="S688" s="225" t="s">
        <v>155</v>
      </c>
      <c r="T688" s="229" t="s">
        <v>550</v>
      </c>
      <c r="U688" s="227"/>
      <c r="V688" s="52" t="s">
        <v>250</v>
      </c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</row>
    <row r="689" ht="30.0" customHeight="1">
      <c r="A689" s="159"/>
      <c r="B689" s="218" t="s">
        <v>246</v>
      </c>
      <c r="C689" s="218" t="s">
        <v>1614</v>
      </c>
      <c r="D689" s="218" t="s">
        <v>1613</v>
      </c>
      <c r="E689" s="219">
        <v>111972.0</v>
      </c>
      <c r="F689" s="220" t="s">
        <v>1652</v>
      </c>
      <c r="G689" s="221" t="s">
        <v>518</v>
      </c>
      <c r="H689" s="221" t="s">
        <v>1420</v>
      </c>
      <c r="I689" s="221" t="s">
        <v>42</v>
      </c>
      <c r="J689" s="222" t="s">
        <v>250</v>
      </c>
      <c r="K689" s="223">
        <v>2.0</v>
      </c>
      <c r="L689" s="223" t="b">
        <v>1</v>
      </c>
      <c r="M689" s="223" t="s">
        <v>42</v>
      </c>
      <c r="N689" s="223">
        <v>12.126666</v>
      </c>
      <c r="O689" s="224"/>
      <c r="P689" s="225" t="s">
        <v>155</v>
      </c>
      <c r="Q689" s="225" t="s">
        <v>155</v>
      </c>
      <c r="R689" s="225" t="s">
        <v>155</v>
      </c>
      <c r="S689" s="225" t="s">
        <v>155</v>
      </c>
      <c r="T689" s="226"/>
      <c r="U689" s="227"/>
      <c r="V689" s="52" t="s">
        <v>250</v>
      </c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</row>
    <row r="690" ht="30.0" customHeight="1">
      <c r="A690" s="159"/>
      <c r="B690" s="218" t="s">
        <v>246</v>
      </c>
      <c r="C690" s="218" t="s">
        <v>1614</v>
      </c>
      <c r="D690" s="218" t="s">
        <v>1613</v>
      </c>
      <c r="E690" s="219">
        <v>16316.0</v>
      </c>
      <c r="F690" s="220" t="s">
        <v>1653</v>
      </c>
      <c r="G690" s="221" t="s">
        <v>518</v>
      </c>
      <c r="H690" s="221" t="s">
        <v>1654</v>
      </c>
      <c r="I690" s="221" t="s">
        <v>1001</v>
      </c>
      <c r="J690" s="222" t="s">
        <v>250</v>
      </c>
      <c r="K690" s="223">
        <v>3.0</v>
      </c>
      <c r="L690" s="223" t="b">
        <v>0</v>
      </c>
      <c r="M690" s="223" t="s">
        <v>1001</v>
      </c>
      <c r="N690" s="223">
        <v>80.686</v>
      </c>
      <c r="O690" s="224"/>
      <c r="P690" s="225" t="s">
        <v>155</v>
      </c>
      <c r="Q690" s="225" t="s">
        <v>155</v>
      </c>
      <c r="R690" s="225" t="s">
        <v>155</v>
      </c>
      <c r="S690" s="225" t="s">
        <v>155</v>
      </c>
      <c r="T690" s="226"/>
      <c r="U690" s="227"/>
      <c r="V690" s="52" t="s">
        <v>250</v>
      </c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</row>
    <row r="691" ht="30.0" customHeight="1">
      <c r="A691" s="159"/>
      <c r="B691" s="218" t="s">
        <v>246</v>
      </c>
      <c r="C691" s="218" t="s">
        <v>1614</v>
      </c>
      <c r="D691" s="218" t="s">
        <v>1613</v>
      </c>
      <c r="E691" s="219">
        <v>111990.0</v>
      </c>
      <c r="F691" s="220" t="s">
        <v>1655</v>
      </c>
      <c r="G691" s="221" t="s">
        <v>518</v>
      </c>
      <c r="H691" s="221" t="s">
        <v>1628</v>
      </c>
      <c r="I691" s="221" t="s">
        <v>42</v>
      </c>
      <c r="J691" s="222" t="s">
        <v>250</v>
      </c>
      <c r="K691" s="223">
        <v>0.0</v>
      </c>
      <c r="L691" s="223" t="b">
        <v>0</v>
      </c>
      <c r="M691" s="228"/>
      <c r="N691" s="228"/>
      <c r="O691" s="224"/>
      <c r="P691" s="225" t="s">
        <v>155</v>
      </c>
      <c r="Q691" s="225" t="s">
        <v>155</v>
      </c>
      <c r="R691" s="225" t="s">
        <v>155</v>
      </c>
      <c r="S691" s="225" t="s">
        <v>155</v>
      </c>
      <c r="T691" s="226"/>
      <c r="U691" s="227"/>
      <c r="V691" s="52" t="s">
        <v>250</v>
      </c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</row>
    <row r="692" ht="30.0" customHeight="1">
      <c r="A692" s="159"/>
      <c r="B692" s="218" t="s">
        <v>246</v>
      </c>
      <c r="C692" s="218" t="s">
        <v>1614</v>
      </c>
      <c r="D692" s="218" t="s">
        <v>1613</v>
      </c>
      <c r="E692" s="219">
        <v>16345.0</v>
      </c>
      <c r="F692" s="220" t="s">
        <v>1656</v>
      </c>
      <c r="G692" s="221" t="s">
        <v>518</v>
      </c>
      <c r="H692" s="221" t="s">
        <v>1657</v>
      </c>
      <c r="I692" s="221" t="s">
        <v>1651</v>
      </c>
      <c r="J692" s="222" t="s">
        <v>250</v>
      </c>
      <c r="K692" s="223">
        <v>3.0</v>
      </c>
      <c r="L692" s="223" t="b">
        <v>1</v>
      </c>
      <c r="M692" s="223" t="s">
        <v>1651</v>
      </c>
      <c r="N692" s="223">
        <v>36.438333</v>
      </c>
      <c r="O692" s="224" t="s">
        <v>238</v>
      </c>
      <c r="P692" s="225" t="s">
        <v>155</v>
      </c>
      <c r="Q692" s="225" t="s">
        <v>155</v>
      </c>
      <c r="R692" s="225" t="s">
        <v>155</v>
      </c>
      <c r="S692" s="225" t="s">
        <v>155</v>
      </c>
      <c r="T692" s="229" t="s">
        <v>550</v>
      </c>
      <c r="U692" s="227"/>
      <c r="V692" s="109" t="s">
        <v>1658</v>
      </c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</row>
    <row r="693" ht="30.0" customHeight="1">
      <c r="A693" s="159"/>
      <c r="B693" s="218" t="s">
        <v>246</v>
      </c>
      <c r="C693" s="218" t="s">
        <v>1614</v>
      </c>
      <c r="D693" s="218" t="s">
        <v>1613</v>
      </c>
      <c r="E693" s="219">
        <v>112699.0</v>
      </c>
      <c r="F693" s="220" t="s">
        <v>1659</v>
      </c>
      <c r="G693" s="221" t="s">
        <v>518</v>
      </c>
      <c r="H693" s="221" t="s">
        <v>1660</v>
      </c>
      <c r="I693" s="221" t="s">
        <v>1582</v>
      </c>
      <c r="J693" s="222" t="s">
        <v>250</v>
      </c>
      <c r="K693" s="223">
        <v>1.0</v>
      </c>
      <c r="L693" s="223" t="b">
        <v>0</v>
      </c>
      <c r="M693" s="223" t="s">
        <v>42</v>
      </c>
      <c r="N693" s="223">
        <v>1.1</v>
      </c>
      <c r="O693" s="224"/>
      <c r="P693" s="225" t="s">
        <v>155</v>
      </c>
      <c r="Q693" s="225" t="s">
        <v>155</v>
      </c>
      <c r="R693" s="225" t="s">
        <v>155</v>
      </c>
      <c r="S693" s="225" t="s">
        <v>155</v>
      </c>
      <c r="T693" s="226"/>
      <c r="U693" s="227"/>
      <c r="V693" s="52" t="s">
        <v>250</v>
      </c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</row>
    <row r="694" ht="30.0" customHeight="1">
      <c r="A694" s="159"/>
      <c r="B694" s="218" t="s">
        <v>246</v>
      </c>
      <c r="C694" s="218" t="s">
        <v>1614</v>
      </c>
      <c r="D694" s="218" t="s">
        <v>1613</v>
      </c>
      <c r="E694" s="219">
        <v>106293.0</v>
      </c>
      <c r="F694" s="220" t="s">
        <v>1661</v>
      </c>
      <c r="G694" s="221" t="s">
        <v>518</v>
      </c>
      <c r="H694" s="221" t="s">
        <v>863</v>
      </c>
      <c r="I694" s="221" t="s">
        <v>65</v>
      </c>
      <c r="J694" s="221" t="s">
        <v>1161</v>
      </c>
      <c r="K694" s="223">
        <v>2.0</v>
      </c>
      <c r="L694" s="223" t="b">
        <v>1</v>
      </c>
      <c r="M694" s="223" t="s">
        <v>65</v>
      </c>
      <c r="N694" s="223">
        <v>0.049117</v>
      </c>
      <c r="O694" s="224"/>
      <c r="P694" s="225" t="s">
        <v>155</v>
      </c>
      <c r="Q694" s="225" t="s">
        <v>155</v>
      </c>
      <c r="R694" s="225" t="s">
        <v>155</v>
      </c>
      <c r="S694" s="225" t="s">
        <v>155</v>
      </c>
      <c r="T694" s="226"/>
      <c r="U694" s="227"/>
      <c r="V694" s="52" t="s">
        <v>250</v>
      </c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</row>
    <row r="695" ht="30.0" customHeight="1">
      <c r="A695" s="159"/>
      <c r="B695" s="218" t="s">
        <v>246</v>
      </c>
      <c r="C695" s="218" t="s">
        <v>1614</v>
      </c>
      <c r="D695" s="218" t="s">
        <v>1613</v>
      </c>
      <c r="E695" s="219">
        <v>105727.0</v>
      </c>
      <c r="F695" s="220" t="s">
        <v>1662</v>
      </c>
      <c r="G695" s="221" t="s">
        <v>518</v>
      </c>
      <c r="H695" s="222" t="s">
        <v>250</v>
      </c>
      <c r="I695" s="221" t="s">
        <v>691</v>
      </c>
      <c r="J695" s="221" t="s">
        <v>356</v>
      </c>
      <c r="K695" s="223">
        <v>3.0</v>
      </c>
      <c r="L695" s="223" t="b">
        <v>1</v>
      </c>
      <c r="M695" s="223" t="s">
        <v>691</v>
      </c>
      <c r="N695" s="223">
        <v>56.771145</v>
      </c>
      <c r="O695" s="224" t="s">
        <v>238</v>
      </c>
      <c r="P695" s="225" t="s">
        <v>155</v>
      </c>
      <c r="Q695" s="225" t="s">
        <v>155</v>
      </c>
      <c r="R695" s="225" t="s">
        <v>155</v>
      </c>
      <c r="S695" s="225" t="s">
        <v>155</v>
      </c>
      <c r="T695" s="226"/>
      <c r="U695" s="227"/>
      <c r="V695" s="109" t="s">
        <v>1663</v>
      </c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</row>
    <row r="696" ht="30.0" customHeight="1">
      <c r="A696" s="159"/>
      <c r="B696" s="218" t="s">
        <v>246</v>
      </c>
      <c r="C696" s="218" t="s">
        <v>1614</v>
      </c>
      <c r="D696" s="218" t="s">
        <v>1613</v>
      </c>
      <c r="E696" s="219">
        <v>112190.0</v>
      </c>
      <c r="F696" s="220" t="s">
        <v>1664</v>
      </c>
      <c r="G696" s="221" t="s">
        <v>369</v>
      </c>
      <c r="H696" s="221" t="s">
        <v>1361</v>
      </c>
      <c r="I696" s="221" t="s">
        <v>1665</v>
      </c>
      <c r="J696" s="221" t="s">
        <v>364</v>
      </c>
      <c r="K696" s="223">
        <v>2.0</v>
      </c>
      <c r="L696" s="223" t="b">
        <v>0</v>
      </c>
      <c r="M696" s="223" t="s">
        <v>1665</v>
      </c>
      <c r="N696" s="223">
        <v>277.8675</v>
      </c>
      <c r="O696" s="224"/>
      <c r="P696" s="225" t="s">
        <v>155</v>
      </c>
      <c r="Q696" s="225" t="s">
        <v>155</v>
      </c>
      <c r="R696" s="225" t="s">
        <v>155</v>
      </c>
      <c r="S696" s="225" t="s">
        <v>155</v>
      </c>
      <c r="T696" s="226"/>
      <c r="U696" s="227"/>
      <c r="V696" s="52" t="s">
        <v>250</v>
      </c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</row>
    <row r="697" ht="30.0" customHeight="1">
      <c r="A697" s="159"/>
      <c r="B697" s="218" t="s">
        <v>246</v>
      </c>
      <c r="C697" s="218" t="s">
        <v>1614</v>
      </c>
      <c r="D697" s="218" t="s">
        <v>1613</v>
      </c>
      <c r="E697" s="219">
        <v>112195.0</v>
      </c>
      <c r="F697" s="220" t="s">
        <v>1666</v>
      </c>
      <c r="G697" s="221" t="s">
        <v>369</v>
      </c>
      <c r="H697" s="221" t="s">
        <v>1361</v>
      </c>
      <c r="I697" s="221" t="s">
        <v>1667</v>
      </c>
      <c r="J697" s="222" t="s">
        <v>250</v>
      </c>
      <c r="K697" s="223">
        <v>1.0</v>
      </c>
      <c r="L697" s="223" t="b">
        <v>0</v>
      </c>
      <c r="M697" s="223" t="s">
        <v>1668</v>
      </c>
      <c r="N697" s="223">
        <v>17.905555</v>
      </c>
      <c r="O697" s="224"/>
      <c r="P697" s="225" t="s">
        <v>155</v>
      </c>
      <c r="Q697" s="225" t="s">
        <v>155</v>
      </c>
      <c r="R697" s="225" t="s">
        <v>155</v>
      </c>
      <c r="S697" s="225" t="s">
        <v>155</v>
      </c>
      <c r="T697" s="226"/>
      <c r="U697" s="227"/>
      <c r="V697" s="52" t="s">
        <v>250</v>
      </c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</row>
    <row r="698" ht="30.0" customHeight="1">
      <c r="A698" s="159"/>
      <c r="B698" s="218" t="s">
        <v>246</v>
      </c>
      <c r="C698" s="218" t="s">
        <v>1614</v>
      </c>
      <c r="D698" s="218" t="s">
        <v>1613</v>
      </c>
      <c r="E698" s="219">
        <v>16409.0</v>
      </c>
      <c r="F698" s="220" t="s">
        <v>1669</v>
      </c>
      <c r="G698" s="221" t="s">
        <v>518</v>
      </c>
      <c r="H698" s="221" t="s">
        <v>1670</v>
      </c>
      <c r="I698" s="221" t="s">
        <v>1671</v>
      </c>
      <c r="J698" s="221" t="s">
        <v>1161</v>
      </c>
      <c r="K698" s="223">
        <v>2.0</v>
      </c>
      <c r="L698" s="223" t="b">
        <v>1</v>
      </c>
      <c r="M698" s="223" t="s">
        <v>1671</v>
      </c>
      <c r="N698" s="223">
        <v>30.440367</v>
      </c>
      <c r="O698" s="224" t="s">
        <v>238</v>
      </c>
      <c r="P698" s="225" t="s">
        <v>155</v>
      </c>
      <c r="Q698" s="225" t="s">
        <v>155</v>
      </c>
      <c r="R698" s="225" t="s">
        <v>155</v>
      </c>
      <c r="S698" s="225" t="s">
        <v>155</v>
      </c>
      <c r="T698" s="229" t="s">
        <v>550</v>
      </c>
      <c r="U698" s="227"/>
      <c r="V698" s="109" t="s">
        <v>1672</v>
      </c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</row>
    <row r="699" ht="30.0" customHeight="1">
      <c r="A699" s="159"/>
      <c r="B699" s="218" t="s">
        <v>246</v>
      </c>
      <c r="C699" s="218" t="s">
        <v>1614</v>
      </c>
      <c r="D699" s="218" t="s">
        <v>1613</v>
      </c>
      <c r="E699" s="219">
        <v>16357.0</v>
      </c>
      <c r="F699" s="220" t="s">
        <v>1673</v>
      </c>
      <c r="G699" s="221" t="s">
        <v>518</v>
      </c>
      <c r="H699" s="221" t="s">
        <v>1674</v>
      </c>
      <c r="I699" s="221" t="s">
        <v>1675</v>
      </c>
      <c r="J699" s="222" t="s">
        <v>250</v>
      </c>
      <c r="K699" s="223">
        <v>4.0</v>
      </c>
      <c r="L699" s="223" t="b">
        <v>1</v>
      </c>
      <c r="M699" s="223" t="s">
        <v>1675</v>
      </c>
      <c r="N699" s="223">
        <v>50.717815</v>
      </c>
      <c r="O699" s="224" t="s">
        <v>238</v>
      </c>
      <c r="P699" s="225" t="s">
        <v>155</v>
      </c>
      <c r="Q699" s="225" t="s">
        <v>155</v>
      </c>
      <c r="R699" s="225" t="s">
        <v>155</v>
      </c>
      <c r="S699" s="225" t="s">
        <v>155</v>
      </c>
      <c r="T699" s="229" t="s">
        <v>550</v>
      </c>
      <c r="U699" s="227"/>
      <c r="V699" s="52" t="s">
        <v>250</v>
      </c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</row>
    <row r="700" ht="30.0" customHeight="1">
      <c r="A700" s="159"/>
      <c r="B700" s="218" t="s">
        <v>246</v>
      </c>
      <c r="C700" s="218" t="s">
        <v>1614</v>
      </c>
      <c r="D700" s="218" t="s">
        <v>1613</v>
      </c>
      <c r="E700" s="219">
        <v>16354.0</v>
      </c>
      <c r="F700" s="220" t="s">
        <v>1676</v>
      </c>
      <c r="G700" s="221" t="s">
        <v>518</v>
      </c>
      <c r="H700" s="221" t="s">
        <v>1150</v>
      </c>
      <c r="I700" s="221" t="s">
        <v>1001</v>
      </c>
      <c r="J700" s="221" t="s">
        <v>420</v>
      </c>
      <c r="K700" s="223">
        <v>2.0</v>
      </c>
      <c r="L700" s="223" t="b">
        <v>1</v>
      </c>
      <c r="M700" s="223" t="s">
        <v>1001</v>
      </c>
      <c r="N700" s="223">
        <v>28.095071</v>
      </c>
      <c r="O700" s="224" t="s">
        <v>238</v>
      </c>
      <c r="P700" s="225" t="s">
        <v>155</v>
      </c>
      <c r="Q700" s="225" t="s">
        <v>155</v>
      </c>
      <c r="R700" s="225" t="s">
        <v>155</v>
      </c>
      <c r="S700" s="225" t="s">
        <v>155</v>
      </c>
      <c r="T700" s="226"/>
      <c r="U700" s="227"/>
      <c r="V700" s="109" t="s">
        <v>1677</v>
      </c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</row>
    <row r="701" ht="30.0" customHeight="1">
      <c r="A701" s="159"/>
      <c r="B701" s="218" t="s">
        <v>246</v>
      </c>
      <c r="C701" s="218" t="s">
        <v>1614</v>
      </c>
      <c r="D701" s="218" t="s">
        <v>1613</v>
      </c>
      <c r="E701" s="219">
        <v>51001.0</v>
      </c>
      <c r="F701" s="220" t="s">
        <v>1678</v>
      </c>
      <c r="G701" s="221" t="s">
        <v>518</v>
      </c>
      <c r="H701" s="221" t="s">
        <v>1679</v>
      </c>
      <c r="I701" s="221" t="s">
        <v>542</v>
      </c>
      <c r="J701" s="222" t="s">
        <v>250</v>
      </c>
      <c r="K701" s="223">
        <v>4.0</v>
      </c>
      <c r="L701" s="223" t="b">
        <v>1</v>
      </c>
      <c r="M701" s="223" t="s">
        <v>542</v>
      </c>
      <c r="N701" s="223">
        <v>36.911531</v>
      </c>
      <c r="O701" s="224" t="s">
        <v>238</v>
      </c>
      <c r="P701" s="225" t="s">
        <v>155</v>
      </c>
      <c r="Q701" s="225" t="s">
        <v>155</v>
      </c>
      <c r="R701" s="225" t="s">
        <v>155</v>
      </c>
      <c r="S701" s="225" t="s">
        <v>155</v>
      </c>
      <c r="T701" s="229" t="s">
        <v>550</v>
      </c>
      <c r="U701" s="227"/>
      <c r="V701" s="109" t="s">
        <v>1680</v>
      </c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</row>
    <row r="702" ht="30.0" customHeight="1">
      <c r="A702" s="159"/>
      <c r="B702" s="218" t="s">
        <v>246</v>
      </c>
      <c r="C702" s="218" t="s">
        <v>1614</v>
      </c>
      <c r="D702" s="218" t="s">
        <v>1613</v>
      </c>
      <c r="E702" s="219">
        <v>100451.0</v>
      </c>
      <c r="F702" s="220" t="s">
        <v>1681</v>
      </c>
      <c r="G702" s="221" t="s">
        <v>518</v>
      </c>
      <c r="H702" s="222" t="s">
        <v>250</v>
      </c>
      <c r="I702" s="221" t="s">
        <v>42</v>
      </c>
      <c r="J702" s="221" t="s">
        <v>1682</v>
      </c>
      <c r="K702" s="223">
        <v>4.0</v>
      </c>
      <c r="L702" s="223" t="b">
        <v>1</v>
      </c>
      <c r="M702" s="223" t="s">
        <v>42</v>
      </c>
      <c r="N702" s="223">
        <v>10.551428</v>
      </c>
      <c r="O702" s="224" t="s">
        <v>238</v>
      </c>
      <c r="P702" s="225" t="s">
        <v>155</v>
      </c>
      <c r="Q702" s="225" t="s">
        <v>155</v>
      </c>
      <c r="R702" s="225" t="s">
        <v>155</v>
      </c>
      <c r="S702" s="225" t="s">
        <v>155</v>
      </c>
      <c r="T702" s="226"/>
      <c r="U702" s="227"/>
      <c r="V702" s="52" t="s">
        <v>250</v>
      </c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</row>
    <row r="703" ht="30.0" customHeight="1">
      <c r="A703" s="159"/>
      <c r="B703" s="218" t="s">
        <v>246</v>
      </c>
      <c r="C703" s="218" t="s">
        <v>1614</v>
      </c>
      <c r="D703" s="218" t="s">
        <v>1613</v>
      </c>
      <c r="E703" s="219">
        <v>110954.0</v>
      </c>
      <c r="F703" s="220" t="s">
        <v>1683</v>
      </c>
      <c r="G703" s="221" t="s">
        <v>518</v>
      </c>
      <c r="H703" s="221" t="s">
        <v>1684</v>
      </c>
      <c r="I703" s="221" t="s">
        <v>42</v>
      </c>
      <c r="J703" s="221" t="s">
        <v>727</v>
      </c>
      <c r="K703" s="223">
        <v>2.0</v>
      </c>
      <c r="L703" s="223" t="b">
        <v>1</v>
      </c>
      <c r="M703" s="223" t="s">
        <v>42</v>
      </c>
      <c r="N703" s="223">
        <v>42.4432</v>
      </c>
      <c r="O703" s="224"/>
      <c r="P703" s="225" t="s">
        <v>155</v>
      </c>
      <c r="Q703" s="225" t="s">
        <v>155</v>
      </c>
      <c r="R703" s="225" t="s">
        <v>155</v>
      </c>
      <c r="S703" s="225" t="s">
        <v>155</v>
      </c>
      <c r="T703" s="226"/>
      <c r="U703" s="227"/>
      <c r="V703" s="52" t="s">
        <v>250</v>
      </c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</row>
    <row r="704" ht="30.0" customHeight="1">
      <c r="A704" s="159"/>
      <c r="B704" s="218" t="s">
        <v>246</v>
      </c>
      <c r="C704" s="218" t="s">
        <v>1614</v>
      </c>
      <c r="D704" s="218" t="s">
        <v>1613</v>
      </c>
      <c r="E704" s="219">
        <v>111141.0</v>
      </c>
      <c r="F704" s="220" t="s">
        <v>1685</v>
      </c>
      <c r="G704" s="221" t="s">
        <v>518</v>
      </c>
      <c r="H704" s="221" t="s">
        <v>1045</v>
      </c>
      <c r="I704" s="221" t="s">
        <v>42</v>
      </c>
      <c r="J704" s="222" t="s">
        <v>250</v>
      </c>
      <c r="K704" s="223">
        <v>3.0</v>
      </c>
      <c r="L704" s="223" t="b">
        <v>0</v>
      </c>
      <c r="M704" s="223" t="s">
        <v>42</v>
      </c>
      <c r="N704" s="223">
        <v>30.375</v>
      </c>
      <c r="O704" s="224"/>
      <c r="P704" s="225" t="s">
        <v>155</v>
      </c>
      <c r="Q704" s="225" t="s">
        <v>155</v>
      </c>
      <c r="R704" s="225" t="s">
        <v>155</v>
      </c>
      <c r="S704" s="225" t="s">
        <v>155</v>
      </c>
      <c r="T704" s="226"/>
      <c r="U704" s="227"/>
      <c r="V704" s="52" t="s">
        <v>250</v>
      </c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</row>
    <row r="705" ht="30.0" customHeight="1">
      <c r="A705" s="159"/>
      <c r="B705" s="218" t="s">
        <v>246</v>
      </c>
      <c r="C705" s="218" t="s">
        <v>1614</v>
      </c>
      <c r="D705" s="218" t="s">
        <v>1613</v>
      </c>
      <c r="E705" s="219">
        <v>111844.0</v>
      </c>
      <c r="F705" s="220" t="s">
        <v>1686</v>
      </c>
      <c r="G705" s="221" t="s">
        <v>518</v>
      </c>
      <c r="H705" s="221" t="s">
        <v>519</v>
      </c>
      <c r="I705" s="221" t="s">
        <v>1687</v>
      </c>
      <c r="J705" s="221" t="s">
        <v>364</v>
      </c>
      <c r="K705" s="223">
        <v>1.0</v>
      </c>
      <c r="L705" s="223" t="b">
        <v>0</v>
      </c>
      <c r="M705" s="223" t="s">
        <v>42</v>
      </c>
      <c r="N705" s="223">
        <v>22.253333</v>
      </c>
      <c r="O705" s="224"/>
      <c r="P705" s="225" t="s">
        <v>155</v>
      </c>
      <c r="Q705" s="225" t="s">
        <v>155</v>
      </c>
      <c r="R705" s="225" t="s">
        <v>155</v>
      </c>
      <c r="S705" s="225" t="s">
        <v>155</v>
      </c>
      <c r="T705" s="226"/>
      <c r="U705" s="227"/>
      <c r="V705" s="52" t="s">
        <v>250</v>
      </c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</row>
    <row r="706" ht="30.0" customHeight="1">
      <c r="A706" s="159"/>
      <c r="B706" s="218" t="s">
        <v>246</v>
      </c>
      <c r="C706" s="218" t="s">
        <v>1614</v>
      </c>
      <c r="D706" s="218" t="s">
        <v>1613</v>
      </c>
      <c r="E706" s="219">
        <v>20150.0</v>
      </c>
      <c r="F706" s="220" t="s">
        <v>1688</v>
      </c>
      <c r="G706" s="221" t="s">
        <v>518</v>
      </c>
      <c r="H706" s="221" t="s">
        <v>1150</v>
      </c>
      <c r="I706" s="221" t="s">
        <v>1001</v>
      </c>
      <c r="J706" s="221" t="s">
        <v>364</v>
      </c>
      <c r="K706" s="223">
        <v>4.0</v>
      </c>
      <c r="L706" s="223" t="b">
        <v>0</v>
      </c>
      <c r="M706" s="223" t="s">
        <v>1001</v>
      </c>
      <c r="N706" s="223">
        <v>38.37</v>
      </c>
      <c r="O706" s="224" t="s">
        <v>238</v>
      </c>
      <c r="P706" s="225" t="s">
        <v>155</v>
      </c>
      <c r="Q706" s="225" t="s">
        <v>155</v>
      </c>
      <c r="R706" s="225" t="s">
        <v>155</v>
      </c>
      <c r="S706" s="225" t="s">
        <v>155</v>
      </c>
      <c r="T706" s="229" t="s">
        <v>550</v>
      </c>
      <c r="U706" s="227"/>
      <c r="V706" s="52" t="s">
        <v>250</v>
      </c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</row>
    <row r="707" ht="30.0" customHeight="1">
      <c r="A707" s="159"/>
      <c r="B707" s="218" t="s">
        <v>246</v>
      </c>
      <c r="C707" s="218" t="s">
        <v>1614</v>
      </c>
      <c r="D707" s="218" t="s">
        <v>1613</v>
      </c>
      <c r="E707" s="219">
        <v>111107.0</v>
      </c>
      <c r="F707" s="220" t="s">
        <v>1689</v>
      </c>
      <c r="G707" s="221" t="s">
        <v>518</v>
      </c>
      <c r="H707" s="221" t="s">
        <v>1690</v>
      </c>
      <c r="I707" s="221" t="s">
        <v>1691</v>
      </c>
      <c r="J707" s="221" t="s">
        <v>364</v>
      </c>
      <c r="K707" s="223">
        <v>4.0</v>
      </c>
      <c r="L707" s="223" t="b">
        <v>0</v>
      </c>
      <c r="M707" s="223" t="s">
        <v>1692</v>
      </c>
      <c r="N707" s="223">
        <v>10.7</v>
      </c>
      <c r="O707" s="224"/>
      <c r="P707" s="225" t="s">
        <v>155</v>
      </c>
      <c r="Q707" s="225" t="s">
        <v>155</v>
      </c>
      <c r="R707" s="225" t="s">
        <v>155</v>
      </c>
      <c r="S707" s="225" t="s">
        <v>155</v>
      </c>
      <c r="T707" s="226"/>
      <c r="U707" s="227"/>
      <c r="V707" s="52" t="s">
        <v>250</v>
      </c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</row>
    <row r="708" ht="30.0" customHeight="1">
      <c r="A708" s="159"/>
      <c r="B708" s="218" t="s">
        <v>246</v>
      </c>
      <c r="C708" s="218" t="s">
        <v>1614</v>
      </c>
      <c r="D708" s="218" t="s">
        <v>1613</v>
      </c>
      <c r="E708" s="219">
        <v>149549.0</v>
      </c>
      <c r="F708" s="220" t="s">
        <v>1693</v>
      </c>
      <c r="G708" s="221" t="s">
        <v>518</v>
      </c>
      <c r="H708" s="221" t="s">
        <v>1694</v>
      </c>
      <c r="I708" s="221" t="s">
        <v>42</v>
      </c>
      <c r="J708" s="222" t="s">
        <v>250</v>
      </c>
      <c r="K708" s="223">
        <v>1.0</v>
      </c>
      <c r="L708" s="223" t="b">
        <v>0</v>
      </c>
      <c r="M708" s="228"/>
      <c r="N708" s="228"/>
      <c r="O708" s="224"/>
      <c r="P708" s="225" t="s">
        <v>155</v>
      </c>
      <c r="Q708" s="230"/>
      <c r="R708" s="230"/>
      <c r="S708" s="230"/>
      <c r="T708" s="229" t="s">
        <v>1695</v>
      </c>
      <c r="U708" s="227"/>
      <c r="V708" s="52" t="s">
        <v>250</v>
      </c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</row>
    <row r="709" ht="30.0" customHeight="1">
      <c r="A709" s="159"/>
      <c r="B709" s="218" t="s">
        <v>246</v>
      </c>
      <c r="C709" s="218" t="s">
        <v>1614</v>
      </c>
      <c r="D709" s="218" t="s">
        <v>1613</v>
      </c>
      <c r="E709" s="219">
        <v>16355.0</v>
      </c>
      <c r="F709" s="220" t="s">
        <v>1696</v>
      </c>
      <c r="G709" s="221" t="s">
        <v>518</v>
      </c>
      <c r="H709" s="221" t="s">
        <v>1697</v>
      </c>
      <c r="I709" s="221" t="s">
        <v>1698</v>
      </c>
      <c r="J709" s="221" t="s">
        <v>356</v>
      </c>
      <c r="K709" s="223">
        <v>4.0</v>
      </c>
      <c r="L709" s="223" t="b">
        <v>1</v>
      </c>
      <c r="M709" s="223" t="s">
        <v>1698</v>
      </c>
      <c r="N709" s="223">
        <v>5.497219</v>
      </c>
      <c r="O709" s="224" t="s">
        <v>238</v>
      </c>
      <c r="P709" s="225" t="s">
        <v>155</v>
      </c>
      <c r="Q709" s="225" t="s">
        <v>155</v>
      </c>
      <c r="R709" s="225" t="s">
        <v>155</v>
      </c>
      <c r="S709" s="225" t="s">
        <v>155</v>
      </c>
      <c r="T709" s="229" t="s">
        <v>550</v>
      </c>
      <c r="U709" s="227"/>
      <c r="V709" s="52" t="s">
        <v>250</v>
      </c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</row>
    <row r="710" ht="30.0" customHeight="1">
      <c r="A710" s="159"/>
      <c r="B710" s="218" t="s">
        <v>246</v>
      </c>
      <c r="C710" s="218" t="s">
        <v>1614</v>
      </c>
      <c r="D710" s="218" t="s">
        <v>1613</v>
      </c>
      <c r="E710" s="219">
        <v>20151.0</v>
      </c>
      <c r="F710" s="220" t="s">
        <v>1699</v>
      </c>
      <c r="G710" s="221" t="s">
        <v>518</v>
      </c>
      <c r="H710" s="221" t="s">
        <v>1150</v>
      </c>
      <c r="I710" s="221" t="s">
        <v>790</v>
      </c>
      <c r="J710" s="221" t="s">
        <v>364</v>
      </c>
      <c r="K710" s="223">
        <v>3.0</v>
      </c>
      <c r="L710" s="223" t="b">
        <v>1</v>
      </c>
      <c r="M710" s="223" t="s">
        <v>790</v>
      </c>
      <c r="N710" s="223">
        <v>54.674</v>
      </c>
      <c r="O710" s="224" t="s">
        <v>238</v>
      </c>
      <c r="P710" s="225" t="s">
        <v>155</v>
      </c>
      <c r="Q710" s="225" t="s">
        <v>155</v>
      </c>
      <c r="R710" s="225" t="s">
        <v>155</v>
      </c>
      <c r="S710" s="225" t="s">
        <v>155</v>
      </c>
      <c r="T710" s="226"/>
      <c r="U710" s="227"/>
      <c r="V710" s="52" t="s">
        <v>250</v>
      </c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</row>
    <row r="711" ht="30.0" customHeight="1">
      <c r="A711" s="159"/>
      <c r="B711" s="218" t="s">
        <v>246</v>
      </c>
      <c r="C711" s="218" t="s">
        <v>1614</v>
      </c>
      <c r="D711" s="218" t="s">
        <v>1613</v>
      </c>
      <c r="E711" s="219">
        <v>20149.0</v>
      </c>
      <c r="F711" s="220" t="s">
        <v>1700</v>
      </c>
      <c r="G711" s="221" t="s">
        <v>518</v>
      </c>
      <c r="H711" s="221" t="s">
        <v>1150</v>
      </c>
      <c r="I711" s="221" t="s">
        <v>1701</v>
      </c>
      <c r="J711" s="221" t="s">
        <v>356</v>
      </c>
      <c r="K711" s="223">
        <v>4.0</v>
      </c>
      <c r="L711" s="223" t="b">
        <v>1</v>
      </c>
      <c r="M711" s="228"/>
      <c r="N711" s="228"/>
      <c r="O711" s="224"/>
      <c r="P711" s="225" t="s">
        <v>155</v>
      </c>
      <c r="Q711" s="225" t="s">
        <v>155</v>
      </c>
      <c r="R711" s="225" t="s">
        <v>155</v>
      </c>
      <c r="S711" s="225" t="s">
        <v>155</v>
      </c>
      <c r="T711" s="229" t="s">
        <v>550</v>
      </c>
      <c r="U711" s="227"/>
      <c r="V711" s="52" t="s">
        <v>250</v>
      </c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</row>
    <row r="712" ht="30.0" customHeight="1">
      <c r="A712" s="159"/>
      <c r="B712" s="218" t="s">
        <v>246</v>
      </c>
      <c r="C712" s="218" t="s">
        <v>1614</v>
      </c>
      <c r="D712" s="218" t="s">
        <v>1613</v>
      </c>
      <c r="E712" s="219">
        <v>20224.0</v>
      </c>
      <c r="F712" s="220" t="s">
        <v>1702</v>
      </c>
      <c r="G712" s="221" t="s">
        <v>518</v>
      </c>
      <c r="H712" s="221" t="s">
        <v>1150</v>
      </c>
      <c r="I712" s="221" t="s">
        <v>1703</v>
      </c>
      <c r="J712" s="221" t="s">
        <v>356</v>
      </c>
      <c r="K712" s="223">
        <v>3.0</v>
      </c>
      <c r="L712" s="223" t="b">
        <v>1</v>
      </c>
      <c r="M712" s="223" t="s">
        <v>1703</v>
      </c>
      <c r="N712" s="223">
        <v>33.341451</v>
      </c>
      <c r="O712" s="224"/>
      <c r="P712" s="225" t="s">
        <v>155</v>
      </c>
      <c r="Q712" s="225" t="s">
        <v>155</v>
      </c>
      <c r="R712" s="225" t="s">
        <v>155</v>
      </c>
      <c r="S712" s="225" t="s">
        <v>155</v>
      </c>
      <c r="T712" s="229" t="s">
        <v>550</v>
      </c>
      <c r="U712" s="227"/>
      <c r="V712" s="52" t="s">
        <v>250</v>
      </c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</row>
    <row r="713" ht="30.0" customHeight="1">
      <c r="A713" s="159"/>
      <c r="B713" s="218" t="s">
        <v>246</v>
      </c>
      <c r="C713" s="218" t="s">
        <v>1614</v>
      </c>
      <c r="D713" s="218" t="s">
        <v>1613</v>
      </c>
      <c r="E713" s="219">
        <v>110881.0</v>
      </c>
      <c r="F713" s="220" t="s">
        <v>1704</v>
      </c>
      <c r="G713" s="221" t="s">
        <v>518</v>
      </c>
      <c r="H713" s="221" t="s">
        <v>1705</v>
      </c>
      <c r="I713" s="221" t="s">
        <v>1706</v>
      </c>
      <c r="J713" s="221" t="s">
        <v>356</v>
      </c>
      <c r="K713" s="223">
        <v>2.0</v>
      </c>
      <c r="L713" s="223" t="b">
        <v>1</v>
      </c>
      <c r="M713" s="223" t="s">
        <v>1707</v>
      </c>
      <c r="N713" s="223">
        <v>18.003333</v>
      </c>
      <c r="O713" s="224"/>
      <c r="P713" s="225" t="s">
        <v>155</v>
      </c>
      <c r="Q713" s="225" t="s">
        <v>155</v>
      </c>
      <c r="R713" s="225" t="s">
        <v>155</v>
      </c>
      <c r="S713" s="225" t="s">
        <v>155</v>
      </c>
      <c r="T713" s="226"/>
      <c r="U713" s="227"/>
      <c r="V713" s="52" t="s">
        <v>250</v>
      </c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</row>
    <row r="714" ht="30.0" customHeight="1">
      <c r="A714" s="159"/>
      <c r="B714" s="218" t="s">
        <v>246</v>
      </c>
      <c r="C714" s="218" t="s">
        <v>1614</v>
      </c>
      <c r="D714" s="218" t="s">
        <v>1613</v>
      </c>
      <c r="E714" s="219">
        <v>148491.0</v>
      </c>
      <c r="F714" s="220" t="s">
        <v>1708</v>
      </c>
      <c r="G714" s="221" t="s">
        <v>518</v>
      </c>
      <c r="H714" s="221" t="s">
        <v>1709</v>
      </c>
      <c r="I714" s="221" t="s">
        <v>1691</v>
      </c>
      <c r="J714" s="222" t="s">
        <v>250</v>
      </c>
      <c r="K714" s="223">
        <v>1.0</v>
      </c>
      <c r="L714" s="223" t="b">
        <v>0</v>
      </c>
      <c r="M714" s="228"/>
      <c r="N714" s="228"/>
      <c r="O714" s="224"/>
      <c r="P714" s="225" t="s">
        <v>155</v>
      </c>
      <c r="Q714" s="225" t="s">
        <v>155</v>
      </c>
      <c r="R714" s="225" t="s">
        <v>155</v>
      </c>
      <c r="S714" s="225" t="s">
        <v>155</v>
      </c>
      <c r="T714" s="226"/>
      <c r="U714" s="227"/>
      <c r="V714" s="52" t="s">
        <v>250</v>
      </c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</row>
    <row r="715" ht="30.0" customHeight="1">
      <c r="A715" s="159"/>
      <c r="B715" s="218" t="s">
        <v>246</v>
      </c>
      <c r="C715" s="218" t="s">
        <v>1614</v>
      </c>
      <c r="D715" s="218" t="s">
        <v>1613</v>
      </c>
      <c r="E715" s="219">
        <v>20879.0</v>
      </c>
      <c r="F715" s="220" t="s">
        <v>1710</v>
      </c>
      <c r="G715" s="221" t="s">
        <v>518</v>
      </c>
      <c r="H715" s="221" t="s">
        <v>1672</v>
      </c>
      <c r="I715" s="221" t="s">
        <v>1711</v>
      </c>
      <c r="J715" s="221" t="s">
        <v>1161</v>
      </c>
      <c r="K715" s="223">
        <v>4.0</v>
      </c>
      <c r="L715" s="223" t="b">
        <v>1</v>
      </c>
      <c r="M715" s="223" t="s">
        <v>1711</v>
      </c>
      <c r="N715" s="223">
        <v>3.331791</v>
      </c>
      <c r="O715" s="224" t="s">
        <v>238</v>
      </c>
      <c r="P715" s="225" t="s">
        <v>155</v>
      </c>
      <c r="Q715" s="225" t="s">
        <v>155</v>
      </c>
      <c r="R715" s="225" t="s">
        <v>155</v>
      </c>
      <c r="S715" s="225" t="s">
        <v>155</v>
      </c>
      <c r="T715" s="229" t="s">
        <v>550</v>
      </c>
      <c r="U715" s="227"/>
      <c r="V715" s="109" t="s">
        <v>1712</v>
      </c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</row>
    <row r="716" ht="30.0" customHeight="1">
      <c r="A716" s="159"/>
      <c r="B716" s="218" t="s">
        <v>246</v>
      </c>
      <c r="C716" s="218" t="s">
        <v>1614</v>
      </c>
      <c r="D716" s="218" t="s">
        <v>1613</v>
      </c>
      <c r="E716" s="219">
        <v>16340.0</v>
      </c>
      <c r="F716" s="220" t="s">
        <v>1713</v>
      </c>
      <c r="G716" s="221" t="s">
        <v>518</v>
      </c>
      <c r="H716" s="221" t="s">
        <v>1632</v>
      </c>
      <c r="I716" s="221" t="s">
        <v>1714</v>
      </c>
      <c r="J716" s="221" t="s">
        <v>1510</v>
      </c>
      <c r="K716" s="223">
        <v>2.0</v>
      </c>
      <c r="L716" s="223" t="b">
        <v>1</v>
      </c>
      <c r="M716" s="223" t="s">
        <v>1714</v>
      </c>
      <c r="N716" s="223">
        <v>45.589655</v>
      </c>
      <c r="O716" s="224" t="s">
        <v>238</v>
      </c>
      <c r="P716" s="225" t="s">
        <v>155</v>
      </c>
      <c r="Q716" s="225" t="s">
        <v>155</v>
      </c>
      <c r="R716" s="225" t="s">
        <v>155</v>
      </c>
      <c r="S716" s="225" t="s">
        <v>155</v>
      </c>
      <c r="T716" s="229" t="s">
        <v>550</v>
      </c>
      <c r="U716" s="227"/>
      <c r="V716" s="52" t="s">
        <v>250</v>
      </c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</row>
    <row r="717" ht="30.0" customHeight="1">
      <c r="A717" s="159"/>
      <c r="B717" s="218" t="s">
        <v>246</v>
      </c>
      <c r="C717" s="218" t="s">
        <v>1614</v>
      </c>
      <c r="D717" s="218" t="s">
        <v>1613</v>
      </c>
      <c r="E717" s="219">
        <v>16451.0</v>
      </c>
      <c r="F717" s="220" t="s">
        <v>1715</v>
      </c>
      <c r="G717" s="221" t="s">
        <v>518</v>
      </c>
      <c r="H717" s="221" t="s">
        <v>1632</v>
      </c>
      <c r="I717" s="221" t="s">
        <v>1101</v>
      </c>
      <c r="J717" s="221" t="s">
        <v>819</v>
      </c>
      <c r="K717" s="223">
        <v>1.0</v>
      </c>
      <c r="L717" s="223" t="b">
        <v>1</v>
      </c>
      <c r="M717" s="223" t="s">
        <v>1004</v>
      </c>
      <c r="N717" s="223">
        <v>23.57</v>
      </c>
      <c r="O717" s="224"/>
      <c r="P717" s="225" t="s">
        <v>155</v>
      </c>
      <c r="Q717" s="225" t="s">
        <v>155</v>
      </c>
      <c r="R717" s="225" t="s">
        <v>155</v>
      </c>
      <c r="S717" s="225" t="s">
        <v>155</v>
      </c>
      <c r="T717" s="226"/>
      <c r="U717" s="227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</row>
    <row r="718" ht="30.0" customHeight="1">
      <c r="A718" s="159"/>
      <c r="B718" s="218" t="s">
        <v>246</v>
      </c>
      <c r="C718" s="218" t="s">
        <v>1614</v>
      </c>
      <c r="D718" s="218" t="s">
        <v>1613</v>
      </c>
      <c r="E718" s="219">
        <v>112637.0</v>
      </c>
      <c r="F718" s="220" t="s">
        <v>1716</v>
      </c>
      <c r="G718" s="221" t="s">
        <v>518</v>
      </c>
      <c r="H718" s="221" t="s">
        <v>1717</v>
      </c>
      <c r="I718" s="221" t="s">
        <v>496</v>
      </c>
      <c r="J718" s="222" t="s">
        <v>250</v>
      </c>
      <c r="K718" s="223">
        <v>1.0</v>
      </c>
      <c r="L718" s="223" t="b">
        <v>0</v>
      </c>
      <c r="M718" s="223" t="s">
        <v>1017</v>
      </c>
      <c r="N718" s="223">
        <v>13.001666</v>
      </c>
      <c r="O718" s="224"/>
      <c r="P718" s="225" t="s">
        <v>155</v>
      </c>
      <c r="Q718" s="225" t="s">
        <v>155</v>
      </c>
      <c r="R718" s="225" t="s">
        <v>155</v>
      </c>
      <c r="S718" s="225" t="s">
        <v>155</v>
      </c>
      <c r="T718" s="226"/>
      <c r="U718" s="227"/>
      <c r="V718" s="52" t="s">
        <v>250</v>
      </c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</row>
    <row r="719" ht="30.0" customHeight="1">
      <c r="A719" s="159"/>
      <c r="B719" s="218" t="s">
        <v>246</v>
      </c>
      <c r="C719" s="218" t="s">
        <v>1614</v>
      </c>
      <c r="D719" s="218" t="s">
        <v>1613</v>
      </c>
      <c r="E719" s="219">
        <v>143140.0</v>
      </c>
      <c r="F719" s="220" t="s">
        <v>1718</v>
      </c>
      <c r="G719" s="221" t="s">
        <v>518</v>
      </c>
      <c r="H719" s="222" t="s">
        <v>250</v>
      </c>
      <c r="I719" s="221" t="s">
        <v>1256</v>
      </c>
      <c r="J719" s="222" t="s">
        <v>250</v>
      </c>
      <c r="K719" s="223">
        <v>1.0</v>
      </c>
      <c r="L719" s="223" t="b">
        <v>0</v>
      </c>
      <c r="M719" s="228"/>
      <c r="N719" s="228"/>
      <c r="O719" s="224"/>
      <c r="P719" s="225" t="s">
        <v>155</v>
      </c>
      <c r="Q719" s="225" t="s">
        <v>155</v>
      </c>
      <c r="R719" s="225" t="s">
        <v>155</v>
      </c>
      <c r="S719" s="225" t="s">
        <v>155</v>
      </c>
      <c r="T719" s="226"/>
      <c r="U719" s="227"/>
      <c r="V719" s="52" t="s">
        <v>250</v>
      </c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</row>
    <row r="720" ht="30.0" customHeight="1">
      <c r="A720" s="159"/>
      <c r="B720" s="218" t="s">
        <v>246</v>
      </c>
      <c r="C720" s="218" t="s">
        <v>1614</v>
      </c>
      <c r="D720" s="218" t="s">
        <v>1613</v>
      </c>
      <c r="E720" s="219">
        <v>111933.0</v>
      </c>
      <c r="F720" s="220" t="s">
        <v>1719</v>
      </c>
      <c r="G720" s="221" t="s">
        <v>518</v>
      </c>
      <c r="H720" s="221" t="s">
        <v>1628</v>
      </c>
      <c r="I720" s="221" t="s">
        <v>1629</v>
      </c>
      <c r="J720" s="222" t="s">
        <v>250</v>
      </c>
      <c r="K720" s="223">
        <v>2.0</v>
      </c>
      <c r="L720" s="223" t="b">
        <v>1</v>
      </c>
      <c r="M720" s="223" t="s">
        <v>946</v>
      </c>
      <c r="N720" s="223">
        <v>21.7475</v>
      </c>
      <c r="O720" s="224"/>
      <c r="P720" s="225" t="s">
        <v>155</v>
      </c>
      <c r="Q720" s="225" t="s">
        <v>155</v>
      </c>
      <c r="R720" s="225" t="s">
        <v>155</v>
      </c>
      <c r="S720" s="225" t="s">
        <v>155</v>
      </c>
      <c r="T720" s="226"/>
      <c r="U720" s="227"/>
      <c r="V720" s="52" t="s">
        <v>250</v>
      </c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</row>
    <row r="721" ht="30.0" customHeight="1">
      <c r="A721" s="159"/>
      <c r="B721" s="218" t="s">
        <v>246</v>
      </c>
      <c r="C721" s="218" t="s">
        <v>1614</v>
      </c>
      <c r="D721" s="218" t="s">
        <v>1613</v>
      </c>
      <c r="E721" s="219">
        <v>16358.0</v>
      </c>
      <c r="F721" s="220" t="s">
        <v>1720</v>
      </c>
      <c r="G721" s="221" t="s">
        <v>518</v>
      </c>
      <c r="H721" s="221" t="s">
        <v>1721</v>
      </c>
      <c r="I721" s="221" t="s">
        <v>1722</v>
      </c>
      <c r="J721" s="221" t="s">
        <v>426</v>
      </c>
      <c r="K721" s="223">
        <v>4.0</v>
      </c>
      <c r="L721" s="223" t="b">
        <v>1</v>
      </c>
      <c r="M721" s="223" t="s">
        <v>1722</v>
      </c>
      <c r="N721" s="223">
        <v>44.016635</v>
      </c>
      <c r="O721" s="224" t="s">
        <v>238</v>
      </c>
      <c r="P721" s="225" t="s">
        <v>155</v>
      </c>
      <c r="Q721" s="225" t="s">
        <v>155</v>
      </c>
      <c r="R721" s="225" t="s">
        <v>155</v>
      </c>
      <c r="S721" s="225" t="s">
        <v>155</v>
      </c>
      <c r="T721" s="229" t="s">
        <v>550</v>
      </c>
      <c r="U721" s="227"/>
      <c r="V721" s="109" t="s">
        <v>1723</v>
      </c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</row>
    <row r="722" ht="30.0" customHeight="1">
      <c r="A722" s="209"/>
      <c r="B722" s="210" t="s">
        <v>1724</v>
      </c>
      <c r="C722" s="211"/>
      <c r="D722" s="211"/>
      <c r="E722" s="212"/>
      <c r="F722" s="213"/>
      <c r="G722" s="213"/>
      <c r="H722" s="213"/>
      <c r="I722" s="212"/>
      <c r="J722" s="212"/>
      <c r="K722" s="214"/>
      <c r="L722" s="214"/>
      <c r="M722" s="214"/>
      <c r="N722" s="214"/>
      <c r="O722" s="215"/>
      <c r="P722" s="216"/>
      <c r="Q722" s="216"/>
      <c r="R722" s="216"/>
      <c r="S722" s="216"/>
      <c r="T722" s="217"/>
      <c r="U722" s="217"/>
      <c r="V722" s="217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</row>
    <row r="723" ht="30.0" customHeight="1">
      <c r="A723" s="159"/>
      <c r="B723" s="218" t="s">
        <v>246</v>
      </c>
      <c r="C723" s="218" t="s">
        <v>1614</v>
      </c>
      <c r="D723" s="218" t="s">
        <v>1724</v>
      </c>
      <c r="E723" s="219">
        <v>109664.0</v>
      </c>
      <c r="F723" s="220" t="s">
        <v>1725</v>
      </c>
      <c r="G723" s="221" t="s">
        <v>518</v>
      </c>
      <c r="H723" s="221" t="s">
        <v>1726</v>
      </c>
      <c r="I723" s="221" t="s">
        <v>1001</v>
      </c>
      <c r="J723" s="221" t="s">
        <v>1161</v>
      </c>
      <c r="K723" s="223">
        <v>1.0</v>
      </c>
      <c r="L723" s="223" t="b">
        <v>0</v>
      </c>
      <c r="M723" s="223" t="s">
        <v>1001</v>
      </c>
      <c r="N723" s="223">
        <v>96.337</v>
      </c>
      <c r="O723" s="224"/>
      <c r="P723" s="225" t="s">
        <v>155</v>
      </c>
      <c r="Q723" s="225" t="s">
        <v>155</v>
      </c>
      <c r="R723" s="225" t="s">
        <v>155</v>
      </c>
      <c r="S723" s="225" t="s">
        <v>155</v>
      </c>
      <c r="T723" s="226"/>
      <c r="U723" s="227"/>
      <c r="V723" s="52" t="s">
        <v>250</v>
      </c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</row>
    <row r="724" ht="30.0" customHeight="1">
      <c r="A724" s="159"/>
      <c r="B724" s="218" t="s">
        <v>246</v>
      </c>
      <c r="C724" s="218" t="s">
        <v>1614</v>
      </c>
      <c r="D724" s="218" t="s">
        <v>1724</v>
      </c>
      <c r="E724" s="219">
        <v>110879.0</v>
      </c>
      <c r="F724" s="220" t="s">
        <v>1727</v>
      </c>
      <c r="G724" s="221" t="s">
        <v>518</v>
      </c>
      <c r="H724" s="221" t="s">
        <v>1728</v>
      </c>
      <c r="I724" s="221" t="s">
        <v>1017</v>
      </c>
      <c r="J724" s="222" t="s">
        <v>250</v>
      </c>
      <c r="K724" s="223">
        <v>2.0</v>
      </c>
      <c r="L724" s="223" t="b">
        <v>1</v>
      </c>
      <c r="M724" s="223" t="s">
        <v>1017</v>
      </c>
      <c r="N724" s="223">
        <v>9.952727</v>
      </c>
      <c r="O724" s="224"/>
      <c r="P724" s="225" t="s">
        <v>155</v>
      </c>
      <c r="Q724" s="225" t="s">
        <v>155</v>
      </c>
      <c r="R724" s="225" t="s">
        <v>155</v>
      </c>
      <c r="S724" s="225" t="s">
        <v>155</v>
      </c>
      <c r="T724" s="226"/>
      <c r="U724" s="227"/>
      <c r="V724" s="52" t="s">
        <v>250</v>
      </c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</row>
    <row r="725" ht="30.0" customHeight="1">
      <c r="A725" s="159"/>
      <c r="B725" s="218" t="s">
        <v>246</v>
      </c>
      <c r="C725" s="218" t="s">
        <v>1614</v>
      </c>
      <c r="D725" s="218" t="s">
        <v>1724</v>
      </c>
      <c r="E725" s="219">
        <v>16344.0</v>
      </c>
      <c r="F725" s="220" t="s">
        <v>1729</v>
      </c>
      <c r="G725" s="221" t="s">
        <v>369</v>
      </c>
      <c r="H725" s="222" t="s">
        <v>250</v>
      </c>
      <c r="I725" s="221" t="s">
        <v>1001</v>
      </c>
      <c r="J725" s="222" t="s">
        <v>250</v>
      </c>
      <c r="K725" s="223">
        <v>3.0</v>
      </c>
      <c r="L725" s="223" t="b">
        <v>1</v>
      </c>
      <c r="M725" s="223" t="s">
        <v>1001</v>
      </c>
      <c r="N725" s="223">
        <v>78.991351</v>
      </c>
      <c r="O725" s="224" t="s">
        <v>238</v>
      </c>
      <c r="P725" s="225" t="s">
        <v>155</v>
      </c>
      <c r="Q725" s="225" t="s">
        <v>155</v>
      </c>
      <c r="R725" s="225" t="s">
        <v>155</v>
      </c>
      <c r="S725" s="225" t="s">
        <v>155</v>
      </c>
      <c r="T725" s="229" t="s">
        <v>550</v>
      </c>
      <c r="U725" s="227"/>
      <c r="V725" s="109" t="s">
        <v>1730</v>
      </c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</row>
    <row r="726" ht="30.0" customHeight="1">
      <c r="A726" s="159"/>
      <c r="B726" s="218" t="s">
        <v>246</v>
      </c>
      <c r="C726" s="218" t="s">
        <v>1614</v>
      </c>
      <c r="D726" s="218" t="s">
        <v>1724</v>
      </c>
      <c r="E726" s="219">
        <v>100435.0</v>
      </c>
      <c r="F726" s="220" t="s">
        <v>1731</v>
      </c>
      <c r="G726" s="221" t="s">
        <v>518</v>
      </c>
      <c r="H726" s="221" t="s">
        <v>1732</v>
      </c>
      <c r="I726" s="221" t="s">
        <v>1256</v>
      </c>
      <c r="J726" s="222" t="s">
        <v>250</v>
      </c>
      <c r="K726" s="223">
        <v>3.0</v>
      </c>
      <c r="L726" s="223" t="b">
        <v>1</v>
      </c>
      <c r="M726" s="223" t="s">
        <v>1256</v>
      </c>
      <c r="N726" s="223">
        <v>30.935223</v>
      </c>
      <c r="O726" s="224" t="s">
        <v>238</v>
      </c>
      <c r="P726" s="225" t="s">
        <v>155</v>
      </c>
      <c r="Q726" s="225" t="s">
        <v>155</v>
      </c>
      <c r="R726" s="225" t="s">
        <v>155</v>
      </c>
      <c r="S726" s="225" t="s">
        <v>155</v>
      </c>
      <c r="T726" s="226"/>
      <c r="U726" s="227"/>
      <c r="V726" s="52" t="s">
        <v>250</v>
      </c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</row>
    <row r="727" ht="30.0" customHeight="1">
      <c r="A727" s="159"/>
      <c r="B727" s="218" t="s">
        <v>246</v>
      </c>
      <c r="C727" s="218" t="s">
        <v>1614</v>
      </c>
      <c r="D727" s="218" t="s">
        <v>1724</v>
      </c>
      <c r="E727" s="219">
        <v>16349.0</v>
      </c>
      <c r="F727" s="220" t="s">
        <v>1733</v>
      </c>
      <c r="G727" s="221" t="s">
        <v>518</v>
      </c>
      <c r="H727" s="221" t="s">
        <v>1632</v>
      </c>
      <c r="I727" s="221" t="s">
        <v>1256</v>
      </c>
      <c r="J727" s="222" t="s">
        <v>250</v>
      </c>
      <c r="K727" s="223">
        <v>4.0</v>
      </c>
      <c r="L727" s="223" t="b">
        <v>1</v>
      </c>
      <c r="M727" s="223" t="s">
        <v>1256</v>
      </c>
      <c r="N727" s="223">
        <v>36.291324</v>
      </c>
      <c r="O727" s="224" t="s">
        <v>238</v>
      </c>
      <c r="P727" s="225" t="s">
        <v>155</v>
      </c>
      <c r="Q727" s="225" t="s">
        <v>155</v>
      </c>
      <c r="R727" s="225" t="s">
        <v>155</v>
      </c>
      <c r="S727" s="225" t="s">
        <v>155</v>
      </c>
      <c r="T727" s="226"/>
      <c r="U727" s="227"/>
      <c r="V727" s="109" t="s">
        <v>1734</v>
      </c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</row>
    <row r="728" ht="30.0" customHeight="1">
      <c r="A728" s="159"/>
      <c r="B728" s="218" t="s">
        <v>246</v>
      </c>
      <c r="C728" s="218" t="s">
        <v>1614</v>
      </c>
      <c r="D728" s="218" t="s">
        <v>1724</v>
      </c>
      <c r="E728" s="219">
        <v>111822.0</v>
      </c>
      <c r="F728" s="220" t="s">
        <v>1735</v>
      </c>
      <c r="G728" s="221" t="s">
        <v>518</v>
      </c>
      <c r="H728" s="221" t="s">
        <v>863</v>
      </c>
      <c r="I728" s="221" t="s">
        <v>1736</v>
      </c>
      <c r="J728" s="222" t="s">
        <v>250</v>
      </c>
      <c r="K728" s="223">
        <v>2.0</v>
      </c>
      <c r="L728" s="223" t="b">
        <v>1</v>
      </c>
      <c r="M728" s="223" t="s">
        <v>64</v>
      </c>
      <c r="N728" s="223">
        <v>11.522222</v>
      </c>
      <c r="O728" s="224"/>
      <c r="P728" s="225" t="s">
        <v>155</v>
      </c>
      <c r="Q728" s="225" t="s">
        <v>155</v>
      </c>
      <c r="R728" s="225" t="s">
        <v>155</v>
      </c>
      <c r="S728" s="225" t="s">
        <v>155</v>
      </c>
      <c r="T728" s="226"/>
      <c r="U728" s="227"/>
      <c r="V728" s="52" t="s">
        <v>250</v>
      </c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</row>
    <row r="729" ht="30.0" customHeight="1">
      <c r="A729" s="159"/>
      <c r="B729" s="218" t="s">
        <v>246</v>
      </c>
      <c r="C729" s="218" t="s">
        <v>1614</v>
      </c>
      <c r="D729" s="218" t="s">
        <v>1724</v>
      </c>
      <c r="E729" s="219">
        <v>16380.0</v>
      </c>
      <c r="F729" s="220" t="s">
        <v>1737</v>
      </c>
      <c r="G729" s="221" t="s">
        <v>518</v>
      </c>
      <c r="H729" s="221" t="s">
        <v>1738</v>
      </c>
      <c r="I729" s="221" t="s">
        <v>1001</v>
      </c>
      <c r="J729" s="221" t="s">
        <v>1739</v>
      </c>
      <c r="K729" s="223">
        <v>2.0</v>
      </c>
      <c r="L729" s="223" t="b">
        <v>1</v>
      </c>
      <c r="M729" s="223" t="s">
        <v>1001</v>
      </c>
      <c r="N729" s="223">
        <v>41.410519</v>
      </c>
      <c r="O729" s="224" t="s">
        <v>238</v>
      </c>
      <c r="P729" s="225" t="s">
        <v>155</v>
      </c>
      <c r="Q729" s="225" t="s">
        <v>155</v>
      </c>
      <c r="R729" s="225" t="s">
        <v>155</v>
      </c>
      <c r="S729" s="225" t="s">
        <v>155</v>
      </c>
      <c r="T729" s="229" t="s">
        <v>550</v>
      </c>
      <c r="U729" s="227"/>
      <c r="V729" s="109" t="s">
        <v>1740</v>
      </c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</row>
    <row r="730" ht="30.0" customHeight="1">
      <c r="A730" s="159"/>
      <c r="B730" s="218" t="s">
        <v>246</v>
      </c>
      <c r="C730" s="218" t="s">
        <v>1614</v>
      </c>
      <c r="D730" s="218" t="s">
        <v>1724</v>
      </c>
      <c r="E730" s="219">
        <v>109668.0</v>
      </c>
      <c r="F730" s="220" t="s">
        <v>1741</v>
      </c>
      <c r="G730" s="221" t="s">
        <v>518</v>
      </c>
      <c r="H730" s="221" t="s">
        <v>1742</v>
      </c>
      <c r="I730" s="221" t="s">
        <v>1001</v>
      </c>
      <c r="J730" s="221" t="s">
        <v>364</v>
      </c>
      <c r="K730" s="223">
        <v>2.0</v>
      </c>
      <c r="L730" s="223" t="b">
        <v>1</v>
      </c>
      <c r="M730" s="223" t="s">
        <v>1001</v>
      </c>
      <c r="N730" s="223">
        <v>110.817894</v>
      </c>
      <c r="O730" s="224"/>
      <c r="P730" s="225" t="s">
        <v>155</v>
      </c>
      <c r="Q730" s="225" t="s">
        <v>155</v>
      </c>
      <c r="R730" s="225" t="s">
        <v>155</v>
      </c>
      <c r="S730" s="225" t="s">
        <v>155</v>
      </c>
      <c r="T730" s="226"/>
      <c r="U730" s="227"/>
      <c r="V730" s="52" t="s">
        <v>250</v>
      </c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</row>
    <row r="731" ht="30.0" customHeight="1">
      <c r="A731" s="159"/>
      <c r="B731" s="218" t="s">
        <v>246</v>
      </c>
      <c r="C731" s="218" t="s">
        <v>1614</v>
      </c>
      <c r="D731" s="218" t="s">
        <v>1724</v>
      </c>
      <c r="E731" s="219">
        <v>109667.0</v>
      </c>
      <c r="F731" s="220" t="s">
        <v>1743</v>
      </c>
      <c r="G731" s="221" t="s">
        <v>518</v>
      </c>
      <c r="H731" s="221" t="s">
        <v>1744</v>
      </c>
      <c r="I731" s="221" t="s">
        <v>1001</v>
      </c>
      <c r="J731" s="221" t="s">
        <v>1745</v>
      </c>
      <c r="K731" s="223">
        <v>2.0</v>
      </c>
      <c r="L731" s="223" t="b">
        <v>1</v>
      </c>
      <c r="M731" s="223" t="s">
        <v>1001</v>
      </c>
      <c r="N731" s="223">
        <v>64.334545</v>
      </c>
      <c r="O731" s="224"/>
      <c r="P731" s="225" t="s">
        <v>155</v>
      </c>
      <c r="Q731" s="225" t="s">
        <v>155</v>
      </c>
      <c r="R731" s="225" t="s">
        <v>155</v>
      </c>
      <c r="S731" s="225" t="s">
        <v>155</v>
      </c>
      <c r="T731" s="229" t="s">
        <v>550</v>
      </c>
      <c r="U731" s="227"/>
      <c r="V731" s="52" t="s">
        <v>250</v>
      </c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</row>
    <row r="732" ht="30.0" customHeight="1">
      <c r="A732" s="159"/>
      <c r="B732" s="218" t="s">
        <v>246</v>
      </c>
      <c r="C732" s="218" t="s">
        <v>1614</v>
      </c>
      <c r="D732" s="218" t="s">
        <v>1724</v>
      </c>
      <c r="E732" s="219">
        <v>16426.0</v>
      </c>
      <c r="F732" s="220" t="s">
        <v>1746</v>
      </c>
      <c r="G732" s="221" t="s">
        <v>518</v>
      </c>
      <c r="H732" s="221" t="s">
        <v>1747</v>
      </c>
      <c r="I732" s="221" t="s">
        <v>1748</v>
      </c>
      <c r="J732" s="221" t="s">
        <v>1510</v>
      </c>
      <c r="K732" s="223">
        <v>2.0</v>
      </c>
      <c r="L732" s="223" t="b">
        <v>1</v>
      </c>
      <c r="M732" s="223" t="s">
        <v>1748</v>
      </c>
      <c r="N732" s="223">
        <v>70.191204</v>
      </c>
      <c r="O732" s="224" t="s">
        <v>238</v>
      </c>
      <c r="P732" s="225" t="s">
        <v>155</v>
      </c>
      <c r="Q732" s="225" t="s">
        <v>155</v>
      </c>
      <c r="R732" s="225" t="s">
        <v>155</v>
      </c>
      <c r="S732" s="225" t="s">
        <v>155</v>
      </c>
      <c r="T732" s="226"/>
      <c r="U732" s="227"/>
      <c r="V732" s="52" t="s">
        <v>250</v>
      </c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</row>
    <row r="733" ht="30.0" customHeight="1">
      <c r="A733" s="159"/>
      <c r="B733" s="218" t="s">
        <v>246</v>
      </c>
      <c r="C733" s="218" t="s">
        <v>1614</v>
      </c>
      <c r="D733" s="218" t="s">
        <v>1724</v>
      </c>
      <c r="E733" s="219">
        <v>12275.0</v>
      </c>
      <c r="F733" s="220" t="s">
        <v>1749</v>
      </c>
      <c r="G733" s="221" t="s">
        <v>518</v>
      </c>
      <c r="H733" s="221" t="s">
        <v>1750</v>
      </c>
      <c r="I733" s="221" t="s">
        <v>1001</v>
      </c>
      <c r="J733" s="221" t="s">
        <v>1510</v>
      </c>
      <c r="K733" s="223">
        <v>3.0</v>
      </c>
      <c r="L733" s="223" t="b">
        <v>1</v>
      </c>
      <c r="M733" s="223" t="s">
        <v>1001</v>
      </c>
      <c r="N733" s="223">
        <v>29.611333</v>
      </c>
      <c r="O733" s="224" t="s">
        <v>238</v>
      </c>
      <c r="P733" s="225" t="s">
        <v>155</v>
      </c>
      <c r="Q733" s="225" t="s">
        <v>155</v>
      </c>
      <c r="R733" s="225" t="s">
        <v>155</v>
      </c>
      <c r="S733" s="225" t="s">
        <v>155</v>
      </c>
      <c r="T733" s="229" t="s">
        <v>550</v>
      </c>
      <c r="U733" s="227"/>
      <c r="V733" s="52" t="s">
        <v>250</v>
      </c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</row>
    <row r="734" ht="30.0" customHeight="1">
      <c r="A734" s="159"/>
      <c r="B734" s="218" t="s">
        <v>246</v>
      </c>
      <c r="C734" s="218" t="s">
        <v>1614</v>
      </c>
      <c r="D734" s="218" t="s">
        <v>1724</v>
      </c>
      <c r="E734" s="219">
        <v>16350.0</v>
      </c>
      <c r="F734" s="220" t="s">
        <v>1751</v>
      </c>
      <c r="G734" s="221" t="s">
        <v>518</v>
      </c>
      <c r="H734" s="221" t="s">
        <v>1752</v>
      </c>
      <c r="I734" s="221" t="s">
        <v>1001</v>
      </c>
      <c r="J734" s="221" t="s">
        <v>1510</v>
      </c>
      <c r="K734" s="223">
        <v>2.0</v>
      </c>
      <c r="L734" s="223" t="b">
        <v>1</v>
      </c>
      <c r="M734" s="223" t="s">
        <v>1001</v>
      </c>
      <c r="N734" s="223">
        <v>17.770227</v>
      </c>
      <c r="O734" s="224" t="s">
        <v>238</v>
      </c>
      <c r="P734" s="225" t="s">
        <v>155</v>
      </c>
      <c r="Q734" s="225" t="s">
        <v>155</v>
      </c>
      <c r="R734" s="225" t="s">
        <v>155</v>
      </c>
      <c r="S734" s="225" t="s">
        <v>155</v>
      </c>
      <c r="T734" s="226"/>
      <c r="U734" s="227"/>
      <c r="V734" s="109" t="s">
        <v>1753</v>
      </c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</row>
    <row r="735" ht="30.0" customHeight="1">
      <c r="A735" s="159"/>
      <c r="B735" s="218" t="s">
        <v>246</v>
      </c>
      <c r="C735" s="218" t="s">
        <v>1614</v>
      </c>
      <c r="D735" s="218" t="s">
        <v>1724</v>
      </c>
      <c r="E735" s="219">
        <v>16534.0</v>
      </c>
      <c r="F735" s="220" t="s">
        <v>1754</v>
      </c>
      <c r="G735" s="221" t="s">
        <v>518</v>
      </c>
      <c r="H735" s="222" t="s">
        <v>250</v>
      </c>
      <c r="I735" s="221" t="s">
        <v>1755</v>
      </c>
      <c r="J735" s="221" t="s">
        <v>1510</v>
      </c>
      <c r="K735" s="223">
        <v>2.0</v>
      </c>
      <c r="L735" s="223" t="b">
        <v>1</v>
      </c>
      <c r="M735" s="223" t="s">
        <v>1755</v>
      </c>
      <c r="N735" s="223">
        <v>34.211857</v>
      </c>
      <c r="O735" s="224" t="s">
        <v>238</v>
      </c>
      <c r="P735" s="225" t="s">
        <v>155</v>
      </c>
      <c r="Q735" s="225" t="s">
        <v>155</v>
      </c>
      <c r="R735" s="225" t="s">
        <v>155</v>
      </c>
      <c r="S735" s="225" t="s">
        <v>155</v>
      </c>
      <c r="T735" s="226"/>
      <c r="U735" s="227"/>
      <c r="V735" s="109" t="s">
        <v>1756</v>
      </c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</row>
    <row r="736" ht="30.0" customHeight="1">
      <c r="A736" s="159"/>
      <c r="B736" s="218" t="s">
        <v>246</v>
      </c>
      <c r="C736" s="218" t="s">
        <v>1614</v>
      </c>
      <c r="D736" s="218" t="s">
        <v>1724</v>
      </c>
      <c r="E736" s="219">
        <v>111125.0</v>
      </c>
      <c r="F736" s="220" t="s">
        <v>1757</v>
      </c>
      <c r="G736" s="221" t="s">
        <v>518</v>
      </c>
      <c r="H736" s="221" t="s">
        <v>1758</v>
      </c>
      <c r="I736" s="221" t="s">
        <v>1759</v>
      </c>
      <c r="J736" s="222" t="s">
        <v>250</v>
      </c>
      <c r="K736" s="223">
        <v>2.0</v>
      </c>
      <c r="L736" s="223" t="b">
        <v>1</v>
      </c>
      <c r="M736" s="223" t="s">
        <v>1759</v>
      </c>
      <c r="N736" s="223">
        <v>8.197777</v>
      </c>
      <c r="O736" s="224"/>
      <c r="P736" s="225" t="s">
        <v>155</v>
      </c>
      <c r="Q736" s="225" t="s">
        <v>155</v>
      </c>
      <c r="R736" s="225" t="s">
        <v>155</v>
      </c>
      <c r="S736" s="225" t="s">
        <v>155</v>
      </c>
      <c r="T736" s="226"/>
      <c r="U736" s="227"/>
      <c r="V736" s="52" t="s">
        <v>250</v>
      </c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</row>
    <row r="737" ht="30.0" customHeight="1">
      <c r="A737" s="159"/>
      <c r="B737" s="218" t="s">
        <v>246</v>
      </c>
      <c r="C737" s="218" t="s">
        <v>1614</v>
      </c>
      <c r="D737" s="218" t="s">
        <v>1724</v>
      </c>
      <c r="E737" s="219">
        <v>109665.0</v>
      </c>
      <c r="F737" s="220" t="s">
        <v>1760</v>
      </c>
      <c r="G737" s="221" t="s">
        <v>518</v>
      </c>
      <c r="H737" s="221" t="s">
        <v>1726</v>
      </c>
      <c r="I737" s="221" t="s">
        <v>1001</v>
      </c>
      <c r="J737" s="221" t="s">
        <v>1161</v>
      </c>
      <c r="K737" s="223">
        <v>1.0</v>
      </c>
      <c r="L737" s="223" t="b">
        <v>0</v>
      </c>
      <c r="M737" s="223" t="s">
        <v>1001</v>
      </c>
      <c r="N737" s="223">
        <v>88.155833</v>
      </c>
      <c r="O737" s="224"/>
      <c r="P737" s="225" t="s">
        <v>155</v>
      </c>
      <c r="Q737" s="225" t="s">
        <v>155</v>
      </c>
      <c r="R737" s="225" t="s">
        <v>155</v>
      </c>
      <c r="S737" s="225" t="s">
        <v>155</v>
      </c>
      <c r="T737" s="226"/>
      <c r="U737" s="227"/>
      <c r="V737" s="52" t="s">
        <v>250</v>
      </c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</row>
    <row r="738" ht="30.0" customHeight="1">
      <c r="A738" s="159"/>
      <c r="B738" s="218" t="s">
        <v>246</v>
      </c>
      <c r="C738" s="218" t="s">
        <v>1614</v>
      </c>
      <c r="D738" s="218" t="s">
        <v>1724</v>
      </c>
      <c r="E738" s="219">
        <v>109666.0</v>
      </c>
      <c r="F738" s="220" t="s">
        <v>1761</v>
      </c>
      <c r="G738" s="221" t="s">
        <v>518</v>
      </c>
      <c r="H738" s="221" t="s">
        <v>1726</v>
      </c>
      <c r="I738" s="221" t="s">
        <v>1001</v>
      </c>
      <c r="J738" s="221" t="s">
        <v>1161</v>
      </c>
      <c r="K738" s="223">
        <v>1.0</v>
      </c>
      <c r="L738" s="223" t="b">
        <v>0</v>
      </c>
      <c r="M738" s="223" t="s">
        <v>1001</v>
      </c>
      <c r="N738" s="223">
        <v>79.337826</v>
      </c>
      <c r="O738" s="224"/>
      <c r="P738" s="225" t="s">
        <v>155</v>
      </c>
      <c r="Q738" s="225" t="s">
        <v>155</v>
      </c>
      <c r="R738" s="225" t="s">
        <v>155</v>
      </c>
      <c r="S738" s="225" t="s">
        <v>155</v>
      </c>
      <c r="T738" s="226"/>
      <c r="U738" s="227"/>
      <c r="V738" s="52" t="s">
        <v>250</v>
      </c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</row>
    <row r="739" ht="30.0" customHeight="1">
      <c r="A739" s="159"/>
      <c r="B739" s="218" t="s">
        <v>246</v>
      </c>
      <c r="C739" s="218" t="s">
        <v>1614</v>
      </c>
      <c r="D739" s="218" t="s">
        <v>1724</v>
      </c>
      <c r="E739" s="219">
        <v>112015.0</v>
      </c>
      <c r="F739" s="220" t="s">
        <v>1762</v>
      </c>
      <c r="G739" s="221" t="s">
        <v>518</v>
      </c>
      <c r="H739" s="221" t="s">
        <v>1726</v>
      </c>
      <c r="I739" s="221" t="s">
        <v>1736</v>
      </c>
      <c r="J739" s="222" t="s">
        <v>250</v>
      </c>
      <c r="K739" s="223">
        <v>3.0</v>
      </c>
      <c r="L739" s="223" t="b">
        <v>0</v>
      </c>
      <c r="M739" s="223" t="s">
        <v>64</v>
      </c>
      <c r="N739" s="223">
        <v>58.41</v>
      </c>
      <c r="O739" s="224"/>
      <c r="P739" s="225" t="s">
        <v>155</v>
      </c>
      <c r="Q739" s="225" t="s">
        <v>155</v>
      </c>
      <c r="R739" s="225" t="s">
        <v>155</v>
      </c>
      <c r="S739" s="225" t="s">
        <v>155</v>
      </c>
      <c r="T739" s="226"/>
      <c r="U739" s="227"/>
      <c r="V739" s="52" t="s">
        <v>250</v>
      </c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</row>
    <row r="740" ht="30.0" customHeight="1">
      <c r="A740" s="159"/>
      <c r="B740" s="218" t="s">
        <v>246</v>
      </c>
      <c r="C740" s="218" t="s">
        <v>1614</v>
      </c>
      <c r="D740" s="218" t="s">
        <v>1724</v>
      </c>
      <c r="E740" s="219">
        <v>112013.0</v>
      </c>
      <c r="F740" s="220" t="s">
        <v>1763</v>
      </c>
      <c r="G740" s="221" t="s">
        <v>518</v>
      </c>
      <c r="H740" s="221" t="s">
        <v>1726</v>
      </c>
      <c r="I740" s="221" t="s">
        <v>1736</v>
      </c>
      <c r="J740" s="222" t="s">
        <v>250</v>
      </c>
      <c r="K740" s="223">
        <v>2.0</v>
      </c>
      <c r="L740" s="223" t="b">
        <v>0</v>
      </c>
      <c r="M740" s="223" t="s">
        <v>64</v>
      </c>
      <c r="N740" s="223">
        <v>19.683571</v>
      </c>
      <c r="O740" s="224"/>
      <c r="P740" s="225" t="s">
        <v>155</v>
      </c>
      <c r="Q740" s="225" t="s">
        <v>155</v>
      </c>
      <c r="R740" s="225" t="s">
        <v>155</v>
      </c>
      <c r="S740" s="225" t="s">
        <v>155</v>
      </c>
      <c r="T740" s="226"/>
      <c r="U740" s="227"/>
      <c r="V740" s="52" t="s">
        <v>250</v>
      </c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</row>
    <row r="741" ht="30.0" customHeight="1">
      <c r="A741" s="159"/>
      <c r="B741" s="218" t="s">
        <v>246</v>
      </c>
      <c r="C741" s="218" t="s">
        <v>1614</v>
      </c>
      <c r="D741" s="218" t="s">
        <v>1724</v>
      </c>
      <c r="E741" s="219">
        <v>148488.0</v>
      </c>
      <c r="F741" s="220" t="s">
        <v>1764</v>
      </c>
      <c r="G741" s="221" t="s">
        <v>518</v>
      </c>
      <c r="H741" s="222" t="s">
        <v>250</v>
      </c>
      <c r="I741" s="221" t="s">
        <v>1765</v>
      </c>
      <c r="J741" s="222" t="s">
        <v>250</v>
      </c>
      <c r="K741" s="223">
        <v>1.0</v>
      </c>
      <c r="L741" s="223" t="b">
        <v>0</v>
      </c>
      <c r="M741" s="228"/>
      <c r="N741" s="228"/>
      <c r="O741" s="224"/>
      <c r="P741" s="225" t="s">
        <v>155</v>
      </c>
      <c r="Q741" s="225" t="s">
        <v>155</v>
      </c>
      <c r="R741" s="225" t="s">
        <v>155</v>
      </c>
      <c r="S741" s="225" t="s">
        <v>155</v>
      </c>
      <c r="T741" s="226"/>
      <c r="U741" s="227"/>
      <c r="V741" s="109" t="s">
        <v>1766</v>
      </c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</row>
    <row r="742" ht="30.0" customHeight="1">
      <c r="A742" s="159"/>
      <c r="B742" s="218" t="s">
        <v>246</v>
      </c>
      <c r="C742" s="218" t="s">
        <v>1614</v>
      </c>
      <c r="D742" s="218" t="s">
        <v>1724</v>
      </c>
      <c r="E742" s="219">
        <v>16399.0</v>
      </c>
      <c r="F742" s="220" t="s">
        <v>1767</v>
      </c>
      <c r="G742" s="221" t="s">
        <v>518</v>
      </c>
      <c r="H742" s="221" t="s">
        <v>846</v>
      </c>
      <c r="I742" s="221" t="s">
        <v>1768</v>
      </c>
      <c r="J742" s="221" t="s">
        <v>1161</v>
      </c>
      <c r="K742" s="223">
        <v>3.0</v>
      </c>
      <c r="L742" s="223" t="b">
        <v>1</v>
      </c>
      <c r="M742" s="223" t="s">
        <v>1768</v>
      </c>
      <c r="N742" s="223">
        <v>71.253181</v>
      </c>
      <c r="O742" s="224"/>
      <c r="P742" s="225" t="s">
        <v>155</v>
      </c>
      <c r="Q742" s="225" t="s">
        <v>155</v>
      </c>
      <c r="R742" s="225" t="s">
        <v>155</v>
      </c>
      <c r="S742" s="225" t="s">
        <v>155</v>
      </c>
      <c r="T742" s="226"/>
      <c r="U742" s="227"/>
      <c r="V742" s="52" t="s">
        <v>250</v>
      </c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</row>
    <row r="743" ht="30.0" customHeight="1">
      <c r="A743" s="159"/>
      <c r="B743" s="218" t="s">
        <v>246</v>
      </c>
      <c r="C743" s="218" t="s">
        <v>1614</v>
      </c>
      <c r="D743" s="218" t="s">
        <v>1724</v>
      </c>
      <c r="E743" s="219">
        <v>110931.0</v>
      </c>
      <c r="F743" s="220" t="s">
        <v>1769</v>
      </c>
      <c r="G743" s="221" t="s">
        <v>518</v>
      </c>
      <c r="H743" s="221" t="s">
        <v>1770</v>
      </c>
      <c r="I743" s="221" t="s">
        <v>1771</v>
      </c>
      <c r="J743" s="221" t="s">
        <v>1161</v>
      </c>
      <c r="K743" s="223">
        <v>2.0</v>
      </c>
      <c r="L743" s="223" t="b">
        <v>1</v>
      </c>
      <c r="M743" s="228"/>
      <c r="N743" s="228"/>
      <c r="O743" s="224"/>
      <c r="P743" s="225" t="s">
        <v>155</v>
      </c>
      <c r="Q743" s="225" t="s">
        <v>155</v>
      </c>
      <c r="R743" s="225" t="s">
        <v>155</v>
      </c>
      <c r="S743" s="225" t="s">
        <v>155</v>
      </c>
      <c r="T743" s="226"/>
      <c r="U743" s="227"/>
      <c r="V743" s="52" t="s">
        <v>250</v>
      </c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</row>
    <row r="744" ht="30.0" customHeight="1">
      <c r="A744" s="159"/>
      <c r="B744" s="218" t="s">
        <v>246</v>
      </c>
      <c r="C744" s="218" t="s">
        <v>1614</v>
      </c>
      <c r="D744" s="218" t="s">
        <v>1724</v>
      </c>
      <c r="E744" s="219">
        <v>16402.0</v>
      </c>
      <c r="F744" s="220" t="s">
        <v>1772</v>
      </c>
      <c r="G744" s="221" t="s">
        <v>518</v>
      </c>
      <c r="H744" s="221" t="s">
        <v>846</v>
      </c>
      <c r="I744" s="221" t="s">
        <v>1707</v>
      </c>
      <c r="J744" s="221" t="s">
        <v>1161</v>
      </c>
      <c r="K744" s="223">
        <v>3.0</v>
      </c>
      <c r="L744" s="223" t="b">
        <v>1</v>
      </c>
      <c r="M744" s="223" t="s">
        <v>1707</v>
      </c>
      <c r="N744" s="223">
        <v>4.094041</v>
      </c>
      <c r="O744" s="224"/>
      <c r="P744" s="225" t="s">
        <v>155</v>
      </c>
      <c r="Q744" s="225" t="s">
        <v>155</v>
      </c>
      <c r="R744" s="225" t="s">
        <v>155</v>
      </c>
      <c r="S744" s="225" t="s">
        <v>155</v>
      </c>
      <c r="T744" s="226"/>
      <c r="U744" s="227"/>
      <c r="V744" s="52" t="s">
        <v>250</v>
      </c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</row>
    <row r="745" ht="30.0" customHeight="1">
      <c r="A745" s="159"/>
      <c r="B745" s="218" t="s">
        <v>246</v>
      </c>
      <c r="C745" s="218" t="s">
        <v>1614</v>
      </c>
      <c r="D745" s="218" t="s">
        <v>1724</v>
      </c>
      <c r="E745" s="219">
        <v>16427.0</v>
      </c>
      <c r="F745" s="220" t="s">
        <v>1773</v>
      </c>
      <c r="G745" s="221" t="s">
        <v>518</v>
      </c>
      <c r="H745" s="221" t="s">
        <v>1632</v>
      </c>
      <c r="I745" s="221" t="s">
        <v>1774</v>
      </c>
      <c r="J745" s="221" t="s">
        <v>819</v>
      </c>
      <c r="K745" s="223">
        <v>4.0</v>
      </c>
      <c r="L745" s="223" t="b">
        <v>1</v>
      </c>
      <c r="M745" s="223" t="s">
        <v>1774</v>
      </c>
      <c r="N745" s="223">
        <v>37.203611</v>
      </c>
      <c r="O745" s="224" t="s">
        <v>238</v>
      </c>
      <c r="P745" s="225" t="s">
        <v>155</v>
      </c>
      <c r="Q745" s="225" t="s">
        <v>155</v>
      </c>
      <c r="R745" s="225" t="s">
        <v>155</v>
      </c>
      <c r="S745" s="225" t="s">
        <v>155</v>
      </c>
      <c r="T745" s="229" t="s">
        <v>550</v>
      </c>
      <c r="U745" s="227"/>
      <c r="V745" s="109" t="s">
        <v>1775</v>
      </c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</row>
    <row r="746" ht="30.0" customHeight="1">
      <c r="A746" s="159"/>
      <c r="B746" s="218" t="s">
        <v>246</v>
      </c>
      <c r="C746" s="218" t="s">
        <v>1614</v>
      </c>
      <c r="D746" s="218" t="s">
        <v>1724</v>
      </c>
      <c r="E746" s="219">
        <v>10033.0</v>
      </c>
      <c r="F746" s="220" t="s">
        <v>1776</v>
      </c>
      <c r="G746" s="221" t="s">
        <v>518</v>
      </c>
      <c r="H746" s="221" t="s">
        <v>1777</v>
      </c>
      <c r="I746" s="221" t="s">
        <v>1778</v>
      </c>
      <c r="J746" s="222" t="s">
        <v>250</v>
      </c>
      <c r="K746" s="223">
        <v>3.0</v>
      </c>
      <c r="L746" s="223" t="b">
        <v>1</v>
      </c>
      <c r="M746" s="223" t="s">
        <v>1778</v>
      </c>
      <c r="N746" s="223">
        <v>7.942108</v>
      </c>
      <c r="O746" s="224" t="s">
        <v>238</v>
      </c>
      <c r="P746" s="225" t="s">
        <v>155</v>
      </c>
      <c r="Q746" s="225" t="s">
        <v>155</v>
      </c>
      <c r="R746" s="225" t="s">
        <v>155</v>
      </c>
      <c r="S746" s="225" t="s">
        <v>155</v>
      </c>
      <c r="T746" s="229" t="s">
        <v>550</v>
      </c>
      <c r="U746" s="227"/>
      <c r="V746" s="52" t="s">
        <v>250</v>
      </c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</row>
    <row r="747" ht="30.0" customHeight="1">
      <c r="A747" s="159"/>
      <c r="B747" s="218" t="s">
        <v>246</v>
      </c>
      <c r="C747" s="218" t="s">
        <v>1614</v>
      </c>
      <c r="D747" s="218" t="s">
        <v>1724</v>
      </c>
      <c r="E747" s="219">
        <v>16413.0</v>
      </c>
      <c r="F747" s="220" t="s">
        <v>1779</v>
      </c>
      <c r="G747" s="221" t="s">
        <v>518</v>
      </c>
      <c r="H747" s="221" t="s">
        <v>1780</v>
      </c>
      <c r="I747" s="221" t="s">
        <v>1001</v>
      </c>
      <c r="J747" s="221" t="s">
        <v>1161</v>
      </c>
      <c r="K747" s="223">
        <v>3.0</v>
      </c>
      <c r="L747" s="223" t="b">
        <v>1</v>
      </c>
      <c r="M747" s="223" t="s">
        <v>1001</v>
      </c>
      <c r="N747" s="223">
        <v>27.805287</v>
      </c>
      <c r="O747" s="224" t="s">
        <v>238</v>
      </c>
      <c r="P747" s="225" t="s">
        <v>155</v>
      </c>
      <c r="Q747" s="225" t="s">
        <v>155</v>
      </c>
      <c r="R747" s="225" t="s">
        <v>155</v>
      </c>
      <c r="S747" s="225" t="s">
        <v>155</v>
      </c>
      <c r="T747" s="226"/>
      <c r="U747" s="227"/>
      <c r="V747" s="109" t="s">
        <v>1781</v>
      </c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</row>
    <row r="748" ht="30.0" customHeight="1">
      <c r="A748" s="159"/>
      <c r="B748" s="218" t="s">
        <v>246</v>
      </c>
      <c r="C748" s="218" t="s">
        <v>1614</v>
      </c>
      <c r="D748" s="218" t="s">
        <v>1724</v>
      </c>
      <c r="E748" s="219">
        <v>16374.0</v>
      </c>
      <c r="F748" s="220" t="s">
        <v>1782</v>
      </c>
      <c r="G748" s="221" t="s">
        <v>518</v>
      </c>
      <c r="H748" s="222" t="s">
        <v>250</v>
      </c>
      <c r="I748" s="221" t="s">
        <v>1778</v>
      </c>
      <c r="J748" s="222" t="s">
        <v>250</v>
      </c>
      <c r="K748" s="223">
        <v>3.0</v>
      </c>
      <c r="L748" s="223" t="b">
        <v>1</v>
      </c>
      <c r="M748" s="223" t="s">
        <v>1778</v>
      </c>
      <c r="N748" s="223">
        <v>4.079397</v>
      </c>
      <c r="O748" s="224" t="s">
        <v>238</v>
      </c>
      <c r="P748" s="225" t="s">
        <v>155</v>
      </c>
      <c r="Q748" s="225" t="s">
        <v>155</v>
      </c>
      <c r="R748" s="225" t="s">
        <v>155</v>
      </c>
      <c r="S748" s="225" t="s">
        <v>155</v>
      </c>
      <c r="T748" s="226"/>
      <c r="U748" s="227"/>
      <c r="V748" s="52" t="s">
        <v>250</v>
      </c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</row>
    <row r="749" ht="30.0" customHeight="1">
      <c r="A749" s="209"/>
      <c r="B749" s="210" t="s">
        <v>1783</v>
      </c>
      <c r="C749" s="211"/>
      <c r="D749" s="211"/>
      <c r="E749" s="212"/>
      <c r="F749" s="213"/>
      <c r="G749" s="213"/>
      <c r="H749" s="213"/>
      <c r="I749" s="212"/>
      <c r="J749" s="212"/>
      <c r="K749" s="214"/>
      <c r="L749" s="214"/>
      <c r="M749" s="214"/>
      <c r="N749" s="214"/>
      <c r="O749" s="215"/>
      <c r="P749" s="216"/>
      <c r="Q749" s="216"/>
      <c r="R749" s="216"/>
      <c r="S749" s="216"/>
      <c r="T749" s="217"/>
      <c r="U749" s="217"/>
      <c r="V749" s="217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</row>
    <row r="750" ht="30.0" customHeight="1">
      <c r="A750" s="159"/>
      <c r="B750" s="218" t="s">
        <v>246</v>
      </c>
      <c r="C750" s="218" t="s">
        <v>1614</v>
      </c>
      <c r="D750" s="218" t="s">
        <v>1783</v>
      </c>
      <c r="E750" s="219">
        <v>110951.0</v>
      </c>
      <c r="F750" s="220" t="s">
        <v>1784</v>
      </c>
      <c r="G750" s="221" t="s">
        <v>518</v>
      </c>
      <c r="H750" s="221" t="s">
        <v>1785</v>
      </c>
      <c r="I750" s="221" t="s">
        <v>1786</v>
      </c>
      <c r="J750" s="221" t="s">
        <v>426</v>
      </c>
      <c r="K750" s="223">
        <v>1.0</v>
      </c>
      <c r="L750" s="223" t="b">
        <v>0</v>
      </c>
      <c r="M750" s="223" t="s">
        <v>42</v>
      </c>
      <c r="N750" s="223">
        <v>3.985</v>
      </c>
      <c r="O750" s="224"/>
      <c r="P750" s="225" t="s">
        <v>155</v>
      </c>
      <c r="Q750" s="225" t="s">
        <v>155</v>
      </c>
      <c r="R750" s="225" t="s">
        <v>155</v>
      </c>
      <c r="S750" s="225" t="s">
        <v>155</v>
      </c>
      <c r="T750" s="226"/>
      <c r="U750" s="227"/>
      <c r="V750" s="52" t="s">
        <v>250</v>
      </c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</row>
    <row r="751" ht="30.0" customHeight="1">
      <c r="A751" s="159"/>
      <c r="B751" s="218" t="s">
        <v>246</v>
      </c>
      <c r="C751" s="218" t="s">
        <v>1614</v>
      </c>
      <c r="D751" s="218" t="s">
        <v>1783</v>
      </c>
      <c r="E751" s="219">
        <v>16011.0</v>
      </c>
      <c r="F751" s="220" t="s">
        <v>1787</v>
      </c>
      <c r="G751" s="221" t="s">
        <v>369</v>
      </c>
      <c r="H751" s="221" t="s">
        <v>1788</v>
      </c>
      <c r="I751" s="221" t="s">
        <v>1789</v>
      </c>
      <c r="J751" s="221" t="s">
        <v>426</v>
      </c>
      <c r="K751" s="223">
        <v>4.0</v>
      </c>
      <c r="L751" s="223" t="b">
        <v>1</v>
      </c>
      <c r="M751" s="223" t="s">
        <v>1789</v>
      </c>
      <c r="N751" s="223">
        <v>12.108272</v>
      </c>
      <c r="O751" s="224" t="s">
        <v>238</v>
      </c>
      <c r="P751" s="225" t="s">
        <v>155</v>
      </c>
      <c r="Q751" s="225" t="s">
        <v>155</v>
      </c>
      <c r="R751" s="225" t="s">
        <v>155</v>
      </c>
      <c r="S751" s="225" t="s">
        <v>155</v>
      </c>
      <c r="T751" s="226"/>
      <c r="U751" s="227"/>
      <c r="V751" s="109" t="s">
        <v>1790</v>
      </c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</row>
    <row r="752" ht="30.0" customHeight="1">
      <c r="A752" s="159"/>
      <c r="B752" s="218" t="s">
        <v>246</v>
      </c>
      <c r="C752" s="218" t="s">
        <v>1614</v>
      </c>
      <c r="D752" s="218" t="s">
        <v>1783</v>
      </c>
      <c r="E752" s="219">
        <v>16013.0</v>
      </c>
      <c r="F752" s="220" t="s">
        <v>1791</v>
      </c>
      <c r="G752" s="221" t="s">
        <v>518</v>
      </c>
      <c r="H752" s="221" t="s">
        <v>846</v>
      </c>
      <c r="I752" s="221" t="s">
        <v>961</v>
      </c>
      <c r="J752" s="221" t="s">
        <v>426</v>
      </c>
      <c r="K752" s="223">
        <v>4.0</v>
      </c>
      <c r="L752" s="223" t="b">
        <v>1</v>
      </c>
      <c r="M752" s="223" t="s">
        <v>961</v>
      </c>
      <c r="N752" s="223">
        <v>51.484347</v>
      </c>
      <c r="O752" s="224" t="s">
        <v>238</v>
      </c>
      <c r="P752" s="225" t="s">
        <v>155</v>
      </c>
      <c r="Q752" s="225" t="s">
        <v>155</v>
      </c>
      <c r="R752" s="225" t="s">
        <v>155</v>
      </c>
      <c r="S752" s="225" t="s">
        <v>155</v>
      </c>
      <c r="T752" s="226"/>
      <c r="U752" s="227"/>
      <c r="V752" s="52" t="s">
        <v>250</v>
      </c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</row>
    <row r="753" ht="30.0" customHeight="1">
      <c r="A753" s="159"/>
      <c r="B753" s="104" t="s">
        <v>246</v>
      </c>
      <c r="C753" s="104" t="s">
        <v>1614</v>
      </c>
      <c r="D753" s="104" t="s">
        <v>1783</v>
      </c>
      <c r="E753" s="238">
        <v>111962.0</v>
      </c>
      <c r="F753" s="104" t="s">
        <v>1792</v>
      </c>
      <c r="G753" s="127" t="s">
        <v>369</v>
      </c>
      <c r="H753" s="221" t="s">
        <v>1793</v>
      </c>
      <c r="I753" s="127" t="s">
        <v>455</v>
      </c>
      <c r="J753" s="127" t="s">
        <v>426</v>
      </c>
      <c r="K753" s="239">
        <v>2.0</v>
      </c>
      <c r="L753" s="239" t="b">
        <v>0</v>
      </c>
      <c r="M753" s="223" t="s">
        <v>42</v>
      </c>
      <c r="N753" s="239">
        <v>7.84</v>
      </c>
      <c r="O753" s="197"/>
      <c r="P753" s="29" t="s">
        <v>155</v>
      </c>
      <c r="Q753" s="29" t="s">
        <v>155</v>
      </c>
      <c r="R753" s="29" t="s">
        <v>155</v>
      </c>
      <c r="S753" s="29" t="s">
        <v>155</v>
      </c>
      <c r="T753" s="240"/>
      <c r="U753" s="227"/>
      <c r="V753" s="52" t="s">
        <v>250</v>
      </c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</row>
    <row r="754" ht="30.0" customHeight="1">
      <c r="A754" s="159"/>
      <c r="B754" s="218" t="s">
        <v>246</v>
      </c>
      <c r="C754" s="218" t="s">
        <v>1614</v>
      </c>
      <c r="D754" s="218" t="s">
        <v>1783</v>
      </c>
      <c r="E754" s="219">
        <v>16085.0</v>
      </c>
      <c r="F754" s="220" t="s">
        <v>1794</v>
      </c>
      <c r="G754" s="221" t="s">
        <v>518</v>
      </c>
      <c r="H754" s="221" t="s">
        <v>1795</v>
      </c>
      <c r="I754" s="221" t="s">
        <v>1796</v>
      </c>
      <c r="J754" s="221" t="s">
        <v>476</v>
      </c>
      <c r="K754" s="223">
        <v>4.0</v>
      </c>
      <c r="L754" s="223" t="b">
        <v>1</v>
      </c>
      <c r="M754" s="223" t="s">
        <v>1796</v>
      </c>
      <c r="N754" s="223">
        <v>54.483529</v>
      </c>
      <c r="O754" s="224" t="s">
        <v>238</v>
      </c>
      <c r="P754" s="225" t="s">
        <v>155</v>
      </c>
      <c r="Q754" s="225" t="s">
        <v>155</v>
      </c>
      <c r="R754" s="225" t="s">
        <v>155</v>
      </c>
      <c r="S754" s="225" t="s">
        <v>155</v>
      </c>
      <c r="T754" s="226"/>
      <c r="U754" s="227"/>
      <c r="V754" s="52" t="s">
        <v>250</v>
      </c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</row>
    <row r="755" ht="30.0" customHeight="1">
      <c r="A755" s="159"/>
      <c r="B755" s="218" t="s">
        <v>246</v>
      </c>
      <c r="C755" s="218" t="s">
        <v>1614</v>
      </c>
      <c r="D755" s="218" t="s">
        <v>1783</v>
      </c>
      <c r="E755" s="219">
        <v>16088.0</v>
      </c>
      <c r="F755" s="220" t="s">
        <v>1797</v>
      </c>
      <c r="G755" s="221" t="s">
        <v>518</v>
      </c>
      <c r="H755" s="222"/>
      <c r="I755" s="221" t="s">
        <v>1798</v>
      </c>
      <c r="J755" s="221" t="s">
        <v>476</v>
      </c>
      <c r="K755" s="223">
        <v>4.0</v>
      </c>
      <c r="L755" s="223" t="b">
        <v>1</v>
      </c>
      <c r="M755" s="223" t="s">
        <v>1798</v>
      </c>
      <c r="N755" s="223">
        <v>104.238787</v>
      </c>
      <c r="O755" s="224" t="s">
        <v>238</v>
      </c>
      <c r="P755" s="225" t="s">
        <v>155</v>
      </c>
      <c r="Q755" s="225" t="s">
        <v>155</v>
      </c>
      <c r="R755" s="225" t="s">
        <v>155</v>
      </c>
      <c r="S755" s="225" t="s">
        <v>155</v>
      </c>
      <c r="T755" s="226"/>
      <c r="U755" s="227"/>
      <c r="V755" s="52" t="s">
        <v>250</v>
      </c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</row>
    <row r="756" ht="30.0" customHeight="1">
      <c r="A756" s="159"/>
      <c r="B756" s="222" t="s">
        <v>246</v>
      </c>
      <c r="C756" s="195" t="s">
        <v>423</v>
      </c>
      <c r="D756" s="218" t="s">
        <v>1783</v>
      </c>
      <c r="E756" s="241">
        <v>11455.0</v>
      </c>
      <c r="F756" s="242" t="s">
        <v>1799</v>
      </c>
      <c r="G756" s="243" t="s">
        <v>369</v>
      </c>
      <c r="H756" s="195"/>
      <c r="I756" s="243" t="s">
        <v>961</v>
      </c>
      <c r="J756" s="243" t="s">
        <v>481</v>
      </c>
      <c r="K756" s="244">
        <v>4.0</v>
      </c>
      <c r="L756" s="245" t="b">
        <v>1</v>
      </c>
      <c r="M756" s="223" t="s">
        <v>961</v>
      </c>
      <c r="N756" s="244">
        <v>21.0</v>
      </c>
      <c r="O756" s="246"/>
      <c r="P756" s="230" t="s">
        <v>155</v>
      </c>
      <c r="Q756" s="230" t="s">
        <v>155</v>
      </c>
      <c r="R756" s="230" t="s">
        <v>155</v>
      </c>
      <c r="S756" s="230" t="s">
        <v>155</v>
      </c>
      <c r="T756" s="247" t="s">
        <v>430</v>
      </c>
      <c r="U756" s="227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</row>
    <row r="757" ht="30.0" customHeight="1">
      <c r="A757" s="159"/>
      <c r="B757" s="218" t="s">
        <v>246</v>
      </c>
      <c r="C757" s="218" t="s">
        <v>1614</v>
      </c>
      <c r="D757" s="218" t="s">
        <v>1783</v>
      </c>
      <c r="E757" s="219">
        <v>16064.0</v>
      </c>
      <c r="F757" s="220" t="s">
        <v>1800</v>
      </c>
      <c r="G757" s="221" t="s">
        <v>518</v>
      </c>
      <c r="H757" s="221" t="s">
        <v>1801</v>
      </c>
      <c r="I757" s="221" t="s">
        <v>1802</v>
      </c>
      <c r="J757" s="221" t="s">
        <v>426</v>
      </c>
      <c r="K757" s="223">
        <v>4.0</v>
      </c>
      <c r="L757" s="223" t="b">
        <v>1</v>
      </c>
      <c r="M757" s="223" t="s">
        <v>1802</v>
      </c>
      <c r="N757" s="223">
        <v>87.256692</v>
      </c>
      <c r="O757" s="224" t="s">
        <v>238</v>
      </c>
      <c r="P757" s="225" t="s">
        <v>155</v>
      </c>
      <c r="Q757" s="225" t="s">
        <v>155</v>
      </c>
      <c r="R757" s="225" t="s">
        <v>155</v>
      </c>
      <c r="S757" s="225" t="s">
        <v>155</v>
      </c>
      <c r="T757" s="226"/>
      <c r="U757" s="227"/>
      <c r="V757" s="52" t="s">
        <v>250</v>
      </c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</row>
    <row r="758" ht="30.0" customHeight="1">
      <c r="A758" s="209"/>
      <c r="B758" s="210" t="s">
        <v>1803</v>
      </c>
      <c r="C758" s="211"/>
      <c r="D758" s="211"/>
      <c r="E758" s="212"/>
      <c r="F758" s="213"/>
      <c r="G758" s="213"/>
      <c r="H758" s="213"/>
      <c r="I758" s="212"/>
      <c r="J758" s="212"/>
      <c r="K758" s="214"/>
      <c r="L758" s="214"/>
      <c r="M758" s="214"/>
      <c r="N758" s="214"/>
      <c r="O758" s="215"/>
      <c r="P758" s="216"/>
      <c r="Q758" s="216"/>
      <c r="R758" s="216"/>
      <c r="S758" s="216"/>
      <c r="T758" s="217"/>
      <c r="U758" s="217"/>
      <c r="V758" s="217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</row>
    <row r="759" ht="30.0" customHeight="1">
      <c r="A759" s="159"/>
      <c r="B759" s="159" t="s">
        <v>246</v>
      </c>
      <c r="C759" s="218" t="s">
        <v>1614</v>
      </c>
      <c r="D759" s="218" t="s">
        <v>1803</v>
      </c>
      <c r="E759" s="219">
        <v>16508.0</v>
      </c>
      <c r="F759" s="220" t="s">
        <v>1804</v>
      </c>
      <c r="G759" s="221" t="s">
        <v>518</v>
      </c>
      <c r="H759" s="222" t="s">
        <v>250</v>
      </c>
      <c r="I759" s="221" t="s">
        <v>1617</v>
      </c>
      <c r="J759" s="222" t="s">
        <v>250</v>
      </c>
      <c r="K759" s="223">
        <v>2.0</v>
      </c>
      <c r="L759" s="223" t="b">
        <v>1</v>
      </c>
      <c r="M759" s="223" t="s">
        <v>1617</v>
      </c>
      <c r="N759" s="223">
        <v>6.28488</v>
      </c>
      <c r="O759" s="224" t="s">
        <v>238</v>
      </c>
      <c r="P759" s="225" t="s">
        <v>155</v>
      </c>
      <c r="Q759" s="225" t="s">
        <v>155</v>
      </c>
      <c r="R759" s="225" t="s">
        <v>155</v>
      </c>
      <c r="S759" s="225" t="s">
        <v>155</v>
      </c>
      <c r="T759" s="226"/>
      <c r="U759" s="227"/>
      <c r="V759" s="109" t="s">
        <v>1805</v>
      </c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</row>
    <row r="760" ht="30.0" customHeight="1">
      <c r="A760" s="159"/>
      <c r="B760" s="218" t="s">
        <v>246</v>
      </c>
      <c r="C760" s="218" t="s">
        <v>1614</v>
      </c>
      <c r="D760" s="218" t="s">
        <v>1803</v>
      </c>
      <c r="E760" s="219">
        <v>16495.0</v>
      </c>
      <c r="F760" s="220" t="s">
        <v>1806</v>
      </c>
      <c r="G760" s="221" t="s">
        <v>518</v>
      </c>
      <c r="H760" s="222" t="s">
        <v>250</v>
      </c>
      <c r="I760" s="221" t="s">
        <v>1807</v>
      </c>
      <c r="J760" s="222" t="s">
        <v>250</v>
      </c>
      <c r="K760" s="223">
        <v>2.0</v>
      </c>
      <c r="L760" s="223" t="b">
        <v>1</v>
      </c>
      <c r="M760" s="223" t="s">
        <v>1807</v>
      </c>
      <c r="N760" s="223">
        <v>32.013478</v>
      </c>
      <c r="O760" s="224" t="s">
        <v>238</v>
      </c>
      <c r="P760" s="225" t="s">
        <v>155</v>
      </c>
      <c r="Q760" s="225" t="s">
        <v>155</v>
      </c>
      <c r="R760" s="225" t="s">
        <v>155</v>
      </c>
      <c r="S760" s="225" t="s">
        <v>155</v>
      </c>
      <c r="T760" s="226"/>
      <c r="U760" s="227"/>
      <c r="V760" s="109" t="s">
        <v>1808</v>
      </c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</row>
    <row r="761" ht="30.0" customHeight="1">
      <c r="A761" s="159"/>
      <c r="B761" s="104" t="s">
        <v>246</v>
      </c>
      <c r="C761" s="104" t="s">
        <v>1614</v>
      </c>
      <c r="D761" s="104" t="s">
        <v>1803</v>
      </c>
      <c r="E761" s="238">
        <v>16500.0</v>
      </c>
      <c r="F761" s="104" t="s">
        <v>1809</v>
      </c>
      <c r="G761" s="127" t="s">
        <v>518</v>
      </c>
      <c r="H761" s="127" t="s">
        <v>1810</v>
      </c>
      <c r="I761" s="127" t="s">
        <v>1811</v>
      </c>
      <c r="J761" s="159" t="s">
        <v>250</v>
      </c>
      <c r="K761" s="239">
        <v>2.0</v>
      </c>
      <c r="L761" s="239" t="b">
        <v>1</v>
      </c>
      <c r="M761" s="223" t="s">
        <v>1811</v>
      </c>
      <c r="N761" s="239">
        <v>37.656593</v>
      </c>
      <c r="O761" s="197" t="s">
        <v>238</v>
      </c>
      <c r="P761" s="29" t="s">
        <v>155</v>
      </c>
      <c r="Q761" s="29" t="s">
        <v>155</v>
      </c>
      <c r="R761" s="29" t="s">
        <v>155</v>
      </c>
      <c r="S761" s="29" t="s">
        <v>155</v>
      </c>
      <c r="T761" s="240"/>
      <c r="U761" s="227"/>
      <c r="V761" s="109" t="s">
        <v>1812</v>
      </c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</row>
    <row r="762" ht="30.0" customHeight="1">
      <c r="A762" s="159"/>
      <c r="B762" s="218" t="s">
        <v>246</v>
      </c>
      <c r="C762" s="218" t="s">
        <v>1614</v>
      </c>
      <c r="D762" s="218" t="s">
        <v>1803</v>
      </c>
      <c r="E762" s="219">
        <v>109517.0</v>
      </c>
      <c r="F762" s="220" t="s">
        <v>1813</v>
      </c>
      <c r="G762" s="221" t="s">
        <v>518</v>
      </c>
      <c r="H762" s="221" t="s">
        <v>1814</v>
      </c>
      <c r="I762" s="221" t="s">
        <v>1815</v>
      </c>
      <c r="J762" s="221" t="b">
        <v>0</v>
      </c>
      <c r="K762" s="223" t="b">
        <v>0</v>
      </c>
      <c r="L762" s="223" t="b">
        <v>0</v>
      </c>
      <c r="M762" s="223" t="s">
        <v>1816</v>
      </c>
      <c r="N762" s="223" t="s">
        <v>1817</v>
      </c>
      <c r="O762" s="224"/>
      <c r="P762" s="230"/>
      <c r="Q762" s="225" t="s">
        <v>155</v>
      </c>
      <c r="R762" s="230"/>
      <c r="S762" s="230"/>
      <c r="T762" s="237" t="s">
        <v>592</v>
      </c>
      <c r="U762" s="235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</row>
    <row r="763" ht="30.0" customHeight="1">
      <c r="A763" s="159"/>
      <c r="B763" s="104" t="s">
        <v>246</v>
      </c>
      <c r="C763" s="104" t="s">
        <v>1614</v>
      </c>
      <c r="D763" s="104" t="s">
        <v>1803</v>
      </c>
      <c r="E763" s="238">
        <v>16525.0</v>
      </c>
      <c r="F763" s="104" t="s">
        <v>1818</v>
      </c>
      <c r="G763" s="127" t="s">
        <v>518</v>
      </c>
      <c r="H763" s="127" t="s">
        <v>1819</v>
      </c>
      <c r="I763" s="127" t="s">
        <v>1820</v>
      </c>
      <c r="J763" s="127" t="b">
        <v>0</v>
      </c>
      <c r="K763" s="239">
        <v>2.0</v>
      </c>
      <c r="L763" s="239" t="b">
        <v>1</v>
      </c>
      <c r="M763" s="223" t="s">
        <v>1821</v>
      </c>
      <c r="N763" s="239">
        <v>49.37</v>
      </c>
      <c r="O763" s="197"/>
      <c r="P763" s="29" t="s">
        <v>155</v>
      </c>
      <c r="Q763" s="29" t="s">
        <v>155</v>
      </c>
      <c r="R763" s="29" t="s">
        <v>155</v>
      </c>
      <c r="S763" s="29" t="s">
        <v>155</v>
      </c>
      <c r="T763" s="248" t="s">
        <v>554</v>
      </c>
      <c r="U763" s="227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</row>
    <row r="764" ht="30.0" customHeight="1">
      <c r="A764" s="159"/>
      <c r="B764" s="218" t="s">
        <v>246</v>
      </c>
      <c r="C764" s="218" t="s">
        <v>1614</v>
      </c>
      <c r="D764" s="218" t="s">
        <v>1803</v>
      </c>
      <c r="E764" s="219">
        <v>16490.0</v>
      </c>
      <c r="F764" s="220" t="s">
        <v>1822</v>
      </c>
      <c r="G764" s="221" t="s">
        <v>518</v>
      </c>
      <c r="H764" s="222" t="s">
        <v>250</v>
      </c>
      <c r="I764" s="221" t="s">
        <v>1641</v>
      </c>
      <c r="J764" s="222" t="s">
        <v>250</v>
      </c>
      <c r="K764" s="223">
        <v>2.0</v>
      </c>
      <c r="L764" s="223" t="b">
        <v>1</v>
      </c>
      <c r="M764" s="223" t="s">
        <v>1641</v>
      </c>
      <c r="N764" s="223">
        <v>33.678642</v>
      </c>
      <c r="O764" s="224" t="s">
        <v>238</v>
      </c>
      <c r="P764" s="225" t="s">
        <v>155</v>
      </c>
      <c r="Q764" s="225" t="s">
        <v>155</v>
      </c>
      <c r="R764" s="225" t="s">
        <v>155</v>
      </c>
      <c r="S764" s="225" t="s">
        <v>155</v>
      </c>
      <c r="T764" s="226"/>
      <c r="U764" s="227"/>
      <c r="V764" s="109" t="s">
        <v>1823</v>
      </c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</row>
    <row r="765" ht="30.0" customHeight="1">
      <c r="A765" s="159"/>
      <c r="B765" s="218" t="s">
        <v>246</v>
      </c>
      <c r="C765" s="218" t="s">
        <v>1614</v>
      </c>
      <c r="D765" s="218" t="s">
        <v>1803</v>
      </c>
      <c r="E765" s="219">
        <v>16492.0</v>
      </c>
      <c r="F765" s="220" t="s">
        <v>1824</v>
      </c>
      <c r="G765" s="221" t="s">
        <v>518</v>
      </c>
      <c r="H765" s="222" t="s">
        <v>250</v>
      </c>
      <c r="I765" s="221" t="s">
        <v>1641</v>
      </c>
      <c r="J765" s="222" t="s">
        <v>250</v>
      </c>
      <c r="K765" s="223">
        <v>2.0</v>
      </c>
      <c r="L765" s="223" t="b">
        <v>1</v>
      </c>
      <c r="M765" s="223" t="s">
        <v>1641</v>
      </c>
      <c r="N765" s="223">
        <v>34.602343</v>
      </c>
      <c r="O765" s="224" t="s">
        <v>238</v>
      </c>
      <c r="P765" s="225" t="s">
        <v>155</v>
      </c>
      <c r="Q765" s="225" t="s">
        <v>155</v>
      </c>
      <c r="R765" s="225" t="s">
        <v>155</v>
      </c>
      <c r="S765" s="225" t="s">
        <v>155</v>
      </c>
      <c r="T765" s="226"/>
      <c r="U765" s="227"/>
      <c r="V765" s="109" t="s">
        <v>1825</v>
      </c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</row>
    <row r="766" ht="30.0" customHeight="1">
      <c r="A766" s="159"/>
      <c r="B766" s="218" t="s">
        <v>246</v>
      </c>
      <c r="C766" s="218" t="s">
        <v>1614</v>
      </c>
      <c r="D766" s="218" t="s">
        <v>1803</v>
      </c>
      <c r="E766" s="219">
        <v>16487.0</v>
      </c>
      <c r="F766" s="220" t="s">
        <v>1826</v>
      </c>
      <c r="G766" s="221" t="s">
        <v>518</v>
      </c>
      <c r="H766" s="222" t="s">
        <v>250</v>
      </c>
      <c r="I766" s="221" t="s">
        <v>1256</v>
      </c>
      <c r="J766" s="222" t="s">
        <v>250</v>
      </c>
      <c r="K766" s="223">
        <v>2.0</v>
      </c>
      <c r="L766" s="223" t="b">
        <v>1</v>
      </c>
      <c r="M766" s="223" t="s">
        <v>1256</v>
      </c>
      <c r="N766" s="223">
        <v>48.141947</v>
      </c>
      <c r="O766" s="224" t="s">
        <v>238</v>
      </c>
      <c r="P766" s="225" t="s">
        <v>155</v>
      </c>
      <c r="Q766" s="225" t="s">
        <v>155</v>
      </c>
      <c r="R766" s="225" t="s">
        <v>155</v>
      </c>
      <c r="S766" s="225" t="s">
        <v>155</v>
      </c>
      <c r="T766" s="226"/>
      <c r="U766" s="227"/>
      <c r="V766" s="109" t="s">
        <v>1827</v>
      </c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</row>
    <row r="767" ht="30.0" customHeight="1">
      <c r="A767" s="159"/>
      <c r="B767" s="218" t="s">
        <v>246</v>
      </c>
      <c r="C767" s="218" t="s">
        <v>1614</v>
      </c>
      <c r="D767" s="218" t="s">
        <v>1803</v>
      </c>
      <c r="E767" s="219">
        <v>16186.0</v>
      </c>
      <c r="F767" s="220" t="s">
        <v>1828</v>
      </c>
      <c r="G767" s="221" t="s">
        <v>518</v>
      </c>
      <c r="H767" s="221" t="s">
        <v>1829</v>
      </c>
      <c r="I767" s="221" t="s">
        <v>1617</v>
      </c>
      <c r="J767" s="222" t="s">
        <v>250</v>
      </c>
      <c r="K767" s="223">
        <v>2.0</v>
      </c>
      <c r="L767" s="223" t="b">
        <v>1</v>
      </c>
      <c r="M767" s="223" t="s">
        <v>1617</v>
      </c>
      <c r="N767" s="223">
        <v>20.417339</v>
      </c>
      <c r="O767" s="224" t="s">
        <v>238</v>
      </c>
      <c r="P767" s="225" t="s">
        <v>155</v>
      </c>
      <c r="Q767" s="225" t="s">
        <v>155</v>
      </c>
      <c r="R767" s="225" t="s">
        <v>155</v>
      </c>
      <c r="S767" s="225" t="s">
        <v>155</v>
      </c>
      <c r="T767" s="226"/>
      <c r="U767" s="227"/>
      <c r="V767" s="52" t="s">
        <v>250</v>
      </c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</row>
    <row r="768" ht="30.0" customHeight="1">
      <c r="A768" s="209"/>
      <c r="B768" s="209" t="s">
        <v>1830</v>
      </c>
      <c r="C768" s="211"/>
      <c r="D768" s="211"/>
      <c r="E768" s="212"/>
      <c r="F768" s="213"/>
      <c r="G768" s="213"/>
      <c r="H768" s="213"/>
      <c r="I768" s="212"/>
      <c r="J768" s="212"/>
      <c r="K768" s="214"/>
      <c r="L768" s="214"/>
      <c r="M768" s="214"/>
      <c r="N768" s="214"/>
      <c r="O768" s="215"/>
      <c r="P768" s="216"/>
      <c r="Q768" s="216"/>
      <c r="R768" s="216"/>
      <c r="S768" s="216"/>
      <c r="T768" s="217"/>
      <c r="U768" s="217"/>
      <c r="V768" s="217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</row>
    <row r="769" ht="30.0" customHeight="1">
      <c r="A769" s="159"/>
      <c r="B769" s="218" t="s">
        <v>246</v>
      </c>
      <c r="C769" s="218" t="s">
        <v>1614</v>
      </c>
      <c r="D769" s="218" t="s">
        <v>1830</v>
      </c>
      <c r="E769" s="219">
        <v>111121.0</v>
      </c>
      <c r="F769" s="220" t="s">
        <v>1831</v>
      </c>
      <c r="G769" s="221" t="s">
        <v>518</v>
      </c>
      <c r="H769" s="221" t="s">
        <v>1832</v>
      </c>
      <c r="I769" s="221" t="s">
        <v>1833</v>
      </c>
      <c r="J769" s="222" t="s">
        <v>250</v>
      </c>
      <c r="K769" s="223">
        <v>1.0</v>
      </c>
      <c r="L769" s="223" t="b">
        <v>1</v>
      </c>
      <c r="M769" s="223" t="s">
        <v>42</v>
      </c>
      <c r="N769" s="223">
        <v>4.147543</v>
      </c>
      <c r="O769" s="224"/>
      <c r="P769" s="225" t="s">
        <v>155</v>
      </c>
      <c r="Q769" s="225" t="s">
        <v>155</v>
      </c>
      <c r="R769" s="225" t="s">
        <v>155</v>
      </c>
      <c r="S769" s="225" t="s">
        <v>155</v>
      </c>
      <c r="T769" s="226"/>
      <c r="U769" s="227"/>
      <c r="V769" s="109" t="s">
        <v>1834</v>
      </c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</row>
    <row r="770" ht="30.0" customHeight="1">
      <c r="A770" s="159"/>
      <c r="B770" s="218" t="s">
        <v>246</v>
      </c>
      <c r="C770" s="218" t="s">
        <v>1614</v>
      </c>
      <c r="D770" s="218" t="s">
        <v>1830</v>
      </c>
      <c r="E770" s="219">
        <v>40492.0</v>
      </c>
      <c r="F770" s="220" t="s">
        <v>1835</v>
      </c>
      <c r="G770" s="221" t="s">
        <v>518</v>
      </c>
      <c r="H770" s="221" t="s">
        <v>1836</v>
      </c>
      <c r="I770" s="221" t="s">
        <v>1811</v>
      </c>
      <c r="J770" s="221" t="s">
        <v>364</v>
      </c>
      <c r="K770" s="223">
        <v>2.0</v>
      </c>
      <c r="L770" s="223" t="b">
        <v>1</v>
      </c>
      <c r="M770" s="223" t="s">
        <v>1811</v>
      </c>
      <c r="N770" s="223">
        <v>26.15725</v>
      </c>
      <c r="O770" s="224" t="s">
        <v>238</v>
      </c>
      <c r="P770" s="225" t="s">
        <v>155</v>
      </c>
      <c r="Q770" s="225" t="s">
        <v>155</v>
      </c>
      <c r="R770" s="225" t="s">
        <v>155</v>
      </c>
      <c r="S770" s="225" t="s">
        <v>155</v>
      </c>
      <c r="T770" s="226"/>
      <c r="U770" s="227"/>
      <c r="V770" s="109" t="s">
        <v>1837</v>
      </c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</row>
    <row r="771" ht="30.0" customHeight="1">
      <c r="A771" s="159"/>
      <c r="B771" s="218" t="s">
        <v>246</v>
      </c>
      <c r="C771" s="218" t="s">
        <v>1614</v>
      </c>
      <c r="D771" s="218" t="s">
        <v>1830</v>
      </c>
      <c r="E771" s="17">
        <v>16530.0</v>
      </c>
      <c r="F771" s="127" t="s">
        <v>1838</v>
      </c>
      <c r="G771" s="221" t="s">
        <v>518</v>
      </c>
      <c r="H771" s="221" t="s">
        <v>1839</v>
      </c>
      <c r="I771" s="221" t="s">
        <v>1641</v>
      </c>
      <c r="J771" s="222" t="s">
        <v>250</v>
      </c>
      <c r="K771" s="223">
        <v>4.0</v>
      </c>
      <c r="L771" s="223" t="b">
        <v>1</v>
      </c>
      <c r="M771" s="223" t="s">
        <v>1641</v>
      </c>
      <c r="N771" s="223">
        <v>26.275218</v>
      </c>
      <c r="O771" s="224" t="s">
        <v>238</v>
      </c>
      <c r="P771" s="225" t="s">
        <v>155</v>
      </c>
      <c r="Q771" s="225" t="s">
        <v>155</v>
      </c>
      <c r="R771" s="225" t="s">
        <v>155</v>
      </c>
      <c r="S771" s="225" t="s">
        <v>155</v>
      </c>
      <c r="T771" s="226"/>
      <c r="U771" s="227"/>
      <c r="V771" s="109" t="s">
        <v>1840</v>
      </c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</row>
    <row r="772" ht="30.0" customHeight="1">
      <c r="A772" s="159"/>
      <c r="B772" s="218" t="s">
        <v>246</v>
      </c>
      <c r="C772" s="218" t="s">
        <v>1614</v>
      </c>
      <c r="D772" s="218" t="s">
        <v>1830</v>
      </c>
      <c r="E772" s="219">
        <v>32730.0</v>
      </c>
      <c r="F772" s="220" t="s">
        <v>1841</v>
      </c>
      <c r="G772" s="221" t="s">
        <v>518</v>
      </c>
      <c r="H772" s="222" t="s">
        <v>250</v>
      </c>
      <c r="I772" s="221" t="s">
        <v>1256</v>
      </c>
      <c r="J772" s="222" t="s">
        <v>250</v>
      </c>
      <c r="K772" s="223">
        <v>2.0</v>
      </c>
      <c r="L772" s="223" t="b">
        <v>0</v>
      </c>
      <c r="M772" s="223" t="s">
        <v>1256</v>
      </c>
      <c r="N772" s="223">
        <v>31.937419</v>
      </c>
      <c r="O772" s="224"/>
      <c r="P772" s="225" t="s">
        <v>155</v>
      </c>
      <c r="Q772" s="225" t="s">
        <v>155</v>
      </c>
      <c r="R772" s="225" t="s">
        <v>155</v>
      </c>
      <c r="S772" s="225" t="s">
        <v>155</v>
      </c>
      <c r="T772" s="226"/>
      <c r="U772" s="227"/>
      <c r="V772" s="109" t="s">
        <v>1251</v>
      </c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</row>
    <row r="773" ht="30.0" customHeight="1">
      <c r="A773" s="159"/>
      <c r="B773" s="218" t="s">
        <v>246</v>
      </c>
      <c r="C773" s="218" t="s">
        <v>1614</v>
      </c>
      <c r="D773" s="218" t="s">
        <v>1830</v>
      </c>
      <c r="E773" s="219">
        <v>16579.0</v>
      </c>
      <c r="F773" s="220" t="s">
        <v>1842</v>
      </c>
      <c r="G773" s="221" t="s">
        <v>518</v>
      </c>
      <c r="H773" s="221" t="s">
        <v>1843</v>
      </c>
      <c r="I773" s="221" t="s">
        <v>1256</v>
      </c>
      <c r="J773" s="222" t="s">
        <v>250</v>
      </c>
      <c r="K773" s="223">
        <v>3.0</v>
      </c>
      <c r="L773" s="223" t="b">
        <v>1</v>
      </c>
      <c r="M773" s="223" t="s">
        <v>1256</v>
      </c>
      <c r="N773" s="223">
        <v>19.661493</v>
      </c>
      <c r="O773" s="224" t="s">
        <v>238</v>
      </c>
      <c r="P773" s="225" t="s">
        <v>155</v>
      </c>
      <c r="Q773" s="225" t="s">
        <v>155</v>
      </c>
      <c r="R773" s="225" t="s">
        <v>155</v>
      </c>
      <c r="S773" s="225" t="s">
        <v>155</v>
      </c>
      <c r="T773" s="226"/>
      <c r="U773" s="227"/>
      <c r="V773" s="52" t="s">
        <v>250</v>
      </c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</row>
    <row r="774" ht="30.0" customHeight="1">
      <c r="A774" s="159"/>
      <c r="B774" s="218" t="s">
        <v>246</v>
      </c>
      <c r="C774" s="218" t="s">
        <v>1614</v>
      </c>
      <c r="D774" s="218" t="s">
        <v>1830</v>
      </c>
      <c r="E774" s="219">
        <v>40504.0</v>
      </c>
      <c r="F774" s="220" t="s">
        <v>1844</v>
      </c>
      <c r="G774" s="221" t="s">
        <v>518</v>
      </c>
      <c r="H774" s="222" t="s">
        <v>250</v>
      </c>
      <c r="I774" s="221" t="s">
        <v>1641</v>
      </c>
      <c r="J774" s="222" t="s">
        <v>250</v>
      </c>
      <c r="K774" s="223">
        <v>4.0</v>
      </c>
      <c r="L774" s="223" t="b">
        <v>1</v>
      </c>
      <c r="M774" s="223" t="s">
        <v>1641</v>
      </c>
      <c r="N774" s="223">
        <v>36.852</v>
      </c>
      <c r="O774" s="224" t="s">
        <v>238</v>
      </c>
      <c r="P774" s="225" t="s">
        <v>155</v>
      </c>
      <c r="Q774" s="225" t="s">
        <v>155</v>
      </c>
      <c r="R774" s="225" t="s">
        <v>155</v>
      </c>
      <c r="S774" s="225" t="s">
        <v>155</v>
      </c>
      <c r="T774" s="226"/>
      <c r="U774" s="227"/>
      <c r="V774" s="109" t="s">
        <v>1845</v>
      </c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</row>
    <row r="775" ht="30.0" customHeight="1">
      <c r="A775" s="159"/>
      <c r="B775" s="218" t="s">
        <v>246</v>
      </c>
      <c r="C775" s="218" t="s">
        <v>1614</v>
      </c>
      <c r="D775" s="218" t="s">
        <v>1830</v>
      </c>
      <c r="E775" s="219">
        <v>42304.0</v>
      </c>
      <c r="F775" s="220" t="s">
        <v>1846</v>
      </c>
      <c r="G775" s="221" t="s">
        <v>369</v>
      </c>
      <c r="H775" s="222" t="s">
        <v>250</v>
      </c>
      <c r="I775" s="221" t="s">
        <v>65</v>
      </c>
      <c r="J775" s="222" t="s">
        <v>250</v>
      </c>
      <c r="K775" s="223">
        <v>1.0</v>
      </c>
      <c r="L775" s="223" t="b">
        <v>0</v>
      </c>
      <c r="M775" s="228"/>
      <c r="N775" s="228"/>
      <c r="O775" s="224"/>
      <c r="P775" s="225" t="s">
        <v>155</v>
      </c>
      <c r="Q775" s="225" t="s">
        <v>155</v>
      </c>
      <c r="R775" s="225" t="s">
        <v>155</v>
      </c>
      <c r="S775" s="225" t="s">
        <v>155</v>
      </c>
      <c r="T775" s="226"/>
      <c r="U775" s="227"/>
      <c r="V775" s="52" t="s">
        <v>250</v>
      </c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</row>
    <row r="776" ht="30.0" customHeight="1">
      <c r="A776" s="159"/>
      <c r="B776" s="218" t="s">
        <v>246</v>
      </c>
      <c r="C776" s="218" t="s">
        <v>1614</v>
      </c>
      <c r="D776" s="218" t="s">
        <v>1830</v>
      </c>
      <c r="E776" s="219">
        <v>111126.0</v>
      </c>
      <c r="F776" s="220" t="s">
        <v>1847</v>
      </c>
      <c r="G776" s="221" t="s">
        <v>518</v>
      </c>
      <c r="H776" s="221" t="s">
        <v>1848</v>
      </c>
      <c r="I776" s="221" t="s">
        <v>1807</v>
      </c>
      <c r="J776" s="222" t="s">
        <v>250</v>
      </c>
      <c r="K776" s="223">
        <v>2.0</v>
      </c>
      <c r="L776" s="223" t="b">
        <v>1</v>
      </c>
      <c r="M776" s="223" t="s">
        <v>1807</v>
      </c>
      <c r="N776" s="223">
        <v>26.5565</v>
      </c>
      <c r="O776" s="224"/>
      <c r="P776" s="225" t="s">
        <v>155</v>
      </c>
      <c r="Q776" s="225" t="s">
        <v>155</v>
      </c>
      <c r="R776" s="225" t="s">
        <v>155</v>
      </c>
      <c r="S776" s="225" t="s">
        <v>155</v>
      </c>
      <c r="T776" s="226"/>
      <c r="U776" s="227"/>
      <c r="V776" s="52" t="s">
        <v>250</v>
      </c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</row>
    <row r="777" ht="30.0" customHeight="1">
      <c r="A777" s="159"/>
      <c r="B777" s="218" t="s">
        <v>246</v>
      </c>
      <c r="C777" s="218" t="s">
        <v>1614</v>
      </c>
      <c r="D777" s="218" t="s">
        <v>1830</v>
      </c>
      <c r="E777" s="219">
        <v>16570.0</v>
      </c>
      <c r="F777" s="220" t="s">
        <v>1849</v>
      </c>
      <c r="G777" s="221" t="s">
        <v>518</v>
      </c>
      <c r="H777" s="222" t="s">
        <v>250</v>
      </c>
      <c r="I777" s="221" t="s">
        <v>1256</v>
      </c>
      <c r="J777" s="222" t="s">
        <v>250</v>
      </c>
      <c r="K777" s="223">
        <v>4.0</v>
      </c>
      <c r="L777" s="223" t="b">
        <v>1</v>
      </c>
      <c r="M777" s="223" t="s">
        <v>1256</v>
      </c>
      <c r="N777" s="223">
        <v>69.49423</v>
      </c>
      <c r="O777" s="224" t="s">
        <v>238</v>
      </c>
      <c r="P777" s="225" t="s">
        <v>155</v>
      </c>
      <c r="Q777" s="225" t="s">
        <v>155</v>
      </c>
      <c r="R777" s="225" t="s">
        <v>155</v>
      </c>
      <c r="S777" s="225" t="s">
        <v>155</v>
      </c>
      <c r="T777" s="226"/>
      <c r="U777" s="227"/>
      <c r="V777" s="109" t="s">
        <v>1850</v>
      </c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</row>
    <row r="778" ht="30.0" customHeight="1">
      <c r="A778" s="159"/>
      <c r="B778" s="218" t="s">
        <v>246</v>
      </c>
      <c r="C778" s="218" t="s">
        <v>1614</v>
      </c>
      <c r="D778" s="218" t="s">
        <v>1830</v>
      </c>
      <c r="E778" s="219">
        <v>16527.0</v>
      </c>
      <c r="F778" s="220" t="s">
        <v>1851</v>
      </c>
      <c r="G778" s="221" t="s">
        <v>518</v>
      </c>
      <c r="H778" s="221" t="s">
        <v>1852</v>
      </c>
      <c r="I778" s="221" t="s">
        <v>1256</v>
      </c>
      <c r="J778" s="222" t="s">
        <v>250</v>
      </c>
      <c r="K778" s="223">
        <v>2.0</v>
      </c>
      <c r="L778" s="223" t="b">
        <v>1</v>
      </c>
      <c r="M778" s="223" t="s">
        <v>1256</v>
      </c>
      <c r="N778" s="223">
        <v>65.318275</v>
      </c>
      <c r="O778" s="224" t="s">
        <v>238</v>
      </c>
      <c r="P778" s="225" t="s">
        <v>155</v>
      </c>
      <c r="Q778" s="225" t="s">
        <v>155</v>
      </c>
      <c r="R778" s="225" t="s">
        <v>155</v>
      </c>
      <c r="S778" s="225" t="s">
        <v>155</v>
      </c>
      <c r="T778" s="226"/>
      <c r="U778" s="227"/>
      <c r="V778" s="52" t="s">
        <v>250</v>
      </c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</row>
    <row r="779" ht="30.0" customHeight="1">
      <c r="A779" s="159"/>
      <c r="B779" s="218" t="s">
        <v>246</v>
      </c>
      <c r="C779" s="218" t="s">
        <v>1614</v>
      </c>
      <c r="D779" s="218" t="s">
        <v>1830</v>
      </c>
      <c r="E779" s="219">
        <v>16555.0</v>
      </c>
      <c r="F779" s="220" t="s">
        <v>1853</v>
      </c>
      <c r="G779" s="221" t="s">
        <v>518</v>
      </c>
      <c r="H779" s="221" t="s">
        <v>1854</v>
      </c>
      <c r="I779" s="221" t="s">
        <v>1256</v>
      </c>
      <c r="J779" s="222" t="s">
        <v>250</v>
      </c>
      <c r="K779" s="223">
        <v>3.0</v>
      </c>
      <c r="L779" s="223" t="b">
        <v>1</v>
      </c>
      <c r="M779" s="223" t="s">
        <v>1256</v>
      </c>
      <c r="N779" s="223">
        <v>33.270333</v>
      </c>
      <c r="O779" s="224" t="s">
        <v>238</v>
      </c>
      <c r="P779" s="225" t="s">
        <v>155</v>
      </c>
      <c r="Q779" s="225" t="s">
        <v>155</v>
      </c>
      <c r="R779" s="225" t="s">
        <v>155</v>
      </c>
      <c r="S779" s="225" t="s">
        <v>155</v>
      </c>
      <c r="T779" s="226"/>
      <c r="U779" s="227"/>
      <c r="V779" s="52" t="s">
        <v>250</v>
      </c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</row>
    <row r="780" ht="30.0" customHeight="1">
      <c r="A780" s="159"/>
      <c r="B780" s="218" t="s">
        <v>246</v>
      </c>
      <c r="C780" s="218" t="s">
        <v>1614</v>
      </c>
      <c r="D780" s="218" t="s">
        <v>1830</v>
      </c>
      <c r="E780" s="219">
        <v>111698.0</v>
      </c>
      <c r="F780" s="220" t="s">
        <v>1855</v>
      </c>
      <c r="G780" s="221" t="s">
        <v>518</v>
      </c>
      <c r="H780" s="221" t="s">
        <v>1856</v>
      </c>
      <c r="I780" s="221" t="s">
        <v>464</v>
      </c>
      <c r="J780" s="222" t="s">
        <v>250</v>
      </c>
      <c r="K780" s="223">
        <v>1.0</v>
      </c>
      <c r="L780" s="223" t="b">
        <v>0</v>
      </c>
      <c r="M780" s="223" t="s">
        <v>42</v>
      </c>
      <c r="N780" s="223">
        <v>7.234615</v>
      </c>
      <c r="O780" s="224"/>
      <c r="P780" s="225" t="s">
        <v>155</v>
      </c>
      <c r="Q780" s="225" t="s">
        <v>155</v>
      </c>
      <c r="R780" s="225" t="s">
        <v>155</v>
      </c>
      <c r="S780" s="225" t="s">
        <v>155</v>
      </c>
      <c r="T780" s="226"/>
      <c r="U780" s="227"/>
      <c r="V780" s="109" t="s">
        <v>1857</v>
      </c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</row>
    <row r="781" ht="30.0" customHeight="1">
      <c r="A781" s="159"/>
      <c r="B781" s="218" t="s">
        <v>246</v>
      </c>
      <c r="C781" s="218" t="s">
        <v>1614</v>
      </c>
      <c r="D781" s="218" t="s">
        <v>1830</v>
      </c>
      <c r="E781" s="219">
        <v>16578.0</v>
      </c>
      <c r="F781" s="220" t="s">
        <v>1858</v>
      </c>
      <c r="G781" s="221" t="s">
        <v>518</v>
      </c>
      <c r="H781" s="222" t="s">
        <v>250</v>
      </c>
      <c r="I781" s="221" t="s">
        <v>1256</v>
      </c>
      <c r="J781" s="221" t="s">
        <v>1161</v>
      </c>
      <c r="K781" s="223">
        <v>3.0</v>
      </c>
      <c r="L781" s="223" t="b">
        <v>1</v>
      </c>
      <c r="M781" s="223" t="s">
        <v>1256</v>
      </c>
      <c r="N781" s="223">
        <v>21.103437</v>
      </c>
      <c r="O781" s="224" t="s">
        <v>238</v>
      </c>
      <c r="P781" s="225" t="s">
        <v>155</v>
      </c>
      <c r="Q781" s="225" t="s">
        <v>155</v>
      </c>
      <c r="R781" s="225" t="s">
        <v>155</v>
      </c>
      <c r="S781" s="225" t="s">
        <v>155</v>
      </c>
      <c r="T781" s="226"/>
      <c r="U781" s="227"/>
      <c r="V781" s="52" t="s">
        <v>250</v>
      </c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</row>
    <row r="782" ht="30.0" customHeight="1">
      <c r="A782" s="159"/>
      <c r="B782" s="218" t="s">
        <v>246</v>
      </c>
      <c r="C782" s="218" t="s">
        <v>1614</v>
      </c>
      <c r="D782" s="218" t="s">
        <v>1830</v>
      </c>
      <c r="E782" s="219">
        <v>111858.0</v>
      </c>
      <c r="F782" s="220" t="s">
        <v>1859</v>
      </c>
      <c r="G782" s="221" t="s">
        <v>518</v>
      </c>
      <c r="H782" s="221" t="s">
        <v>1860</v>
      </c>
      <c r="I782" s="221" t="s">
        <v>972</v>
      </c>
      <c r="J782" s="221" t="b">
        <v>0</v>
      </c>
      <c r="K782" s="223" t="s">
        <v>1819</v>
      </c>
      <c r="L782" s="223" t="b">
        <v>0</v>
      </c>
      <c r="M782" s="223" t="s">
        <v>42</v>
      </c>
      <c r="N782" s="228"/>
      <c r="O782" s="224"/>
      <c r="P782" s="230"/>
      <c r="Q782" s="230"/>
      <c r="R782" s="230"/>
      <c r="S782" s="230"/>
      <c r="T782" s="229" t="s">
        <v>1486</v>
      </c>
      <c r="U782" s="227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</row>
    <row r="783" ht="30.0" customHeight="1">
      <c r="A783" s="159"/>
      <c r="B783" s="218" t="s">
        <v>246</v>
      </c>
      <c r="C783" s="218" t="s">
        <v>1614</v>
      </c>
      <c r="D783" s="218" t="s">
        <v>1830</v>
      </c>
      <c r="E783" s="219">
        <v>112201.0</v>
      </c>
      <c r="F783" s="220" t="s">
        <v>1861</v>
      </c>
      <c r="G783" s="221" t="s">
        <v>369</v>
      </c>
      <c r="H783" s="221" t="s">
        <v>1862</v>
      </c>
      <c r="I783" s="221" t="s">
        <v>1863</v>
      </c>
      <c r="J783" s="221" t="s">
        <v>1864</v>
      </c>
      <c r="K783" s="223">
        <v>2.0</v>
      </c>
      <c r="L783" s="223" t="b">
        <v>1</v>
      </c>
      <c r="M783" s="223" t="s">
        <v>42</v>
      </c>
      <c r="N783" s="223">
        <v>15.037142</v>
      </c>
      <c r="O783" s="224"/>
      <c r="P783" s="225" t="s">
        <v>155</v>
      </c>
      <c r="Q783" s="225" t="s">
        <v>155</v>
      </c>
      <c r="R783" s="225" t="s">
        <v>155</v>
      </c>
      <c r="S783" s="225" t="s">
        <v>155</v>
      </c>
      <c r="T783" s="226"/>
      <c r="U783" s="227"/>
      <c r="V783" s="52" t="s">
        <v>250</v>
      </c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</row>
    <row r="784" ht="30.0" customHeight="1">
      <c r="A784" s="159"/>
      <c r="B784" s="218" t="s">
        <v>246</v>
      </c>
      <c r="C784" s="218" t="s">
        <v>1614</v>
      </c>
      <c r="D784" s="218" t="s">
        <v>1830</v>
      </c>
      <c r="E784" s="219">
        <v>111123.0</v>
      </c>
      <c r="F784" s="220" t="s">
        <v>1865</v>
      </c>
      <c r="G784" s="221" t="s">
        <v>518</v>
      </c>
      <c r="H784" s="221" t="s">
        <v>1832</v>
      </c>
      <c r="I784" s="221" t="s">
        <v>269</v>
      </c>
      <c r="J784" s="222" t="s">
        <v>250</v>
      </c>
      <c r="K784" s="223">
        <v>1.0</v>
      </c>
      <c r="L784" s="223" t="b">
        <v>0</v>
      </c>
      <c r="M784" s="223" t="s">
        <v>42</v>
      </c>
      <c r="N784" s="223">
        <v>4.512</v>
      </c>
      <c r="O784" s="224"/>
      <c r="P784" s="225" t="s">
        <v>155</v>
      </c>
      <c r="Q784" s="225" t="s">
        <v>155</v>
      </c>
      <c r="R784" s="225" t="s">
        <v>155</v>
      </c>
      <c r="S784" s="225" t="s">
        <v>155</v>
      </c>
      <c r="T784" s="226"/>
      <c r="U784" s="227"/>
      <c r="V784" s="52" t="s">
        <v>250</v>
      </c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</row>
    <row r="785" ht="30.0" customHeight="1">
      <c r="A785" s="159"/>
      <c r="B785" s="218" t="s">
        <v>246</v>
      </c>
      <c r="C785" s="218" t="s">
        <v>1614</v>
      </c>
      <c r="D785" s="218" t="s">
        <v>1830</v>
      </c>
      <c r="E785" s="219">
        <v>16598.0</v>
      </c>
      <c r="F785" s="220" t="s">
        <v>1866</v>
      </c>
      <c r="G785" s="221" t="s">
        <v>518</v>
      </c>
      <c r="H785" s="222" t="s">
        <v>250</v>
      </c>
      <c r="I785" s="221" t="s">
        <v>42</v>
      </c>
      <c r="J785" s="222" t="s">
        <v>250</v>
      </c>
      <c r="K785" s="223">
        <v>4.0</v>
      </c>
      <c r="L785" s="223" t="b">
        <v>0</v>
      </c>
      <c r="M785" s="223" t="s">
        <v>42</v>
      </c>
      <c r="N785" s="223">
        <v>0.14</v>
      </c>
      <c r="O785" s="224"/>
      <c r="P785" s="225" t="s">
        <v>155</v>
      </c>
      <c r="Q785" s="225" t="s">
        <v>155</v>
      </c>
      <c r="R785" s="230"/>
      <c r="S785" s="230"/>
      <c r="T785" s="229" t="s">
        <v>1867</v>
      </c>
      <c r="U785" s="227"/>
      <c r="V785" s="52" t="s">
        <v>250</v>
      </c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</row>
    <row r="786" ht="30.0" customHeight="1">
      <c r="A786" s="159"/>
      <c r="B786" s="218" t="s">
        <v>246</v>
      </c>
      <c r="C786" s="218" t="s">
        <v>1614</v>
      </c>
      <c r="D786" s="218" t="s">
        <v>1830</v>
      </c>
      <c r="E786" s="219">
        <v>77928.0</v>
      </c>
      <c r="F786" s="220" t="s">
        <v>1868</v>
      </c>
      <c r="G786" s="221" t="s">
        <v>518</v>
      </c>
      <c r="H786" s="221" t="s">
        <v>1869</v>
      </c>
      <c r="I786" s="221" t="s">
        <v>1870</v>
      </c>
      <c r="J786" s="222" t="s">
        <v>250</v>
      </c>
      <c r="K786" s="223">
        <v>3.0</v>
      </c>
      <c r="L786" s="223" t="b">
        <v>1</v>
      </c>
      <c r="M786" s="223" t="s">
        <v>1870</v>
      </c>
      <c r="N786" s="223">
        <v>40.229879</v>
      </c>
      <c r="O786" s="224"/>
      <c r="P786" s="225" t="s">
        <v>155</v>
      </c>
      <c r="Q786" s="225" t="s">
        <v>155</v>
      </c>
      <c r="R786" s="225" t="s">
        <v>155</v>
      </c>
      <c r="S786" s="225" t="s">
        <v>155</v>
      </c>
      <c r="T786" s="226"/>
      <c r="U786" s="227"/>
      <c r="V786" s="52" t="s">
        <v>250</v>
      </c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</row>
    <row r="787" ht="30.0" customHeight="1">
      <c r="A787" s="159"/>
      <c r="B787" s="218" t="s">
        <v>246</v>
      </c>
      <c r="C787" s="218" t="s">
        <v>1614</v>
      </c>
      <c r="D787" s="218" t="s">
        <v>1830</v>
      </c>
      <c r="E787" s="219">
        <v>111122.0</v>
      </c>
      <c r="F787" s="220" t="s">
        <v>1871</v>
      </c>
      <c r="G787" s="221" t="s">
        <v>518</v>
      </c>
      <c r="H787" s="221" t="s">
        <v>1832</v>
      </c>
      <c r="I787" s="221" t="s">
        <v>1872</v>
      </c>
      <c r="J787" s="221" t="s">
        <v>1161</v>
      </c>
      <c r="K787" s="223">
        <v>2.0</v>
      </c>
      <c r="L787" s="223" t="b">
        <v>1</v>
      </c>
      <c r="M787" s="223" t="s">
        <v>42</v>
      </c>
      <c r="N787" s="223">
        <v>8.7175</v>
      </c>
      <c r="O787" s="224"/>
      <c r="P787" s="225" t="s">
        <v>155</v>
      </c>
      <c r="Q787" s="225" t="s">
        <v>155</v>
      </c>
      <c r="R787" s="225" t="s">
        <v>155</v>
      </c>
      <c r="S787" s="225" t="s">
        <v>155</v>
      </c>
      <c r="T787" s="226"/>
      <c r="U787" s="227"/>
      <c r="V787" s="52" t="s">
        <v>250</v>
      </c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</row>
    <row r="788" ht="30.0" customHeight="1">
      <c r="A788" s="159"/>
      <c r="B788" s="218" t="s">
        <v>246</v>
      </c>
      <c r="C788" s="218" t="s">
        <v>1614</v>
      </c>
      <c r="D788" s="218" t="s">
        <v>1830</v>
      </c>
      <c r="E788" s="219">
        <v>16384.0</v>
      </c>
      <c r="F788" s="220" t="s">
        <v>1873</v>
      </c>
      <c r="G788" s="221" t="s">
        <v>518</v>
      </c>
      <c r="H788" s="221" t="s">
        <v>1874</v>
      </c>
      <c r="I788" s="221" t="s">
        <v>1256</v>
      </c>
      <c r="J788" s="222" t="s">
        <v>250</v>
      </c>
      <c r="K788" s="223">
        <v>4.0</v>
      </c>
      <c r="L788" s="223" t="b">
        <v>1</v>
      </c>
      <c r="M788" s="223" t="s">
        <v>1256</v>
      </c>
      <c r="N788" s="223">
        <v>31.329066</v>
      </c>
      <c r="O788" s="224" t="s">
        <v>238</v>
      </c>
      <c r="P788" s="225" t="s">
        <v>155</v>
      </c>
      <c r="Q788" s="225" t="s">
        <v>155</v>
      </c>
      <c r="R788" s="225" t="s">
        <v>155</v>
      </c>
      <c r="S788" s="225" t="s">
        <v>155</v>
      </c>
      <c r="T788" s="226"/>
      <c r="U788" s="227"/>
      <c r="V788" s="52" t="s">
        <v>250</v>
      </c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</row>
    <row r="789" ht="30.0" customHeight="1">
      <c r="A789" s="159"/>
      <c r="B789" s="218" t="s">
        <v>246</v>
      </c>
      <c r="C789" s="218" t="s">
        <v>1614</v>
      </c>
      <c r="D789" s="218" t="s">
        <v>1830</v>
      </c>
      <c r="E789" s="219">
        <v>16392.0</v>
      </c>
      <c r="F789" s="220" t="s">
        <v>1875</v>
      </c>
      <c r="G789" s="221" t="s">
        <v>518</v>
      </c>
      <c r="H789" s="222" t="s">
        <v>250</v>
      </c>
      <c r="I789" s="221" t="s">
        <v>1641</v>
      </c>
      <c r="J789" s="222" t="s">
        <v>250</v>
      </c>
      <c r="K789" s="223">
        <v>1.0</v>
      </c>
      <c r="L789" s="223" t="b">
        <v>1</v>
      </c>
      <c r="M789" s="223" t="s">
        <v>1811</v>
      </c>
      <c r="N789" s="223">
        <v>36.040265</v>
      </c>
      <c r="O789" s="224" t="s">
        <v>238</v>
      </c>
      <c r="P789" s="225" t="s">
        <v>155</v>
      </c>
      <c r="Q789" s="225" t="s">
        <v>155</v>
      </c>
      <c r="R789" s="225" t="s">
        <v>155</v>
      </c>
      <c r="S789" s="225" t="s">
        <v>155</v>
      </c>
      <c r="T789" s="226"/>
      <c r="U789" s="227"/>
      <c r="V789" s="109" t="s">
        <v>1876</v>
      </c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</row>
    <row r="790" ht="30.0" customHeight="1">
      <c r="A790" s="159"/>
      <c r="B790" s="218" t="s">
        <v>246</v>
      </c>
      <c r="C790" s="218" t="s">
        <v>1614</v>
      </c>
      <c r="D790" s="218" t="s">
        <v>1830</v>
      </c>
      <c r="E790" s="219">
        <v>112749.0</v>
      </c>
      <c r="F790" s="249" t="s">
        <v>1877</v>
      </c>
      <c r="G790" s="221" t="s">
        <v>518</v>
      </c>
      <c r="H790" s="221" t="s">
        <v>1878</v>
      </c>
      <c r="I790" s="221" t="s">
        <v>1879</v>
      </c>
      <c r="J790" s="221" t="b">
        <v>0</v>
      </c>
      <c r="K790" s="223" t="b">
        <v>0</v>
      </c>
      <c r="L790" s="223" t="b">
        <v>0</v>
      </c>
      <c r="M790" s="223" t="s">
        <v>1880</v>
      </c>
      <c r="N790" s="223">
        <v>60.0</v>
      </c>
      <c r="O790" s="224"/>
      <c r="P790" s="230"/>
      <c r="Q790" s="225" t="s">
        <v>155</v>
      </c>
      <c r="R790" s="230"/>
      <c r="S790" s="230"/>
      <c r="T790" s="229" t="s">
        <v>592</v>
      </c>
      <c r="U790" s="227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</row>
    <row r="791" ht="30.0" customHeight="1">
      <c r="A791" s="159"/>
      <c r="B791" s="218" t="s">
        <v>246</v>
      </c>
      <c r="C791" s="218" t="s">
        <v>1614</v>
      </c>
      <c r="D791" s="218" t="s">
        <v>1830</v>
      </c>
      <c r="E791" s="219">
        <v>40502.0</v>
      </c>
      <c r="F791" s="220" t="s">
        <v>1881</v>
      </c>
      <c r="G791" s="221" t="s">
        <v>518</v>
      </c>
      <c r="H791" s="221" t="s">
        <v>1882</v>
      </c>
      <c r="I791" s="221" t="s">
        <v>389</v>
      </c>
      <c r="J791" s="222" t="s">
        <v>250</v>
      </c>
      <c r="K791" s="223">
        <v>3.0</v>
      </c>
      <c r="L791" s="223" t="b">
        <v>0</v>
      </c>
      <c r="M791" s="228"/>
      <c r="N791" s="228"/>
      <c r="O791" s="224"/>
      <c r="P791" s="230"/>
      <c r="Q791" s="230"/>
      <c r="R791" s="230"/>
      <c r="S791" s="225" t="s">
        <v>155</v>
      </c>
      <c r="T791" s="229" t="s">
        <v>418</v>
      </c>
      <c r="U791" s="227"/>
      <c r="V791" s="52" t="s">
        <v>250</v>
      </c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</row>
    <row r="792" ht="30.0" customHeight="1">
      <c r="A792" s="159"/>
      <c r="B792" s="218" t="s">
        <v>246</v>
      </c>
      <c r="C792" s="218" t="s">
        <v>1614</v>
      </c>
      <c r="D792" s="218" t="s">
        <v>1830</v>
      </c>
      <c r="E792" s="219">
        <v>53666.0</v>
      </c>
      <c r="F792" s="220" t="s">
        <v>1883</v>
      </c>
      <c r="G792" s="221" t="s">
        <v>518</v>
      </c>
      <c r="H792" s="222" t="s">
        <v>250</v>
      </c>
      <c r="I792" s="221" t="s">
        <v>1811</v>
      </c>
      <c r="J792" s="222" t="s">
        <v>250</v>
      </c>
      <c r="K792" s="223">
        <v>4.0</v>
      </c>
      <c r="L792" s="223" t="b">
        <v>1</v>
      </c>
      <c r="M792" s="223" t="s">
        <v>1811</v>
      </c>
      <c r="N792" s="223">
        <v>58.717908</v>
      </c>
      <c r="O792" s="224"/>
      <c r="P792" s="225" t="s">
        <v>155</v>
      </c>
      <c r="Q792" s="225" t="s">
        <v>155</v>
      </c>
      <c r="R792" s="225" t="s">
        <v>155</v>
      </c>
      <c r="S792" s="225" t="s">
        <v>155</v>
      </c>
      <c r="T792" s="226"/>
      <c r="U792" s="227"/>
      <c r="V792" s="109" t="s">
        <v>1884</v>
      </c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</row>
    <row r="793" ht="30.0" customHeight="1">
      <c r="A793" s="159"/>
      <c r="B793" s="218" t="s">
        <v>246</v>
      </c>
      <c r="C793" s="218" t="s">
        <v>1614</v>
      </c>
      <c r="D793" s="218" t="s">
        <v>1830</v>
      </c>
      <c r="E793" s="219">
        <v>16561.0</v>
      </c>
      <c r="F793" s="220" t="s">
        <v>1885</v>
      </c>
      <c r="G793" s="221" t="s">
        <v>518</v>
      </c>
      <c r="H793" s="221" t="s">
        <v>1886</v>
      </c>
      <c r="I793" s="221" t="s">
        <v>1887</v>
      </c>
      <c r="J793" s="222" t="s">
        <v>250</v>
      </c>
      <c r="K793" s="223">
        <v>3.0</v>
      </c>
      <c r="L793" s="223" t="b">
        <v>1</v>
      </c>
      <c r="M793" s="223" t="s">
        <v>1887</v>
      </c>
      <c r="N793" s="223">
        <v>6.866726</v>
      </c>
      <c r="O793" s="224" t="s">
        <v>238</v>
      </c>
      <c r="P793" s="225" t="s">
        <v>155</v>
      </c>
      <c r="Q793" s="225" t="s">
        <v>155</v>
      </c>
      <c r="R793" s="225" t="s">
        <v>155</v>
      </c>
      <c r="S793" s="225" t="s">
        <v>155</v>
      </c>
      <c r="T793" s="226"/>
      <c r="U793" s="227"/>
      <c r="V793" s="52" t="s">
        <v>250</v>
      </c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</row>
    <row r="794" ht="30.0" customHeight="1">
      <c r="A794" s="159"/>
      <c r="B794" s="218" t="s">
        <v>246</v>
      </c>
      <c r="C794" s="218" t="s">
        <v>1614</v>
      </c>
      <c r="D794" s="218" t="s">
        <v>1830</v>
      </c>
      <c r="E794" s="219">
        <v>16581.0</v>
      </c>
      <c r="F794" s="220" t="s">
        <v>1888</v>
      </c>
      <c r="G794" s="221" t="s">
        <v>518</v>
      </c>
      <c r="H794" s="221" t="s">
        <v>1632</v>
      </c>
      <c r="I794" s="221" t="s">
        <v>1256</v>
      </c>
      <c r="J794" s="222" t="s">
        <v>250</v>
      </c>
      <c r="K794" s="223">
        <v>3.0</v>
      </c>
      <c r="L794" s="223" t="b">
        <v>1</v>
      </c>
      <c r="M794" s="223" t="s">
        <v>1256</v>
      </c>
      <c r="N794" s="223">
        <v>40.972927</v>
      </c>
      <c r="O794" s="224" t="s">
        <v>238</v>
      </c>
      <c r="P794" s="225" t="s">
        <v>155</v>
      </c>
      <c r="Q794" s="225" t="s">
        <v>155</v>
      </c>
      <c r="R794" s="225" t="s">
        <v>155</v>
      </c>
      <c r="S794" s="225" t="s">
        <v>155</v>
      </c>
      <c r="T794" s="226"/>
      <c r="U794" s="227"/>
      <c r="V794" s="52" t="s">
        <v>250</v>
      </c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</row>
    <row r="795" ht="30.0" customHeight="1">
      <c r="A795" s="159"/>
      <c r="B795" s="218" t="s">
        <v>246</v>
      </c>
      <c r="C795" s="218" t="s">
        <v>1614</v>
      </c>
      <c r="D795" s="218" t="s">
        <v>1830</v>
      </c>
      <c r="E795" s="219">
        <v>15583.0</v>
      </c>
      <c r="F795" s="220" t="s">
        <v>1889</v>
      </c>
      <c r="G795" s="221" t="s">
        <v>518</v>
      </c>
      <c r="H795" s="222" t="s">
        <v>250</v>
      </c>
      <c r="I795" s="221" t="s">
        <v>697</v>
      </c>
      <c r="J795" s="222" t="s">
        <v>250</v>
      </c>
      <c r="K795" s="223">
        <v>2.0</v>
      </c>
      <c r="L795" s="223" t="b">
        <v>0</v>
      </c>
      <c r="M795" s="223" t="s">
        <v>697</v>
      </c>
      <c r="N795" s="223">
        <v>79.843306</v>
      </c>
      <c r="O795" s="224"/>
      <c r="P795" s="225" t="s">
        <v>155</v>
      </c>
      <c r="Q795" s="225" t="s">
        <v>155</v>
      </c>
      <c r="R795" s="225" t="s">
        <v>155</v>
      </c>
      <c r="S795" s="225" t="s">
        <v>155</v>
      </c>
      <c r="T795" s="226"/>
      <c r="U795" s="227"/>
      <c r="V795" s="52" t="s">
        <v>250</v>
      </c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</row>
    <row r="796" ht="30.0" customHeight="1">
      <c r="A796" s="209"/>
      <c r="B796" s="210" t="s">
        <v>1890</v>
      </c>
      <c r="C796" s="211"/>
      <c r="D796" s="211"/>
      <c r="E796" s="212"/>
      <c r="F796" s="213"/>
      <c r="G796" s="213"/>
      <c r="H796" s="213"/>
      <c r="I796" s="212"/>
      <c r="J796" s="212"/>
      <c r="K796" s="214"/>
      <c r="L796" s="214"/>
      <c r="M796" s="214"/>
      <c r="N796" s="214"/>
      <c r="O796" s="215"/>
      <c r="P796" s="216"/>
      <c r="Q796" s="216"/>
      <c r="R796" s="216"/>
      <c r="S796" s="216"/>
      <c r="T796" s="217"/>
      <c r="U796" s="217"/>
      <c r="V796" s="217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</row>
    <row r="797" ht="30.0" customHeight="1">
      <c r="A797" s="159"/>
      <c r="B797" s="218" t="s">
        <v>246</v>
      </c>
      <c r="C797" s="218" t="s">
        <v>1614</v>
      </c>
      <c r="D797" s="218" t="s">
        <v>1890</v>
      </c>
      <c r="E797" s="219">
        <v>19409.0</v>
      </c>
      <c r="F797" s="220" t="s">
        <v>1891</v>
      </c>
      <c r="G797" s="221" t="s">
        <v>518</v>
      </c>
      <c r="H797" s="221" t="s">
        <v>1892</v>
      </c>
      <c r="I797" s="221" t="s">
        <v>1706</v>
      </c>
      <c r="J797" s="222" t="s">
        <v>250</v>
      </c>
      <c r="K797" s="223">
        <v>2.0</v>
      </c>
      <c r="L797" s="223" t="b">
        <v>0</v>
      </c>
      <c r="M797" s="223" t="s">
        <v>1706</v>
      </c>
      <c r="N797" s="223">
        <v>214.454179</v>
      </c>
      <c r="O797" s="224" t="s">
        <v>238</v>
      </c>
      <c r="P797" s="225" t="s">
        <v>155</v>
      </c>
      <c r="Q797" s="225" t="s">
        <v>155</v>
      </c>
      <c r="R797" s="225" t="s">
        <v>155</v>
      </c>
      <c r="S797" s="225" t="s">
        <v>155</v>
      </c>
      <c r="T797" s="229" t="s">
        <v>554</v>
      </c>
      <c r="U797" s="227"/>
      <c r="V797" s="52" t="s">
        <v>250</v>
      </c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</row>
    <row r="798" ht="30.0" customHeight="1">
      <c r="A798" s="159"/>
      <c r="B798" s="218" t="s">
        <v>246</v>
      </c>
      <c r="C798" s="218" t="s">
        <v>1614</v>
      </c>
      <c r="D798" s="218" t="s">
        <v>1890</v>
      </c>
      <c r="E798" s="219">
        <v>16528.0</v>
      </c>
      <c r="F798" s="220" t="s">
        <v>1893</v>
      </c>
      <c r="G798" s="221" t="s">
        <v>518</v>
      </c>
      <c r="H798" s="221" t="s">
        <v>1894</v>
      </c>
      <c r="I798" s="221" t="s">
        <v>562</v>
      </c>
      <c r="J798" s="222" t="s">
        <v>250</v>
      </c>
      <c r="K798" s="223">
        <v>3.0</v>
      </c>
      <c r="L798" s="223" t="b">
        <v>1</v>
      </c>
      <c r="M798" s="223" t="s">
        <v>562</v>
      </c>
      <c r="N798" s="223">
        <v>22.94937</v>
      </c>
      <c r="O798" s="224" t="s">
        <v>238</v>
      </c>
      <c r="P798" s="225" t="s">
        <v>155</v>
      </c>
      <c r="Q798" s="225" t="s">
        <v>155</v>
      </c>
      <c r="R798" s="225" t="s">
        <v>155</v>
      </c>
      <c r="S798" s="225" t="s">
        <v>155</v>
      </c>
      <c r="T798" s="229" t="s">
        <v>554</v>
      </c>
      <c r="U798" s="227"/>
      <c r="V798" s="109" t="s">
        <v>1895</v>
      </c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</row>
    <row r="799" ht="30.0" customHeight="1">
      <c r="A799" s="159"/>
      <c r="B799" s="218" t="s">
        <v>246</v>
      </c>
      <c r="C799" s="218" t="s">
        <v>1614</v>
      </c>
      <c r="D799" s="218" t="s">
        <v>1890</v>
      </c>
      <c r="E799" s="219">
        <v>16463.0</v>
      </c>
      <c r="F799" s="220" t="s">
        <v>1896</v>
      </c>
      <c r="G799" s="221" t="s">
        <v>518</v>
      </c>
      <c r="H799" s="222" t="s">
        <v>250</v>
      </c>
      <c r="I799" s="221" t="s">
        <v>946</v>
      </c>
      <c r="J799" s="222" t="s">
        <v>250</v>
      </c>
      <c r="K799" s="223">
        <v>2.0</v>
      </c>
      <c r="L799" s="223" t="b">
        <v>1</v>
      </c>
      <c r="M799" s="223" t="s">
        <v>946</v>
      </c>
      <c r="N799" s="223">
        <v>2.304327</v>
      </c>
      <c r="O799" s="224" t="s">
        <v>238</v>
      </c>
      <c r="P799" s="225" t="s">
        <v>155</v>
      </c>
      <c r="Q799" s="225" t="s">
        <v>155</v>
      </c>
      <c r="R799" s="225" t="s">
        <v>155</v>
      </c>
      <c r="S799" s="225" t="s">
        <v>155</v>
      </c>
      <c r="T799" s="229" t="s">
        <v>554</v>
      </c>
      <c r="U799" s="227"/>
      <c r="V799" s="109" t="s">
        <v>1897</v>
      </c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</row>
    <row r="800" ht="30.0" customHeight="1">
      <c r="A800" s="159"/>
      <c r="B800" s="218" t="s">
        <v>246</v>
      </c>
      <c r="C800" s="218" t="s">
        <v>1614</v>
      </c>
      <c r="D800" s="218" t="s">
        <v>1890</v>
      </c>
      <c r="E800" s="219">
        <v>39757.0</v>
      </c>
      <c r="F800" s="220" t="s">
        <v>1898</v>
      </c>
      <c r="G800" s="221" t="s">
        <v>518</v>
      </c>
      <c r="H800" s="222" t="s">
        <v>250</v>
      </c>
      <c r="I800" s="221" t="s">
        <v>562</v>
      </c>
      <c r="J800" s="222" t="s">
        <v>250</v>
      </c>
      <c r="K800" s="223">
        <v>4.0</v>
      </c>
      <c r="L800" s="223" t="b">
        <v>1</v>
      </c>
      <c r="M800" s="223" t="s">
        <v>562</v>
      </c>
      <c r="N800" s="223">
        <v>14.176666</v>
      </c>
      <c r="O800" s="224" t="s">
        <v>238</v>
      </c>
      <c r="P800" s="225" t="s">
        <v>155</v>
      </c>
      <c r="Q800" s="225" t="s">
        <v>155</v>
      </c>
      <c r="R800" s="225" t="s">
        <v>155</v>
      </c>
      <c r="S800" s="225" t="s">
        <v>155</v>
      </c>
      <c r="T800" s="229" t="s">
        <v>554</v>
      </c>
      <c r="U800" s="227"/>
      <c r="V800" s="109" t="s">
        <v>1899</v>
      </c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</row>
    <row r="801" ht="30.0" customHeight="1">
      <c r="A801" s="159"/>
      <c r="B801" s="218" t="s">
        <v>246</v>
      </c>
      <c r="C801" s="218" t="s">
        <v>1614</v>
      </c>
      <c r="D801" s="218" t="s">
        <v>1890</v>
      </c>
      <c r="E801" s="219">
        <v>102793.0</v>
      </c>
      <c r="F801" s="220" t="s">
        <v>1900</v>
      </c>
      <c r="G801" s="221" t="s">
        <v>518</v>
      </c>
      <c r="H801" s="221" t="s">
        <v>1901</v>
      </c>
      <c r="I801" s="221" t="s">
        <v>946</v>
      </c>
      <c r="J801" s="221" t="s">
        <v>371</v>
      </c>
      <c r="K801" s="223">
        <v>3.0</v>
      </c>
      <c r="L801" s="223" t="b">
        <v>0</v>
      </c>
      <c r="M801" s="228"/>
      <c r="N801" s="228"/>
      <c r="O801" s="224"/>
      <c r="P801" s="225" t="s">
        <v>155</v>
      </c>
      <c r="Q801" s="225" t="s">
        <v>155</v>
      </c>
      <c r="R801" s="225" t="s">
        <v>155</v>
      </c>
      <c r="S801" s="225" t="s">
        <v>155</v>
      </c>
      <c r="T801" s="229" t="s">
        <v>554</v>
      </c>
      <c r="U801" s="227"/>
      <c r="V801" s="52" t="s">
        <v>250</v>
      </c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</row>
    <row r="802" ht="30.0" customHeight="1">
      <c r="A802" s="209"/>
      <c r="B802" s="210" t="s">
        <v>1902</v>
      </c>
      <c r="C802" s="211"/>
      <c r="D802" s="211"/>
      <c r="E802" s="212"/>
      <c r="F802" s="213"/>
      <c r="G802" s="213"/>
      <c r="H802" s="213"/>
      <c r="I802" s="212"/>
      <c r="J802" s="212"/>
      <c r="K802" s="214"/>
      <c r="L802" s="214"/>
      <c r="M802" s="214"/>
      <c r="N802" s="214"/>
      <c r="O802" s="215"/>
      <c r="P802" s="216"/>
      <c r="Q802" s="216"/>
      <c r="R802" s="216"/>
      <c r="S802" s="216"/>
      <c r="T802" s="217"/>
      <c r="U802" s="217"/>
      <c r="V802" s="217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</row>
    <row r="803" ht="30.0" customHeight="1">
      <c r="A803" s="159"/>
      <c r="B803" s="218" t="s">
        <v>246</v>
      </c>
      <c r="C803" s="218" t="s">
        <v>1614</v>
      </c>
      <c r="D803" s="218" t="s">
        <v>1902</v>
      </c>
      <c r="E803" s="219">
        <v>109675.0</v>
      </c>
      <c r="F803" s="220" t="s">
        <v>1903</v>
      </c>
      <c r="G803" s="221" t="s">
        <v>518</v>
      </c>
      <c r="H803" s="221" t="s">
        <v>1904</v>
      </c>
      <c r="I803" s="221" t="s">
        <v>64</v>
      </c>
      <c r="J803" s="221" t="s">
        <v>371</v>
      </c>
      <c r="K803" s="223">
        <v>2.0</v>
      </c>
      <c r="L803" s="223" t="b">
        <v>1</v>
      </c>
      <c r="M803" s="223" t="s">
        <v>64</v>
      </c>
      <c r="N803" s="223">
        <v>80.918</v>
      </c>
      <c r="O803" s="224"/>
      <c r="P803" s="225" t="s">
        <v>155</v>
      </c>
      <c r="Q803" s="225" t="s">
        <v>155</v>
      </c>
      <c r="R803" s="225" t="s">
        <v>155</v>
      </c>
      <c r="S803" s="225" t="s">
        <v>155</v>
      </c>
      <c r="T803" s="226"/>
      <c r="U803" s="227"/>
      <c r="V803" s="52" t="s">
        <v>250</v>
      </c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</row>
    <row r="804" ht="30.0" customHeight="1">
      <c r="A804" s="159"/>
      <c r="B804" s="218" t="s">
        <v>246</v>
      </c>
      <c r="C804" s="218" t="s">
        <v>1614</v>
      </c>
      <c r="D804" s="218" t="s">
        <v>1902</v>
      </c>
      <c r="E804" s="219">
        <v>111948.0</v>
      </c>
      <c r="F804" s="220" t="s">
        <v>1905</v>
      </c>
      <c r="G804" s="221" t="s">
        <v>518</v>
      </c>
      <c r="H804" s="221" t="s">
        <v>1906</v>
      </c>
      <c r="I804" s="221" t="s">
        <v>1907</v>
      </c>
      <c r="J804" s="221" t="s">
        <v>727</v>
      </c>
      <c r="K804" s="223">
        <v>2.0</v>
      </c>
      <c r="L804" s="223" t="b">
        <v>1</v>
      </c>
      <c r="M804" s="223" t="s">
        <v>1907</v>
      </c>
      <c r="N804" s="223">
        <v>142.883</v>
      </c>
      <c r="O804" s="224"/>
      <c r="P804" s="225" t="s">
        <v>155</v>
      </c>
      <c r="Q804" s="225" t="s">
        <v>155</v>
      </c>
      <c r="R804" s="225" t="s">
        <v>155</v>
      </c>
      <c r="S804" s="225" t="s">
        <v>155</v>
      </c>
      <c r="T804" s="226"/>
      <c r="U804" s="227"/>
      <c r="V804" s="52" t="s">
        <v>250</v>
      </c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</row>
    <row r="805" ht="30.0" customHeight="1">
      <c r="A805" s="159"/>
      <c r="B805" s="104" t="s">
        <v>246</v>
      </c>
      <c r="C805" s="104" t="s">
        <v>1614</v>
      </c>
      <c r="D805" s="104" t="s">
        <v>1902</v>
      </c>
      <c r="E805" s="238">
        <v>16420.0</v>
      </c>
      <c r="F805" s="104" t="s">
        <v>1908</v>
      </c>
      <c r="G805" s="127" t="s">
        <v>518</v>
      </c>
      <c r="H805" s="222"/>
      <c r="I805" s="127" t="s">
        <v>1909</v>
      </c>
      <c r="J805" s="159" t="s">
        <v>250</v>
      </c>
      <c r="K805" s="239">
        <v>3.0</v>
      </c>
      <c r="L805" s="239" t="b">
        <v>1</v>
      </c>
      <c r="M805" s="223" t="s">
        <v>1909</v>
      </c>
      <c r="N805" s="239">
        <v>114.020634</v>
      </c>
      <c r="O805" s="197" t="s">
        <v>238</v>
      </c>
      <c r="P805" s="29" t="s">
        <v>155</v>
      </c>
      <c r="Q805" s="29" t="s">
        <v>155</v>
      </c>
      <c r="R805" s="29" t="s">
        <v>155</v>
      </c>
      <c r="S805" s="29" t="s">
        <v>155</v>
      </c>
      <c r="T805" s="240"/>
      <c r="U805" s="227"/>
      <c r="V805" s="52" t="s">
        <v>250</v>
      </c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</row>
    <row r="806" ht="30.0" customHeight="1">
      <c r="A806" s="159"/>
      <c r="B806" s="218" t="s">
        <v>246</v>
      </c>
      <c r="C806" s="218" t="s">
        <v>1614</v>
      </c>
      <c r="D806" s="218" t="s">
        <v>1902</v>
      </c>
      <c r="E806" s="219">
        <v>110938.0</v>
      </c>
      <c r="F806" s="220" t="s">
        <v>1910</v>
      </c>
      <c r="G806" s="221" t="s">
        <v>518</v>
      </c>
      <c r="H806" s="221" t="s">
        <v>1911</v>
      </c>
      <c r="I806" s="221" t="s">
        <v>1912</v>
      </c>
      <c r="J806" s="222" t="s">
        <v>250</v>
      </c>
      <c r="K806" s="223">
        <v>1.0</v>
      </c>
      <c r="L806" s="223" t="b">
        <v>1</v>
      </c>
      <c r="M806" s="223" t="s">
        <v>946</v>
      </c>
      <c r="N806" s="223">
        <v>38.253333</v>
      </c>
      <c r="O806" s="224"/>
      <c r="P806" s="225" t="s">
        <v>155</v>
      </c>
      <c r="Q806" s="225" t="s">
        <v>155</v>
      </c>
      <c r="R806" s="225" t="s">
        <v>155</v>
      </c>
      <c r="S806" s="225" t="s">
        <v>155</v>
      </c>
      <c r="T806" s="226"/>
      <c r="U806" s="227"/>
      <c r="V806" s="52" t="s">
        <v>250</v>
      </c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</row>
    <row r="807" ht="30.0" customHeight="1">
      <c r="A807" s="159"/>
      <c r="B807" s="104" t="s">
        <v>246</v>
      </c>
      <c r="C807" s="104" t="s">
        <v>1614</v>
      </c>
      <c r="D807" s="104" t="s">
        <v>1902</v>
      </c>
      <c r="E807" s="238">
        <v>52602.0</v>
      </c>
      <c r="F807" s="104" t="s">
        <v>1913</v>
      </c>
      <c r="G807" s="127" t="s">
        <v>518</v>
      </c>
      <c r="H807" s="222"/>
      <c r="I807" s="127" t="s">
        <v>946</v>
      </c>
      <c r="J807" s="127" t="b">
        <v>0</v>
      </c>
      <c r="K807" s="239">
        <v>2.0</v>
      </c>
      <c r="L807" s="239" t="b">
        <v>1</v>
      </c>
      <c r="M807" s="223" t="s">
        <v>1914</v>
      </c>
      <c r="N807" s="239">
        <v>96.15</v>
      </c>
      <c r="O807" s="197"/>
      <c r="P807" s="29" t="s">
        <v>155</v>
      </c>
      <c r="Q807" s="29" t="s">
        <v>155</v>
      </c>
      <c r="R807" s="29" t="s">
        <v>155</v>
      </c>
      <c r="S807" s="29" t="s">
        <v>155</v>
      </c>
      <c r="T807" s="240"/>
      <c r="U807" s="227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</row>
    <row r="808" ht="30.0" customHeight="1">
      <c r="A808" s="159"/>
      <c r="B808" s="218" t="s">
        <v>246</v>
      </c>
      <c r="C808" s="218" t="s">
        <v>1614</v>
      </c>
      <c r="D808" s="218" t="s">
        <v>1902</v>
      </c>
      <c r="E808" s="219">
        <v>16346.0</v>
      </c>
      <c r="F808" s="220" t="s">
        <v>1915</v>
      </c>
      <c r="G808" s="221" t="s">
        <v>518</v>
      </c>
      <c r="H808" s="221" t="s">
        <v>1780</v>
      </c>
      <c r="I808" s="221" t="s">
        <v>1916</v>
      </c>
      <c r="J808" s="221" t="s">
        <v>727</v>
      </c>
      <c r="K808" s="223">
        <v>4.0</v>
      </c>
      <c r="L808" s="223" t="b">
        <v>1</v>
      </c>
      <c r="M808" s="228"/>
      <c r="N808" s="228"/>
      <c r="O808" s="224"/>
      <c r="P808" s="225" t="s">
        <v>155</v>
      </c>
      <c r="Q808" s="225" t="s">
        <v>155</v>
      </c>
      <c r="R808" s="225" t="s">
        <v>155</v>
      </c>
      <c r="S808" s="225" t="s">
        <v>155</v>
      </c>
      <c r="T808" s="226"/>
      <c r="U808" s="227"/>
      <c r="V808" s="52" t="s">
        <v>250</v>
      </c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</row>
    <row r="809" ht="30.0" customHeight="1">
      <c r="A809" s="159"/>
      <c r="B809" s="218" t="s">
        <v>246</v>
      </c>
      <c r="C809" s="218" t="s">
        <v>1614</v>
      </c>
      <c r="D809" s="218" t="s">
        <v>1902</v>
      </c>
      <c r="E809" s="219">
        <v>16377.0</v>
      </c>
      <c r="F809" s="220" t="s">
        <v>1917</v>
      </c>
      <c r="G809" s="221" t="s">
        <v>518</v>
      </c>
      <c r="H809" s="222"/>
      <c r="I809" s="221" t="s">
        <v>1918</v>
      </c>
      <c r="J809" s="221" t="s">
        <v>364</v>
      </c>
      <c r="K809" s="223">
        <v>3.0</v>
      </c>
      <c r="L809" s="223" t="b">
        <v>1</v>
      </c>
      <c r="M809" s="223" t="s">
        <v>1919</v>
      </c>
      <c r="N809" s="223">
        <v>23.970032</v>
      </c>
      <c r="O809" s="224" t="s">
        <v>238</v>
      </c>
      <c r="P809" s="225" t="s">
        <v>155</v>
      </c>
      <c r="Q809" s="225" t="s">
        <v>155</v>
      </c>
      <c r="R809" s="225" t="s">
        <v>155</v>
      </c>
      <c r="S809" s="225" t="s">
        <v>155</v>
      </c>
      <c r="T809" s="226"/>
      <c r="U809" s="227"/>
      <c r="V809" s="52" t="s">
        <v>250</v>
      </c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</row>
    <row r="810" ht="30.0" customHeight="1">
      <c r="A810" s="159"/>
      <c r="B810" s="218" t="s">
        <v>246</v>
      </c>
      <c r="C810" s="218" t="s">
        <v>1614</v>
      </c>
      <c r="D810" s="218" t="s">
        <v>1902</v>
      </c>
      <c r="E810" s="219">
        <v>10265.0</v>
      </c>
      <c r="F810" s="220" t="s">
        <v>1920</v>
      </c>
      <c r="G810" s="221" t="s">
        <v>518</v>
      </c>
      <c r="H810" s="222"/>
      <c r="I810" s="221" t="s">
        <v>1001</v>
      </c>
      <c r="J810" s="221" t="s">
        <v>364</v>
      </c>
      <c r="K810" s="223">
        <v>4.0</v>
      </c>
      <c r="L810" s="223" t="b">
        <v>1</v>
      </c>
      <c r="M810" s="223" t="s">
        <v>1001</v>
      </c>
      <c r="N810" s="223">
        <v>38.94439</v>
      </c>
      <c r="O810" s="224" t="s">
        <v>238</v>
      </c>
      <c r="P810" s="225" t="s">
        <v>155</v>
      </c>
      <c r="Q810" s="225" t="s">
        <v>155</v>
      </c>
      <c r="R810" s="225" t="s">
        <v>155</v>
      </c>
      <c r="S810" s="225" t="s">
        <v>155</v>
      </c>
      <c r="T810" s="226"/>
      <c r="U810" s="227"/>
      <c r="V810" s="52" t="s">
        <v>250</v>
      </c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</row>
    <row r="811" ht="30.0" customHeight="1">
      <c r="A811" s="159"/>
      <c r="B811" s="218" t="s">
        <v>246</v>
      </c>
      <c r="C811" s="218" t="s">
        <v>1614</v>
      </c>
      <c r="D811" s="218" t="s">
        <v>1902</v>
      </c>
      <c r="E811" s="219">
        <v>16453.0</v>
      </c>
      <c r="F811" s="220" t="s">
        <v>1921</v>
      </c>
      <c r="G811" s="221" t="s">
        <v>518</v>
      </c>
      <c r="H811" s="222"/>
      <c r="I811" s="221" t="s">
        <v>1909</v>
      </c>
      <c r="J811" s="221" t="s">
        <v>371</v>
      </c>
      <c r="K811" s="223">
        <v>2.0</v>
      </c>
      <c r="L811" s="223" t="b">
        <v>1</v>
      </c>
      <c r="M811" s="223" t="s">
        <v>1909</v>
      </c>
      <c r="N811" s="223">
        <v>14.79</v>
      </c>
      <c r="O811" s="224"/>
      <c r="P811" s="230"/>
      <c r="Q811" s="230"/>
      <c r="R811" s="230"/>
      <c r="S811" s="225" t="s">
        <v>155</v>
      </c>
      <c r="T811" s="226"/>
      <c r="U811" s="227"/>
      <c r="V811" s="52" t="s">
        <v>250</v>
      </c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</row>
    <row r="812" ht="30.0" customHeight="1">
      <c r="A812" s="159"/>
      <c r="B812" s="218" t="s">
        <v>246</v>
      </c>
      <c r="C812" s="218" t="s">
        <v>1614</v>
      </c>
      <c r="D812" s="218" t="s">
        <v>1902</v>
      </c>
      <c r="E812" s="219">
        <v>102133.0</v>
      </c>
      <c r="F812" s="220" t="s">
        <v>1922</v>
      </c>
      <c r="G812" s="221" t="s">
        <v>518</v>
      </c>
      <c r="H812" s="221" t="s">
        <v>1923</v>
      </c>
      <c r="I812" s="221" t="s">
        <v>1924</v>
      </c>
      <c r="J812" s="222" t="s">
        <v>250</v>
      </c>
      <c r="K812" s="223">
        <v>2.0</v>
      </c>
      <c r="L812" s="223" t="b">
        <v>1</v>
      </c>
      <c r="M812" s="223" t="s">
        <v>1925</v>
      </c>
      <c r="N812" s="223">
        <v>40.45</v>
      </c>
      <c r="O812" s="224"/>
      <c r="P812" s="225" t="s">
        <v>155</v>
      </c>
      <c r="Q812" s="225" t="s">
        <v>155</v>
      </c>
      <c r="R812" s="225" t="s">
        <v>155</v>
      </c>
      <c r="S812" s="225" t="s">
        <v>155</v>
      </c>
      <c r="T812" s="226"/>
      <c r="U812" s="227"/>
      <c r="V812" s="52" t="s">
        <v>250</v>
      </c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</row>
    <row r="813" ht="30.0" customHeight="1">
      <c r="A813" s="159"/>
      <c r="B813" s="218" t="s">
        <v>246</v>
      </c>
      <c r="C813" s="218" t="s">
        <v>1614</v>
      </c>
      <c r="D813" s="218" t="s">
        <v>1902</v>
      </c>
      <c r="E813" s="219">
        <v>52603.0</v>
      </c>
      <c r="F813" s="220" t="s">
        <v>1926</v>
      </c>
      <c r="G813" s="221" t="s">
        <v>518</v>
      </c>
      <c r="H813" s="221" t="s">
        <v>1927</v>
      </c>
      <c r="I813" s="221" t="s">
        <v>946</v>
      </c>
      <c r="J813" s="222" t="s">
        <v>250</v>
      </c>
      <c r="K813" s="223">
        <v>4.0</v>
      </c>
      <c r="L813" s="223" t="b">
        <v>1</v>
      </c>
      <c r="M813" s="223" t="s">
        <v>946</v>
      </c>
      <c r="N813" s="223">
        <v>3.830498</v>
      </c>
      <c r="O813" s="224" t="s">
        <v>238</v>
      </c>
      <c r="P813" s="225" t="s">
        <v>155</v>
      </c>
      <c r="Q813" s="225" t="s">
        <v>155</v>
      </c>
      <c r="R813" s="225" t="s">
        <v>155</v>
      </c>
      <c r="S813" s="225" t="s">
        <v>155</v>
      </c>
      <c r="T813" s="226"/>
      <c r="U813" s="227"/>
      <c r="V813" s="52" t="s">
        <v>250</v>
      </c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</row>
    <row r="814" ht="30.0" customHeight="1">
      <c r="A814" s="159"/>
      <c r="B814" s="218" t="s">
        <v>246</v>
      </c>
      <c r="C814" s="218" t="s">
        <v>1614</v>
      </c>
      <c r="D814" s="218" t="s">
        <v>1902</v>
      </c>
      <c r="E814" s="219">
        <v>16439.0</v>
      </c>
      <c r="F814" s="220" t="s">
        <v>1928</v>
      </c>
      <c r="G814" s="221" t="s">
        <v>518</v>
      </c>
      <c r="H814" s="221" t="s">
        <v>1929</v>
      </c>
      <c r="I814" s="221" t="s">
        <v>1488</v>
      </c>
      <c r="J814" s="221" t="s">
        <v>364</v>
      </c>
      <c r="K814" s="223">
        <v>2.0</v>
      </c>
      <c r="L814" s="223" t="b">
        <v>1</v>
      </c>
      <c r="M814" s="223" t="s">
        <v>1488</v>
      </c>
      <c r="N814" s="223">
        <v>24.10447</v>
      </c>
      <c r="O814" s="224" t="s">
        <v>238</v>
      </c>
      <c r="P814" s="225" t="s">
        <v>155</v>
      </c>
      <c r="Q814" s="225" t="s">
        <v>155</v>
      </c>
      <c r="R814" s="225" t="s">
        <v>155</v>
      </c>
      <c r="S814" s="225" t="s">
        <v>155</v>
      </c>
      <c r="T814" s="226"/>
      <c r="U814" s="227"/>
      <c r="V814" s="52" t="s">
        <v>250</v>
      </c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</row>
    <row r="815" ht="30.0" customHeight="1">
      <c r="A815" s="159"/>
      <c r="B815" s="218" t="s">
        <v>246</v>
      </c>
      <c r="C815" s="218" t="s">
        <v>1614</v>
      </c>
      <c r="D815" s="218" t="s">
        <v>1902</v>
      </c>
      <c r="E815" s="219">
        <v>16387.0</v>
      </c>
      <c r="F815" s="220" t="s">
        <v>1930</v>
      </c>
      <c r="G815" s="221" t="s">
        <v>518</v>
      </c>
      <c r="H815" s="221" t="s">
        <v>1931</v>
      </c>
      <c r="I815" s="221" t="s">
        <v>1932</v>
      </c>
      <c r="J815" s="222" t="s">
        <v>250</v>
      </c>
      <c r="K815" s="223">
        <v>2.0</v>
      </c>
      <c r="L815" s="223" t="b">
        <v>1</v>
      </c>
      <c r="M815" s="223" t="s">
        <v>1932</v>
      </c>
      <c r="N815" s="223">
        <v>9.2366</v>
      </c>
      <c r="O815" s="224"/>
      <c r="P815" s="225" t="s">
        <v>155</v>
      </c>
      <c r="Q815" s="225" t="s">
        <v>155</v>
      </c>
      <c r="R815" s="225" t="s">
        <v>155</v>
      </c>
      <c r="S815" s="225" t="s">
        <v>155</v>
      </c>
      <c r="T815" s="226"/>
      <c r="U815" s="227"/>
      <c r="V815" s="52" t="s">
        <v>250</v>
      </c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</row>
    <row r="816" ht="30.0" customHeight="1">
      <c r="A816" s="209"/>
      <c r="B816" s="210" t="s">
        <v>1933</v>
      </c>
      <c r="C816" s="211"/>
      <c r="D816" s="211"/>
      <c r="E816" s="212"/>
      <c r="F816" s="213"/>
      <c r="G816" s="213"/>
      <c r="H816" s="213"/>
      <c r="I816" s="212"/>
      <c r="J816" s="212"/>
      <c r="K816" s="214"/>
      <c r="L816" s="214"/>
      <c r="M816" s="214"/>
      <c r="N816" s="214"/>
      <c r="O816" s="215"/>
      <c r="P816" s="216"/>
      <c r="Q816" s="216"/>
      <c r="R816" s="216"/>
      <c r="S816" s="216"/>
      <c r="T816" s="217"/>
      <c r="U816" s="217"/>
      <c r="V816" s="217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</row>
    <row r="817" ht="30.0" customHeight="1">
      <c r="A817" s="159"/>
      <c r="B817" s="218" t="s">
        <v>246</v>
      </c>
      <c r="C817" s="218" t="s">
        <v>1614</v>
      </c>
      <c r="D817" s="218" t="s">
        <v>1933</v>
      </c>
      <c r="E817" s="219">
        <v>16182.0</v>
      </c>
      <c r="F817" s="220" t="s">
        <v>1934</v>
      </c>
      <c r="G817" s="221" t="s">
        <v>518</v>
      </c>
      <c r="H817" s="222" t="s">
        <v>250</v>
      </c>
      <c r="I817" s="221" t="s">
        <v>1518</v>
      </c>
      <c r="J817" s="221" t="s">
        <v>819</v>
      </c>
      <c r="K817" s="223">
        <v>3.0</v>
      </c>
      <c r="L817" s="223" t="b">
        <v>0</v>
      </c>
      <c r="M817" s="223" t="s">
        <v>1518</v>
      </c>
      <c r="N817" s="223">
        <v>13.114141</v>
      </c>
      <c r="O817" s="224" t="s">
        <v>238</v>
      </c>
      <c r="P817" s="225" t="s">
        <v>155</v>
      </c>
      <c r="Q817" s="225" t="s">
        <v>155</v>
      </c>
      <c r="R817" s="225" t="s">
        <v>155</v>
      </c>
      <c r="S817" s="225" t="s">
        <v>155</v>
      </c>
      <c r="T817" s="226"/>
      <c r="U817" s="227"/>
      <c r="V817" s="52" t="s">
        <v>250</v>
      </c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</row>
    <row r="818" ht="30.0" customHeight="1">
      <c r="A818" s="159"/>
      <c r="B818" s="218" t="s">
        <v>246</v>
      </c>
      <c r="C818" s="218" t="s">
        <v>1614</v>
      </c>
      <c r="D818" s="218" t="s">
        <v>1933</v>
      </c>
      <c r="E818" s="219">
        <v>102500.0</v>
      </c>
      <c r="F818" s="220" t="s">
        <v>1935</v>
      </c>
      <c r="G818" s="221" t="s">
        <v>369</v>
      </c>
      <c r="H818" s="222" t="s">
        <v>250</v>
      </c>
      <c r="I818" s="221" t="s">
        <v>1936</v>
      </c>
      <c r="J818" s="221" t="s">
        <v>426</v>
      </c>
      <c r="K818" s="223">
        <v>3.0</v>
      </c>
      <c r="L818" s="223" t="b">
        <v>1</v>
      </c>
      <c r="M818" s="223" t="s">
        <v>1936</v>
      </c>
      <c r="N818" s="223">
        <v>22.771333</v>
      </c>
      <c r="O818" s="224" t="s">
        <v>238</v>
      </c>
      <c r="P818" s="225" t="s">
        <v>155</v>
      </c>
      <c r="Q818" s="225" t="s">
        <v>155</v>
      </c>
      <c r="R818" s="225" t="s">
        <v>155</v>
      </c>
      <c r="S818" s="225" t="s">
        <v>155</v>
      </c>
      <c r="T818" s="226"/>
      <c r="U818" s="227"/>
      <c r="V818" s="52" t="s">
        <v>250</v>
      </c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</row>
    <row r="819" ht="30.0" customHeight="1">
      <c r="A819" s="159"/>
      <c r="B819" s="218" t="s">
        <v>246</v>
      </c>
      <c r="C819" s="218" t="s">
        <v>1614</v>
      </c>
      <c r="D819" s="218" t="s">
        <v>1933</v>
      </c>
      <c r="E819" s="219">
        <v>110032.0</v>
      </c>
      <c r="F819" s="220" t="s">
        <v>1937</v>
      </c>
      <c r="G819" s="221" t="s">
        <v>518</v>
      </c>
      <c r="H819" s="221" t="s">
        <v>1938</v>
      </c>
      <c r="I819" s="221" t="s">
        <v>1939</v>
      </c>
      <c r="J819" s="221" t="s">
        <v>727</v>
      </c>
      <c r="K819" s="223">
        <v>1.0</v>
      </c>
      <c r="L819" s="223" t="b">
        <v>1</v>
      </c>
      <c r="M819" s="223" t="s">
        <v>1939</v>
      </c>
      <c r="N819" s="223">
        <v>99.345714</v>
      </c>
      <c r="O819" s="224"/>
      <c r="P819" s="225" t="s">
        <v>155</v>
      </c>
      <c r="Q819" s="225" t="s">
        <v>155</v>
      </c>
      <c r="R819" s="225" t="s">
        <v>155</v>
      </c>
      <c r="S819" s="225" t="s">
        <v>155</v>
      </c>
      <c r="T819" s="226"/>
      <c r="U819" s="227"/>
      <c r="V819" s="52" t="s">
        <v>250</v>
      </c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</row>
    <row r="820" ht="30.0" customHeight="1">
      <c r="A820" s="159"/>
      <c r="B820" s="218" t="s">
        <v>246</v>
      </c>
      <c r="C820" s="218" t="s">
        <v>1614</v>
      </c>
      <c r="D820" s="218" t="s">
        <v>1933</v>
      </c>
      <c r="E820" s="219">
        <v>109671.0</v>
      </c>
      <c r="F820" s="220" t="s">
        <v>1940</v>
      </c>
      <c r="G820" s="221" t="s">
        <v>518</v>
      </c>
      <c r="H820" s="221" t="s">
        <v>821</v>
      </c>
      <c r="I820" s="221" t="s">
        <v>42</v>
      </c>
      <c r="J820" s="222" t="s">
        <v>250</v>
      </c>
      <c r="K820" s="223">
        <v>2.0</v>
      </c>
      <c r="L820" s="223" t="b">
        <v>1</v>
      </c>
      <c r="M820" s="223" t="s">
        <v>42</v>
      </c>
      <c r="N820" s="223">
        <v>1.833333</v>
      </c>
      <c r="O820" s="224"/>
      <c r="P820" s="225" t="s">
        <v>155</v>
      </c>
      <c r="Q820" s="225" t="s">
        <v>155</v>
      </c>
      <c r="R820" s="225" t="s">
        <v>155</v>
      </c>
      <c r="S820" s="225" t="s">
        <v>155</v>
      </c>
      <c r="T820" s="226"/>
      <c r="U820" s="227"/>
      <c r="V820" s="52" t="s">
        <v>250</v>
      </c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</row>
    <row r="821" ht="30.0" customHeight="1">
      <c r="A821" s="159"/>
      <c r="B821" s="218" t="s">
        <v>246</v>
      </c>
      <c r="C821" s="218" t="s">
        <v>1614</v>
      </c>
      <c r="D821" s="218" t="s">
        <v>1933</v>
      </c>
      <c r="E821" s="219">
        <v>15936.0</v>
      </c>
      <c r="F821" s="220" t="s">
        <v>1941</v>
      </c>
      <c r="G821" s="221" t="s">
        <v>518</v>
      </c>
      <c r="H821" s="221" t="s">
        <v>821</v>
      </c>
      <c r="I821" s="221" t="s">
        <v>334</v>
      </c>
      <c r="J821" s="222" t="s">
        <v>250</v>
      </c>
      <c r="K821" s="223">
        <v>3.0</v>
      </c>
      <c r="L821" s="223" t="b">
        <v>1</v>
      </c>
      <c r="M821" s="223" t="s">
        <v>334</v>
      </c>
      <c r="N821" s="223">
        <v>26.195333</v>
      </c>
      <c r="O821" s="224"/>
      <c r="P821" s="225" t="s">
        <v>155</v>
      </c>
      <c r="Q821" s="225" t="s">
        <v>155</v>
      </c>
      <c r="R821" s="225" t="s">
        <v>155</v>
      </c>
      <c r="S821" s="225" t="s">
        <v>155</v>
      </c>
      <c r="T821" s="226"/>
      <c r="U821" s="227"/>
      <c r="V821" s="52" t="s">
        <v>250</v>
      </c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</row>
    <row r="822" ht="30.0" customHeight="1">
      <c r="A822" s="159"/>
      <c r="B822" s="218" t="s">
        <v>246</v>
      </c>
      <c r="C822" s="218" t="s">
        <v>1614</v>
      </c>
      <c r="D822" s="218" t="s">
        <v>1933</v>
      </c>
      <c r="E822" s="219">
        <v>15879.0</v>
      </c>
      <c r="F822" s="220" t="s">
        <v>1942</v>
      </c>
      <c r="G822" s="221" t="s">
        <v>518</v>
      </c>
      <c r="H822" s="221" t="s">
        <v>846</v>
      </c>
      <c r="I822" s="221" t="s">
        <v>1943</v>
      </c>
      <c r="J822" s="221" t="s">
        <v>819</v>
      </c>
      <c r="K822" s="223">
        <v>4.0</v>
      </c>
      <c r="L822" s="223" t="b">
        <v>1</v>
      </c>
      <c r="M822" s="223" t="s">
        <v>1943</v>
      </c>
      <c r="N822" s="223">
        <v>39.394217</v>
      </c>
      <c r="O822" s="224" t="s">
        <v>238</v>
      </c>
      <c r="P822" s="225" t="s">
        <v>155</v>
      </c>
      <c r="Q822" s="225" t="s">
        <v>155</v>
      </c>
      <c r="R822" s="225" t="s">
        <v>155</v>
      </c>
      <c r="S822" s="225" t="s">
        <v>155</v>
      </c>
      <c r="T822" s="226"/>
      <c r="U822" s="227"/>
      <c r="V822" s="52" t="s">
        <v>250</v>
      </c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</row>
    <row r="823" ht="30.0" customHeight="1">
      <c r="A823" s="159"/>
      <c r="B823" s="218" t="s">
        <v>246</v>
      </c>
      <c r="C823" s="218" t="s">
        <v>1614</v>
      </c>
      <c r="D823" s="218" t="s">
        <v>1933</v>
      </c>
      <c r="E823" s="219">
        <v>101505.0</v>
      </c>
      <c r="F823" s="220" t="s">
        <v>1944</v>
      </c>
      <c r="G823" s="221" t="s">
        <v>518</v>
      </c>
      <c r="H823" s="221" t="s">
        <v>1945</v>
      </c>
      <c r="I823" s="221" t="s">
        <v>42</v>
      </c>
      <c r="J823" s="221" t="b">
        <v>0</v>
      </c>
      <c r="K823" s="223" t="b">
        <v>0</v>
      </c>
      <c r="L823" s="223" t="b">
        <v>0</v>
      </c>
      <c r="M823" s="223" t="s">
        <v>1946</v>
      </c>
      <c r="N823" s="223">
        <v>36.0</v>
      </c>
      <c r="O823" s="224"/>
      <c r="P823" s="230"/>
      <c r="Q823" s="225" t="s">
        <v>155</v>
      </c>
      <c r="R823" s="230"/>
      <c r="S823" s="230"/>
      <c r="T823" s="229" t="s">
        <v>592</v>
      </c>
      <c r="U823" s="227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</row>
    <row r="824" ht="30.0" customHeight="1">
      <c r="A824" s="159"/>
      <c r="B824" s="218" t="s">
        <v>246</v>
      </c>
      <c r="C824" s="218" t="s">
        <v>1614</v>
      </c>
      <c r="D824" s="218" t="s">
        <v>1933</v>
      </c>
      <c r="E824" s="219">
        <v>30053.0</v>
      </c>
      <c r="F824" s="220" t="s">
        <v>1947</v>
      </c>
      <c r="G824" s="221" t="s">
        <v>518</v>
      </c>
      <c r="H824" s="221" t="s">
        <v>1045</v>
      </c>
      <c r="I824" s="221" t="s">
        <v>1948</v>
      </c>
      <c r="J824" s="222" t="s">
        <v>250</v>
      </c>
      <c r="K824" s="223">
        <v>2.0</v>
      </c>
      <c r="L824" s="223" t="b">
        <v>0</v>
      </c>
      <c r="M824" s="223" t="s">
        <v>1948</v>
      </c>
      <c r="N824" s="223">
        <v>6.542307</v>
      </c>
      <c r="O824" s="224"/>
      <c r="P824" s="225" t="s">
        <v>155</v>
      </c>
      <c r="Q824" s="225" t="s">
        <v>155</v>
      </c>
      <c r="R824" s="225" t="s">
        <v>155</v>
      </c>
      <c r="S824" s="225" t="s">
        <v>155</v>
      </c>
      <c r="T824" s="226"/>
      <c r="U824" s="227"/>
      <c r="V824" s="52" t="s">
        <v>250</v>
      </c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</row>
    <row r="825" ht="30.0" customHeight="1">
      <c r="A825" s="159"/>
      <c r="B825" s="218" t="s">
        <v>246</v>
      </c>
      <c r="C825" s="218" t="s">
        <v>1614</v>
      </c>
      <c r="D825" s="218" t="s">
        <v>1933</v>
      </c>
      <c r="E825" s="219">
        <v>100464.0</v>
      </c>
      <c r="F825" s="220" t="s">
        <v>1949</v>
      </c>
      <c r="G825" s="221" t="s">
        <v>518</v>
      </c>
      <c r="H825" s="221" t="s">
        <v>1950</v>
      </c>
      <c r="I825" s="221" t="s">
        <v>389</v>
      </c>
      <c r="J825" s="221" t="s">
        <v>1951</v>
      </c>
      <c r="K825" s="223">
        <v>4.0</v>
      </c>
      <c r="L825" s="223" t="b">
        <v>1</v>
      </c>
      <c r="M825" s="223" t="s">
        <v>389</v>
      </c>
      <c r="N825" s="223">
        <v>23.1508</v>
      </c>
      <c r="O825" s="224" t="s">
        <v>238</v>
      </c>
      <c r="P825" s="225" t="s">
        <v>155</v>
      </c>
      <c r="Q825" s="225" t="s">
        <v>155</v>
      </c>
      <c r="R825" s="225" t="s">
        <v>155</v>
      </c>
      <c r="S825" s="225" t="s">
        <v>155</v>
      </c>
      <c r="T825" s="226"/>
      <c r="U825" s="227"/>
      <c r="V825" s="52" t="s">
        <v>250</v>
      </c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</row>
    <row r="826" ht="30.0" customHeight="1">
      <c r="A826" s="159"/>
      <c r="B826" s="218" t="s">
        <v>246</v>
      </c>
      <c r="C826" s="218" t="s">
        <v>1614</v>
      </c>
      <c r="D826" s="218" t="s">
        <v>1933</v>
      </c>
      <c r="E826" s="219">
        <v>16949.0</v>
      </c>
      <c r="F826" s="220" t="s">
        <v>1952</v>
      </c>
      <c r="G826" s="221" t="s">
        <v>518</v>
      </c>
      <c r="H826" s="222" t="s">
        <v>250</v>
      </c>
      <c r="I826" s="221" t="s">
        <v>1953</v>
      </c>
      <c r="J826" s="222" t="s">
        <v>250</v>
      </c>
      <c r="K826" s="223">
        <v>1.0</v>
      </c>
      <c r="L826" s="223" t="b">
        <v>0</v>
      </c>
      <c r="M826" s="223" t="s">
        <v>1953</v>
      </c>
      <c r="N826" s="223">
        <v>78.764705</v>
      </c>
      <c r="O826" s="224"/>
      <c r="P826" s="225" t="s">
        <v>155</v>
      </c>
      <c r="Q826" s="225" t="s">
        <v>155</v>
      </c>
      <c r="R826" s="225" t="s">
        <v>155</v>
      </c>
      <c r="S826" s="225" t="s">
        <v>155</v>
      </c>
      <c r="T826" s="226"/>
      <c r="U826" s="227"/>
      <c r="V826" s="109" t="s">
        <v>1954</v>
      </c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</row>
    <row r="827" ht="30.0" customHeight="1">
      <c r="A827" s="159"/>
      <c r="B827" s="218" t="s">
        <v>246</v>
      </c>
      <c r="C827" s="218" t="s">
        <v>1614</v>
      </c>
      <c r="D827" s="218" t="s">
        <v>1933</v>
      </c>
      <c r="E827" s="219">
        <v>15661.0</v>
      </c>
      <c r="F827" s="220" t="s">
        <v>1955</v>
      </c>
      <c r="G827" s="221" t="s">
        <v>518</v>
      </c>
      <c r="H827" s="221" t="s">
        <v>1956</v>
      </c>
      <c r="I827" s="221" t="s">
        <v>1957</v>
      </c>
      <c r="J827" s="221" t="s">
        <v>390</v>
      </c>
      <c r="K827" s="223">
        <v>4.0</v>
      </c>
      <c r="L827" s="223" t="b">
        <v>1</v>
      </c>
      <c r="M827" s="223" t="s">
        <v>1957</v>
      </c>
      <c r="N827" s="223">
        <v>28.844587</v>
      </c>
      <c r="O827" s="224" t="s">
        <v>238</v>
      </c>
      <c r="P827" s="225" t="s">
        <v>155</v>
      </c>
      <c r="Q827" s="225" t="s">
        <v>155</v>
      </c>
      <c r="R827" s="225" t="s">
        <v>155</v>
      </c>
      <c r="S827" s="225" t="s">
        <v>155</v>
      </c>
      <c r="T827" s="226"/>
      <c r="U827" s="227"/>
      <c r="V827" s="109" t="s">
        <v>1958</v>
      </c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</row>
    <row r="828" ht="30.0" customHeight="1">
      <c r="A828" s="159"/>
      <c r="B828" s="218" t="s">
        <v>246</v>
      </c>
      <c r="C828" s="218" t="s">
        <v>1614</v>
      </c>
      <c r="D828" s="218" t="s">
        <v>1933</v>
      </c>
      <c r="E828" s="219">
        <v>110962.0</v>
      </c>
      <c r="F828" s="220" t="s">
        <v>1959</v>
      </c>
      <c r="G828" s="221" t="s">
        <v>518</v>
      </c>
      <c r="H828" s="221" t="s">
        <v>1960</v>
      </c>
      <c r="I828" s="221" t="s">
        <v>42</v>
      </c>
      <c r="J828" s="222" t="s">
        <v>250</v>
      </c>
      <c r="K828" s="223">
        <v>2.0</v>
      </c>
      <c r="L828" s="223" t="b">
        <v>1</v>
      </c>
      <c r="M828" s="223" t="s">
        <v>42</v>
      </c>
      <c r="N828" s="223">
        <v>56.474285</v>
      </c>
      <c r="O828" s="224"/>
      <c r="P828" s="225" t="s">
        <v>155</v>
      </c>
      <c r="Q828" s="225" t="s">
        <v>155</v>
      </c>
      <c r="R828" s="225" t="s">
        <v>155</v>
      </c>
      <c r="S828" s="225" t="s">
        <v>155</v>
      </c>
      <c r="T828" s="226"/>
      <c r="U828" s="227"/>
      <c r="V828" s="52" t="s">
        <v>250</v>
      </c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</row>
    <row r="829" ht="30.0" customHeight="1">
      <c r="A829" s="159"/>
      <c r="B829" s="218" t="s">
        <v>246</v>
      </c>
      <c r="C829" s="218" t="s">
        <v>1614</v>
      </c>
      <c r="D829" s="218" t="s">
        <v>1933</v>
      </c>
      <c r="E829" s="219">
        <v>40533.0</v>
      </c>
      <c r="F829" s="220" t="s">
        <v>1961</v>
      </c>
      <c r="G829" s="221" t="s">
        <v>518</v>
      </c>
      <c r="H829" s="221" t="s">
        <v>594</v>
      </c>
      <c r="I829" s="221" t="s">
        <v>1518</v>
      </c>
      <c r="J829" s="222" t="s">
        <v>250</v>
      </c>
      <c r="K829" s="223">
        <v>2.0</v>
      </c>
      <c r="L829" s="223" t="b">
        <v>1</v>
      </c>
      <c r="M829" s="223" t="s">
        <v>1518</v>
      </c>
      <c r="N829" s="223">
        <v>29.0964</v>
      </c>
      <c r="O829" s="224"/>
      <c r="P829" s="225" t="s">
        <v>155</v>
      </c>
      <c r="Q829" s="225" t="s">
        <v>155</v>
      </c>
      <c r="R829" s="225" t="s">
        <v>155</v>
      </c>
      <c r="S829" s="225" t="s">
        <v>155</v>
      </c>
      <c r="T829" s="226"/>
      <c r="U829" s="227"/>
      <c r="V829" s="52" t="s">
        <v>250</v>
      </c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</row>
    <row r="830" ht="30.0" customHeight="1">
      <c r="A830" s="159"/>
      <c r="B830" s="218" t="s">
        <v>246</v>
      </c>
      <c r="C830" s="218" t="s">
        <v>1614</v>
      </c>
      <c r="D830" s="218" t="s">
        <v>1933</v>
      </c>
      <c r="E830" s="219">
        <v>16241.0</v>
      </c>
      <c r="F830" s="220" t="s">
        <v>1962</v>
      </c>
      <c r="G830" s="221" t="s">
        <v>249</v>
      </c>
      <c r="H830" s="221" t="s">
        <v>1963</v>
      </c>
      <c r="I830" s="221" t="s">
        <v>1132</v>
      </c>
      <c r="J830" s="221" t="s">
        <v>364</v>
      </c>
      <c r="K830" s="223">
        <v>4.0</v>
      </c>
      <c r="L830" s="223" t="b">
        <v>1</v>
      </c>
      <c r="M830" s="223" t="s">
        <v>1132</v>
      </c>
      <c r="N830" s="223">
        <v>76.639696</v>
      </c>
      <c r="O830" s="224" t="s">
        <v>238</v>
      </c>
      <c r="P830" s="225" t="s">
        <v>155</v>
      </c>
      <c r="Q830" s="225" t="s">
        <v>155</v>
      </c>
      <c r="R830" s="225" t="s">
        <v>155</v>
      </c>
      <c r="S830" s="225" t="s">
        <v>155</v>
      </c>
      <c r="T830" s="226"/>
      <c r="U830" s="227"/>
      <c r="V830" s="52" t="s">
        <v>250</v>
      </c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</row>
    <row r="831" ht="30.0" customHeight="1">
      <c r="A831" s="159"/>
      <c r="B831" s="218" t="s">
        <v>246</v>
      </c>
      <c r="C831" s="218" t="s">
        <v>1614</v>
      </c>
      <c r="D831" s="218" t="s">
        <v>1933</v>
      </c>
      <c r="E831" s="219">
        <v>16948.0</v>
      </c>
      <c r="F831" s="220" t="s">
        <v>1964</v>
      </c>
      <c r="G831" s="221" t="s">
        <v>249</v>
      </c>
      <c r="H831" s="222" t="s">
        <v>250</v>
      </c>
      <c r="I831" s="221" t="s">
        <v>1965</v>
      </c>
      <c r="J831" s="221" t="s">
        <v>364</v>
      </c>
      <c r="K831" s="223">
        <v>4.0</v>
      </c>
      <c r="L831" s="223" t="b">
        <v>1</v>
      </c>
      <c r="M831" s="223" t="s">
        <v>1965</v>
      </c>
      <c r="N831" s="223">
        <v>5.70541</v>
      </c>
      <c r="O831" s="224" t="s">
        <v>238</v>
      </c>
      <c r="P831" s="225" t="s">
        <v>155</v>
      </c>
      <c r="Q831" s="225" t="s">
        <v>155</v>
      </c>
      <c r="R831" s="225" t="s">
        <v>155</v>
      </c>
      <c r="S831" s="225" t="s">
        <v>155</v>
      </c>
      <c r="T831" s="226"/>
      <c r="U831" s="227"/>
      <c r="V831" s="109" t="s">
        <v>1966</v>
      </c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</row>
    <row r="832" ht="30.0" customHeight="1">
      <c r="A832" s="159"/>
      <c r="B832" s="218" t="s">
        <v>246</v>
      </c>
      <c r="C832" s="218" t="s">
        <v>1614</v>
      </c>
      <c r="D832" s="218" t="s">
        <v>1933</v>
      </c>
      <c r="E832" s="219">
        <v>112200.0</v>
      </c>
      <c r="F832" s="220" t="s">
        <v>1967</v>
      </c>
      <c r="G832" s="221" t="s">
        <v>518</v>
      </c>
      <c r="H832" s="221" t="s">
        <v>463</v>
      </c>
      <c r="I832" s="221" t="s">
        <v>691</v>
      </c>
      <c r="J832" s="221" t="s">
        <v>1161</v>
      </c>
      <c r="K832" s="223">
        <v>2.0</v>
      </c>
      <c r="L832" s="223" t="b">
        <v>1</v>
      </c>
      <c r="M832" s="223" t="s">
        <v>42</v>
      </c>
      <c r="N832" s="223">
        <v>19.41</v>
      </c>
      <c r="O832" s="224"/>
      <c r="P832" s="225" t="s">
        <v>155</v>
      </c>
      <c r="Q832" s="225" t="s">
        <v>155</v>
      </c>
      <c r="R832" s="225" t="s">
        <v>155</v>
      </c>
      <c r="S832" s="225" t="s">
        <v>155</v>
      </c>
      <c r="T832" s="226"/>
      <c r="U832" s="227"/>
      <c r="V832" s="52" t="s">
        <v>250</v>
      </c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</row>
    <row r="833" ht="30.0" customHeight="1">
      <c r="A833" s="159"/>
      <c r="B833" s="218" t="s">
        <v>246</v>
      </c>
      <c r="C833" s="218" t="s">
        <v>1614</v>
      </c>
      <c r="D833" s="218" t="s">
        <v>1933</v>
      </c>
      <c r="E833" s="219">
        <v>16414.0</v>
      </c>
      <c r="F833" s="220" t="s">
        <v>1968</v>
      </c>
      <c r="G833" s="221" t="s">
        <v>518</v>
      </c>
      <c r="H833" s="222" t="s">
        <v>250</v>
      </c>
      <c r="I833" s="221" t="s">
        <v>42</v>
      </c>
      <c r="J833" s="222" t="s">
        <v>250</v>
      </c>
      <c r="K833" s="223">
        <v>3.0</v>
      </c>
      <c r="L833" s="223" t="b">
        <v>0</v>
      </c>
      <c r="M833" s="228"/>
      <c r="N833" s="228"/>
      <c r="O833" s="224"/>
      <c r="P833" s="225" t="s">
        <v>155</v>
      </c>
      <c r="Q833" s="225" t="s">
        <v>155</v>
      </c>
      <c r="R833" s="225" t="s">
        <v>155</v>
      </c>
      <c r="S833" s="225" t="s">
        <v>155</v>
      </c>
      <c r="T833" s="226"/>
      <c r="U833" s="227"/>
      <c r="V833" s="52" t="s">
        <v>250</v>
      </c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</row>
    <row r="834" ht="30.0" customHeight="1">
      <c r="A834" s="159"/>
      <c r="B834" s="218" t="s">
        <v>246</v>
      </c>
      <c r="C834" s="218" t="s">
        <v>1614</v>
      </c>
      <c r="D834" s="218" t="s">
        <v>1933</v>
      </c>
      <c r="E834" s="219">
        <v>16418.0</v>
      </c>
      <c r="F834" s="220" t="s">
        <v>1969</v>
      </c>
      <c r="G834" s="221" t="s">
        <v>518</v>
      </c>
      <c r="H834" s="221" t="s">
        <v>1970</v>
      </c>
      <c r="I834" s="221" t="s">
        <v>42</v>
      </c>
      <c r="J834" s="222" t="s">
        <v>250</v>
      </c>
      <c r="K834" s="223">
        <v>3.0</v>
      </c>
      <c r="L834" s="223" t="b">
        <v>1</v>
      </c>
      <c r="M834" s="223" t="s">
        <v>42</v>
      </c>
      <c r="N834" s="223">
        <v>30.567254</v>
      </c>
      <c r="O834" s="224"/>
      <c r="P834" s="225" t="s">
        <v>155</v>
      </c>
      <c r="Q834" s="225" t="s">
        <v>155</v>
      </c>
      <c r="R834" s="225" t="s">
        <v>155</v>
      </c>
      <c r="S834" s="225" t="s">
        <v>155</v>
      </c>
      <c r="T834" s="226"/>
      <c r="U834" s="227"/>
      <c r="V834" s="52" t="s">
        <v>250</v>
      </c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</row>
    <row r="835" ht="30.0" customHeight="1">
      <c r="A835" s="159"/>
      <c r="B835" s="218" t="s">
        <v>246</v>
      </c>
      <c r="C835" s="218" t="s">
        <v>1614</v>
      </c>
      <c r="D835" s="218" t="s">
        <v>1933</v>
      </c>
      <c r="E835" s="219">
        <v>11940.0</v>
      </c>
      <c r="F835" s="220" t="s">
        <v>1971</v>
      </c>
      <c r="G835" s="221" t="s">
        <v>518</v>
      </c>
      <c r="H835" s="221" t="s">
        <v>1972</v>
      </c>
      <c r="I835" s="221" t="s">
        <v>42</v>
      </c>
      <c r="J835" s="222" t="s">
        <v>250</v>
      </c>
      <c r="K835" s="223">
        <v>2.0</v>
      </c>
      <c r="L835" s="223" t="b">
        <v>0</v>
      </c>
      <c r="M835" s="223" t="s">
        <v>42</v>
      </c>
      <c r="N835" s="223">
        <v>15.375</v>
      </c>
      <c r="O835" s="224" t="s">
        <v>238</v>
      </c>
      <c r="P835" s="225" t="s">
        <v>155</v>
      </c>
      <c r="Q835" s="225" t="s">
        <v>155</v>
      </c>
      <c r="R835" s="225" t="s">
        <v>155</v>
      </c>
      <c r="S835" s="225" t="s">
        <v>155</v>
      </c>
      <c r="T835" s="226"/>
      <c r="U835" s="227"/>
      <c r="V835" s="52" t="s">
        <v>250</v>
      </c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</row>
    <row r="836" ht="30.0" customHeight="1">
      <c r="A836" s="159"/>
      <c r="B836" s="218" t="s">
        <v>246</v>
      </c>
      <c r="C836" s="218" t="s">
        <v>1614</v>
      </c>
      <c r="D836" s="218" t="s">
        <v>1933</v>
      </c>
      <c r="E836" s="219">
        <v>149875.0</v>
      </c>
      <c r="F836" s="220" t="s">
        <v>1973</v>
      </c>
      <c r="G836" s="221" t="s">
        <v>518</v>
      </c>
      <c r="H836" s="221" t="s">
        <v>1974</v>
      </c>
      <c r="I836" s="221" t="s">
        <v>62</v>
      </c>
      <c r="J836" s="222" t="s">
        <v>250</v>
      </c>
      <c r="K836" s="223">
        <v>4.0</v>
      </c>
      <c r="L836" s="223" t="b">
        <v>0</v>
      </c>
      <c r="M836" s="228"/>
      <c r="N836" s="228"/>
      <c r="O836" s="224"/>
      <c r="P836" s="225" t="s">
        <v>155</v>
      </c>
      <c r="Q836" s="225" t="s">
        <v>155</v>
      </c>
      <c r="R836" s="225" t="s">
        <v>155</v>
      </c>
      <c r="S836" s="225" t="s">
        <v>155</v>
      </c>
      <c r="T836" s="229" t="s">
        <v>1975</v>
      </c>
      <c r="U836" s="227"/>
      <c r="V836" s="52" t="s">
        <v>250</v>
      </c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</row>
    <row r="837" ht="30.0" customHeight="1">
      <c r="A837" s="159"/>
      <c r="B837" s="218" t="s">
        <v>246</v>
      </c>
      <c r="C837" s="218" t="s">
        <v>1614</v>
      </c>
      <c r="D837" s="218" t="s">
        <v>1933</v>
      </c>
      <c r="E837" s="219">
        <v>37627.0</v>
      </c>
      <c r="F837" s="220" t="s">
        <v>1976</v>
      </c>
      <c r="G837" s="221" t="s">
        <v>518</v>
      </c>
      <c r="H837" s="221" t="s">
        <v>1977</v>
      </c>
      <c r="I837" s="221" t="s">
        <v>1978</v>
      </c>
      <c r="J837" s="222" t="s">
        <v>250</v>
      </c>
      <c r="K837" s="223">
        <v>3.0</v>
      </c>
      <c r="L837" s="223" t="b">
        <v>1</v>
      </c>
      <c r="M837" s="223" t="s">
        <v>1978</v>
      </c>
      <c r="N837" s="223">
        <v>163.966363</v>
      </c>
      <c r="O837" s="224" t="s">
        <v>238</v>
      </c>
      <c r="P837" s="225" t="s">
        <v>155</v>
      </c>
      <c r="Q837" s="225" t="s">
        <v>155</v>
      </c>
      <c r="R837" s="225" t="s">
        <v>155</v>
      </c>
      <c r="S837" s="225" t="s">
        <v>155</v>
      </c>
      <c r="T837" s="226"/>
      <c r="U837" s="227"/>
      <c r="V837" s="109" t="s">
        <v>1979</v>
      </c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</row>
    <row r="838" ht="30.0" customHeight="1">
      <c r="A838" s="159"/>
      <c r="B838" s="218" t="s">
        <v>246</v>
      </c>
      <c r="C838" s="218" t="s">
        <v>1614</v>
      </c>
      <c r="D838" s="218" t="s">
        <v>1933</v>
      </c>
      <c r="E838" s="219">
        <v>15985.0</v>
      </c>
      <c r="F838" s="220" t="s">
        <v>1980</v>
      </c>
      <c r="G838" s="221" t="s">
        <v>518</v>
      </c>
      <c r="H838" s="221" t="s">
        <v>1981</v>
      </c>
      <c r="I838" s="221" t="s">
        <v>1774</v>
      </c>
      <c r="J838" s="221" t="s">
        <v>819</v>
      </c>
      <c r="K838" s="223">
        <v>1.0</v>
      </c>
      <c r="L838" s="223" t="b">
        <v>0</v>
      </c>
      <c r="M838" s="223" t="s">
        <v>1774</v>
      </c>
      <c r="N838" s="223">
        <v>29.071447</v>
      </c>
      <c r="O838" s="224" t="s">
        <v>238</v>
      </c>
      <c r="P838" s="225" t="s">
        <v>155</v>
      </c>
      <c r="Q838" s="225" t="s">
        <v>155</v>
      </c>
      <c r="R838" s="225" t="s">
        <v>155</v>
      </c>
      <c r="S838" s="225" t="s">
        <v>155</v>
      </c>
      <c r="T838" s="226"/>
      <c r="U838" s="227"/>
      <c r="V838" s="52" t="s">
        <v>250</v>
      </c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</row>
    <row r="839" ht="30.0" customHeight="1">
      <c r="A839" s="159"/>
      <c r="B839" s="218" t="s">
        <v>246</v>
      </c>
      <c r="C839" s="218" t="s">
        <v>1614</v>
      </c>
      <c r="D839" s="218" t="s">
        <v>1933</v>
      </c>
      <c r="E839" s="219">
        <v>16539.0</v>
      </c>
      <c r="F839" s="220" t="s">
        <v>1982</v>
      </c>
      <c r="G839" s="221" t="s">
        <v>518</v>
      </c>
      <c r="H839" s="221" t="s">
        <v>1983</v>
      </c>
      <c r="I839" s="221" t="s">
        <v>1984</v>
      </c>
      <c r="J839" s="222" t="s">
        <v>250</v>
      </c>
      <c r="K839" s="223">
        <v>1.0</v>
      </c>
      <c r="L839" s="223" t="b">
        <v>1</v>
      </c>
      <c r="M839" s="223" t="s">
        <v>1984</v>
      </c>
      <c r="N839" s="223">
        <v>77.525804</v>
      </c>
      <c r="O839" s="224" t="s">
        <v>238</v>
      </c>
      <c r="P839" s="225" t="s">
        <v>155</v>
      </c>
      <c r="Q839" s="225" t="s">
        <v>155</v>
      </c>
      <c r="R839" s="225" t="s">
        <v>155</v>
      </c>
      <c r="S839" s="225" t="s">
        <v>155</v>
      </c>
      <c r="T839" s="226"/>
      <c r="U839" s="227"/>
      <c r="V839" s="52" t="s">
        <v>250</v>
      </c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</row>
    <row r="840" ht="30.0" customHeight="1">
      <c r="A840" s="159"/>
      <c r="B840" s="218" t="s">
        <v>246</v>
      </c>
      <c r="C840" s="218" t="s">
        <v>1614</v>
      </c>
      <c r="D840" s="218" t="s">
        <v>1933</v>
      </c>
      <c r="E840" s="219">
        <v>20893.0</v>
      </c>
      <c r="F840" s="220" t="s">
        <v>1985</v>
      </c>
      <c r="G840" s="221" t="s">
        <v>249</v>
      </c>
      <c r="H840" s="222" t="s">
        <v>250</v>
      </c>
      <c r="I840" s="221" t="s">
        <v>42</v>
      </c>
      <c r="J840" s="221" t="s">
        <v>1986</v>
      </c>
      <c r="K840" s="223">
        <v>3.0</v>
      </c>
      <c r="L840" s="223" t="b">
        <v>1</v>
      </c>
      <c r="M840" s="223" t="s">
        <v>42</v>
      </c>
      <c r="N840" s="223">
        <v>4.625375</v>
      </c>
      <c r="O840" s="224" t="s">
        <v>238</v>
      </c>
      <c r="P840" s="225" t="s">
        <v>155</v>
      </c>
      <c r="Q840" s="225" t="s">
        <v>155</v>
      </c>
      <c r="R840" s="225" t="s">
        <v>155</v>
      </c>
      <c r="S840" s="225" t="s">
        <v>155</v>
      </c>
      <c r="T840" s="226"/>
      <c r="U840" s="227"/>
      <c r="V840" s="52" t="s">
        <v>250</v>
      </c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</row>
    <row r="841" ht="30.0" customHeight="1">
      <c r="A841" s="159"/>
      <c r="B841" s="218" t="s">
        <v>246</v>
      </c>
      <c r="C841" s="218" t="s">
        <v>1614</v>
      </c>
      <c r="D841" s="218" t="s">
        <v>1933</v>
      </c>
      <c r="E841" s="219">
        <v>16114.0</v>
      </c>
      <c r="F841" s="220" t="s">
        <v>1987</v>
      </c>
      <c r="G841" s="221" t="s">
        <v>518</v>
      </c>
      <c r="H841" s="221" t="s">
        <v>1988</v>
      </c>
      <c r="I841" s="221" t="s">
        <v>1989</v>
      </c>
      <c r="J841" s="222" t="s">
        <v>250</v>
      </c>
      <c r="K841" s="223">
        <v>2.0</v>
      </c>
      <c r="L841" s="223" t="b">
        <v>1</v>
      </c>
      <c r="M841" s="228"/>
      <c r="N841" s="228"/>
      <c r="O841" s="224"/>
      <c r="P841" s="225" t="s">
        <v>155</v>
      </c>
      <c r="Q841" s="225" t="s">
        <v>155</v>
      </c>
      <c r="R841" s="225" t="s">
        <v>155</v>
      </c>
      <c r="S841" s="225" t="s">
        <v>155</v>
      </c>
      <c r="T841" s="226"/>
      <c r="U841" s="227"/>
      <c r="V841" s="109" t="s">
        <v>1990</v>
      </c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</row>
    <row r="842" ht="30.0" customHeight="1">
      <c r="A842" s="159"/>
      <c r="B842" s="218" t="s">
        <v>246</v>
      </c>
      <c r="C842" s="218" t="s">
        <v>1614</v>
      </c>
      <c r="D842" s="218" t="s">
        <v>1933</v>
      </c>
      <c r="E842" s="219">
        <v>16538.0</v>
      </c>
      <c r="F842" s="220" t="s">
        <v>1991</v>
      </c>
      <c r="G842" s="221" t="s">
        <v>518</v>
      </c>
      <c r="H842" s="222" t="s">
        <v>250</v>
      </c>
      <c r="I842" s="221" t="s">
        <v>1992</v>
      </c>
      <c r="J842" s="222" t="s">
        <v>250</v>
      </c>
      <c r="K842" s="223">
        <v>4.0</v>
      </c>
      <c r="L842" s="223" t="b">
        <v>1</v>
      </c>
      <c r="M842" s="223" t="s">
        <v>1992</v>
      </c>
      <c r="N842" s="223">
        <v>29.935142</v>
      </c>
      <c r="O842" s="224" t="s">
        <v>238</v>
      </c>
      <c r="P842" s="225" t="s">
        <v>155</v>
      </c>
      <c r="Q842" s="225" t="s">
        <v>155</v>
      </c>
      <c r="R842" s="225" t="s">
        <v>155</v>
      </c>
      <c r="S842" s="225" t="s">
        <v>155</v>
      </c>
      <c r="T842" s="226"/>
      <c r="U842" s="227"/>
      <c r="V842" s="109" t="s">
        <v>1993</v>
      </c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</row>
    <row r="843" ht="30.0" customHeight="1">
      <c r="A843" s="159"/>
      <c r="B843" s="218" t="s">
        <v>246</v>
      </c>
      <c r="C843" s="218" t="s">
        <v>1614</v>
      </c>
      <c r="D843" s="218" t="s">
        <v>1933</v>
      </c>
      <c r="E843" s="219">
        <v>16245.0</v>
      </c>
      <c r="F843" s="220" t="s">
        <v>1994</v>
      </c>
      <c r="G843" s="221" t="s">
        <v>518</v>
      </c>
      <c r="H843" s="221" t="s">
        <v>1995</v>
      </c>
      <c r="I843" s="221" t="s">
        <v>1996</v>
      </c>
      <c r="J843" s="222" t="s">
        <v>250</v>
      </c>
      <c r="K843" s="223">
        <v>4.0</v>
      </c>
      <c r="L843" s="223" t="b">
        <v>1</v>
      </c>
      <c r="M843" s="223" t="s">
        <v>1996</v>
      </c>
      <c r="N843" s="223">
        <v>34.389754</v>
      </c>
      <c r="O843" s="224" t="s">
        <v>238</v>
      </c>
      <c r="P843" s="225" t="s">
        <v>155</v>
      </c>
      <c r="Q843" s="225" t="s">
        <v>155</v>
      </c>
      <c r="R843" s="225" t="s">
        <v>155</v>
      </c>
      <c r="S843" s="225" t="s">
        <v>155</v>
      </c>
      <c r="T843" s="226"/>
      <c r="U843" s="227"/>
      <c r="V843" s="109" t="s">
        <v>1997</v>
      </c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</row>
    <row r="844" ht="30.0" customHeight="1">
      <c r="A844" s="159"/>
      <c r="B844" s="218" t="s">
        <v>246</v>
      </c>
      <c r="C844" s="218" t="s">
        <v>1614</v>
      </c>
      <c r="D844" s="218" t="s">
        <v>1933</v>
      </c>
      <c r="E844" s="219">
        <v>110935.0</v>
      </c>
      <c r="F844" s="220" t="s">
        <v>1998</v>
      </c>
      <c r="G844" s="221" t="s">
        <v>518</v>
      </c>
      <c r="H844" s="221" t="s">
        <v>1418</v>
      </c>
      <c r="I844" s="221" t="s">
        <v>42</v>
      </c>
      <c r="J844" s="222" t="s">
        <v>250</v>
      </c>
      <c r="K844" s="223">
        <v>2.0</v>
      </c>
      <c r="L844" s="223" t="b">
        <v>0</v>
      </c>
      <c r="M844" s="223" t="s">
        <v>42</v>
      </c>
      <c r="N844" s="223">
        <v>42.663928</v>
      </c>
      <c r="O844" s="224"/>
      <c r="P844" s="225" t="s">
        <v>155</v>
      </c>
      <c r="Q844" s="225" t="s">
        <v>155</v>
      </c>
      <c r="R844" s="225" t="s">
        <v>155</v>
      </c>
      <c r="S844" s="225" t="s">
        <v>155</v>
      </c>
      <c r="T844" s="226"/>
      <c r="U844" s="227"/>
      <c r="V844" s="109" t="s">
        <v>1999</v>
      </c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</row>
    <row r="845" ht="30.0" customHeight="1">
      <c r="A845" s="159"/>
      <c r="B845" s="218" t="s">
        <v>246</v>
      </c>
      <c r="C845" s="218" t="s">
        <v>1614</v>
      </c>
      <c r="D845" s="218" t="s">
        <v>1933</v>
      </c>
      <c r="E845" s="219">
        <v>16946.0</v>
      </c>
      <c r="F845" s="220" t="s">
        <v>2000</v>
      </c>
      <c r="G845" s="221" t="s">
        <v>518</v>
      </c>
      <c r="H845" s="222" t="s">
        <v>250</v>
      </c>
      <c r="I845" s="221" t="s">
        <v>1774</v>
      </c>
      <c r="J845" s="222" t="s">
        <v>250</v>
      </c>
      <c r="K845" s="223">
        <v>2.0</v>
      </c>
      <c r="L845" s="223" t="b">
        <v>1</v>
      </c>
      <c r="M845" s="223" t="s">
        <v>1774</v>
      </c>
      <c r="N845" s="223">
        <v>56.691133</v>
      </c>
      <c r="O845" s="224" t="s">
        <v>238</v>
      </c>
      <c r="P845" s="225" t="s">
        <v>155</v>
      </c>
      <c r="Q845" s="225" t="s">
        <v>155</v>
      </c>
      <c r="R845" s="225" t="s">
        <v>155</v>
      </c>
      <c r="S845" s="225" t="s">
        <v>155</v>
      </c>
      <c r="T845" s="226"/>
      <c r="U845" s="227"/>
      <c r="V845" s="52" t="s">
        <v>250</v>
      </c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</row>
    <row r="846" ht="30.0" customHeight="1">
      <c r="A846" s="159"/>
      <c r="B846" s="218" t="s">
        <v>246</v>
      </c>
      <c r="C846" s="218" t="s">
        <v>1614</v>
      </c>
      <c r="D846" s="218" t="s">
        <v>1933</v>
      </c>
      <c r="E846" s="219">
        <v>15908.0</v>
      </c>
      <c r="F846" s="220" t="s">
        <v>2001</v>
      </c>
      <c r="G846" s="221" t="s">
        <v>518</v>
      </c>
      <c r="H846" s="222" t="s">
        <v>250</v>
      </c>
      <c r="I846" s="221" t="s">
        <v>2002</v>
      </c>
      <c r="J846" s="222" t="s">
        <v>250</v>
      </c>
      <c r="K846" s="223">
        <v>1.0</v>
      </c>
      <c r="L846" s="223" t="b">
        <v>1</v>
      </c>
      <c r="M846" s="223" t="s">
        <v>2002</v>
      </c>
      <c r="N846" s="223">
        <v>284.868095</v>
      </c>
      <c r="O846" s="224" t="s">
        <v>238</v>
      </c>
      <c r="P846" s="225" t="s">
        <v>155</v>
      </c>
      <c r="Q846" s="225" t="s">
        <v>155</v>
      </c>
      <c r="R846" s="225" t="s">
        <v>155</v>
      </c>
      <c r="S846" s="225" t="s">
        <v>155</v>
      </c>
      <c r="T846" s="226"/>
      <c r="U846" s="227"/>
      <c r="V846" s="109" t="s">
        <v>2003</v>
      </c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</row>
    <row r="847" ht="30.0" customHeight="1">
      <c r="A847" s="159"/>
      <c r="B847" s="218" t="s">
        <v>246</v>
      </c>
      <c r="C847" s="218" t="s">
        <v>1614</v>
      </c>
      <c r="D847" s="218" t="s">
        <v>1933</v>
      </c>
      <c r="E847" s="219">
        <v>150114.0</v>
      </c>
      <c r="F847" s="220" t="s">
        <v>2004</v>
      </c>
      <c r="G847" s="221" t="s">
        <v>518</v>
      </c>
      <c r="H847" s="221" t="s">
        <v>2005</v>
      </c>
      <c r="I847" s="221" t="s">
        <v>62</v>
      </c>
      <c r="J847" s="222" t="s">
        <v>250</v>
      </c>
      <c r="K847" s="223">
        <v>4.0</v>
      </c>
      <c r="L847" s="223" t="b">
        <v>0</v>
      </c>
      <c r="M847" s="228"/>
      <c r="N847" s="228"/>
      <c r="O847" s="224"/>
      <c r="P847" s="225" t="s">
        <v>155</v>
      </c>
      <c r="Q847" s="225" t="s">
        <v>155</v>
      </c>
      <c r="R847" s="225" t="s">
        <v>155</v>
      </c>
      <c r="S847" s="225" t="s">
        <v>155</v>
      </c>
      <c r="T847" s="226"/>
      <c r="U847" s="227"/>
      <c r="V847" s="52" t="s">
        <v>250</v>
      </c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</row>
    <row r="848" ht="30.0" customHeight="1">
      <c r="A848" s="159"/>
      <c r="B848" s="218" t="s">
        <v>246</v>
      </c>
      <c r="C848" s="218" t="s">
        <v>1614</v>
      </c>
      <c r="D848" s="218" t="s">
        <v>1933</v>
      </c>
      <c r="E848" s="219">
        <v>111932.0</v>
      </c>
      <c r="F848" s="220" t="s">
        <v>2006</v>
      </c>
      <c r="G848" s="221" t="s">
        <v>518</v>
      </c>
      <c r="H848" s="221" t="s">
        <v>2007</v>
      </c>
      <c r="I848" s="221" t="s">
        <v>857</v>
      </c>
      <c r="J848" s="222" t="s">
        <v>250</v>
      </c>
      <c r="K848" s="223">
        <v>1.0</v>
      </c>
      <c r="L848" s="223" t="b">
        <v>0</v>
      </c>
      <c r="M848" s="223" t="s">
        <v>42</v>
      </c>
      <c r="N848" s="223">
        <v>550.7</v>
      </c>
      <c r="O848" s="224"/>
      <c r="P848" s="225" t="s">
        <v>155</v>
      </c>
      <c r="Q848" s="225" t="s">
        <v>155</v>
      </c>
      <c r="R848" s="225" t="s">
        <v>155</v>
      </c>
      <c r="S848" s="225" t="s">
        <v>155</v>
      </c>
      <c r="T848" s="226"/>
      <c r="U848" s="227"/>
      <c r="V848" s="52" t="s">
        <v>250</v>
      </c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</row>
    <row r="849" ht="30.0" customHeight="1">
      <c r="A849" s="159"/>
      <c r="B849" s="218" t="s">
        <v>246</v>
      </c>
      <c r="C849" s="218" t="s">
        <v>1614</v>
      </c>
      <c r="D849" s="218" t="s">
        <v>1933</v>
      </c>
      <c r="E849" s="219">
        <v>112896.0</v>
      </c>
      <c r="F849" s="220" t="s">
        <v>2008</v>
      </c>
      <c r="G849" s="221" t="s">
        <v>518</v>
      </c>
      <c r="H849" s="221" t="s">
        <v>2007</v>
      </c>
      <c r="I849" s="221" t="s">
        <v>857</v>
      </c>
      <c r="J849" s="222" t="s">
        <v>250</v>
      </c>
      <c r="K849" s="223">
        <v>3.0</v>
      </c>
      <c r="L849" s="223" t="b">
        <v>0</v>
      </c>
      <c r="M849" s="223" t="s">
        <v>42</v>
      </c>
      <c r="N849" s="223">
        <v>426.95</v>
      </c>
      <c r="O849" s="224"/>
      <c r="P849" s="225" t="s">
        <v>155</v>
      </c>
      <c r="Q849" s="225" t="s">
        <v>155</v>
      </c>
      <c r="R849" s="225" t="s">
        <v>155</v>
      </c>
      <c r="S849" s="225" t="s">
        <v>155</v>
      </c>
      <c r="T849" s="226"/>
      <c r="U849" s="227"/>
      <c r="V849" s="52" t="s">
        <v>250</v>
      </c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</row>
    <row r="850" ht="30.0" customHeight="1">
      <c r="A850" s="159"/>
      <c r="B850" s="218" t="s">
        <v>246</v>
      </c>
      <c r="C850" s="218" t="s">
        <v>1614</v>
      </c>
      <c r="D850" s="218" t="s">
        <v>1933</v>
      </c>
      <c r="E850" s="219">
        <v>15865.0</v>
      </c>
      <c r="F850" s="220" t="s">
        <v>2009</v>
      </c>
      <c r="G850" s="221" t="s">
        <v>518</v>
      </c>
      <c r="H850" s="221" t="s">
        <v>2010</v>
      </c>
      <c r="I850" s="221" t="s">
        <v>289</v>
      </c>
      <c r="J850" s="221" t="s">
        <v>364</v>
      </c>
      <c r="K850" s="223">
        <v>4.0</v>
      </c>
      <c r="L850" s="223" t="b">
        <v>1</v>
      </c>
      <c r="M850" s="223" t="s">
        <v>289</v>
      </c>
      <c r="N850" s="223">
        <v>0.118955</v>
      </c>
      <c r="O850" s="224" t="s">
        <v>238</v>
      </c>
      <c r="P850" s="225" t="s">
        <v>155</v>
      </c>
      <c r="Q850" s="225" t="s">
        <v>155</v>
      </c>
      <c r="R850" s="225" t="s">
        <v>155</v>
      </c>
      <c r="S850" s="225" t="s">
        <v>155</v>
      </c>
      <c r="T850" s="226"/>
      <c r="U850" s="227"/>
      <c r="V850" s="109" t="s">
        <v>2011</v>
      </c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</row>
    <row r="851" ht="30.0" customHeight="1">
      <c r="A851" s="159"/>
      <c r="B851" s="218" t="s">
        <v>246</v>
      </c>
      <c r="C851" s="218" t="s">
        <v>1614</v>
      </c>
      <c r="D851" s="218" t="s">
        <v>1933</v>
      </c>
      <c r="E851" s="219">
        <v>40567.0</v>
      </c>
      <c r="F851" s="220" t="s">
        <v>2012</v>
      </c>
      <c r="G851" s="221" t="s">
        <v>518</v>
      </c>
      <c r="H851" s="221" t="s">
        <v>1945</v>
      </c>
      <c r="I851" s="221" t="s">
        <v>2013</v>
      </c>
      <c r="J851" s="221" t="b">
        <v>0</v>
      </c>
      <c r="K851" s="223" t="b">
        <v>0</v>
      </c>
      <c r="L851" s="223" t="b">
        <v>0</v>
      </c>
      <c r="M851" s="223" t="s">
        <v>2014</v>
      </c>
      <c r="N851" s="223" t="s">
        <v>2015</v>
      </c>
      <c r="O851" s="224"/>
      <c r="P851" s="230"/>
      <c r="Q851" s="225" t="s">
        <v>155</v>
      </c>
      <c r="R851" s="230"/>
      <c r="S851" s="230"/>
      <c r="T851" s="229" t="s">
        <v>592</v>
      </c>
      <c r="U851" s="227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</row>
    <row r="852" ht="30.0" customHeight="1">
      <c r="A852" s="159"/>
      <c r="B852" s="218" t="s">
        <v>246</v>
      </c>
      <c r="C852" s="218" t="s">
        <v>1614</v>
      </c>
      <c r="D852" s="218" t="s">
        <v>1933</v>
      </c>
      <c r="E852" s="219">
        <v>110928.0</v>
      </c>
      <c r="F852" s="220" t="s">
        <v>2016</v>
      </c>
      <c r="G852" s="221" t="s">
        <v>518</v>
      </c>
      <c r="H852" s="221" t="s">
        <v>1938</v>
      </c>
      <c r="I852" s="221" t="s">
        <v>2017</v>
      </c>
      <c r="J852" s="221" t="s">
        <v>727</v>
      </c>
      <c r="K852" s="223">
        <v>4.0</v>
      </c>
      <c r="L852" s="223" t="b">
        <v>1</v>
      </c>
      <c r="M852" s="223" t="s">
        <v>42</v>
      </c>
      <c r="N852" s="223">
        <v>6.008928</v>
      </c>
      <c r="O852" s="224"/>
      <c r="P852" s="225" t="s">
        <v>155</v>
      </c>
      <c r="Q852" s="225" t="s">
        <v>155</v>
      </c>
      <c r="R852" s="225" t="s">
        <v>155</v>
      </c>
      <c r="S852" s="225" t="s">
        <v>155</v>
      </c>
      <c r="T852" s="226"/>
      <c r="U852" s="227"/>
      <c r="V852" s="52" t="s">
        <v>250</v>
      </c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</row>
    <row r="853" ht="30.0" customHeight="1">
      <c r="A853" s="159"/>
      <c r="B853" s="218" t="s">
        <v>246</v>
      </c>
      <c r="C853" s="218" t="s">
        <v>1614</v>
      </c>
      <c r="D853" s="218" t="s">
        <v>1933</v>
      </c>
      <c r="E853" s="219">
        <v>16939.0</v>
      </c>
      <c r="F853" s="220" t="s">
        <v>2018</v>
      </c>
      <c r="G853" s="221" t="s">
        <v>518</v>
      </c>
      <c r="H853" s="221" t="s">
        <v>2019</v>
      </c>
      <c r="I853" s="221" t="s">
        <v>2020</v>
      </c>
      <c r="J853" s="221" t="s">
        <v>364</v>
      </c>
      <c r="K853" s="223">
        <v>2.0</v>
      </c>
      <c r="L853" s="223" t="b">
        <v>1</v>
      </c>
      <c r="M853" s="223" t="s">
        <v>2020</v>
      </c>
      <c r="N853" s="223">
        <v>27.819918</v>
      </c>
      <c r="O853" s="224" t="s">
        <v>238</v>
      </c>
      <c r="P853" s="225" t="s">
        <v>155</v>
      </c>
      <c r="Q853" s="225" t="s">
        <v>155</v>
      </c>
      <c r="R853" s="225" t="s">
        <v>155</v>
      </c>
      <c r="S853" s="225" t="s">
        <v>155</v>
      </c>
      <c r="T853" s="226"/>
      <c r="U853" s="227"/>
      <c r="V853" s="52" t="s">
        <v>250</v>
      </c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</row>
    <row r="854" ht="30.0" customHeight="1">
      <c r="A854" s="159"/>
      <c r="B854" s="218" t="s">
        <v>246</v>
      </c>
      <c r="C854" s="218" t="s">
        <v>1614</v>
      </c>
      <c r="D854" s="218" t="s">
        <v>1933</v>
      </c>
      <c r="E854" s="219">
        <v>30699.0</v>
      </c>
      <c r="F854" s="220" t="s">
        <v>2021</v>
      </c>
      <c r="G854" s="221" t="s">
        <v>518</v>
      </c>
      <c r="H854" s="222" t="s">
        <v>250</v>
      </c>
      <c r="I854" s="221" t="s">
        <v>289</v>
      </c>
      <c r="J854" s="221" t="s">
        <v>2022</v>
      </c>
      <c r="K854" s="223">
        <v>2.0</v>
      </c>
      <c r="L854" s="223" t="b">
        <v>0</v>
      </c>
      <c r="M854" s="223" t="s">
        <v>289</v>
      </c>
      <c r="N854" s="223">
        <v>0.319056</v>
      </c>
      <c r="O854" s="224"/>
      <c r="P854" s="225" t="s">
        <v>155</v>
      </c>
      <c r="Q854" s="225" t="s">
        <v>155</v>
      </c>
      <c r="R854" s="225" t="s">
        <v>155</v>
      </c>
      <c r="S854" s="225" t="s">
        <v>155</v>
      </c>
      <c r="T854" s="226"/>
      <c r="U854" s="227"/>
      <c r="V854" s="109" t="s">
        <v>2023</v>
      </c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</row>
    <row r="855" ht="30.0" customHeight="1">
      <c r="A855" s="159"/>
      <c r="B855" s="218" t="s">
        <v>246</v>
      </c>
      <c r="C855" s="218" t="s">
        <v>1614</v>
      </c>
      <c r="D855" s="218" t="s">
        <v>1933</v>
      </c>
      <c r="E855" s="219">
        <v>24829.0</v>
      </c>
      <c r="F855" s="220" t="s">
        <v>2024</v>
      </c>
      <c r="G855" s="221" t="s">
        <v>518</v>
      </c>
      <c r="H855" s="221" t="s">
        <v>2025</v>
      </c>
      <c r="I855" s="221" t="s">
        <v>42</v>
      </c>
      <c r="J855" s="222" t="s">
        <v>250</v>
      </c>
      <c r="K855" s="223">
        <v>3.0</v>
      </c>
      <c r="L855" s="223" t="b">
        <v>1</v>
      </c>
      <c r="M855" s="223" t="s">
        <v>42</v>
      </c>
      <c r="N855" s="223">
        <v>15.7176</v>
      </c>
      <c r="O855" s="224"/>
      <c r="P855" s="225" t="s">
        <v>155</v>
      </c>
      <c r="Q855" s="225" t="s">
        <v>155</v>
      </c>
      <c r="R855" s="225" t="s">
        <v>155</v>
      </c>
      <c r="S855" s="225" t="s">
        <v>155</v>
      </c>
      <c r="T855" s="226"/>
      <c r="U855" s="227"/>
      <c r="V855" s="109" t="s">
        <v>1074</v>
      </c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</row>
    <row r="856" ht="30.0" customHeight="1">
      <c r="A856" s="209"/>
      <c r="B856" s="209" t="s">
        <v>2026</v>
      </c>
      <c r="C856" s="211"/>
      <c r="D856" s="211"/>
      <c r="E856" s="212"/>
      <c r="F856" s="213"/>
      <c r="G856" s="213"/>
      <c r="H856" s="213"/>
      <c r="I856" s="212"/>
      <c r="J856" s="212"/>
      <c r="K856" s="214"/>
      <c r="L856" s="214"/>
      <c r="M856" s="214"/>
      <c r="N856" s="214"/>
      <c r="O856" s="215"/>
      <c r="P856" s="216"/>
      <c r="Q856" s="216"/>
      <c r="R856" s="216"/>
      <c r="S856" s="216"/>
      <c r="T856" s="217"/>
      <c r="U856" s="217"/>
      <c r="V856" s="217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</row>
    <row r="857" ht="30.0" customHeight="1">
      <c r="A857" s="159"/>
      <c r="B857" s="218" t="s">
        <v>246</v>
      </c>
      <c r="C857" s="218" t="s">
        <v>1614</v>
      </c>
      <c r="D857" s="218" t="s">
        <v>2026</v>
      </c>
      <c r="E857" s="219">
        <v>145610.0</v>
      </c>
      <c r="F857" s="220" t="s">
        <v>2027</v>
      </c>
      <c r="G857" s="221" t="s">
        <v>518</v>
      </c>
      <c r="H857" s="221" t="s">
        <v>2028</v>
      </c>
      <c r="I857" s="221" t="s">
        <v>557</v>
      </c>
      <c r="J857" s="222" t="s">
        <v>250</v>
      </c>
      <c r="K857" s="223">
        <v>0.0</v>
      </c>
      <c r="L857" s="223" t="b">
        <v>0</v>
      </c>
      <c r="M857" s="228"/>
      <c r="N857" s="228"/>
      <c r="O857" s="224"/>
      <c r="P857" s="230"/>
      <c r="Q857" s="230"/>
      <c r="R857" s="230"/>
      <c r="S857" s="225" t="s">
        <v>155</v>
      </c>
      <c r="T857" s="229" t="s">
        <v>418</v>
      </c>
      <c r="U857" s="227"/>
      <c r="V857" s="52" t="s">
        <v>250</v>
      </c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</row>
    <row r="858" ht="30.0" customHeight="1">
      <c r="A858" s="159"/>
      <c r="B858" s="218" t="s">
        <v>246</v>
      </c>
      <c r="C858" s="218" t="s">
        <v>1614</v>
      </c>
      <c r="D858" s="218" t="s">
        <v>2026</v>
      </c>
      <c r="E858" s="219">
        <v>11938.0</v>
      </c>
      <c r="F858" s="220" t="s">
        <v>2029</v>
      </c>
      <c r="G858" s="221" t="s">
        <v>518</v>
      </c>
      <c r="H858" s="221" t="s">
        <v>2030</v>
      </c>
      <c r="I858" s="221" t="s">
        <v>790</v>
      </c>
      <c r="J858" s="222" t="s">
        <v>250</v>
      </c>
      <c r="K858" s="223">
        <v>4.0</v>
      </c>
      <c r="L858" s="223" t="b">
        <v>1</v>
      </c>
      <c r="M858" s="223" t="s">
        <v>790</v>
      </c>
      <c r="N858" s="223">
        <v>84.070571</v>
      </c>
      <c r="O858" s="224"/>
      <c r="P858" s="225" t="s">
        <v>155</v>
      </c>
      <c r="Q858" s="225" t="s">
        <v>155</v>
      </c>
      <c r="R858" s="225" t="s">
        <v>155</v>
      </c>
      <c r="S858" s="225" t="s">
        <v>155</v>
      </c>
      <c r="T858" s="226"/>
      <c r="U858" s="227"/>
      <c r="V858" s="52" t="s">
        <v>250</v>
      </c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</row>
    <row r="859" ht="30.0" customHeight="1">
      <c r="A859" s="159"/>
      <c r="B859" s="218" t="s">
        <v>246</v>
      </c>
      <c r="C859" s="218" t="s">
        <v>1614</v>
      </c>
      <c r="D859" s="218" t="s">
        <v>2026</v>
      </c>
      <c r="E859" s="219">
        <v>16015.0</v>
      </c>
      <c r="F859" s="220" t="s">
        <v>2031</v>
      </c>
      <c r="G859" s="221" t="s">
        <v>518</v>
      </c>
      <c r="H859" s="221" t="s">
        <v>2032</v>
      </c>
      <c r="I859" s="221" t="s">
        <v>542</v>
      </c>
      <c r="J859" s="222" t="s">
        <v>250</v>
      </c>
      <c r="K859" s="223">
        <v>4.0</v>
      </c>
      <c r="L859" s="223" t="b">
        <v>1</v>
      </c>
      <c r="M859" s="223" t="s">
        <v>542</v>
      </c>
      <c r="N859" s="223">
        <v>70.339799</v>
      </c>
      <c r="O859" s="224" t="s">
        <v>238</v>
      </c>
      <c r="P859" s="225" t="s">
        <v>155</v>
      </c>
      <c r="Q859" s="225" t="s">
        <v>155</v>
      </c>
      <c r="R859" s="225" t="s">
        <v>155</v>
      </c>
      <c r="S859" s="225" t="s">
        <v>155</v>
      </c>
      <c r="T859" s="226"/>
      <c r="U859" s="227"/>
      <c r="V859" s="109" t="s">
        <v>2033</v>
      </c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</row>
    <row r="860" ht="30.0" customHeight="1">
      <c r="A860" s="159"/>
      <c r="B860" s="218" t="s">
        <v>246</v>
      </c>
      <c r="C860" s="218" t="s">
        <v>1614</v>
      </c>
      <c r="D860" s="218" t="s">
        <v>2026</v>
      </c>
      <c r="E860" s="219">
        <v>111993.0</v>
      </c>
      <c r="F860" s="220" t="s">
        <v>2034</v>
      </c>
      <c r="G860" s="221" t="s">
        <v>518</v>
      </c>
      <c r="H860" s="221" t="s">
        <v>846</v>
      </c>
      <c r="I860" s="221" t="s">
        <v>2035</v>
      </c>
      <c r="J860" s="222" t="s">
        <v>250</v>
      </c>
      <c r="K860" s="223">
        <v>2.0</v>
      </c>
      <c r="L860" s="223" t="b">
        <v>1</v>
      </c>
      <c r="M860" s="223" t="s">
        <v>2035</v>
      </c>
      <c r="N860" s="223">
        <v>28.9325</v>
      </c>
      <c r="O860" s="224"/>
      <c r="P860" s="225" t="s">
        <v>155</v>
      </c>
      <c r="Q860" s="225" t="s">
        <v>155</v>
      </c>
      <c r="R860" s="225" t="s">
        <v>155</v>
      </c>
      <c r="S860" s="225" t="s">
        <v>155</v>
      </c>
      <c r="T860" s="226"/>
      <c r="U860" s="227"/>
      <c r="V860" s="52" t="s">
        <v>250</v>
      </c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</row>
    <row r="861" ht="30.0" customHeight="1">
      <c r="A861" s="159"/>
      <c r="B861" s="218" t="s">
        <v>246</v>
      </c>
      <c r="C861" s="218" t="s">
        <v>1614</v>
      </c>
      <c r="D861" s="218" t="s">
        <v>2026</v>
      </c>
      <c r="E861" s="219">
        <v>19408.0</v>
      </c>
      <c r="F861" s="220" t="s">
        <v>2036</v>
      </c>
      <c r="G861" s="221" t="s">
        <v>518</v>
      </c>
      <c r="H861" s="221" t="s">
        <v>2037</v>
      </c>
      <c r="I861" s="221" t="s">
        <v>2038</v>
      </c>
      <c r="J861" s="222" t="s">
        <v>250</v>
      </c>
      <c r="K861" s="223">
        <v>1.0</v>
      </c>
      <c r="L861" s="223" t="b">
        <v>1</v>
      </c>
      <c r="M861" s="223" t="s">
        <v>2038</v>
      </c>
      <c r="N861" s="223">
        <v>2.035384</v>
      </c>
      <c r="O861" s="224"/>
      <c r="P861" s="225" t="s">
        <v>155</v>
      </c>
      <c r="Q861" s="225" t="s">
        <v>155</v>
      </c>
      <c r="R861" s="225" t="s">
        <v>155</v>
      </c>
      <c r="S861" s="225" t="s">
        <v>155</v>
      </c>
      <c r="T861" s="226"/>
      <c r="U861" s="227"/>
      <c r="V861" s="52" t="s">
        <v>250</v>
      </c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</row>
    <row r="862" ht="30.0" customHeight="1">
      <c r="A862" s="159"/>
      <c r="B862" s="218" t="s">
        <v>246</v>
      </c>
      <c r="C862" s="218" t="s">
        <v>1614</v>
      </c>
      <c r="D862" s="218" t="s">
        <v>2026</v>
      </c>
      <c r="E862" s="219">
        <v>16318.0</v>
      </c>
      <c r="F862" s="220" t="s">
        <v>2039</v>
      </c>
      <c r="G862" s="221" t="s">
        <v>369</v>
      </c>
      <c r="H862" s="221" t="s">
        <v>463</v>
      </c>
      <c r="I862" s="221" t="s">
        <v>349</v>
      </c>
      <c r="J862" s="222" t="s">
        <v>250</v>
      </c>
      <c r="K862" s="223">
        <v>3.0</v>
      </c>
      <c r="L862" s="223" t="b">
        <v>1</v>
      </c>
      <c r="M862" s="223" t="s">
        <v>349</v>
      </c>
      <c r="N862" s="223">
        <v>63.548021</v>
      </c>
      <c r="O862" s="224"/>
      <c r="P862" s="225" t="s">
        <v>155</v>
      </c>
      <c r="Q862" s="225" t="s">
        <v>155</v>
      </c>
      <c r="R862" s="225" t="s">
        <v>155</v>
      </c>
      <c r="S862" s="225" t="s">
        <v>155</v>
      </c>
      <c r="T862" s="226"/>
      <c r="U862" s="227"/>
      <c r="V862" s="52" t="s">
        <v>250</v>
      </c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</row>
    <row r="863" ht="30.0" customHeight="1">
      <c r="A863" s="159"/>
      <c r="B863" s="218" t="s">
        <v>246</v>
      </c>
      <c r="C863" s="218" t="s">
        <v>1614</v>
      </c>
      <c r="D863" s="218" t="s">
        <v>2026</v>
      </c>
      <c r="E863" s="219">
        <v>16431.0</v>
      </c>
      <c r="F863" s="220" t="s">
        <v>2040</v>
      </c>
      <c r="G863" s="221" t="s">
        <v>518</v>
      </c>
      <c r="H863" s="221" t="s">
        <v>1780</v>
      </c>
      <c r="I863" s="221" t="s">
        <v>2035</v>
      </c>
      <c r="J863" s="222" t="s">
        <v>250</v>
      </c>
      <c r="K863" s="223">
        <v>4.0</v>
      </c>
      <c r="L863" s="223" t="b">
        <v>1</v>
      </c>
      <c r="M863" s="223" t="s">
        <v>2035</v>
      </c>
      <c r="N863" s="223">
        <v>83.852275</v>
      </c>
      <c r="O863" s="224" t="s">
        <v>238</v>
      </c>
      <c r="P863" s="225" t="s">
        <v>155</v>
      </c>
      <c r="Q863" s="225" t="s">
        <v>155</v>
      </c>
      <c r="R863" s="225" t="s">
        <v>155</v>
      </c>
      <c r="S863" s="225" t="s">
        <v>155</v>
      </c>
      <c r="T863" s="229" t="s">
        <v>554</v>
      </c>
      <c r="U863" s="227"/>
      <c r="V863" s="52" t="s">
        <v>250</v>
      </c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</row>
    <row r="864" ht="30.0" customHeight="1">
      <c r="A864" s="159"/>
      <c r="B864" s="218" t="s">
        <v>246</v>
      </c>
      <c r="C864" s="218" t="s">
        <v>1614</v>
      </c>
      <c r="D864" s="218" t="s">
        <v>2026</v>
      </c>
      <c r="E864" s="219">
        <v>41451.0</v>
      </c>
      <c r="F864" s="220" t="s">
        <v>2041</v>
      </c>
      <c r="G864" s="221" t="s">
        <v>518</v>
      </c>
      <c r="H864" s="221" t="s">
        <v>2042</v>
      </c>
      <c r="I864" s="221" t="s">
        <v>64</v>
      </c>
      <c r="J864" s="222" t="s">
        <v>250</v>
      </c>
      <c r="K864" s="223">
        <v>4.0</v>
      </c>
      <c r="L864" s="223" t="b">
        <v>1</v>
      </c>
      <c r="M864" s="228"/>
      <c r="N864" s="228"/>
      <c r="O864" s="224"/>
      <c r="P864" s="225" t="s">
        <v>155</v>
      </c>
      <c r="Q864" s="225" t="s">
        <v>155</v>
      </c>
      <c r="R864" s="225" t="s">
        <v>155</v>
      </c>
      <c r="S864" s="225" t="s">
        <v>155</v>
      </c>
      <c r="T864" s="226"/>
      <c r="U864" s="227"/>
      <c r="V864" s="52" t="s">
        <v>250</v>
      </c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</row>
    <row r="865" ht="30.0" customHeight="1">
      <c r="A865" s="159"/>
      <c r="B865" s="218" t="s">
        <v>246</v>
      </c>
      <c r="C865" s="218" t="s">
        <v>1614</v>
      </c>
      <c r="D865" s="218" t="s">
        <v>2026</v>
      </c>
      <c r="E865" s="219">
        <v>16432.0</v>
      </c>
      <c r="F865" s="220" t="s">
        <v>2043</v>
      </c>
      <c r="G865" s="221" t="s">
        <v>518</v>
      </c>
      <c r="H865" s="221" t="s">
        <v>2044</v>
      </c>
      <c r="I865" s="221" t="s">
        <v>1256</v>
      </c>
      <c r="J865" s="222" t="s">
        <v>250</v>
      </c>
      <c r="K865" s="223">
        <v>3.0</v>
      </c>
      <c r="L865" s="223" t="b">
        <v>1</v>
      </c>
      <c r="M865" s="223" t="s">
        <v>1256</v>
      </c>
      <c r="N865" s="223">
        <v>33.067536</v>
      </c>
      <c r="O865" s="224" t="s">
        <v>238</v>
      </c>
      <c r="P865" s="225" t="s">
        <v>155</v>
      </c>
      <c r="Q865" s="225" t="s">
        <v>155</v>
      </c>
      <c r="R865" s="225" t="s">
        <v>155</v>
      </c>
      <c r="S865" s="225" t="s">
        <v>155</v>
      </c>
      <c r="T865" s="226"/>
      <c r="U865" s="227"/>
      <c r="V865" s="52" t="s">
        <v>250</v>
      </c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</row>
    <row r="866" ht="30.0" customHeight="1">
      <c r="A866" s="159"/>
      <c r="B866" s="218" t="s">
        <v>246</v>
      </c>
      <c r="C866" s="218" t="s">
        <v>1614</v>
      </c>
      <c r="D866" s="218" t="s">
        <v>2026</v>
      </c>
      <c r="E866" s="219">
        <v>16571.0</v>
      </c>
      <c r="F866" s="220" t="s">
        <v>2045</v>
      </c>
      <c r="G866" s="221" t="s">
        <v>518</v>
      </c>
      <c r="H866" s="222" t="s">
        <v>250</v>
      </c>
      <c r="I866" s="221" t="s">
        <v>553</v>
      </c>
      <c r="J866" s="221" t="s">
        <v>1161</v>
      </c>
      <c r="K866" s="223">
        <v>2.0</v>
      </c>
      <c r="L866" s="223" t="b">
        <v>1</v>
      </c>
      <c r="M866" s="223" t="s">
        <v>553</v>
      </c>
      <c r="N866" s="223">
        <v>14.552525</v>
      </c>
      <c r="O866" s="224" t="s">
        <v>238</v>
      </c>
      <c r="P866" s="225" t="s">
        <v>155</v>
      </c>
      <c r="Q866" s="225" t="s">
        <v>155</v>
      </c>
      <c r="R866" s="225" t="s">
        <v>155</v>
      </c>
      <c r="S866" s="225" t="s">
        <v>155</v>
      </c>
      <c r="T866" s="226"/>
      <c r="U866" s="227"/>
      <c r="V866" s="109" t="s">
        <v>2046</v>
      </c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</row>
    <row r="867" ht="30.0" customHeight="1">
      <c r="A867" s="159"/>
      <c r="B867" s="218" t="s">
        <v>246</v>
      </c>
      <c r="C867" s="218" t="s">
        <v>1614</v>
      </c>
      <c r="D867" s="218" t="s">
        <v>2026</v>
      </c>
      <c r="E867" s="219">
        <v>109679.0</v>
      </c>
      <c r="F867" s="220" t="s">
        <v>2047</v>
      </c>
      <c r="G867" s="221" t="s">
        <v>518</v>
      </c>
      <c r="H867" s="221" t="s">
        <v>2048</v>
      </c>
      <c r="I867" s="221" t="s">
        <v>1001</v>
      </c>
      <c r="J867" s="222" t="s">
        <v>250</v>
      </c>
      <c r="K867" s="223">
        <v>2.0</v>
      </c>
      <c r="L867" s="223" t="b">
        <v>1</v>
      </c>
      <c r="M867" s="228"/>
      <c r="N867" s="228"/>
      <c r="O867" s="224"/>
      <c r="P867" s="225" t="s">
        <v>155</v>
      </c>
      <c r="Q867" s="225" t="s">
        <v>155</v>
      </c>
      <c r="R867" s="225" t="s">
        <v>155</v>
      </c>
      <c r="S867" s="225" t="s">
        <v>155</v>
      </c>
      <c r="T867" s="226"/>
      <c r="U867" s="227"/>
      <c r="V867" s="52" t="s">
        <v>250</v>
      </c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</row>
    <row r="868" ht="30.0" customHeight="1">
      <c r="A868" s="159"/>
      <c r="B868" s="218" t="s">
        <v>246</v>
      </c>
      <c r="C868" s="218" t="s">
        <v>1614</v>
      </c>
      <c r="D868" s="218" t="s">
        <v>2026</v>
      </c>
      <c r="E868" s="219">
        <v>16366.0</v>
      </c>
      <c r="F868" s="220" t="s">
        <v>2049</v>
      </c>
      <c r="G868" s="221" t="s">
        <v>518</v>
      </c>
      <c r="H868" s="221" t="s">
        <v>2050</v>
      </c>
      <c r="I868" s="221" t="s">
        <v>1001</v>
      </c>
      <c r="J868" s="222" t="s">
        <v>250</v>
      </c>
      <c r="K868" s="223">
        <v>3.0</v>
      </c>
      <c r="L868" s="223" t="b">
        <v>1</v>
      </c>
      <c r="M868" s="223" t="s">
        <v>1001</v>
      </c>
      <c r="N868" s="223">
        <v>34.052764</v>
      </c>
      <c r="O868" s="224" t="s">
        <v>238</v>
      </c>
      <c r="P868" s="225" t="s">
        <v>155</v>
      </c>
      <c r="Q868" s="225" t="s">
        <v>155</v>
      </c>
      <c r="R868" s="225" t="s">
        <v>155</v>
      </c>
      <c r="S868" s="225" t="s">
        <v>155</v>
      </c>
      <c r="T868" s="229" t="s">
        <v>550</v>
      </c>
      <c r="U868" s="227"/>
      <c r="V868" s="52" t="s">
        <v>250</v>
      </c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</row>
    <row r="869" ht="30.0" customHeight="1">
      <c r="A869" s="159"/>
      <c r="B869" s="218" t="s">
        <v>246</v>
      </c>
      <c r="C869" s="218" t="s">
        <v>1614</v>
      </c>
      <c r="D869" s="218" t="s">
        <v>2026</v>
      </c>
      <c r="E869" s="219">
        <v>16408.0</v>
      </c>
      <c r="F869" s="220" t="s">
        <v>2051</v>
      </c>
      <c r="G869" s="221" t="s">
        <v>518</v>
      </c>
      <c r="H869" s="221" t="s">
        <v>2052</v>
      </c>
      <c r="I869" s="221" t="s">
        <v>1644</v>
      </c>
      <c r="J869" s="221" t="s">
        <v>1510</v>
      </c>
      <c r="K869" s="223">
        <v>4.0</v>
      </c>
      <c r="L869" s="223" t="b">
        <v>1</v>
      </c>
      <c r="M869" s="223" t="s">
        <v>1644</v>
      </c>
      <c r="N869" s="223">
        <v>21.548601</v>
      </c>
      <c r="O869" s="224" t="s">
        <v>238</v>
      </c>
      <c r="P869" s="225" t="s">
        <v>155</v>
      </c>
      <c r="Q869" s="225" t="s">
        <v>155</v>
      </c>
      <c r="R869" s="225" t="s">
        <v>155</v>
      </c>
      <c r="S869" s="225" t="s">
        <v>155</v>
      </c>
      <c r="T869" s="226"/>
      <c r="U869" s="227"/>
      <c r="V869" s="109" t="s">
        <v>2053</v>
      </c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</row>
    <row r="870" ht="30.0" customHeight="1">
      <c r="A870" s="159"/>
      <c r="B870" s="218" t="s">
        <v>246</v>
      </c>
      <c r="C870" s="218" t="s">
        <v>1614</v>
      </c>
      <c r="D870" s="218" t="s">
        <v>2026</v>
      </c>
      <c r="E870" s="219">
        <v>47893.0</v>
      </c>
      <c r="F870" s="220" t="s">
        <v>2054</v>
      </c>
      <c r="G870" s="221" t="s">
        <v>518</v>
      </c>
      <c r="H870" s="221" t="s">
        <v>2050</v>
      </c>
      <c r="I870" s="221" t="s">
        <v>1001</v>
      </c>
      <c r="J870" s="222" t="s">
        <v>250</v>
      </c>
      <c r="K870" s="223">
        <v>3.0</v>
      </c>
      <c r="L870" s="223" t="b">
        <v>1</v>
      </c>
      <c r="M870" s="223" t="s">
        <v>1001</v>
      </c>
      <c r="N870" s="223">
        <v>31.256818</v>
      </c>
      <c r="O870" s="224" t="s">
        <v>238</v>
      </c>
      <c r="P870" s="225" t="s">
        <v>155</v>
      </c>
      <c r="Q870" s="225" t="s">
        <v>155</v>
      </c>
      <c r="R870" s="225" t="s">
        <v>155</v>
      </c>
      <c r="S870" s="225" t="s">
        <v>155</v>
      </c>
      <c r="T870" s="226"/>
      <c r="U870" s="227"/>
      <c r="V870" s="52" t="s">
        <v>250</v>
      </c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</row>
    <row r="871" ht="30.0" customHeight="1">
      <c r="A871" s="159"/>
      <c r="B871" s="218" t="s">
        <v>246</v>
      </c>
      <c r="C871" s="218" t="s">
        <v>1614</v>
      </c>
      <c r="D871" s="218" t="s">
        <v>2026</v>
      </c>
      <c r="E871" s="219">
        <v>109676.0</v>
      </c>
      <c r="F871" s="220" t="s">
        <v>2055</v>
      </c>
      <c r="G871" s="221" t="s">
        <v>518</v>
      </c>
      <c r="H871" s="221" t="s">
        <v>2056</v>
      </c>
      <c r="I871" s="221" t="s">
        <v>2057</v>
      </c>
      <c r="J871" s="222" t="s">
        <v>250</v>
      </c>
      <c r="K871" s="223">
        <v>2.0</v>
      </c>
      <c r="L871" s="223" t="b">
        <v>0</v>
      </c>
      <c r="M871" s="223" t="s">
        <v>42</v>
      </c>
      <c r="N871" s="223">
        <v>5.7725</v>
      </c>
      <c r="O871" s="224"/>
      <c r="P871" s="225" t="s">
        <v>155</v>
      </c>
      <c r="Q871" s="225" t="s">
        <v>155</v>
      </c>
      <c r="R871" s="225" t="s">
        <v>155</v>
      </c>
      <c r="S871" s="225" t="s">
        <v>155</v>
      </c>
      <c r="T871" s="226"/>
      <c r="U871" s="227"/>
      <c r="V871" s="52" t="s">
        <v>250</v>
      </c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</row>
    <row r="872" ht="30.0" customHeight="1">
      <c r="A872" s="159"/>
      <c r="B872" s="218" t="s">
        <v>246</v>
      </c>
      <c r="C872" s="218" t="s">
        <v>1614</v>
      </c>
      <c r="D872" s="218" t="s">
        <v>2026</v>
      </c>
      <c r="E872" s="219">
        <v>149880.0</v>
      </c>
      <c r="F872" s="220" t="s">
        <v>2058</v>
      </c>
      <c r="G872" s="221" t="s">
        <v>369</v>
      </c>
      <c r="H872" s="222" t="s">
        <v>250</v>
      </c>
      <c r="I872" s="221" t="s">
        <v>62</v>
      </c>
      <c r="J872" s="222" t="s">
        <v>250</v>
      </c>
      <c r="K872" s="223">
        <v>3.0</v>
      </c>
      <c r="L872" s="223" t="b">
        <v>0</v>
      </c>
      <c r="M872" s="228"/>
      <c r="N872" s="228"/>
      <c r="O872" s="224"/>
      <c r="P872" s="225" t="s">
        <v>155</v>
      </c>
      <c r="Q872" s="230"/>
      <c r="R872" s="230"/>
      <c r="S872" s="230"/>
      <c r="T872" s="229" t="s">
        <v>470</v>
      </c>
      <c r="U872" s="227"/>
      <c r="V872" s="52" t="s">
        <v>250</v>
      </c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</row>
    <row r="873" ht="30.0" customHeight="1">
      <c r="A873" s="209"/>
      <c r="B873" s="209" t="s">
        <v>2059</v>
      </c>
      <c r="C873" s="211"/>
      <c r="D873" s="211"/>
      <c r="E873" s="212"/>
      <c r="F873" s="213"/>
      <c r="G873" s="213"/>
      <c r="H873" s="213"/>
      <c r="I873" s="212"/>
      <c r="J873" s="212"/>
      <c r="K873" s="214"/>
      <c r="L873" s="214"/>
      <c r="M873" s="214"/>
      <c r="N873" s="214"/>
      <c r="O873" s="215"/>
      <c r="P873" s="216"/>
      <c r="Q873" s="216"/>
      <c r="R873" s="216"/>
      <c r="S873" s="216"/>
      <c r="T873" s="217"/>
      <c r="U873" s="217"/>
      <c r="V873" s="217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</row>
    <row r="874" ht="30.0" customHeight="1">
      <c r="A874" s="159"/>
      <c r="B874" s="218" t="s">
        <v>246</v>
      </c>
      <c r="C874" s="218" t="s">
        <v>2059</v>
      </c>
      <c r="D874" s="218" t="s">
        <v>2060</v>
      </c>
      <c r="E874" s="219">
        <v>112750.0</v>
      </c>
      <c r="F874" s="220" t="s">
        <v>2061</v>
      </c>
      <c r="G874" s="221" t="s">
        <v>249</v>
      </c>
      <c r="H874" s="221" t="s">
        <v>2062</v>
      </c>
      <c r="I874" s="221" t="s">
        <v>2063</v>
      </c>
      <c r="J874" s="222" t="s">
        <v>250</v>
      </c>
      <c r="K874" s="223">
        <v>2.0</v>
      </c>
      <c r="L874" s="223" t="b">
        <v>0</v>
      </c>
      <c r="M874" s="223" t="s">
        <v>42</v>
      </c>
      <c r="N874" s="223">
        <v>8.969574</v>
      </c>
      <c r="O874" s="224"/>
      <c r="P874" s="225" t="s">
        <v>155</v>
      </c>
      <c r="Q874" s="225" t="s">
        <v>155</v>
      </c>
      <c r="R874" s="225" t="s">
        <v>155</v>
      </c>
      <c r="S874" s="225" t="s">
        <v>155</v>
      </c>
      <c r="T874" s="226"/>
      <c r="U874" s="227"/>
      <c r="V874" s="52" t="s">
        <v>250</v>
      </c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</row>
    <row r="875" ht="30.0" customHeight="1">
      <c r="A875" s="159"/>
      <c r="B875" s="218" t="s">
        <v>246</v>
      </c>
      <c r="C875" s="218" t="s">
        <v>2059</v>
      </c>
      <c r="D875" s="218" t="s">
        <v>2060</v>
      </c>
      <c r="E875" s="219">
        <v>111997.0</v>
      </c>
      <c r="F875" s="220" t="s">
        <v>2064</v>
      </c>
      <c r="G875" s="221" t="s">
        <v>518</v>
      </c>
      <c r="H875" s="221" t="s">
        <v>2065</v>
      </c>
      <c r="I875" s="221" t="s">
        <v>2066</v>
      </c>
      <c r="J875" s="222" t="s">
        <v>250</v>
      </c>
      <c r="K875" s="223">
        <v>2.0</v>
      </c>
      <c r="L875" s="223" t="b">
        <v>1</v>
      </c>
      <c r="M875" s="223" t="s">
        <v>2067</v>
      </c>
      <c r="N875" s="223">
        <v>6.415714</v>
      </c>
      <c r="O875" s="224"/>
      <c r="P875" s="225" t="s">
        <v>155</v>
      </c>
      <c r="Q875" s="225" t="s">
        <v>155</v>
      </c>
      <c r="R875" s="225" t="s">
        <v>155</v>
      </c>
      <c r="S875" s="225" t="s">
        <v>155</v>
      </c>
      <c r="T875" s="226"/>
      <c r="U875" s="227"/>
      <c r="V875" s="52" t="s">
        <v>250</v>
      </c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</row>
    <row r="876" ht="30.0" customHeight="1">
      <c r="A876" s="159"/>
      <c r="B876" s="218" t="s">
        <v>246</v>
      </c>
      <c r="C876" s="218" t="s">
        <v>2059</v>
      </c>
      <c r="D876" s="218" t="s">
        <v>2060</v>
      </c>
      <c r="E876" s="219">
        <v>109522.0</v>
      </c>
      <c r="F876" s="220" t="s">
        <v>2068</v>
      </c>
      <c r="G876" s="221" t="s">
        <v>518</v>
      </c>
      <c r="H876" s="221" t="s">
        <v>2069</v>
      </c>
      <c r="I876" s="221" t="s">
        <v>790</v>
      </c>
      <c r="J876" s="222" t="s">
        <v>250</v>
      </c>
      <c r="K876" s="223">
        <v>1.0</v>
      </c>
      <c r="L876" s="223" t="b">
        <v>0</v>
      </c>
      <c r="M876" s="223" t="s">
        <v>790</v>
      </c>
      <c r="N876" s="223">
        <v>710.475645</v>
      </c>
      <c r="O876" s="224"/>
      <c r="P876" s="225" t="s">
        <v>155</v>
      </c>
      <c r="Q876" s="225" t="s">
        <v>155</v>
      </c>
      <c r="R876" s="225" t="s">
        <v>155</v>
      </c>
      <c r="S876" s="225" t="s">
        <v>155</v>
      </c>
      <c r="T876" s="226"/>
      <c r="U876" s="227"/>
      <c r="V876" s="52" t="s">
        <v>250</v>
      </c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</row>
    <row r="877" ht="30.0" customHeight="1">
      <c r="A877" s="159"/>
      <c r="B877" s="218" t="s">
        <v>246</v>
      </c>
      <c r="C877" s="218" t="s">
        <v>2059</v>
      </c>
      <c r="D877" s="218" t="s">
        <v>2060</v>
      </c>
      <c r="E877" s="219">
        <v>112620.0</v>
      </c>
      <c r="F877" s="220" t="s">
        <v>2070</v>
      </c>
      <c r="G877" s="221" t="s">
        <v>518</v>
      </c>
      <c r="H877" s="221" t="s">
        <v>821</v>
      </c>
      <c r="I877" s="221" t="s">
        <v>65</v>
      </c>
      <c r="J877" s="222" t="s">
        <v>250</v>
      </c>
      <c r="K877" s="223">
        <v>2.0</v>
      </c>
      <c r="L877" s="223" t="b">
        <v>1</v>
      </c>
      <c r="M877" s="223" t="s">
        <v>65</v>
      </c>
      <c r="N877" s="223">
        <v>0.245</v>
      </c>
      <c r="O877" s="224"/>
      <c r="P877" s="225" t="s">
        <v>155</v>
      </c>
      <c r="Q877" s="225" t="s">
        <v>155</v>
      </c>
      <c r="R877" s="225" t="s">
        <v>155</v>
      </c>
      <c r="S877" s="225" t="s">
        <v>155</v>
      </c>
      <c r="T877" s="226"/>
      <c r="U877" s="227"/>
      <c r="V877" s="52" t="s">
        <v>250</v>
      </c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</row>
    <row r="878" ht="30.0" customHeight="1">
      <c r="A878" s="159"/>
      <c r="B878" s="218" t="s">
        <v>246</v>
      </c>
      <c r="C878" s="218" t="s">
        <v>2059</v>
      </c>
      <c r="D878" s="218" t="s">
        <v>2060</v>
      </c>
      <c r="E878" s="219">
        <v>109967.0</v>
      </c>
      <c r="F878" s="220" t="s">
        <v>2071</v>
      </c>
      <c r="G878" s="221" t="s">
        <v>369</v>
      </c>
      <c r="H878" s="222" t="s">
        <v>250</v>
      </c>
      <c r="I878" s="221" t="s">
        <v>42</v>
      </c>
      <c r="J878" s="221" t="s">
        <v>364</v>
      </c>
      <c r="K878" s="223">
        <v>1.0</v>
      </c>
      <c r="L878" s="223" t="b">
        <v>0</v>
      </c>
      <c r="M878" s="223" t="s">
        <v>42</v>
      </c>
      <c r="N878" s="223">
        <v>3.61664</v>
      </c>
      <c r="O878" s="224" t="s">
        <v>238</v>
      </c>
      <c r="P878" s="225" t="s">
        <v>155</v>
      </c>
      <c r="Q878" s="225" t="s">
        <v>155</v>
      </c>
      <c r="R878" s="225" t="s">
        <v>155</v>
      </c>
      <c r="S878" s="225" t="s">
        <v>155</v>
      </c>
      <c r="T878" s="226"/>
      <c r="U878" s="227"/>
      <c r="V878" s="52" t="s">
        <v>250</v>
      </c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</row>
    <row r="879" ht="30.0" customHeight="1">
      <c r="A879" s="159"/>
      <c r="B879" s="218" t="s">
        <v>246</v>
      </c>
      <c r="C879" s="218" t="s">
        <v>2059</v>
      </c>
      <c r="D879" s="218" t="s">
        <v>2060</v>
      </c>
      <c r="E879" s="219">
        <v>15060.0</v>
      </c>
      <c r="F879" s="220" t="s">
        <v>2072</v>
      </c>
      <c r="G879" s="221" t="s">
        <v>369</v>
      </c>
      <c r="H879" s="222" t="s">
        <v>250</v>
      </c>
      <c r="I879" s="221" t="s">
        <v>1774</v>
      </c>
      <c r="J879" s="221" t="s">
        <v>364</v>
      </c>
      <c r="K879" s="223">
        <v>3.0</v>
      </c>
      <c r="L879" s="223" t="b">
        <v>1</v>
      </c>
      <c r="M879" s="223" t="s">
        <v>1774</v>
      </c>
      <c r="N879" s="223">
        <v>21.405163</v>
      </c>
      <c r="O879" s="224" t="s">
        <v>238</v>
      </c>
      <c r="P879" s="225" t="s">
        <v>155</v>
      </c>
      <c r="Q879" s="225" t="s">
        <v>155</v>
      </c>
      <c r="R879" s="225" t="s">
        <v>155</v>
      </c>
      <c r="S879" s="225" t="s">
        <v>155</v>
      </c>
      <c r="T879" s="226"/>
      <c r="U879" s="227"/>
      <c r="V879" s="109" t="s">
        <v>2073</v>
      </c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</row>
    <row r="880" ht="30.0" customHeight="1">
      <c r="A880" s="159"/>
      <c r="B880" s="218" t="s">
        <v>246</v>
      </c>
      <c r="C880" s="218" t="s">
        <v>2059</v>
      </c>
      <c r="D880" s="218" t="s">
        <v>2060</v>
      </c>
      <c r="E880" s="219">
        <v>16951.0</v>
      </c>
      <c r="F880" s="220" t="s">
        <v>2074</v>
      </c>
      <c r="G880" s="221" t="s">
        <v>369</v>
      </c>
      <c r="H880" s="221" t="s">
        <v>2075</v>
      </c>
      <c r="I880" s="221" t="s">
        <v>1774</v>
      </c>
      <c r="J880" s="221" t="s">
        <v>364</v>
      </c>
      <c r="K880" s="223">
        <v>2.0</v>
      </c>
      <c r="L880" s="223" t="b">
        <v>1</v>
      </c>
      <c r="M880" s="223" t="s">
        <v>1774</v>
      </c>
      <c r="N880" s="223">
        <v>29.038354</v>
      </c>
      <c r="O880" s="224" t="s">
        <v>238</v>
      </c>
      <c r="P880" s="225" t="s">
        <v>155</v>
      </c>
      <c r="Q880" s="225" t="s">
        <v>155</v>
      </c>
      <c r="R880" s="225" t="s">
        <v>155</v>
      </c>
      <c r="S880" s="225" t="s">
        <v>155</v>
      </c>
      <c r="T880" s="226"/>
      <c r="U880" s="227"/>
      <c r="V880" s="52" t="s">
        <v>250</v>
      </c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</row>
    <row r="881" ht="30.0" customHeight="1">
      <c r="A881" s="159"/>
      <c r="B881" s="218" t="s">
        <v>246</v>
      </c>
      <c r="C881" s="218" t="s">
        <v>2059</v>
      </c>
      <c r="D881" s="218" t="s">
        <v>2060</v>
      </c>
      <c r="E881" s="219">
        <v>101420.0</v>
      </c>
      <c r="F881" s="220" t="s">
        <v>2076</v>
      </c>
      <c r="G881" s="221" t="s">
        <v>249</v>
      </c>
      <c r="H881" s="221" t="s">
        <v>2077</v>
      </c>
      <c r="I881" s="221" t="s">
        <v>972</v>
      </c>
      <c r="J881" s="221" t="s">
        <v>2078</v>
      </c>
      <c r="K881" s="223">
        <v>2.0</v>
      </c>
      <c r="L881" s="223" t="b">
        <v>0</v>
      </c>
      <c r="M881" s="223" t="s">
        <v>972</v>
      </c>
      <c r="N881" s="223">
        <v>1.655511</v>
      </c>
      <c r="O881" s="224" t="s">
        <v>238</v>
      </c>
      <c r="P881" s="225" t="s">
        <v>155</v>
      </c>
      <c r="Q881" s="225" t="s">
        <v>155</v>
      </c>
      <c r="R881" s="225" t="s">
        <v>155</v>
      </c>
      <c r="S881" s="225" t="s">
        <v>155</v>
      </c>
      <c r="T881" s="226"/>
      <c r="U881" s="227"/>
      <c r="V881" s="52" t="s">
        <v>250</v>
      </c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</row>
    <row r="882" ht="30.0" customHeight="1">
      <c r="A882" s="159"/>
      <c r="B882" s="218" t="s">
        <v>246</v>
      </c>
      <c r="C882" s="218" t="s">
        <v>2059</v>
      </c>
      <c r="D882" s="218" t="s">
        <v>2079</v>
      </c>
      <c r="E882" s="219">
        <v>147847.0</v>
      </c>
      <c r="F882" s="220" t="s">
        <v>2080</v>
      </c>
      <c r="G882" s="221" t="s">
        <v>518</v>
      </c>
      <c r="H882" s="221" t="s">
        <v>2081</v>
      </c>
      <c r="I882" s="221" t="s">
        <v>42</v>
      </c>
      <c r="J882" s="222" t="s">
        <v>250</v>
      </c>
      <c r="K882" s="223">
        <v>0.0</v>
      </c>
      <c r="L882" s="223" t="b">
        <v>0</v>
      </c>
      <c r="M882" s="228"/>
      <c r="N882" s="228"/>
      <c r="O882" s="224"/>
      <c r="P882" s="225" t="s">
        <v>155</v>
      </c>
      <c r="Q882" s="225" t="s">
        <v>155</v>
      </c>
      <c r="R882" s="225" t="s">
        <v>155</v>
      </c>
      <c r="S882" s="225" t="s">
        <v>155</v>
      </c>
      <c r="T882" s="226"/>
      <c r="U882" s="227"/>
      <c r="V882" s="52" t="s">
        <v>250</v>
      </c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</row>
    <row r="883" ht="30.0" customHeight="1">
      <c r="A883" s="159"/>
      <c r="B883" s="218" t="s">
        <v>246</v>
      </c>
      <c r="C883" s="218" t="s">
        <v>2059</v>
      </c>
      <c r="D883" s="218" t="s">
        <v>2079</v>
      </c>
      <c r="E883" s="219">
        <v>20883.0</v>
      </c>
      <c r="F883" s="220" t="s">
        <v>2082</v>
      </c>
      <c r="G883" s="221" t="s">
        <v>518</v>
      </c>
      <c r="H883" s="221" t="s">
        <v>1983</v>
      </c>
      <c r="I883" s="221" t="s">
        <v>42</v>
      </c>
      <c r="J883" s="222" t="s">
        <v>250</v>
      </c>
      <c r="K883" s="223">
        <v>4.0</v>
      </c>
      <c r="L883" s="223" t="b">
        <v>1</v>
      </c>
      <c r="M883" s="228"/>
      <c r="N883" s="228"/>
      <c r="O883" s="224"/>
      <c r="P883" s="225" t="s">
        <v>155</v>
      </c>
      <c r="Q883" s="225" t="s">
        <v>155</v>
      </c>
      <c r="R883" s="225" t="s">
        <v>155</v>
      </c>
      <c r="S883" s="225" t="s">
        <v>155</v>
      </c>
      <c r="T883" s="226"/>
      <c r="U883" s="227"/>
      <c r="V883" s="52" t="s">
        <v>250</v>
      </c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</row>
    <row r="884" ht="30.0" customHeight="1">
      <c r="A884" s="159"/>
      <c r="B884" s="218" t="s">
        <v>246</v>
      </c>
      <c r="C884" s="218" t="s">
        <v>2059</v>
      </c>
      <c r="D884" s="218" t="s">
        <v>2079</v>
      </c>
      <c r="E884" s="219">
        <v>12672.0</v>
      </c>
      <c r="F884" s="220" t="s">
        <v>2083</v>
      </c>
      <c r="G884" s="221" t="s">
        <v>518</v>
      </c>
      <c r="H884" s="221" t="s">
        <v>2084</v>
      </c>
      <c r="I884" s="221" t="s">
        <v>1134</v>
      </c>
      <c r="J884" s="222" t="s">
        <v>250</v>
      </c>
      <c r="K884" s="223">
        <v>2.0</v>
      </c>
      <c r="L884" s="223" t="b">
        <v>0</v>
      </c>
      <c r="M884" s="223" t="s">
        <v>1134</v>
      </c>
      <c r="N884" s="223">
        <v>65.86</v>
      </c>
      <c r="O884" s="224" t="s">
        <v>238</v>
      </c>
      <c r="P884" s="225" t="s">
        <v>155</v>
      </c>
      <c r="Q884" s="225" t="s">
        <v>155</v>
      </c>
      <c r="R884" s="225" t="s">
        <v>155</v>
      </c>
      <c r="S884" s="225" t="s">
        <v>155</v>
      </c>
      <c r="T884" s="226"/>
      <c r="U884" s="227"/>
      <c r="V884" s="109" t="s">
        <v>2085</v>
      </c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</row>
    <row r="885" ht="30.0" customHeight="1">
      <c r="A885" s="159"/>
      <c r="B885" s="218" t="s">
        <v>246</v>
      </c>
      <c r="C885" s="218" t="s">
        <v>2059</v>
      </c>
      <c r="D885" s="218" t="s">
        <v>2079</v>
      </c>
      <c r="E885" s="219">
        <v>12666.0</v>
      </c>
      <c r="F885" s="220" t="s">
        <v>2086</v>
      </c>
      <c r="G885" s="221" t="s">
        <v>518</v>
      </c>
      <c r="H885" s="222" t="s">
        <v>250</v>
      </c>
      <c r="I885" s="221" t="s">
        <v>1328</v>
      </c>
      <c r="J885" s="222" t="s">
        <v>250</v>
      </c>
      <c r="K885" s="223">
        <v>2.0</v>
      </c>
      <c r="L885" s="223" t="b">
        <v>1</v>
      </c>
      <c r="M885" s="223" t="s">
        <v>1328</v>
      </c>
      <c r="N885" s="223">
        <v>20.73909</v>
      </c>
      <c r="O885" s="224" t="s">
        <v>238</v>
      </c>
      <c r="P885" s="225" t="s">
        <v>155</v>
      </c>
      <c r="Q885" s="225" t="s">
        <v>155</v>
      </c>
      <c r="R885" s="225" t="s">
        <v>155</v>
      </c>
      <c r="S885" s="225" t="s">
        <v>155</v>
      </c>
      <c r="T885" s="226"/>
      <c r="U885" s="227"/>
      <c r="V885" s="109" t="s">
        <v>2087</v>
      </c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</row>
    <row r="886" ht="30.0" customHeight="1">
      <c r="A886" s="159"/>
      <c r="B886" s="218" t="s">
        <v>246</v>
      </c>
      <c r="C886" s="218" t="s">
        <v>2059</v>
      </c>
      <c r="D886" s="218" t="s">
        <v>2079</v>
      </c>
      <c r="E886" s="219">
        <v>30034.0</v>
      </c>
      <c r="F886" s="220" t="s">
        <v>2088</v>
      </c>
      <c r="G886" s="221" t="s">
        <v>518</v>
      </c>
      <c r="H886" s="221" t="s">
        <v>821</v>
      </c>
      <c r="I886" s="221" t="s">
        <v>42</v>
      </c>
      <c r="J886" s="221" t="s">
        <v>925</v>
      </c>
      <c r="K886" s="223">
        <v>2.0</v>
      </c>
      <c r="L886" s="223" t="b">
        <v>1</v>
      </c>
      <c r="M886" s="223" t="s">
        <v>42</v>
      </c>
      <c r="N886" s="223">
        <v>13.2225</v>
      </c>
      <c r="O886" s="224" t="s">
        <v>238</v>
      </c>
      <c r="P886" s="225" t="s">
        <v>155</v>
      </c>
      <c r="Q886" s="225" t="s">
        <v>155</v>
      </c>
      <c r="R886" s="225" t="s">
        <v>155</v>
      </c>
      <c r="S886" s="225" t="s">
        <v>155</v>
      </c>
      <c r="T886" s="226"/>
      <c r="U886" s="227"/>
      <c r="V886" s="52" t="s">
        <v>250</v>
      </c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</row>
    <row r="887" ht="30.0" customHeight="1">
      <c r="A887" s="159"/>
      <c r="B887" s="218" t="s">
        <v>246</v>
      </c>
      <c r="C887" s="218" t="s">
        <v>2059</v>
      </c>
      <c r="D887" s="218" t="s">
        <v>2089</v>
      </c>
      <c r="E887" s="219">
        <v>30032.0</v>
      </c>
      <c r="F887" s="220" t="s">
        <v>2090</v>
      </c>
      <c r="G887" s="221" t="s">
        <v>518</v>
      </c>
      <c r="H887" s="221" t="s">
        <v>2091</v>
      </c>
      <c r="I887" s="221" t="s">
        <v>2092</v>
      </c>
      <c r="J887" s="222" t="s">
        <v>250</v>
      </c>
      <c r="K887" s="223">
        <v>3.0</v>
      </c>
      <c r="L887" s="223" t="b">
        <v>1</v>
      </c>
      <c r="M887" s="223" t="s">
        <v>2092</v>
      </c>
      <c r="N887" s="223">
        <v>18.962121</v>
      </c>
      <c r="O887" s="224" t="s">
        <v>238</v>
      </c>
      <c r="P887" s="225" t="s">
        <v>155</v>
      </c>
      <c r="Q887" s="225" t="s">
        <v>155</v>
      </c>
      <c r="R887" s="225" t="s">
        <v>155</v>
      </c>
      <c r="S887" s="225" t="s">
        <v>155</v>
      </c>
      <c r="T887" s="226"/>
      <c r="U887" s="227"/>
      <c r="V887" s="52" t="s">
        <v>250</v>
      </c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</row>
    <row r="888" ht="30.0" customHeight="1">
      <c r="A888" s="159"/>
      <c r="B888" s="218" t="s">
        <v>246</v>
      </c>
      <c r="C888" s="218" t="s">
        <v>2059</v>
      </c>
      <c r="D888" s="218" t="s">
        <v>2093</v>
      </c>
      <c r="E888" s="219">
        <v>16958.0</v>
      </c>
      <c r="F888" s="220" t="s">
        <v>2094</v>
      </c>
      <c r="G888" s="221" t="s">
        <v>249</v>
      </c>
      <c r="H888" s="221" t="s">
        <v>2095</v>
      </c>
      <c r="I888" s="221" t="s">
        <v>1482</v>
      </c>
      <c r="J888" s="222" t="s">
        <v>250</v>
      </c>
      <c r="K888" s="223">
        <v>2.0</v>
      </c>
      <c r="L888" s="223" t="b">
        <v>1</v>
      </c>
      <c r="M888" s="223" t="s">
        <v>1482</v>
      </c>
      <c r="N888" s="223">
        <v>31.078666</v>
      </c>
      <c r="O888" s="224"/>
      <c r="P888" s="225" t="s">
        <v>155</v>
      </c>
      <c r="Q888" s="225" t="s">
        <v>155</v>
      </c>
      <c r="R888" s="225" t="s">
        <v>155</v>
      </c>
      <c r="S888" s="225" t="s">
        <v>155</v>
      </c>
      <c r="T888" s="226"/>
      <c r="U888" s="227"/>
      <c r="V888" s="52" t="s">
        <v>250</v>
      </c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</row>
    <row r="889" ht="30.0" customHeight="1">
      <c r="A889" s="159"/>
      <c r="B889" s="218" t="s">
        <v>246</v>
      </c>
      <c r="C889" s="218" t="s">
        <v>2059</v>
      </c>
      <c r="D889" s="218" t="s">
        <v>2093</v>
      </c>
      <c r="E889" s="219">
        <v>142014.0</v>
      </c>
      <c r="F889" s="220" t="s">
        <v>2096</v>
      </c>
      <c r="G889" s="221" t="s">
        <v>249</v>
      </c>
      <c r="H889" s="221" t="s">
        <v>2095</v>
      </c>
      <c r="I889" s="221" t="s">
        <v>2020</v>
      </c>
      <c r="J889" s="222" t="s">
        <v>250</v>
      </c>
      <c r="K889" s="223">
        <v>4.0</v>
      </c>
      <c r="L889" s="223" t="b">
        <v>0</v>
      </c>
      <c r="M889" s="223" t="s">
        <v>2020</v>
      </c>
      <c r="N889" s="223">
        <v>14.796666</v>
      </c>
      <c r="O889" s="224"/>
      <c r="P889" s="225" t="s">
        <v>155</v>
      </c>
      <c r="Q889" s="225" t="s">
        <v>155</v>
      </c>
      <c r="R889" s="225" t="s">
        <v>155</v>
      </c>
      <c r="S889" s="225" t="s">
        <v>155</v>
      </c>
      <c r="T889" s="226"/>
      <c r="U889" s="227"/>
      <c r="V889" s="52" t="s">
        <v>250</v>
      </c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</row>
    <row r="890" ht="30.0" customHeight="1">
      <c r="A890" s="159"/>
      <c r="B890" s="218" t="s">
        <v>246</v>
      </c>
      <c r="C890" s="218" t="s">
        <v>2059</v>
      </c>
      <c r="D890" s="218" t="s">
        <v>2093</v>
      </c>
      <c r="E890" s="219">
        <v>142009.0</v>
      </c>
      <c r="F890" s="220" t="s">
        <v>2097</v>
      </c>
      <c r="G890" s="221" t="s">
        <v>249</v>
      </c>
      <c r="H890" s="221" t="s">
        <v>2095</v>
      </c>
      <c r="I890" s="221" t="s">
        <v>2098</v>
      </c>
      <c r="J890" s="222" t="s">
        <v>250</v>
      </c>
      <c r="K890" s="223">
        <v>3.0</v>
      </c>
      <c r="L890" s="223" t="b">
        <v>0</v>
      </c>
      <c r="M890" s="223" t="s">
        <v>2098</v>
      </c>
      <c r="N890" s="223">
        <v>21.18</v>
      </c>
      <c r="O890" s="224"/>
      <c r="P890" s="225" t="s">
        <v>155</v>
      </c>
      <c r="Q890" s="225" t="s">
        <v>155</v>
      </c>
      <c r="R890" s="225" t="s">
        <v>155</v>
      </c>
      <c r="S890" s="225" t="s">
        <v>155</v>
      </c>
      <c r="T890" s="226"/>
      <c r="U890" s="227"/>
      <c r="V890" s="52" t="s">
        <v>250</v>
      </c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</row>
    <row r="891" ht="30.0" customHeight="1">
      <c r="A891" s="159"/>
      <c r="B891" s="218" t="s">
        <v>246</v>
      </c>
      <c r="C891" s="218" t="s">
        <v>2059</v>
      </c>
      <c r="D891" s="218" t="s">
        <v>2093</v>
      </c>
      <c r="E891" s="219">
        <v>142011.0</v>
      </c>
      <c r="F891" s="220" t="s">
        <v>2099</v>
      </c>
      <c r="G891" s="221" t="s">
        <v>249</v>
      </c>
      <c r="H891" s="221" t="s">
        <v>2095</v>
      </c>
      <c r="I891" s="221" t="s">
        <v>2100</v>
      </c>
      <c r="J891" s="222" t="s">
        <v>250</v>
      </c>
      <c r="K891" s="223">
        <v>3.0</v>
      </c>
      <c r="L891" s="223" t="b">
        <v>0</v>
      </c>
      <c r="M891" s="223" t="s">
        <v>2100</v>
      </c>
      <c r="N891" s="223">
        <v>21.18</v>
      </c>
      <c r="O891" s="224"/>
      <c r="P891" s="225" t="s">
        <v>155</v>
      </c>
      <c r="Q891" s="225" t="s">
        <v>155</v>
      </c>
      <c r="R891" s="225" t="s">
        <v>155</v>
      </c>
      <c r="S891" s="225" t="s">
        <v>155</v>
      </c>
      <c r="T891" s="226"/>
      <c r="U891" s="227"/>
      <c r="V891" s="52" t="s">
        <v>250</v>
      </c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</row>
    <row r="892" ht="30.0" customHeight="1">
      <c r="A892" s="159"/>
      <c r="B892" s="218" t="s">
        <v>246</v>
      </c>
      <c r="C892" s="218" t="s">
        <v>2059</v>
      </c>
      <c r="D892" s="218" t="s">
        <v>2093</v>
      </c>
      <c r="E892" s="219">
        <v>146514.0</v>
      </c>
      <c r="F892" s="220" t="s">
        <v>2101</v>
      </c>
      <c r="G892" s="221" t="s">
        <v>518</v>
      </c>
      <c r="H892" s="221" t="s">
        <v>2102</v>
      </c>
      <c r="I892" s="221" t="s">
        <v>42</v>
      </c>
      <c r="J892" s="222" t="s">
        <v>250</v>
      </c>
      <c r="K892" s="223">
        <v>2.0</v>
      </c>
      <c r="L892" s="223" t="b">
        <v>0</v>
      </c>
      <c r="M892" s="228"/>
      <c r="N892" s="228"/>
      <c r="O892" s="224"/>
      <c r="P892" s="225" t="s">
        <v>155</v>
      </c>
      <c r="Q892" s="225" t="s">
        <v>155</v>
      </c>
      <c r="R892" s="225" t="s">
        <v>155</v>
      </c>
      <c r="S892" s="225" t="s">
        <v>155</v>
      </c>
      <c r="T892" s="226"/>
      <c r="U892" s="227"/>
      <c r="V892" s="52" t="s">
        <v>250</v>
      </c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</row>
    <row r="893" ht="30.0" customHeight="1">
      <c r="A893" s="159"/>
      <c r="B893" s="218" t="s">
        <v>246</v>
      </c>
      <c r="C893" s="218" t="s">
        <v>2059</v>
      </c>
      <c r="D893" s="218" t="s">
        <v>2093</v>
      </c>
      <c r="E893" s="219">
        <v>146513.0</v>
      </c>
      <c r="F893" s="220" t="s">
        <v>2103</v>
      </c>
      <c r="G893" s="221" t="s">
        <v>249</v>
      </c>
      <c r="H893" s="221" t="s">
        <v>2102</v>
      </c>
      <c r="I893" s="221" t="s">
        <v>289</v>
      </c>
      <c r="J893" s="222" t="s">
        <v>250</v>
      </c>
      <c r="K893" s="223">
        <v>2.0</v>
      </c>
      <c r="L893" s="223" t="b">
        <v>0</v>
      </c>
      <c r="M893" s="228"/>
      <c r="N893" s="228"/>
      <c r="O893" s="224"/>
      <c r="P893" s="225" t="s">
        <v>155</v>
      </c>
      <c r="Q893" s="225" t="s">
        <v>155</v>
      </c>
      <c r="R893" s="225" t="s">
        <v>155</v>
      </c>
      <c r="S893" s="225" t="s">
        <v>155</v>
      </c>
      <c r="T893" s="226"/>
      <c r="U893" s="227"/>
      <c r="V893" s="109" t="s">
        <v>2104</v>
      </c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</row>
    <row r="894" ht="30.0" customHeight="1">
      <c r="A894" s="159"/>
      <c r="B894" s="218" t="s">
        <v>246</v>
      </c>
      <c r="C894" s="218" t="s">
        <v>2059</v>
      </c>
      <c r="D894" s="218" t="s">
        <v>2105</v>
      </c>
      <c r="E894" s="219">
        <v>110102.0</v>
      </c>
      <c r="F894" s="220" t="s">
        <v>2106</v>
      </c>
      <c r="G894" s="221" t="s">
        <v>518</v>
      </c>
      <c r="H894" s="221" t="s">
        <v>2107</v>
      </c>
      <c r="I894" s="221" t="s">
        <v>42</v>
      </c>
      <c r="J894" s="222" t="s">
        <v>250</v>
      </c>
      <c r="K894" s="223">
        <v>2.0</v>
      </c>
      <c r="L894" s="223" t="b">
        <v>1</v>
      </c>
      <c r="M894" s="223" t="s">
        <v>42</v>
      </c>
      <c r="N894" s="223">
        <v>6.14</v>
      </c>
      <c r="O894" s="224"/>
      <c r="P894" s="225" t="s">
        <v>155</v>
      </c>
      <c r="Q894" s="225" t="s">
        <v>155</v>
      </c>
      <c r="R894" s="225" t="s">
        <v>155</v>
      </c>
      <c r="S894" s="225" t="s">
        <v>155</v>
      </c>
      <c r="T894" s="226"/>
      <c r="U894" s="227"/>
      <c r="V894" s="52" t="s">
        <v>250</v>
      </c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</row>
    <row r="895" ht="30.0" customHeight="1">
      <c r="A895" s="159"/>
      <c r="B895" s="218" t="s">
        <v>246</v>
      </c>
      <c r="C895" s="218" t="s">
        <v>2059</v>
      </c>
      <c r="D895" s="218" t="s">
        <v>2105</v>
      </c>
      <c r="E895" s="219">
        <v>109520.0</v>
      </c>
      <c r="F895" s="220" t="s">
        <v>2108</v>
      </c>
      <c r="G895" s="221" t="s">
        <v>518</v>
      </c>
      <c r="H895" s="221" t="s">
        <v>2109</v>
      </c>
      <c r="I895" s="221" t="s">
        <v>946</v>
      </c>
      <c r="J895" s="222" t="s">
        <v>250</v>
      </c>
      <c r="K895" s="223">
        <v>4.0</v>
      </c>
      <c r="L895" s="223" t="b">
        <v>1</v>
      </c>
      <c r="M895" s="228"/>
      <c r="N895" s="228"/>
      <c r="O895" s="224"/>
      <c r="P895" s="225" t="s">
        <v>155</v>
      </c>
      <c r="Q895" s="225" t="s">
        <v>155</v>
      </c>
      <c r="R895" s="225" t="s">
        <v>155</v>
      </c>
      <c r="S895" s="225" t="s">
        <v>155</v>
      </c>
      <c r="T895" s="226"/>
      <c r="U895" s="227"/>
      <c r="V895" s="52" t="s">
        <v>250</v>
      </c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</row>
    <row r="896" ht="30.0" customHeight="1">
      <c r="A896" s="159"/>
      <c r="B896" s="218" t="s">
        <v>246</v>
      </c>
      <c r="C896" s="218" t="s">
        <v>2059</v>
      </c>
      <c r="D896" s="218" t="s">
        <v>2105</v>
      </c>
      <c r="E896" s="219">
        <v>109224.0</v>
      </c>
      <c r="F896" s="220" t="s">
        <v>2110</v>
      </c>
      <c r="G896" s="221" t="s">
        <v>518</v>
      </c>
      <c r="H896" s="221" t="s">
        <v>2111</v>
      </c>
      <c r="I896" s="221" t="s">
        <v>2112</v>
      </c>
      <c r="J896" s="221" t="s">
        <v>371</v>
      </c>
      <c r="K896" s="223">
        <v>1.0</v>
      </c>
      <c r="L896" s="223" t="b">
        <v>1</v>
      </c>
      <c r="M896" s="223" t="s">
        <v>1502</v>
      </c>
      <c r="N896" s="223">
        <v>80.907674</v>
      </c>
      <c r="O896" s="224"/>
      <c r="P896" s="225" t="s">
        <v>155</v>
      </c>
      <c r="Q896" s="225" t="s">
        <v>155</v>
      </c>
      <c r="R896" s="225" t="s">
        <v>155</v>
      </c>
      <c r="S896" s="225" t="s">
        <v>155</v>
      </c>
      <c r="T896" s="226"/>
      <c r="U896" s="227"/>
      <c r="V896" s="52" t="s">
        <v>250</v>
      </c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</row>
    <row r="897" ht="30.0" customHeight="1">
      <c r="A897" s="159"/>
      <c r="B897" s="218" t="s">
        <v>246</v>
      </c>
      <c r="C897" s="218" t="s">
        <v>2059</v>
      </c>
      <c r="D897" s="218" t="s">
        <v>2105</v>
      </c>
      <c r="E897" s="219">
        <v>14460.0</v>
      </c>
      <c r="F897" s="220" t="s">
        <v>2113</v>
      </c>
      <c r="G897" s="221" t="s">
        <v>249</v>
      </c>
      <c r="H897" s="221" t="s">
        <v>2114</v>
      </c>
      <c r="I897" s="221" t="s">
        <v>289</v>
      </c>
      <c r="J897" s="222"/>
      <c r="K897" s="228"/>
      <c r="L897" s="228"/>
      <c r="M897" s="228"/>
      <c r="N897" s="228"/>
      <c r="O897" s="224"/>
      <c r="P897" s="230"/>
      <c r="Q897" s="230"/>
      <c r="R897" s="230"/>
      <c r="S897" s="230"/>
      <c r="T897" s="229" t="s">
        <v>2115</v>
      </c>
      <c r="U897" s="227"/>
      <c r="V897" s="129" t="e">
        <v>#N/A</v>
      </c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</row>
    <row r="898" ht="30.0" customHeight="1">
      <c r="A898" s="159"/>
      <c r="B898" s="218" t="s">
        <v>246</v>
      </c>
      <c r="C898" s="218" t="s">
        <v>2059</v>
      </c>
      <c r="D898" s="218" t="s">
        <v>2105</v>
      </c>
      <c r="E898" s="219">
        <v>109933.0</v>
      </c>
      <c r="F898" s="220" t="s">
        <v>2116</v>
      </c>
      <c r="G898" s="221" t="s">
        <v>249</v>
      </c>
      <c r="H898" s="221" t="s">
        <v>2117</v>
      </c>
      <c r="I898" s="221" t="s">
        <v>2118</v>
      </c>
      <c r="J898" s="221" t="s">
        <v>364</v>
      </c>
      <c r="K898" s="223">
        <v>4.0</v>
      </c>
      <c r="L898" s="223" t="b">
        <v>0</v>
      </c>
      <c r="M898" s="223" t="s">
        <v>2118</v>
      </c>
      <c r="N898" s="223">
        <v>100.705904</v>
      </c>
      <c r="O898" s="224" t="s">
        <v>238</v>
      </c>
      <c r="P898" s="225" t="s">
        <v>155</v>
      </c>
      <c r="Q898" s="225" t="s">
        <v>155</v>
      </c>
      <c r="R898" s="225" t="s">
        <v>155</v>
      </c>
      <c r="S898" s="225" t="s">
        <v>155</v>
      </c>
      <c r="T898" s="226"/>
      <c r="U898" s="227"/>
      <c r="V898" s="52" t="s">
        <v>250</v>
      </c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</row>
    <row r="899" ht="30.0" customHeight="1">
      <c r="A899" s="159"/>
      <c r="B899" s="218" t="s">
        <v>246</v>
      </c>
      <c r="C899" s="218" t="s">
        <v>2059</v>
      </c>
      <c r="D899" s="218" t="s">
        <v>2105</v>
      </c>
      <c r="E899" s="219">
        <v>109925.0</v>
      </c>
      <c r="F899" s="220" t="s">
        <v>2119</v>
      </c>
      <c r="G899" s="221" t="s">
        <v>369</v>
      </c>
      <c r="H899" s="221" t="s">
        <v>2120</v>
      </c>
      <c r="I899" s="221" t="s">
        <v>847</v>
      </c>
      <c r="J899" s="221" t="s">
        <v>371</v>
      </c>
      <c r="K899" s="223">
        <v>2.0</v>
      </c>
      <c r="L899" s="223" t="b">
        <v>1</v>
      </c>
      <c r="M899" s="228"/>
      <c r="N899" s="228"/>
      <c r="O899" s="224"/>
      <c r="P899" s="225" t="s">
        <v>155</v>
      </c>
      <c r="Q899" s="225" t="s">
        <v>155</v>
      </c>
      <c r="R899" s="225" t="s">
        <v>155</v>
      </c>
      <c r="S899" s="225" t="s">
        <v>155</v>
      </c>
      <c r="T899" s="226"/>
      <c r="U899" s="227"/>
      <c r="V899" s="52" t="s">
        <v>250</v>
      </c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</row>
    <row r="900" ht="30.0" customHeight="1">
      <c r="A900" s="159"/>
      <c r="B900" s="218" t="s">
        <v>246</v>
      </c>
      <c r="C900" s="218" t="s">
        <v>2059</v>
      </c>
      <c r="D900" s="218" t="s">
        <v>2105</v>
      </c>
      <c r="E900" s="219">
        <v>109527.0</v>
      </c>
      <c r="F900" s="220" t="s">
        <v>2121</v>
      </c>
      <c r="G900" s="221" t="s">
        <v>369</v>
      </c>
      <c r="H900" s="221" t="s">
        <v>2120</v>
      </c>
      <c r="I900" s="221" t="s">
        <v>847</v>
      </c>
      <c r="J900" s="221" t="s">
        <v>371</v>
      </c>
      <c r="K900" s="223">
        <v>2.0</v>
      </c>
      <c r="L900" s="223" t="b">
        <v>1</v>
      </c>
      <c r="M900" s="223" t="s">
        <v>847</v>
      </c>
      <c r="N900" s="223">
        <v>7.263214</v>
      </c>
      <c r="O900" s="224" t="s">
        <v>238</v>
      </c>
      <c r="P900" s="225" t="s">
        <v>155</v>
      </c>
      <c r="Q900" s="225" t="s">
        <v>155</v>
      </c>
      <c r="R900" s="225" t="s">
        <v>155</v>
      </c>
      <c r="S900" s="225" t="s">
        <v>155</v>
      </c>
      <c r="T900" s="226"/>
      <c r="U900" s="227"/>
      <c r="V900" s="52" t="s">
        <v>250</v>
      </c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</row>
    <row r="901" ht="30.0" customHeight="1">
      <c r="A901" s="159"/>
      <c r="B901" s="218" t="s">
        <v>246</v>
      </c>
      <c r="C901" s="218" t="s">
        <v>2059</v>
      </c>
      <c r="D901" s="218" t="s">
        <v>2105</v>
      </c>
      <c r="E901" s="219">
        <v>109529.0</v>
      </c>
      <c r="F901" s="220" t="s">
        <v>2122</v>
      </c>
      <c r="G901" s="221" t="s">
        <v>369</v>
      </c>
      <c r="H901" s="221" t="s">
        <v>2123</v>
      </c>
      <c r="I901" s="221" t="s">
        <v>2124</v>
      </c>
      <c r="J901" s="222" t="s">
        <v>250</v>
      </c>
      <c r="K901" s="223">
        <v>0.0</v>
      </c>
      <c r="L901" s="223" t="b">
        <v>0</v>
      </c>
      <c r="M901" s="228"/>
      <c r="N901" s="228"/>
      <c r="O901" s="224"/>
      <c r="P901" s="225" t="s">
        <v>155</v>
      </c>
      <c r="Q901" s="225" t="s">
        <v>155</v>
      </c>
      <c r="R901" s="225" t="s">
        <v>155</v>
      </c>
      <c r="S901" s="225" t="s">
        <v>155</v>
      </c>
      <c r="T901" s="226"/>
      <c r="U901" s="227"/>
      <c r="V901" s="52" t="s">
        <v>250</v>
      </c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</row>
    <row r="902" ht="30.0" customHeight="1">
      <c r="A902" s="159"/>
      <c r="B902" s="218" t="s">
        <v>246</v>
      </c>
      <c r="C902" s="218" t="s">
        <v>2059</v>
      </c>
      <c r="D902" s="218" t="s">
        <v>2105</v>
      </c>
      <c r="E902" s="219">
        <v>111686.0</v>
      </c>
      <c r="F902" s="220" t="s">
        <v>2125</v>
      </c>
      <c r="G902" s="221" t="s">
        <v>369</v>
      </c>
      <c r="H902" s="221" t="s">
        <v>2126</v>
      </c>
      <c r="I902" s="221" t="s">
        <v>42</v>
      </c>
      <c r="J902" s="222" t="s">
        <v>250</v>
      </c>
      <c r="K902" s="223">
        <v>2.0</v>
      </c>
      <c r="L902" s="223" t="b">
        <v>1</v>
      </c>
      <c r="M902" s="223" t="s">
        <v>42</v>
      </c>
      <c r="N902" s="223">
        <v>23.781666</v>
      </c>
      <c r="O902" s="224"/>
      <c r="P902" s="225" t="s">
        <v>155</v>
      </c>
      <c r="Q902" s="225" t="s">
        <v>155</v>
      </c>
      <c r="R902" s="225" t="s">
        <v>155</v>
      </c>
      <c r="S902" s="225" t="s">
        <v>155</v>
      </c>
      <c r="T902" s="226"/>
      <c r="U902" s="227"/>
      <c r="V902" s="52" t="s">
        <v>250</v>
      </c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</row>
    <row r="903" ht="30.0" customHeight="1">
      <c r="A903" s="159"/>
      <c r="B903" s="218" t="s">
        <v>246</v>
      </c>
      <c r="C903" s="218" t="s">
        <v>2059</v>
      </c>
      <c r="D903" s="218" t="s">
        <v>2105</v>
      </c>
      <c r="E903" s="219">
        <v>109946.0</v>
      </c>
      <c r="F903" s="220" t="s">
        <v>2127</v>
      </c>
      <c r="G903" s="221" t="s">
        <v>518</v>
      </c>
      <c r="H903" s="221" t="s">
        <v>2128</v>
      </c>
      <c r="I903" s="221" t="s">
        <v>301</v>
      </c>
      <c r="J903" s="222" t="s">
        <v>250</v>
      </c>
      <c r="K903" s="223">
        <v>2.0</v>
      </c>
      <c r="L903" s="223" t="b">
        <v>1</v>
      </c>
      <c r="M903" s="228"/>
      <c r="N903" s="228"/>
      <c r="O903" s="224"/>
      <c r="P903" s="225" t="s">
        <v>155</v>
      </c>
      <c r="Q903" s="225" t="s">
        <v>155</v>
      </c>
      <c r="R903" s="225" t="s">
        <v>155</v>
      </c>
      <c r="S903" s="225" t="s">
        <v>155</v>
      </c>
      <c r="T903" s="229" t="s">
        <v>554</v>
      </c>
      <c r="U903" s="227"/>
      <c r="V903" s="52" t="s">
        <v>250</v>
      </c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</row>
    <row r="904" ht="30.0" customHeight="1">
      <c r="A904" s="159"/>
      <c r="B904" s="218" t="s">
        <v>246</v>
      </c>
      <c r="C904" s="218" t="s">
        <v>2059</v>
      </c>
      <c r="D904" s="218" t="s">
        <v>2105</v>
      </c>
      <c r="E904" s="219">
        <v>102468.0</v>
      </c>
      <c r="F904" s="220" t="s">
        <v>2129</v>
      </c>
      <c r="G904" s="221" t="s">
        <v>249</v>
      </c>
      <c r="H904" s="221" t="s">
        <v>2130</v>
      </c>
      <c r="I904" s="221" t="s">
        <v>42</v>
      </c>
      <c r="J904" s="221" t="s">
        <v>364</v>
      </c>
      <c r="K904" s="223">
        <v>3.0</v>
      </c>
      <c r="L904" s="223" t="b">
        <v>1</v>
      </c>
      <c r="M904" s="223" t="s">
        <v>42</v>
      </c>
      <c r="N904" s="223">
        <v>15.305757</v>
      </c>
      <c r="O904" s="224" t="s">
        <v>238</v>
      </c>
      <c r="P904" s="225" t="s">
        <v>155</v>
      </c>
      <c r="Q904" s="225" t="s">
        <v>155</v>
      </c>
      <c r="R904" s="225" t="s">
        <v>155</v>
      </c>
      <c r="S904" s="225" t="s">
        <v>155</v>
      </c>
      <c r="T904" s="226"/>
      <c r="U904" s="227"/>
      <c r="V904" s="52" t="s">
        <v>250</v>
      </c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</row>
    <row r="905" ht="30.0" customHeight="1">
      <c r="A905" s="159"/>
      <c r="B905" s="218" t="s">
        <v>246</v>
      </c>
      <c r="C905" s="218" t="s">
        <v>2059</v>
      </c>
      <c r="D905" s="218" t="s">
        <v>2105</v>
      </c>
      <c r="E905" s="219">
        <v>109227.0</v>
      </c>
      <c r="F905" s="220" t="s">
        <v>2131</v>
      </c>
      <c r="G905" s="221" t="s">
        <v>518</v>
      </c>
      <c r="H905" s="221" t="s">
        <v>821</v>
      </c>
      <c r="I905" s="221" t="s">
        <v>2132</v>
      </c>
      <c r="J905" s="222" t="s">
        <v>250</v>
      </c>
      <c r="K905" s="223">
        <v>4.0</v>
      </c>
      <c r="L905" s="223" t="b">
        <v>1</v>
      </c>
      <c r="M905" s="223" t="s">
        <v>2132</v>
      </c>
      <c r="N905" s="223">
        <v>30.073137</v>
      </c>
      <c r="O905" s="224"/>
      <c r="P905" s="225" t="s">
        <v>155</v>
      </c>
      <c r="Q905" s="225" t="s">
        <v>155</v>
      </c>
      <c r="R905" s="225" t="s">
        <v>155</v>
      </c>
      <c r="S905" s="225" t="s">
        <v>155</v>
      </c>
      <c r="T905" s="226"/>
      <c r="U905" s="227"/>
      <c r="V905" s="52" t="s">
        <v>250</v>
      </c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</row>
    <row r="906" ht="30.0" customHeight="1">
      <c r="A906" s="159"/>
      <c r="B906" s="218" t="s">
        <v>246</v>
      </c>
      <c r="C906" s="218" t="s">
        <v>2059</v>
      </c>
      <c r="D906" s="218" t="s">
        <v>2105</v>
      </c>
      <c r="E906" s="219">
        <v>14967.0</v>
      </c>
      <c r="F906" s="220" t="s">
        <v>2133</v>
      </c>
      <c r="G906" s="221" t="s">
        <v>369</v>
      </c>
      <c r="H906" s="221" t="s">
        <v>2134</v>
      </c>
      <c r="I906" s="221" t="s">
        <v>888</v>
      </c>
      <c r="J906" s="222" t="s">
        <v>250</v>
      </c>
      <c r="K906" s="223">
        <v>3.0</v>
      </c>
      <c r="L906" s="223" t="b">
        <v>0</v>
      </c>
      <c r="M906" s="223" t="s">
        <v>888</v>
      </c>
      <c r="N906" s="223">
        <v>49.98</v>
      </c>
      <c r="O906" s="224"/>
      <c r="P906" s="225" t="s">
        <v>155</v>
      </c>
      <c r="Q906" s="225" t="s">
        <v>155</v>
      </c>
      <c r="R906" s="225" t="s">
        <v>155</v>
      </c>
      <c r="S906" s="225" t="s">
        <v>155</v>
      </c>
      <c r="T906" s="226"/>
      <c r="U906" s="227"/>
      <c r="V906" s="52" t="s">
        <v>250</v>
      </c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</row>
    <row r="907" ht="30.0" customHeight="1">
      <c r="A907" s="159"/>
      <c r="B907" s="218" t="s">
        <v>246</v>
      </c>
      <c r="C907" s="218" t="s">
        <v>2059</v>
      </c>
      <c r="D907" s="218" t="s">
        <v>2105</v>
      </c>
      <c r="E907" s="219">
        <v>109936.0</v>
      </c>
      <c r="F907" s="220" t="s">
        <v>2135</v>
      </c>
      <c r="G907" s="221" t="s">
        <v>249</v>
      </c>
      <c r="H907" s="221" t="s">
        <v>2117</v>
      </c>
      <c r="I907" s="221" t="s">
        <v>42</v>
      </c>
      <c r="J907" s="221" t="s">
        <v>364</v>
      </c>
      <c r="K907" s="223">
        <v>2.0</v>
      </c>
      <c r="L907" s="223" t="b">
        <v>0</v>
      </c>
      <c r="M907" s="223" t="s">
        <v>42</v>
      </c>
      <c r="N907" s="223">
        <v>4.100434</v>
      </c>
      <c r="O907" s="224" t="s">
        <v>238</v>
      </c>
      <c r="P907" s="225" t="s">
        <v>155</v>
      </c>
      <c r="Q907" s="225" t="s">
        <v>155</v>
      </c>
      <c r="R907" s="225" t="s">
        <v>155</v>
      </c>
      <c r="S907" s="225" t="s">
        <v>155</v>
      </c>
      <c r="T907" s="226"/>
      <c r="U907" s="227"/>
      <c r="V907" s="52" t="s">
        <v>250</v>
      </c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</row>
    <row r="908" ht="30.0" customHeight="1">
      <c r="A908" s="159"/>
      <c r="B908" s="218" t="s">
        <v>246</v>
      </c>
      <c r="C908" s="218" t="s">
        <v>2059</v>
      </c>
      <c r="D908" s="218" t="s">
        <v>2105</v>
      </c>
      <c r="E908" s="219">
        <v>109927.0</v>
      </c>
      <c r="F908" s="220" t="s">
        <v>2136</v>
      </c>
      <c r="G908" s="221" t="s">
        <v>249</v>
      </c>
      <c r="H908" s="221" t="s">
        <v>2137</v>
      </c>
      <c r="I908" s="221" t="s">
        <v>42</v>
      </c>
      <c r="J908" s="221" t="s">
        <v>2138</v>
      </c>
      <c r="K908" s="223">
        <v>3.0</v>
      </c>
      <c r="L908" s="223" t="b">
        <v>1</v>
      </c>
      <c r="M908" s="223" t="s">
        <v>42</v>
      </c>
      <c r="N908" s="223">
        <v>7.546019</v>
      </c>
      <c r="O908" s="224"/>
      <c r="P908" s="225" t="s">
        <v>155</v>
      </c>
      <c r="Q908" s="225" t="s">
        <v>155</v>
      </c>
      <c r="R908" s="225" t="s">
        <v>155</v>
      </c>
      <c r="S908" s="225" t="s">
        <v>155</v>
      </c>
      <c r="T908" s="226"/>
      <c r="U908" s="227"/>
      <c r="V908" s="52" t="s">
        <v>250</v>
      </c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</row>
    <row r="909" ht="30.0" customHeight="1">
      <c r="A909" s="159"/>
      <c r="B909" s="218" t="s">
        <v>246</v>
      </c>
      <c r="C909" s="218" t="s">
        <v>2059</v>
      </c>
      <c r="D909" s="218" t="s">
        <v>2105</v>
      </c>
      <c r="E909" s="219">
        <v>79609.0</v>
      </c>
      <c r="F909" s="220" t="s">
        <v>2139</v>
      </c>
      <c r="G909" s="221" t="s">
        <v>518</v>
      </c>
      <c r="H909" s="221" t="s">
        <v>2140</v>
      </c>
      <c r="I909" s="221" t="s">
        <v>790</v>
      </c>
      <c r="J909" s="222" t="s">
        <v>250</v>
      </c>
      <c r="K909" s="223">
        <v>2.0</v>
      </c>
      <c r="L909" s="223" t="b">
        <v>1</v>
      </c>
      <c r="M909" s="223" t="s">
        <v>790</v>
      </c>
      <c r="N909" s="223">
        <v>99.957142</v>
      </c>
      <c r="O909" s="224"/>
      <c r="P909" s="225" t="s">
        <v>155</v>
      </c>
      <c r="Q909" s="225" t="s">
        <v>155</v>
      </c>
      <c r="R909" s="225" t="s">
        <v>155</v>
      </c>
      <c r="S909" s="225" t="s">
        <v>155</v>
      </c>
      <c r="T909" s="226"/>
      <c r="U909" s="227"/>
      <c r="V909" s="52" t="s">
        <v>250</v>
      </c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</row>
    <row r="910" ht="30.0" customHeight="1">
      <c r="A910" s="159"/>
      <c r="B910" s="218" t="s">
        <v>246</v>
      </c>
      <c r="C910" s="218" t="s">
        <v>2059</v>
      </c>
      <c r="D910" s="218" t="s">
        <v>2105</v>
      </c>
      <c r="E910" s="219">
        <v>109611.0</v>
      </c>
      <c r="F910" s="220" t="s">
        <v>2141</v>
      </c>
      <c r="G910" s="221" t="s">
        <v>249</v>
      </c>
      <c r="H910" s="221" t="s">
        <v>2142</v>
      </c>
      <c r="I910" s="221" t="s">
        <v>269</v>
      </c>
      <c r="J910" s="221" t="s">
        <v>2138</v>
      </c>
      <c r="K910" s="223">
        <v>3.0</v>
      </c>
      <c r="L910" s="223" t="b">
        <v>1</v>
      </c>
      <c r="M910" s="223" t="s">
        <v>42</v>
      </c>
      <c r="N910" s="223">
        <v>8.296833</v>
      </c>
      <c r="O910" s="224"/>
      <c r="P910" s="225" t="s">
        <v>155</v>
      </c>
      <c r="Q910" s="225" t="s">
        <v>155</v>
      </c>
      <c r="R910" s="225" t="s">
        <v>155</v>
      </c>
      <c r="S910" s="225" t="s">
        <v>155</v>
      </c>
      <c r="T910" s="226"/>
      <c r="U910" s="227"/>
      <c r="V910" s="52" t="s">
        <v>250</v>
      </c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</row>
    <row r="911" ht="30.0" customHeight="1">
      <c r="A911" s="209"/>
      <c r="B911" s="218" t="s">
        <v>246</v>
      </c>
      <c r="C911" s="218" t="s">
        <v>2059</v>
      </c>
      <c r="D911" s="218" t="s">
        <v>2105</v>
      </c>
      <c r="E911" s="219">
        <v>79607.0</v>
      </c>
      <c r="F911" s="220" t="s">
        <v>2143</v>
      </c>
      <c r="G911" s="221" t="s">
        <v>518</v>
      </c>
      <c r="H911" s="222" t="s">
        <v>250</v>
      </c>
      <c r="I911" s="221" t="s">
        <v>2144</v>
      </c>
      <c r="J911" s="221" t="s">
        <v>364</v>
      </c>
      <c r="K911" s="223">
        <v>2.0</v>
      </c>
      <c r="L911" s="223" t="b">
        <v>1</v>
      </c>
      <c r="M911" s="228"/>
      <c r="N911" s="228"/>
      <c r="O911" s="224"/>
      <c r="P911" s="225" t="s">
        <v>155</v>
      </c>
      <c r="Q911" s="225" t="s">
        <v>155</v>
      </c>
      <c r="R911" s="225" t="s">
        <v>155</v>
      </c>
      <c r="S911" s="225" t="s">
        <v>155</v>
      </c>
      <c r="T911" s="250" t="e">
        <v>#N/A</v>
      </c>
      <c r="U911" s="227"/>
      <c r="V911" s="52" t="s">
        <v>250</v>
      </c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</row>
    <row r="912" ht="30.0" customHeight="1">
      <c r="A912" s="209"/>
      <c r="B912" s="210" t="s">
        <v>521</v>
      </c>
      <c r="C912" s="211"/>
      <c r="D912" s="211"/>
      <c r="E912" s="212"/>
      <c r="F912" s="213"/>
      <c r="G912" s="213"/>
      <c r="H912" s="213"/>
      <c r="I912" s="212"/>
      <c r="J912" s="212"/>
      <c r="K912" s="214"/>
      <c r="L912" s="214"/>
      <c r="M912" s="214"/>
      <c r="N912" s="214"/>
      <c r="O912" s="215"/>
      <c r="P912" s="216"/>
      <c r="Q912" s="216"/>
      <c r="R912" s="216"/>
      <c r="S912" s="216"/>
      <c r="T912" s="217"/>
      <c r="U912" s="217"/>
      <c r="V912" s="217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</row>
    <row r="913" ht="30.0" customHeight="1">
      <c r="A913" s="159"/>
      <c r="B913" s="218" t="s">
        <v>246</v>
      </c>
      <c r="C913" s="218" t="s">
        <v>2145</v>
      </c>
      <c r="D913" s="218" t="s">
        <v>521</v>
      </c>
      <c r="E913" s="219">
        <v>110031.0</v>
      </c>
      <c r="F913" s="220" t="s">
        <v>2146</v>
      </c>
      <c r="G913" s="221" t="s">
        <v>518</v>
      </c>
      <c r="H913" s="221" t="s">
        <v>2147</v>
      </c>
      <c r="I913" s="221" t="s">
        <v>1173</v>
      </c>
      <c r="J913" s="221" t="s">
        <v>371</v>
      </c>
      <c r="K913" s="223">
        <v>2.0</v>
      </c>
      <c r="L913" s="223" t="b">
        <v>1</v>
      </c>
      <c r="M913" s="223" t="s">
        <v>1173</v>
      </c>
      <c r="N913" s="223">
        <v>214.425</v>
      </c>
      <c r="O913" s="224"/>
      <c r="P913" s="225" t="s">
        <v>155</v>
      </c>
      <c r="Q913" s="225" t="s">
        <v>155</v>
      </c>
      <c r="R913" s="225" t="s">
        <v>155</v>
      </c>
      <c r="S913" s="225" t="s">
        <v>155</v>
      </c>
      <c r="T913" s="226"/>
      <c r="U913" s="227"/>
      <c r="V913" s="52" t="s">
        <v>250</v>
      </c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</row>
    <row r="914" ht="30.0" customHeight="1">
      <c r="A914" s="159"/>
      <c r="B914" s="218" t="s">
        <v>246</v>
      </c>
      <c r="C914" s="218" t="s">
        <v>2145</v>
      </c>
      <c r="D914" s="218" t="s">
        <v>521</v>
      </c>
      <c r="E914" s="219">
        <v>110025.0</v>
      </c>
      <c r="F914" s="220" t="s">
        <v>2148</v>
      </c>
      <c r="G914" s="221" t="s">
        <v>518</v>
      </c>
      <c r="H914" s="221" t="s">
        <v>2149</v>
      </c>
      <c r="I914" s="221" t="s">
        <v>2150</v>
      </c>
      <c r="J914" s="221" t="s">
        <v>356</v>
      </c>
      <c r="K914" s="223">
        <v>2.0</v>
      </c>
      <c r="L914" s="223" t="b">
        <v>1</v>
      </c>
      <c r="M914" s="223" t="s">
        <v>2150</v>
      </c>
      <c r="N914" s="223">
        <v>38.87</v>
      </c>
      <c r="O914" s="224" t="s">
        <v>2151</v>
      </c>
      <c r="P914" s="225" t="s">
        <v>155</v>
      </c>
      <c r="Q914" s="225" t="s">
        <v>155</v>
      </c>
      <c r="R914" s="225" t="s">
        <v>155</v>
      </c>
      <c r="S914" s="225" t="s">
        <v>155</v>
      </c>
      <c r="T914" s="226"/>
      <c r="U914" s="227"/>
      <c r="V914" s="52" t="s">
        <v>250</v>
      </c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</row>
    <row r="915" ht="30.0" customHeight="1">
      <c r="A915" s="159"/>
      <c r="B915" s="218" t="s">
        <v>246</v>
      </c>
      <c r="C915" s="218" t="s">
        <v>2145</v>
      </c>
      <c r="D915" s="218" t="s">
        <v>521</v>
      </c>
      <c r="E915" s="219">
        <v>110020.0</v>
      </c>
      <c r="F915" s="220" t="s">
        <v>2152</v>
      </c>
      <c r="G915" s="221" t="s">
        <v>518</v>
      </c>
      <c r="H915" s="221" t="s">
        <v>836</v>
      </c>
      <c r="I915" s="221" t="s">
        <v>2153</v>
      </c>
      <c r="J915" s="221" t="s">
        <v>371</v>
      </c>
      <c r="K915" s="223">
        <v>4.0</v>
      </c>
      <c r="L915" s="223" t="b">
        <v>1</v>
      </c>
      <c r="M915" s="223" t="s">
        <v>2153</v>
      </c>
      <c r="N915" s="223">
        <v>45.541904</v>
      </c>
      <c r="O915" s="224"/>
      <c r="P915" s="225" t="s">
        <v>155</v>
      </c>
      <c r="Q915" s="225" t="s">
        <v>155</v>
      </c>
      <c r="R915" s="225" t="s">
        <v>155</v>
      </c>
      <c r="S915" s="225" t="s">
        <v>155</v>
      </c>
      <c r="T915" s="226"/>
      <c r="U915" s="227"/>
      <c r="V915" s="52" t="s">
        <v>250</v>
      </c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</row>
    <row r="916" ht="30.0" customHeight="1">
      <c r="A916" s="159"/>
      <c r="B916" s="218" t="s">
        <v>246</v>
      </c>
      <c r="C916" s="218" t="s">
        <v>2145</v>
      </c>
      <c r="D916" s="218" t="s">
        <v>521</v>
      </c>
      <c r="E916" s="219">
        <v>110029.0</v>
      </c>
      <c r="F916" s="220" t="s">
        <v>2154</v>
      </c>
      <c r="G916" s="221" t="s">
        <v>518</v>
      </c>
      <c r="H916" s="221" t="s">
        <v>929</v>
      </c>
      <c r="I916" s="221" t="s">
        <v>2155</v>
      </c>
      <c r="J916" s="221" t="s">
        <v>2156</v>
      </c>
      <c r="K916" s="223">
        <v>2.0</v>
      </c>
      <c r="L916" s="223" t="b">
        <v>0</v>
      </c>
      <c r="M916" s="223" t="s">
        <v>2155</v>
      </c>
      <c r="N916" s="223">
        <v>40.666666</v>
      </c>
      <c r="O916" s="224"/>
      <c r="P916" s="225" t="s">
        <v>155</v>
      </c>
      <c r="Q916" s="225" t="s">
        <v>155</v>
      </c>
      <c r="R916" s="225" t="s">
        <v>155</v>
      </c>
      <c r="S916" s="225" t="s">
        <v>155</v>
      </c>
      <c r="T916" s="226"/>
      <c r="U916" s="227"/>
      <c r="V916" s="52" t="s">
        <v>250</v>
      </c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</row>
    <row r="917" ht="30.0" customHeight="1">
      <c r="A917" s="159"/>
      <c r="B917" s="218" t="s">
        <v>246</v>
      </c>
      <c r="C917" s="218" t="s">
        <v>2145</v>
      </c>
      <c r="D917" s="218" t="s">
        <v>521</v>
      </c>
      <c r="E917" s="219">
        <v>148487.0</v>
      </c>
      <c r="F917" s="220" t="s">
        <v>2157</v>
      </c>
      <c r="G917" s="221" t="s">
        <v>518</v>
      </c>
      <c r="H917" s="221" t="s">
        <v>1418</v>
      </c>
      <c r="I917" s="221" t="s">
        <v>42</v>
      </c>
      <c r="J917" s="222" t="s">
        <v>250</v>
      </c>
      <c r="K917" s="223">
        <v>3.0</v>
      </c>
      <c r="L917" s="223" t="b">
        <v>0</v>
      </c>
      <c r="M917" s="228"/>
      <c r="N917" s="228"/>
      <c r="O917" s="224"/>
      <c r="P917" s="225" t="s">
        <v>155</v>
      </c>
      <c r="Q917" s="225" t="s">
        <v>155</v>
      </c>
      <c r="R917" s="225" t="s">
        <v>155</v>
      </c>
      <c r="S917" s="225" t="s">
        <v>155</v>
      </c>
      <c r="T917" s="226"/>
      <c r="U917" s="227"/>
      <c r="V917" s="52" t="s">
        <v>250</v>
      </c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</row>
    <row r="918" ht="30.0" customHeight="1">
      <c r="A918" s="159"/>
      <c r="B918" s="218" t="s">
        <v>246</v>
      </c>
      <c r="C918" s="218" t="s">
        <v>2145</v>
      </c>
      <c r="D918" s="218" t="s">
        <v>521</v>
      </c>
      <c r="E918" s="219">
        <v>110018.0</v>
      </c>
      <c r="F918" s="220" t="s">
        <v>2158</v>
      </c>
      <c r="G918" s="221" t="s">
        <v>518</v>
      </c>
      <c r="H918" s="221" t="s">
        <v>2159</v>
      </c>
      <c r="I918" s="221" t="s">
        <v>1482</v>
      </c>
      <c r="J918" s="222" t="s">
        <v>250</v>
      </c>
      <c r="K918" s="223">
        <v>2.0</v>
      </c>
      <c r="L918" s="223" t="b">
        <v>1</v>
      </c>
      <c r="M918" s="223" t="s">
        <v>1482</v>
      </c>
      <c r="N918" s="223">
        <v>162.015714</v>
      </c>
      <c r="O918" s="224"/>
      <c r="P918" s="225" t="s">
        <v>155</v>
      </c>
      <c r="Q918" s="225" t="s">
        <v>155</v>
      </c>
      <c r="R918" s="225" t="s">
        <v>155</v>
      </c>
      <c r="S918" s="225" t="s">
        <v>155</v>
      </c>
      <c r="T918" s="226"/>
      <c r="U918" s="227"/>
      <c r="V918" s="52" t="s">
        <v>250</v>
      </c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</row>
    <row r="919" ht="30.0" customHeight="1">
      <c r="A919" s="159"/>
      <c r="B919" s="218" t="s">
        <v>246</v>
      </c>
      <c r="C919" s="218" t="s">
        <v>2145</v>
      </c>
      <c r="D919" s="218" t="s">
        <v>521</v>
      </c>
      <c r="E919" s="219">
        <v>112795.0</v>
      </c>
      <c r="F919" s="220" t="s">
        <v>2160</v>
      </c>
      <c r="G919" s="221" t="s">
        <v>518</v>
      </c>
      <c r="H919" s="221" t="s">
        <v>2161</v>
      </c>
      <c r="I919" s="221" t="s">
        <v>972</v>
      </c>
      <c r="J919" s="222" t="s">
        <v>250</v>
      </c>
      <c r="K919" s="223">
        <v>1.0</v>
      </c>
      <c r="L919" s="223" t="b">
        <v>0</v>
      </c>
      <c r="M919" s="228"/>
      <c r="N919" s="228"/>
      <c r="O919" s="224"/>
      <c r="P919" s="225" t="s">
        <v>155</v>
      </c>
      <c r="Q919" s="225" t="s">
        <v>155</v>
      </c>
      <c r="R919" s="225" t="s">
        <v>155</v>
      </c>
      <c r="S919" s="225" t="s">
        <v>155</v>
      </c>
      <c r="T919" s="226"/>
      <c r="U919" s="227"/>
      <c r="V919" s="52" t="s">
        <v>250</v>
      </c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</row>
    <row r="920" ht="30.0" customHeight="1">
      <c r="A920" s="159"/>
      <c r="B920" s="218" t="s">
        <v>246</v>
      </c>
      <c r="C920" s="218" t="s">
        <v>2145</v>
      </c>
      <c r="D920" s="218" t="s">
        <v>521</v>
      </c>
      <c r="E920" s="219">
        <v>110037.0</v>
      </c>
      <c r="F920" s="220" t="s">
        <v>2162</v>
      </c>
      <c r="G920" s="221" t="s">
        <v>518</v>
      </c>
      <c r="H920" s="221" t="s">
        <v>2163</v>
      </c>
      <c r="I920" s="221" t="s">
        <v>2164</v>
      </c>
      <c r="J920" s="222" t="s">
        <v>250</v>
      </c>
      <c r="K920" s="223">
        <v>2.0</v>
      </c>
      <c r="L920" s="223" t="b">
        <v>1</v>
      </c>
      <c r="M920" s="223" t="s">
        <v>2164</v>
      </c>
      <c r="N920" s="223">
        <v>6.09</v>
      </c>
      <c r="O920" s="224"/>
      <c r="P920" s="225" t="s">
        <v>155</v>
      </c>
      <c r="Q920" s="225" t="s">
        <v>155</v>
      </c>
      <c r="R920" s="225" t="s">
        <v>155</v>
      </c>
      <c r="S920" s="225" t="s">
        <v>155</v>
      </c>
      <c r="T920" s="226"/>
      <c r="U920" s="227"/>
      <c r="V920" s="52" t="s">
        <v>250</v>
      </c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</row>
    <row r="921" ht="30.0" customHeight="1">
      <c r="A921" s="159"/>
      <c r="B921" s="218" t="s">
        <v>246</v>
      </c>
      <c r="C921" s="218" t="s">
        <v>2145</v>
      </c>
      <c r="D921" s="218" t="s">
        <v>521</v>
      </c>
      <c r="E921" s="219">
        <v>100775.0</v>
      </c>
      <c r="F921" s="220" t="s">
        <v>2165</v>
      </c>
      <c r="G921" s="221" t="s">
        <v>249</v>
      </c>
      <c r="H921" s="221" t="s">
        <v>2166</v>
      </c>
      <c r="I921" s="221" t="s">
        <v>42</v>
      </c>
      <c r="J921" s="222" t="s">
        <v>250</v>
      </c>
      <c r="K921" s="223">
        <v>3.0</v>
      </c>
      <c r="L921" s="223" t="b">
        <v>0</v>
      </c>
      <c r="M921" s="228"/>
      <c r="N921" s="228"/>
      <c r="O921" s="224"/>
      <c r="P921" s="225" t="s">
        <v>155</v>
      </c>
      <c r="Q921" s="225" t="s">
        <v>155</v>
      </c>
      <c r="R921" s="225" t="s">
        <v>155</v>
      </c>
      <c r="S921" s="225" t="s">
        <v>155</v>
      </c>
      <c r="T921" s="226"/>
      <c r="U921" s="227"/>
      <c r="V921" s="52" t="s">
        <v>250</v>
      </c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</row>
    <row r="922" ht="30.0" customHeight="1">
      <c r="A922" s="159"/>
      <c r="B922" s="218" t="s">
        <v>246</v>
      </c>
      <c r="C922" s="218" t="s">
        <v>2145</v>
      </c>
      <c r="D922" s="218" t="s">
        <v>521</v>
      </c>
      <c r="E922" s="219">
        <v>110035.0</v>
      </c>
      <c r="F922" s="220" t="s">
        <v>2167</v>
      </c>
      <c r="G922" s="221" t="s">
        <v>518</v>
      </c>
      <c r="H922" s="221" t="s">
        <v>2168</v>
      </c>
      <c r="I922" s="221" t="s">
        <v>2164</v>
      </c>
      <c r="J922" s="221" t="s">
        <v>364</v>
      </c>
      <c r="K922" s="223">
        <v>2.0</v>
      </c>
      <c r="L922" s="223" t="b">
        <v>1</v>
      </c>
      <c r="M922" s="223" t="s">
        <v>2164</v>
      </c>
      <c r="N922" s="223">
        <v>13.091</v>
      </c>
      <c r="O922" s="224"/>
      <c r="P922" s="225" t="s">
        <v>155</v>
      </c>
      <c r="Q922" s="225" t="s">
        <v>155</v>
      </c>
      <c r="R922" s="225" t="s">
        <v>155</v>
      </c>
      <c r="S922" s="225" t="s">
        <v>155</v>
      </c>
      <c r="T922" s="226"/>
      <c r="U922" s="227"/>
      <c r="V922" s="52" t="s">
        <v>250</v>
      </c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</row>
    <row r="923" ht="30.0" customHeight="1">
      <c r="A923" s="209"/>
      <c r="B923" s="210" t="s">
        <v>2169</v>
      </c>
      <c r="C923" s="211"/>
      <c r="D923" s="211"/>
      <c r="E923" s="212"/>
      <c r="F923" s="213"/>
      <c r="G923" s="213"/>
      <c r="H923" s="213"/>
      <c r="I923" s="212"/>
      <c r="J923" s="212"/>
      <c r="K923" s="214"/>
      <c r="L923" s="214"/>
      <c r="M923" s="214"/>
      <c r="N923" s="214"/>
      <c r="O923" s="215"/>
      <c r="P923" s="216"/>
      <c r="Q923" s="216"/>
      <c r="R923" s="216"/>
      <c r="S923" s="216"/>
      <c r="T923" s="217"/>
      <c r="U923" s="217"/>
      <c r="V923" s="217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</row>
    <row r="924" ht="30.0" customHeight="1">
      <c r="A924" s="159"/>
      <c r="B924" s="218" t="s">
        <v>246</v>
      </c>
      <c r="C924" s="218" t="s">
        <v>2170</v>
      </c>
      <c r="D924" s="218" t="s">
        <v>2169</v>
      </c>
      <c r="E924" s="219">
        <v>111228.0</v>
      </c>
      <c r="F924" s="220" t="s">
        <v>2171</v>
      </c>
      <c r="G924" s="221" t="s">
        <v>249</v>
      </c>
      <c r="H924" s="221" t="s">
        <v>2172</v>
      </c>
      <c r="I924" s="221" t="s">
        <v>972</v>
      </c>
      <c r="J924" s="221" t="s">
        <v>2173</v>
      </c>
      <c r="K924" s="223">
        <v>1.0</v>
      </c>
      <c r="L924" s="223" t="b">
        <v>1</v>
      </c>
      <c r="M924" s="223" t="s">
        <v>2174</v>
      </c>
      <c r="N924" s="223">
        <v>70.583092</v>
      </c>
      <c r="O924" s="224"/>
      <c r="P924" s="225" t="s">
        <v>155</v>
      </c>
      <c r="Q924" s="225" t="s">
        <v>155</v>
      </c>
      <c r="R924" s="225" t="s">
        <v>155</v>
      </c>
      <c r="S924" s="225" t="s">
        <v>155</v>
      </c>
      <c r="T924" s="226"/>
      <c r="U924" s="227"/>
      <c r="V924" s="52" t="s">
        <v>250</v>
      </c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</row>
    <row r="925" ht="30.0" customHeight="1">
      <c r="A925" s="159"/>
      <c r="B925" s="218" t="s">
        <v>246</v>
      </c>
      <c r="C925" s="218" t="s">
        <v>2170</v>
      </c>
      <c r="D925" s="218" t="s">
        <v>2169</v>
      </c>
      <c r="E925" s="219">
        <v>111227.0</v>
      </c>
      <c r="F925" s="220" t="s">
        <v>2175</v>
      </c>
      <c r="G925" s="221" t="s">
        <v>249</v>
      </c>
      <c r="H925" s="221" t="s">
        <v>2172</v>
      </c>
      <c r="I925" s="221" t="s">
        <v>972</v>
      </c>
      <c r="J925" s="221" t="s">
        <v>2176</v>
      </c>
      <c r="K925" s="223">
        <v>1.0</v>
      </c>
      <c r="L925" s="223" t="b">
        <v>1</v>
      </c>
      <c r="M925" s="223" t="s">
        <v>972</v>
      </c>
      <c r="N925" s="223">
        <v>0.529351</v>
      </c>
      <c r="O925" s="224"/>
      <c r="P925" s="225" t="s">
        <v>155</v>
      </c>
      <c r="Q925" s="225" t="s">
        <v>155</v>
      </c>
      <c r="R925" s="225" t="s">
        <v>155</v>
      </c>
      <c r="S925" s="225" t="s">
        <v>155</v>
      </c>
      <c r="T925" s="226"/>
      <c r="U925" s="227"/>
      <c r="V925" s="52" t="s">
        <v>250</v>
      </c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</row>
    <row r="926" ht="30.0" customHeight="1">
      <c r="A926" s="159"/>
      <c r="B926" s="218" t="s">
        <v>246</v>
      </c>
      <c r="C926" s="218" t="s">
        <v>2170</v>
      </c>
      <c r="D926" s="218" t="s">
        <v>2169</v>
      </c>
      <c r="E926" s="219">
        <v>111233.0</v>
      </c>
      <c r="F926" s="220" t="s">
        <v>2177</v>
      </c>
      <c r="G926" s="221" t="s">
        <v>249</v>
      </c>
      <c r="H926" s="221" t="s">
        <v>2172</v>
      </c>
      <c r="I926" s="221" t="s">
        <v>972</v>
      </c>
      <c r="J926" s="221" t="s">
        <v>2178</v>
      </c>
      <c r="K926" s="223">
        <v>1.0</v>
      </c>
      <c r="L926" s="223" t="b">
        <v>1</v>
      </c>
      <c r="M926" s="223" t="s">
        <v>2174</v>
      </c>
      <c r="N926" s="223">
        <v>59.712532</v>
      </c>
      <c r="O926" s="224"/>
      <c r="P926" s="225" t="s">
        <v>155</v>
      </c>
      <c r="Q926" s="225" t="s">
        <v>155</v>
      </c>
      <c r="R926" s="225" t="s">
        <v>155</v>
      </c>
      <c r="S926" s="225" t="s">
        <v>155</v>
      </c>
      <c r="T926" s="226"/>
      <c r="U926" s="227"/>
      <c r="V926" s="52" t="s">
        <v>250</v>
      </c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</row>
    <row r="927" ht="30.0" customHeight="1">
      <c r="A927" s="159"/>
      <c r="B927" s="218" t="s">
        <v>246</v>
      </c>
      <c r="C927" s="218" t="s">
        <v>2170</v>
      </c>
      <c r="D927" s="218" t="s">
        <v>2169</v>
      </c>
      <c r="E927" s="219">
        <v>111230.0</v>
      </c>
      <c r="F927" s="220" t="s">
        <v>2179</v>
      </c>
      <c r="G927" s="221" t="s">
        <v>249</v>
      </c>
      <c r="H927" s="221" t="s">
        <v>2172</v>
      </c>
      <c r="I927" s="221" t="s">
        <v>972</v>
      </c>
      <c r="J927" s="221" t="s">
        <v>2180</v>
      </c>
      <c r="K927" s="223">
        <v>2.0</v>
      </c>
      <c r="L927" s="223" t="b">
        <v>0</v>
      </c>
      <c r="M927" s="223" t="s">
        <v>2174</v>
      </c>
      <c r="N927" s="223">
        <v>58.531297</v>
      </c>
      <c r="O927" s="224"/>
      <c r="P927" s="225" t="s">
        <v>155</v>
      </c>
      <c r="Q927" s="225" t="s">
        <v>155</v>
      </c>
      <c r="R927" s="225" t="s">
        <v>155</v>
      </c>
      <c r="S927" s="225" t="s">
        <v>155</v>
      </c>
      <c r="T927" s="226"/>
      <c r="U927" s="227"/>
      <c r="V927" s="52" t="s">
        <v>250</v>
      </c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</row>
    <row r="928" ht="30.0" customHeight="1">
      <c r="A928" s="159"/>
      <c r="B928" s="218" t="s">
        <v>246</v>
      </c>
      <c r="C928" s="218" t="s">
        <v>2170</v>
      </c>
      <c r="D928" s="218" t="s">
        <v>2169</v>
      </c>
      <c r="E928" s="219">
        <v>111226.0</v>
      </c>
      <c r="F928" s="220" t="s">
        <v>2181</v>
      </c>
      <c r="G928" s="221" t="s">
        <v>249</v>
      </c>
      <c r="H928" s="221" t="s">
        <v>2172</v>
      </c>
      <c r="I928" s="221" t="s">
        <v>972</v>
      </c>
      <c r="J928" s="221" t="s">
        <v>2182</v>
      </c>
      <c r="K928" s="223">
        <v>1.0</v>
      </c>
      <c r="L928" s="223" t="b">
        <v>1</v>
      </c>
      <c r="M928" s="223" t="s">
        <v>2174</v>
      </c>
      <c r="N928" s="223">
        <v>76.84916</v>
      </c>
      <c r="O928" s="224"/>
      <c r="P928" s="225" t="s">
        <v>155</v>
      </c>
      <c r="Q928" s="225" t="s">
        <v>155</v>
      </c>
      <c r="R928" s="225" t="s">
        <v>155</v>
      </c>
      <c r="S928" s="225" t="s">
        <v>155</v>
      </c>
      <c r="T928" s="226"/>
      <c r="U928" s="227"/>
      <c r="V928" s="52" t="s">
        <v>250</v>
      </c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</row>
    <row r="929" ht="30.0" customHeight="1">
      <c r="A929" s="159"/>
      <c r="B929" s="218" t="s">
        <v>246</v>
      </c>
      <c r="C929" s="218" t="s">
        <v>2170</v>
      </c>
      <c r="D929" s="218" t="s">
        <v>2169</v>
      </c>
      <c r="E929" s="219">
        <v>111310.0</v>
      </c>
      <c r="F929" s="220" t="s">
        <v>2183</v>
      </c>
      <c r="G929" s="221" t="s">
        <v>249</v>
      </c>
      <c r="H929" s="221" t="s">
        <v>2172</v>
      </c>
      <c r="I929" s="221" t="s">
        <v>972</v>
      </c>
      <c r="J929" s="221" t="s">
        <v>2184</v>
      </c>
      <c r="K929" s="223">
        <v>1.0</v>
      </c>
      <c r="L929" s="223" t="b">
        <v>1</v>
      </c>
      <c r="M929" s="223" t="s">
        <v>972</v>
      </c>
      <c r="N929" s="223">
        <v>0.634827</v>
      </c>
      <c r="O929" s="224"/>
      <c r="P929" s="225" t="s">
        <v>155</v>
      </c>
      <c r="Q929" s="225" t="s">
        <v>155</v>
      </c>
      <c r="R929" s="225" t="s">
        <v>155</v>
      </c>
      <c r="S929" s="225" t="s">
        <v>155</v>
      </c>
      <c r="T929" s="226"/>
      <c r="U929" s="227"/>
      <c r="V929" s="52" t="s">
        <v>250</v>
      </c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</row>
    <row r="930" ht="30.0" customHeight="1">
      <c r="A930" s="159"/>
      <c r="B930" s="218" t="s">
        <v>246</v>
      </c>
      <c r="C930" s="218" t="s">
        <v>2170</v>
      </c>
      <c r="D930" s="218" t="s">
        <v>2169</v>
      </c>
      <c r="E930" s="219">
        <v>111232.0</v>
      </c>
      <c r="F930" s="220" t="s">
        <v>2185</v>
      </c>
      <c r="G930" s="221" t="s">
        <v>249</v>
      </c>
      <c r="H930" s="221" t="s">
        <v>2172</v>
      </c>
      <c r="I930" s="221" t="s">
        <v>972</v>
      </c>
      <c r="J930" s="221" t="s">
        <v>2186</v>
      </c>
      <c r="K930" s="223">
        <v>1.0</v>
      </c>
      <c r="L930" s="223" t="b">
        <v>1</v>
      </c>
      <c r="M930" s="223" t="s">
        <v>2174</v>
      </c>
      <c r="N930" s="223">
        <v>73.134298</v>
      </c>
      <c r="O930" s="224"/>
      <c r="P930" s="225" t="s">
        <v>155</v>
      </c>
      <c r="Q930" s="225" t="s">
        <v>155</v>
      </c>
      <c r="R930" s="225" t="s">
        <v>155</v>
      </c>
      <c r="S930" s="225" t="s">
        <v>155</v>
      </c>
      <c r="T930" s="226"/>
      <c r="U930" s="227"/>
      <c r="V930" s="52" t="s">
        <v>250</v>
      </c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</row>
    <row r="931" ht="30.0" customHeight="1">
      <c r="A931" s="159"/>
      <c r="B931" s="218" t="s">
        <v>246</v>
      </c>
      <c r="C931" s="218" t="s">
        <v>2170</v>
      </c>
      <c r="D931" s="218" t="s">
        <v>2169</v>
      </c>
      <c r="E931" s="219">
        <v>111312.0</v>
      </c>
      <c r="F931" s="220" t="s">
        <v>2187</v>
      </c>
      <c r="G931" s="221" t="s">
        <v>249</v>
      </c>
      <c r="H931" s="221" t="s">
        <v>2172</v>
      </c>
      <c r="I931" s="221" t="s">
        <v>2174</v>
      </c>
      <c r="J931" s="221" t="s">
        <v>2188</v>
      </c>
      <c r="K931" s="223">
        <v>1.0</v>
      </c>
      <c r="L931" s="223" t="b">
        <v>1</v>
      </c>
      <c r="M931" s="223" t="s">
        <v>2174</v>
      </c>
      <c r="N931" s="223">
        <v>76.15909</v>
      </c>
      <c r="O931" s="224"/>
      <c r="P931" s="225" t="s">
        <v>155</v>
      </c>
      <c r="Q931" s="225" t="s">
        <v>155</v>
      </c>
      <c r="R931" s="225" t="s">
        <v>155</v>
      </c>
      <c r="S931" s="225" t="s">
        <v>155</v>
      </c>
      <c r="T931" s="226"/>
      <c r="U931" s="227"/>
      <c r="V931" s="52" t="s">
        <v>250</v>
      </c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</row>
    <row r="932" ht="30.0" customHeight="1">
      <c r="A932" s="159"/>
      <c r="B932" s="218" t="s">
        <v>246</v>
      </c>
      <c r="C932" s="218" t="s">
        <v>2170</v>
      </c>
      <c r="D932" s="218" t="s">
        <v>2169</v>
      </c>
      <c r="E932" s="219">
        <v>111311.0</v>
      </c>
      <c r="F932" s="220" t="s">
        <v>2189</v>
      </c>
      <c r="G932" s="221" t="s">
        <v>249</v>
      </c>
      <c r="H932" s="221" t="s">
        <v>2172</v>
      </c>
      <c r="I932" s="221" t="s">
        <v>972</v>
      </c>
      <c r="J932" s="221" t="s">
        <v>2190</v>
      </c>
      <c r="K932" s="223">
        <v>1.0</v>
      </c>
      <c r="L932" s="223" t="b">
        <v>1</v>
      </c>
      <c r="M932" s="223" t="s">
        <v>2174</v>
      </c>
      <c r="N932" s="223">
        <v>77.648225</v>
      </c>
      <c r="O932" s="224"/>
      <c r="P932" s="225" t="s">
        <v>155</v>
      </c>
      <c r="Q932" s="225" t="s">
        <v>155</v>
      </c>
      <c r="R932" s="225" t="s">
        <v>155</v>
      </c>
      <c r="S932" s="225" t="s">
        <v>155</v>
      </c>
      <c r="T932" s="226"/>
      <c r="U932" s="227"/>
      <c r="V932" s="52" t="s">
        <v>250</v>
      </c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</row>
    <row r="933" ht="30.0" customHeight="1">
      <c r="A933" s="159"/>
      <c r="B933" s="218" t="s">
        <v>246</v>
      </c>
      <c r="C933" s="218" t="s">
        <v>2170</v>
      </c>
      <c r="D933" s="218" t="s">
        <v>2169</v>
      </c>
      <c r="E933" s="219">
        <v>15030.0</v>
      </c>
      <c r="F933" s="220" t="s">
        <v>2191</v>
      </c>
      <c r="G933" s="221" t="s">
        <v>249</v>
      </c>
      <c r="H933" s="221" t="s">
        <v>2192</v>
      </c>
      <c r="I933" s="221" t="s">
        <v>42</v>
      </c>
      <c r="J933" s="221" t="s">
        <v>819</v>
      </c>
      <c r="K933" s="223">
        <v>4.0</v>
      </c>
      <c r="L933" s="223" t="b">
        <v>1</v>
      </c>
      <c r="M933" s="228"/>
      <c r="N933" s="228"/>
      <c r="O933" s="224"/>
      <c r="P933" s="225" t="s">
        <v>155</v>
      </c>
      <c r="Q933" s="225" t="s">
        <v>155</v>
      </c>
      <c r="R933" s="225" t="s">
        <v>155</v>
      </c>
      <c r="S933" s="225" t="s">
        <v>155</v>
      </c>
      <c r="T933" s="226"/>
      <c r="U933" s="227"/>
      <c r="V933" s="52" t="s">
        <v>250</v>
      </c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</row>
    <row r="934" ht="30.0" customHeight="1">
      <c r="A934" s="159"/>
      <c r="B934" s="218" t="s">
        <v>246</v>
      </c>
      <c r="C934" s="218" t="s">
        <v>2170</v>
      </c>
      <c r="D934" s="218" t="s">
        <v>2169</v>
      </c>
      <c r="E934" s="219">
        <v>111063.0</v>
      </c>
      <c r="F934" s="220" t="s">
        <v>2193</v>
      </c>
      <c r="G934" s="221" t="s">
        <v>249</v>
      </c>
      <c r="H934" s="221" t="s">
        <v>2194</v>
      </c>
      <c r="I934" s="221" t="s">
        <v>646</v>
      </c>
      <c r="J934" s="221" t="s">
        <v>840</v>
      </c>
      <c r="K934" s="223">
        <v>1.0</v>
      </c>
      <c r="L934" s="223" t="b">
        <v>1</v>
      </c>
      <c r="M934" s="223" t="s">
        <v>646</v>
      </c>
      <c r="N934" s="223">
        <v>53.663173</v>
      </c>
      <c r="O934" s="224" t="s">
        <v>238</v>
      </c>
      <c r="P934" s="225" t="s">
        <v>155</v>
      </c>
      <c r="Q934" s="225" t="s">
        <v>155</v>
      </c>
      <c r="R934" s="225" t="s">
        <v>155</v>
      </c>
      <c r="S934" s="225" t="s">
        <v>155</v>
      </c>
      <c r="T934" s="226"/>
      <c r="U934" s="227"/>
      <c r="V934" s="52" t="s">
        <v>250</v>
      </c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</row>
    <row r="935" ht="30.0" customHeight="1">
      <c r="A935" s="159"/>
      <c r="B935" s="218" t="s">
        <v>246</v>
      </c>
      <c r="C935" s="218" t="s">
        <v>2170</v>
      </c>
      <c r="D935" s="218" t="s">
        <v>2169</v>
      </c>
      <c r="E935" s="219">
        <v>111064.0</v>
      </c>
      <c r="F935" s="220" t="s">
        <v>2195</v>
      </c>
      <c r="G935" s="221" t="s">
        <v>249</v>
      </c>
      <c r="H935" s="221" t="s">
        <v>2194</v>
      </c>
      <c r="I935" s="221" t="s">
        <v>646</v>
      </c>
      <c r="J935" s="221" t="s">
        <v>2196</v>
      </c>
      <c r="K935" s="223">
        <v>1.0</v>
      </c>
      <c r="L935" s="223" t="b">
        <v>1</v>
      </c>
      <c r="M935" s="223" t="s">
        <v>646</v>
      </c>
      <c r="N935" s="223">
        <v>61.643615</v>
      </c>
      <c r="O935" s="224" t="s">
        <v>238</v>
      </c>
      <c r="P935" s="225" t="s">
        <v>155</v>
      </c>
      <c r="Q935" s="225" t="s">
        <v>155</v>
      </c>
      <c r="R935" s="225" t="s">
        <v>155</v>
      </c>
      <c r="S935" s="225" t="s">
        <v>155</v>
      </c>
      <c r="T935" s="226"/>
      <c r="U935" s="227"/>
      <c r="V935" s="52" t="s">
        <v>250</v>
      </c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</row>
    <row r="936" ht="30.0" customHeight="1">
      <c r="A936" s="159"/>
      <c r="B936" s="218" t="s">
        <v>246</v>
      </c>
      <c r="C936" s="218" t="s">
        <v>2170</v>
      </c>
      <c r="D936" s="218" t="s">
        <v>2169</v>
      </c>
      <c r="E936" s="219">
        <v>111060.0</v>
      </c>
      <c r="F936" s="220" t="s">
        <v>2197</v>
      </c>
      <c r="G936" s="221" t="s">
        <v>249</v>
      </c>
      <c r="H936" s="221" t="s">
        <v>2194</v>
      </c>
      <c r="I936" s="221" t="s">
        <v>646</v>
      </c>
      <c r="J936" s="221" t="s">
        <v>2184</v>
      </c>
      <c r="K936" s="223">
        <v>1.0</v>
      </c>
      <c r="L936" s="223" t="b">
        <v>1</v>
      </c>
      <c r="M936" s="223" t="s">
        <v>646</v>
      </c>
      <c r="N936" s="223">
        <v>52.804314</v>
      </c>
      <c r="O936" s="224" t="s">
        <v>238</v>
      </c>
      <c r="P936" s="225" t="s">
        <v>155</v>
      </c>
      <c r="Q936" s="225" t="s">
        <v>155</v>
      </c>
      <c r="R936" s="225" t="s">
        <v>155</v>
      </c>
      <c r="S936" s="225" t="s">
        <v>155</v>
      </c>
      <c r="T936" s="226"/>
      <c r="U936" s="227"/>
      <c r="V936" s="52" t="s">
        <v>250</v>
      </c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</row>
    <row r="937" ht="30.0" customHeight="1">
      <c r="A937" s="159"/>
      <c r="B937" s="218" t="s">
        <v>246</v>
      </c>
      <c r="C937" s="218" t="s">
        <v>2170</v>
      </c>
      <c r="D937" s="218" t="s">
        <v>2169</v>
      </c>
      <c r="E937" s="219">
        <v>111061.0</v>
      </c>
      <c r="F937" s="220" t="s">
        <v>2198</v>
      </c>
      <c r="G937" s="221" t="s">
        <v>249</v>
      </c>
      <c r="H937" s="221" t="s">
        <v>2194</v>
      </c>
      <c r="I937" s="221" t="s">
        <v>646</v>
      </c>
      <c r="J937" s="221" t="s">
        <v>2199</v>
      </c>
      <c r="K937" s="223">
        <v>1.0</v>
      </c>
      <c r="L937" s="223" t="b">
        <v>1</v>
      </c>
      <c r="M937" s="223" t="s">
        <v>646</v>
      </c>
      <c r="N937" s="223">
        <v>53.782228</v>
      </c>
      <c r="O937" s="224" t="s">
        <v>238</v>
      </c>
      <c r="P937" s="225" t="s">
        <v>155</v>
      </c>
      <c r="Q937" s="225" t="s">
        <v>155</v>
      </c>
      <c r="R937" s="225" t="s">
        <v>155</v>
      </c>
      <c r="S937" s="225" t="s">
        <v>155</v>
      </c>
      <c r="T937" s="226"/>
      <c r="U937" s="227"/>
      <c r="V937" s="52" t="s">
        <v>250</v>
      </c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</row>
    <row r="938" ht="30.0" customHeight="1">
      <c r="A938" s="159"/>
      <c r="B938" s="218" t="s">
        <v>246</v>
      </c>
      <c r="C938" s="218" t="s">
        <v>2170</v>
      </c>
      <c r="D938" s="218" t="s">
        <v>2169</v>
      </c>
      <c r="E938" s="219">
        <v>111062.0</v>
      </c>
      <c r="F938" s="220" t="s">
        <v>2200</v>
      </c>
      <c r="G938" s="221" t="s">
        <v>249</v>
      </c>
      <c r="H938" s="221" t="s">
        <v>2194</v>
      </c>
      <c r="I938" s="221" t="s">
        <v>646</v>
      </c>
      <c r="J938" s="221" t="s">
        <v>2201</v>
      </c>
      <c r="K938" s="223">
        <v>1.0</v>
      </c>
      <c r="L938" s="223" t="b">
        <v>1</v>
      </c>
      <c r="M938" s="223" t="s">
        <v>646</v>
      </c>
      <c r="N938" s="223">
        <v>51.84885</v>
      </c>
      <c r="O938" s="224" t="s">
        <v>238</v>
      </c>
      <c r="P938" s="225" t="s">
        <v>155</v>
      </c>
      <c r="Q938" s="225" t="s">
        <v>155</v>
      </c>
      <c r="R938" s="225" t="s">
        <v>155</v>
      </c>
      <c r="S938" s="225" t="s">
        <v>155</v>
      </c>
      <c r="T938" s="226"/>
      <c r="U938" s="227"/>
      <c r="V938" s="52" t="s">
        <v>250</v>
      </c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</row>
    <row r="939" ht="30.0" customHeight="1">
      <c r="A939" s="159"/>
      <c r="B939" s="218" t="s">
        <v>246</v>
      </c>
      <c r="C939" s="218" t="s">
        <v>2170</v>
      </c>
      <c r="D939" s="218" t="s">
        <v>2169</v>
      </c>
      <c r="E939" s="219">
        <v>111675.0</v>
      </c>
      <c r="F939" s="220" t="s">
        <v>2202</v>
      </c>
      <c r="G939" s="221" t="s">
        <v>249</v>
      </c>
      <c r="H939" s="221" t="s">
        <v>2194</v>
      </c>
      <c r="I939" s="221" t="s">
        <v>2203</v>
      </c>
      <c r="J939" s="221" t="s">
        <v>2204</v>
      </c>
      <c r="K939" s="223">
        <v>1.0</v>
      </c>
      <c r="L939" s="223" t="b">
        <v>1</v>
      </c>
      <c r="M939" s="223" t="s">
        <v>42</v>
      </c>
      <c r="N939" s="223">
        <v>3.361666</v>
      </c>
      <c r="O939" s="224"/>
      <c r="P939" s="225" t="s">
        <v>155</v>
      </c>
      <c r="Q939" s="225" t="s">
        <v>155</v>
      </c>
      <c r="R939" s="225" t="s">
        <v>155</v>
      </c>
      <c r="S939" s="225" t="s">
        <v>155</v>
      </c>
      <c r="T939" s="226"/>
      <c r="U939" s="227"/>
      <c r="V939" s="52" t="s">
        <v>250</v>
      </c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</row>
    <row r="940" ht="30.0" customHeight="1">
      <c r="A940" s="159"/>
      <c r="B940" s="218" t="s">
        <v>246</v>
      </c>
      <c r="C940" s="218" t="s">
        <v>2170</v>
      </c>
      <c r="D940" s="218" t="s">
        <v>2169</v>
      </c>
      <c r="E940" s="219">
        <v>111676.0</v>
      </c>
      <c r="F940" s="220" t="s">
        <v>2205</v>
      </c>
      <c r="G940" s="221" t="s">
        <v>249</v>
      </c>
      <c r="H940" s="221" t="s">
        <v>2194</v>
      </c>
      <c r="I940" s="221" t="s">
        <v>2203</v>
      </c>
      <c r="J940" s="222" t="s">
        <v>250</v>
      </c>
      <c r="K940" s="223">
        <v>0.0</v>
      </c>
      <c r="L940" s="223" t="b">
        <v>0</v>
      </c>
      <c r="M940" s="223" t="s">
        <v>42</v>
      </c>
      <c r="N940" s="223">
        <v>3.3592</v>
      </c>
      <c r="O940" s="224"/>
      <c r="P940" s="225" t="s">
        <v>155</v>
      </c>
      <c r="Q940" s="225" t="s">
        <v>155</v>
      </c>
      <c r="R940" s="225" t="s">
        <v>155</v>
      </c>
      <c r="S940" s="225" t="s">
        <v>155</v>
      </c>
      <c r="T940" s="226"/>
      <c r="U940" s="227"/>
      <c r="V940" s="52" t="s">
        <v>250</v>
      </c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</row>
    <row r="941" ht="30.0" customHeight="1">
      <c r="A941" s="159"/>
      <c r="B941" s="218" t="s">
        <v>246</v>
      </c>
      <c r="C941" s="218" t="s">
        <v>2170</v>
      </c>
      <c r="D941" s="218" t="s">
        <v>2169</v>
      </c>
      <c r="E941" s="219">
        <v>15029.0</v>
      </c>
      <c r="F941" s="220" t="s">
        <v>2206</v>
      </c>
      <c r="G941" s="221" t="s">
        <v>249</v>
      </c>
      <c r="H941" s="221" t="s">
        <v>2207</v>
      </c>
      <c r="I941" s="221" t="s">
        <v>2208</v>
      </c>
      <c r="J941" s="221" t="s">
        <v>1864</v>
      </c>
      <c r="K941" s="223">
        <v>2.0</v>
      </c>
      <c r="L941" s="223" t="b">
        <v>1</v>
      </c>
      <c r="M941" s="223" t="s">
        <v>2208</v>
      </c>
      <c r="N941" s="223">
        <v>45.421708</v>
      </c>
      <c r="O941" s="224" t="s">
        <v>238</v>
      </c>
      <c r="P941" s="225" t="s">
        <v>155</v>
      </c>
      <c r="Q941" s="225" t="s">
        <v>155</v>
      </c>
      <c r="R941" s="225" t="s">
        <v>155</v>
      </c>
      <c r="S941" s="225" t="s">
        <v>155</v>
      </c>
      <c r="T941" s="226"/>
      <c r="U941" s="227"/>
      <c r="V941" s="109" t="s">
        <v>2209</v>
      </c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</row>
    <row r="942" ht="30.0" customHeight="1">
      <c r="A942" s="159"/>
      <c r="B942" s="218" t="s">
        <v>246</v>
      </c>
      <c r="C942" s="218" t="s">
        <v>2170</v>
      </c>
      <c r="D942" s="218" t="s">
        <v>2169</v>
      </c>
      <c r="E942" s="219">
        <v>100466.0</v>
      </c>
      <c r="F942" s="220" t="s">
        <v>2210</v>
      </c>
      <c r="G942" s="221" t="s">
        <v>249</v>
      </c>
      <c r="H942" s="222" t="s">
        <v>250</v>
      </c>
      <c r="I942" s="221" t="s">
        <v>2211</v>
      </c>
      <c r="J942" s="221" t="s">
        <v>1220</v>
      </c>
      <c r="K942" s="223">
        <v>3.0</v>
      </c>
      <c r="L942" s="223" t="b">
        <v>1</v>
      </c>
      <c r="M942" s="223" t="s">
        <v>2211</v>
      </c>
      <c r="N942" s="223">
        <v>132.37279</v>
      </c>
      <c r="O942" s="224" t="s">
        <v>238</v>
      </c>
      <c r="P942" s="225" t="s">
        <v>155</v>
      </c>
      <c r="Q942" s="225" t="s">
        <v>155</v>
      </c>
      <c r="R942" s="225" t="s">
        <v>155</v>
      </c>
      <c r="S942" s="225" t="s">
        <v>155</v>
      </c>
      <c r="T942" s="226"/>
      <c r="U942" s="227"/>
      <c r="V942" s="52" t="s">
        <v>250</v>
      </c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</row>
    <row r="943" ht="30.0" customHeight="1">
      <c r="A943" s="159"/>
      <c r="B943" s="218" t="s">
        <v>246</v>
      </c>
      <c r="C943" s="218" t="s">
        <v>2170</v>
      </c>
      <c r="D943" s="218" t="s">
        <v>2169</v>
      </c>
      <c r="E943" s="219">
        <v>15239.0</v>
      </c>
      <c r="F943" s="220" t="s">
        <v>2212</v>
      </c>
      <c r="G943" s="221" t="s">
        <v>249</v>
      </c>
      <c r="H943" s="222" t="s">
        <v>250</v>
      </c>
      <c r="I943" s="221" t="s">
        <v>2213</v>
      </c>
      <c r="J943" s="221" t="s">
        <v>1379</v>
      </c>
      <c r="K943" s="223">
        <v>4.0</v>
      </c>
      <c r="L943" s="223" t="b">
        <v>0</v>
      </c>
      <c r="M943" s="228"/>
      <c r="N943" s="228"/>
      <c r="O943" s="224"/>
      <c r="P943" s="225" t="s">
        <v>155</v>
      </c>
      <c r="Q943" s="230"/>
      <c r="R943" s="230"/>
      <c r="S943" s="230"/>
      <c r="T943" s="229" t="s">
        <v>470</v>
      </c>
      <c r="U943" s="227"/>
      <c r="V943" s="109" t="s">
        <v>2214</v>
      </c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</row>
    <row r="944" ht="30.0" customHeight="1">
      <c r="A944" s="159"/>
      <c r="B944" s="218" t="s">
        <v>246</v>
      </c>
      <c r="C944" s="218" t="s">
        <v>2170</v>
      </c>
      <c r="D944" s="218" t="s">
        <v>2169</v>
      </c>
      <c r="E944" s="219">
        <v>149548.0</v>
      </c>
      <c r="F944" s="220" t="s">
        <v>2215</v>
      </c>
      <c r="G944" s="221" t="s">
        <v>249</v>
      </c>
      <c r="H944" s="221" t="s">
        <v>2216</v>
      </c>
      <c r="I944" s="221" t="s">
        <v>42</v>
      </c>
      <c r="J944" s="222" t="s">
        <v>250</v>
      </c>
      <c r="K944" s="223">
        <v>4.0</v>
      </c>
      <c r="L944" s="223" t="b">
        <v>0</v>
      </c>
      <c r="M944" s="228"/>
      <c r="N944" s="228"/>
      <c r="O944" s="224"/>
      <c r="P944" s="225" t="s">
        <v>155</v>
      </c>
      <c r="Q944" s="225" t="s">
        <v>155</v>
      </c>
      <c r="R944" s="225" t="s">
        <v>155</v>
      </c>
      <c r="S944" s="225" t="s">
        <v>155</v>
      </c>
      <c r="T944" s="229" t="s">
        <v>1975</v>
      </c>
      <c r="U944" s="227"/>
      <c r="V944" s="52" t="s">
        <v>250</v>
      </c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</row>
    <row r="945" ht="30.0" customHeight="1">
      <c r="A945" s="159"/>
      <c r="B945" s="218" t="s">
        <v>246</v>
      </c>
      <c r="C945" s="218" t="s">
        <v>2170</v>
      </c>
      <c r="D945" s="218" t="s">
        <v>2217</v>
      </c>
      <c r="E945" s="219">
        <v>18640.0</v>
      </c>
      <c r="F945" s="220" t="s">
        <v>2218</v>
      </c>
      <c r="G945" s="221" t="s">
        <v>249</v>
      </c>
      <c r="H945" s="221" t="s">
        <v>2219</v>
      </c>
      <c r="I945" s="221" t="s">
        <v>972</v>
      </c>
      <c r="J945" s="221" t="s">
        <v>819</v>
      </c>
      <c r="K945" s="223">
        <v>2.0</v>
      </c>
      <c r="L945" s="223" t="b">
        <v>0</v>
      </c>
      <c r="M945" s="223" t="s">
        <v>972</v>
      </c>
      <c r="N945" s="223">
        <v>0.335566</v>
      </c>
      <c r="O945" s="224"/>
      <c r="P945" s="225" t="s">
        <v>155</v>
      </c>
      <c r="Q945" s="225" t="s">
        <v>155</v>
      </c>
      <c r="R945" s="225" t="s">
        <v>155</v>
      </c>
      <c r="S945" s="225" t="s">
        <v>155</v>
      </c>
      <c r="T945" s="226"/>
      <c r="U945" s="227"/>
      <c r="V945" s="52" t="s">
        <v>250</v>
      </c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</row>
    <row r="946" ht="30.0" customHeight="1">
      <c r="A946" s="159"/>
      <c r="B946" s="218" t="s">
        <v>246</v>
      </c>
      <c r="C946" s="218" t="s">
        <v>2170</v>
      </c>
      <c r="D946" s="218" t="s">
        <v>2217</v>
      </c>
      <c r="E946" s="219">
        <v>18641.0</v>
      </c>
      <c r="F946" s="220" t="s">
        <v>2220</v>
      </c>
      <c r="G946" s="221" t="s">
        <v>249</v>
      </c>
      <c r="H946" s="221" t="s">
        <v>2219</v>
      </c>
      <c r="I946" s="221" t="s">
        <v>972</v>
      </c>
      <c r="J946" s="221" t="s">
        <v>819</v>
      </c>
      <c r="K946" s="223">
        <v>4.0</v>
      </c>
      <c r="L946" s="223" t="b">
        <v>0</v>
      </c>
      <c r="M946" s="223" t="s">
        <v>972</v>
      </c>
      <c r="N946" s="223">
        <v>0.343673</v>
      </c>
      <c r="O946" s="224"/>
      <c r="P946" s="225" t="s">
        <v>155</v>
      </c>
      <c r="Q946" s="225" t="s">
        <v>155</v>
      </c>
      <c r="R946" s="225" t="s">
        <v>155</v>
      </c>
      <c r="S946" s="225" t="s">
        <v>155</v>
      </c>
      <c r="T946" s="226"/>
      <c r="U946" s="227"/>
      <c r="V946" s="52" t="s">
        <v>250</v>
      </c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</row>
    <row r="947" ht="30.0" customHeight="1">
      <c r="A947" s="159"/>
      <c r="B947" s="218" t="s">
        <v>246</v>
      </c>
      <c r="C947" s="218" t="s">
        <v>2170</v>
      </c>
      <c r="D947" s="218" t="s">
        <v>2217</v>
      </c>
      <c r="E947" s="219">
        <v>15910.0</v>
      </c>
      <c r="F947" s="220" t="s">
        <v>2221</v>
      </c>
      <c r="G947" s="221" t="s">
        <v>249</v>
      </c>
      <c r="H947" s="221" t="s">
        <v>2219</v>
      </c>
      <c r="I947" s="221" t="s">
        <v>972</v>
      </c>
      <c r="J947" s="221" t="s">
        <v>819</v>
      </c>
      <c r="K947" s="223">
        <v>4.0</v>
      </c>
      <c r="L947" s="223" t="b">
        <v>0</v>
      </c>
      <c r="M947" s="223" t="s">
        <v>972</v>
      </c>
      <c r="N947" s="223">
        <v>0.436772</v>
      </c>
      <c r="O947" s="224" t="s">
        <v>238</v>
      </c>
      <c r="P947" s="225" t="s">
        <v>155</v>
      </c>
      <c r="Q947" s="225" t="s">
        <v>155</v>
      </c>
      <c r="R947" s="225" t="s">
        <v>155</v>
      </c>
      <c r="S947" s="225" t="s">
        <v>155</v>
      </c>
      <c r="T947" s="226"/>
      <c r="U947" s="227"/>
      <c r="V947" s="109" t="s">
        <v>2222</v>
      </c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</row>
    <row r="948" ht="30.0" customHeight="1">
      <c r="A948" s="159"/>
      <c r="B948" s="218" t="s">
        <v>246</v>
      </c>
      <c r="C948" s="218" t="s">
        <v>2170</v>
      </c>
      <c r="D948" s="218" t="s">
        <v>2217</v>
      </c>
      <c r="E948" s="219">
        <v>109712.0</v>
      </c>
      <c r="F948" s="220" t="s">
        <v>2223</v>
      </c>
      <c r="G948" s="221" t="s">
        <v>249</v>
      </c>
      <c r="H948" s="221" t="s">
        <v>2224</v>
      </c>
      <c r="I948" s="221" t="s">
        <v>2225</v>
      </c>
      <c r="J948" s="221" t="s">
        <v>819</v>
      </c>
      <c r="K948" s="223">
        <v>2.0</v>
      </c>
      <c r="L948" s="223" t="b">
        <v>0</v>
      </c>
      <c r="M948" s="223" t="s">
        <v>2226</v>
      </c>
      <c r="N948" s="223">
        <v>6.309032</v>
      </c>
      <c r="O948" s="224"/>
      <c r="P948" s="225" t="s">
        <v>155</v>
      </c>
      <c r="Q948" s="225" t="s">
        <v>155</v>
      </c>
      <c r="R948" s="225" t="s">
        <v>155</v>
      </c>
      <c r="S948" s="225" t="s">
        <v>155</v>
      </c>
      <c r="T948" s="226"/>
      <c r="U948" s="227"/>
      <c r="V948" s="52" t="s">
        <v>250</v>
      </c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</row>
    <row r="949" ht="30.0" customHeight="1">
      <c r="A949" s="159"/>
      <c r="B949" s="218" t="s">
        <v>246</v>
      </c>
      <c r="C949" s="218" t="s">
        <v>2170</v>
      </c>
      <c r="D949" s="218" t="s">
        <v>2217</v>
      </c>
      <c r="E949" s="219">
        <v>15912.0</v>
      </c>
      <c r="F949" s="220" t="s">
        <v>2227</v>
      </c>
      <c r="G949" s="221" t="s">
        <v>249</v>
      </c>
      <c r="H949" s="222" t="s">
        <v>250</v>
      </c>
      <c r="I949" s="221" t="s">
        <v>289</v>
      </c>
      <c r="J949" s="221" t="s">
        <v>2228</v>
      </c>
      <c r="K949" s="223">
        <v>4.0</v>
      </c>
      <c r="L949" s="223" t="b">
        <v>0</v>
      </c>
      <c r="M949" s="228"/>
      <c r="N949" s="228"/>
      <c r="O949" s="224"/>
      <c r="P949" s="225" t="s">
        <v>155</v>
      </c>
      <c r="Q949" s="225" t="s">
        <v>155</v>
      </c>
      <c r="R949" s="225" t="s">
        <v>155</v>
      </c>
      <c r="S949" s="225" t="s">
        <v>155</v>
      </c>
      <c r="T949" s="226"/>
      <c r="U949" s="227"/>
      <c r="V949" s="52" t="s">
        <v>250</v>
      </c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</row>
    <row r="950" ht="30.0" customHeight="1">
      <c r="A950" s="159"/>
      <c r="B950" s="218" t="s">
        <v>246</v>
      </c>
      <c r="C950" s="218" t="s">
        <v>2170</v>
      </c>
      <c r="D950" s="218" t="s">
        <v>2217</v>
      </c>
      <c r="E950" s="219">
        <v>15913.0</v>
      </c>
      <c r="F950" s="220" t="s">
        <v>2229</v>
      </c>
      <c r="G950" s="221" t="s">
        <v>249</v>
      </c>
      <c r="H950" s="221" t="s">
        <v>2230</v>
      </c>
      <c r="I950" s="221" t="s">
        <v>289</v>
      </c>
      <c r="J950" s="221" t="s">
        <v>819</v>
      </c>
      <c r="K950" s="223">
        <v>4.0</v>
      </c>
      <c r="L950" s="223" t="b">
        <v>1</v>
      </c>
      <c r="M950" s="223" t="s">
        <v>289</v>
      </c>
      <c r="N950" s="223">
        <v>0.158954</v>
      </c>
      <c r="O950" s="224" t="s">
        <v>238</v>
      </c>
      <c r="P950" s="225" t="s">
        <v>155</v>
      </c>
      <c r="Q950" s="225" t="s">
        <v>155</v>
      </c>
      <c r="R950" s="225" t="s">
        <v>155</v>
      </c>
      <c r="S950" s="225" t="s">
        <v>155</v>
      </c>
      <c r="T950" s="226"/>
      <c r="U950" s="227"/>
      <c r="V950" s="52" t="s">
        <v>250</v>
      </c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</row>
    <row r="951" ht="30.0" customHeight="1">
      <c r="A951" s="159"/>
      <c r="B951" s="218" t="s">
        <v>246</v>
      </c>
      <c r="C951" s="218" t="s">
        <v>2170</v>
      </c>
      <c r="D951" s="218" t="s">
        <v>2217</v>
      </c>
      <c r="E951" s="219">
        <v>15911.0</v>
      </c>
      <c r="F951" s="220" t="s">
        <v>2231</v>
      </c>
      <c r="G951" s="221" t="s">
        <v>249</v>
      </c>
      <c r="H951" s="221" t="s">
        <v>2232</v>
      </c>
      <c r="I951" s="221" t="s">
        <v>2233</v>
      </c>
      <c r="J951" s="221" t="s">
        <v>994</v>
      </c>
      <c r="K951" s="223">
        <v>4.0</v>
      </c>
      <c r="L951" s="223" t="b">
        <v>0</v>
      </c>
      <c r="M951" s="223" t="s">
        <v>2233</v>
      </c>
      <c r="N951" s="223">
        <v>29.858082</v>
      </c>
      <c r="O951" s="224"/>
      <c r="P951" s="225" t="s">
        <v>155</v>
      </c>
      <c r="Q951" s="225" t="s">
        <v>155</v>
      </c>
      <c r="R951" s="225" t="s">
        <v>155</v>
      </c>
      <c r="S951" s="225" t="s">
        <v>155</v>
      </c>
      <c r="T951" s="226"/>
      <c r="U951" s="227"/>
      <c r="V951" s="52" t="s">
        <v>250</v>
      </c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</row>
    <row r="952" ht="30.0" customHeight="1">
      <c r="A952" s="159"/>
      <c r="B952" s="218" t="s">
        <v>246</v>
      </c>
      <c r="C952" s="218" t="s">
        <v>2170</v>
      </c>
      <c r="D952" s="218" t="s">
        <v>2217</v>
      </c>
      <c r="E952" s="17">
        <v>20916.0</v>
      </c>
      <c r="F952" s="127" t="s">
        <v>2234</v>
      </c>
      <c r="G952" s="221" t="s">
        <v>249</v>
      </c>
      <c r="H952" s="221" t="s">
        <v>2235</v>
      </c>
      <c r="I952" s="221" t="s">
        <v>972</v>
      </c>
      <c r="J952" s="221" t="s">
        <v>1864</v>
      </c>
      <c r="K952" s="223">
        <v>4.0</v>
      </c>
      <c r="L952" s="223" t="b">
        <v>1</v>
      </c>
      <c r="M952" s="223" t="s">
        <v>972</v>
      </c>
      <c r="N952" s="223">
        <v>0.862881</v>
      </c>
      <c r="O952" s="224"/>
      <c r="P952" s="225" t="s">
        <v>155</v>
      </c>
      <c r="Q952" s="225" t="s">
        <v>155</v>
      </c>
      <c r="R952" s="225" t="s">
        <v>155</v>
      </c>
      <c r="S952" s="225" t="s">
        <v>155</v>
      </c>
      <c r="T952" s="229" t="s">
        <v>720</v>
      </c>
      <c r="U952" s="227"/>
      <c r="V952" s="52" t="s">
        <v>250</v>
      </c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</row>
    <row r="953" ht="30.0" customHeight="1">
      <c r="A953" s="159"/>
      <c r="B953" s="218" t="s">
        <v>246</v>
      </c>
      <c r="C953" s="218" t="s">
        <v>2170</v>
      </c>
      <c r="D953" s="218" t="s">
        <v>2217</v>
      </c>
      <c r="E953" s="219">
        <v>111690.0</v>
      </c>
      <c r="F953" s="220" t="s">
        <v>2236</v>
      </c>
      <c r="G953" s="221" t="s">
        <v>249</v>
      </c>
      <c r="H953" s="221" t="s">
        <v>2237</v>
      </c>
      <c r="I953" s="221" t="s">
        <v>2238</v>
      </c>
      <c r="J953" s="222" t="s">
        <v>250</v>
      </c>
      <c r="K953" s="223">
        <v>2.0</v>
      </c>
      <c r="L953" s="223" t="b">
        <v>1</v>
      </c>
      <c r="M953" s="223" t="s">
        <v>2238</v>
      </c>
      <c r="N953" s="223">
        <v>18.679649</v>
      </c>
      <c r="O953" s="224"/>
      <c r="P953" s="225" t="s">
        <v>155</v>
      </c>
      <c r="Q953" s="225" t="s">
        <v>155</v>
      </c>
      <c r="R953" s="225" t="s">
        <v>155</v>
      </c>
      <c r="S953" s="225" t="s">
        <v>155</v>
      </c>
      <c r="T953" s="226"/>
      <c r="U953" s="227"/>
      <c r="V953" s="52" t="s">
        <v>250</v>
      </c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</row>
    <row r="954" ht="30.0" customHeight="1">
      <c r="A954" s="159"/>
      <c r="B954" s="218" t="s">
        <v>246</v>
      </c>
      <c r="C954" s="218" t="s">
        <v>2170</v>
      </c>
      <c r="D954" s="218" t="s">
        <v>2217</v>
      </c>
      <c r="E954" s="219">
        <v>15194.0</v>
      </c>
      <c r="F954" s="220" t="s">
        <v>2239</v>
      </c>
      <c r="G954" s="221" t="s">
        <v>249</v>
      </c>
      <c r="H954" s="221" t="s">
        <v>2237</v>
      </c>
      <c r="I954" s="221" t="s">
        <v>289</v>
      </c>
      <c r="J954" s="221" t="s">
        <v>356</v>
      </c>
      <c r="K954" s="223">
        <v>4.0</v>
      </c>
      <c r="L954" s="223" t="b">
        <v>1</v>
      </c>
      <c r="M954" s="223" t="s">
        <v>289</v>
      </c>
      <c r="N954" s="223">
        <v>0.239606</v>
      </c>
      <c r="O954" s="224" t="s">
        <v>238</v>
      </c>
      <c r="P954" s="225" t="s">
        <v>155</v>
      </c>
      <c r="Q954" s="225" t="s">
        <v>155</v>
      </c>
      <c r="R954" s="225" t="s">
        <v>155</v>
      </c>
      <c r="S954" s="225" t="s">
        <v>155</v>
      </c>
      <c r="T954" s="226"/>
      <c r="U954" s="227"/>
      <c r="V954" s="109" t="s">
        <v>2240</v>
      </c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</row>
    <row r="955" ht="30.0" customHeight="1">
      <c r="A955" s="209"/>
      <c r="B955" s="210" t="s">
        <v>2241</v>
      </c>
      <c r="C955" s="211"/>
      <c r="D955" s="211"/>
      <c r="E955" s="212"/>
      <c r="F955" s="213"/>
      <c r="G955" s="213"/>
      <c r="H955" s="213"/>
      <c r="I955" s="212"/>
      <c r="J955" s="212"/>
      <c r="K955" s="214"/>
      <c r="L955" s="214"/>
      <c r="M955" s="214"/>
      <c r="N955" s="214"/>
      <c r="O955" s="215"/>
      <c r="P955" s="216"/>
      <c r="Q955" s="216"/>
      <c r="R955" s="216"/>
      <c r="S955" s="216"/>
      <c r="T955" s="217"/>
      <c r="U955" s="217"/>
      <c r="V955" s="217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</row>
    <row r="956" ht="30.0" customHeight="1">
      <c r="A956" s="159"/>
      <c r="B956" s="218" t="s">
        <v>246</v>
      </c>
      <c r="C956" s="218" t="s">
        <v>2241</v>
      </c>
      <c r="D956" s="218" t="s">
        <v>2242</v>
      </c>
      <c r="E956" s="219">
        <v>15333.0</v>
      </c>
      <c r="F956" s="220" t="s">
        <v>2243</v>
      </c>
      <c r="G956" s="221" t="s">
        <v>369</v>
      </c>
      <c r="H956" s="222" t="s">
        <v>250</v>
      </c>
      <c r="I956" s="221" t="s">
        <v>42</v>
      </c>
      <c r="J956" s="222" t="s">
        <v>250</v>
      </c>
      <c r="K956" s="223">
        <v>4.0</v>
      </c>
      <c r="L956" s="223" t="b">
        <v>0</v>
      </c>
      <c r="M956" s="223" t="s">
        <v>42</v>
      </c>
      <c r="N956" s="223">
        <v>7.702697</v>
      </c>
      <c r="O956" s="224"/>
      <c r="P956" s="225" t="s">
        <v>155</v>
      </c>
      <c r="Q956" s="225" t="s">
        <v>155</v>
      </c>
      <c r="R956" s="225" t="s">
        <v>155</v>
      </c>
      <c r="S956" s="225" t="s">
        <v>155</v>
      </c>
      <c r="T956" s="229" t="s">
        <v>554</v>
      </c>
      <c r="U956" s="227"/>
      <c r="V956" s="52" t="s">
        <v>250</v>
      </c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</row>
    <row r="957" ht="30.0" customHeight="1">
      <c r="A957" s="159"/>
      <c r="B957" s="218" t="s">
        <v>246</v>
      </c>
      <c r="C957" s="218" t="s">
        <v>2241</v>
      </c>
      <c r="D957" s="218" t="s">
        <v>2242</v>
      </c>
      <c r="E957" s="219">
        <v>15335.0</v>
      </c>
      <c r="F957" s="220" t="s">
        <v>2244</v>
      </c>
      <c r="G957" s="221" t="s">
        <v>369</v>
      </c>
      <c r="H957" s="222" t="s">
        <v>250</v>
      </c>
      <c r="I957" s="221" t="s">
        <v>42</v>
      </c>
      <c r="J957" s="222" t="s">
        <v>250</v>
      </c>
      <c r="K957" s="223">
        <v>4.0</v>
      </c>
      <c r="L957" s="223" t="b">
        <v>0</v>
      </c>
      <c r="M957" s="223" t="s">
        <v>42</v>
      </c>
      <c r="N957" s="223">
        <v>6.638102</v>
      </c>
      <c r="O957" s="224"/>
      <c r="P957" s="225" t="s">
        <v>155</v>
      </c>
      <c r="Q957" s="225" t="s">
        <v>155</v>
      </c>
      <c r="R957" s="225" t="s">
        <v>155</v>
      </c>
      <c r="S957" s="225" t="s">
        <v>155</v>
      </c>
      <c r="T957" s="229" t="s">
        <v>554</v>
      </c>
      <c r="U957" s="227"/>
      <c r="V957" s="52" t="s">
        <v>250</v>
      </c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</row>
    <row r="958" ht="30.0" customHeight="1">
      <c r="A958" s="159"/>
      <c r="B958" s="218" t="s">
        <v>246</v>
      </c>
      <c r="C958" s="218" t="s">
        <v>2241</v>
      </c>
      <c r="D958" s="218" t="s">
        <v>2242</v>
      </c>
      <c r="E958" s="219">
        <v>15381.0</v>
      </c>
      <c r="F958" s="220" t="s">
        <v>2245</v>
      </c>
      <c r="G958" s="221" t="s">
        <v>369</v>
      </c>
      <c r="H958" s="222" t="s">
        <v>250</v>
      </c>
      <c r="I958" s="221" t="s">
        <v>42</v>
      </c>
      <c r="J958" s="222" t="s">
        <v>250</v>
      </c>
      <c r="K958" s="223">
        <v>3.0</v>
      </c>
      <c r="L958" s="223" t="b">
        <v>0</v>
      </c>
      <c r="M958" s="223" t="s">
        <v>42</v>
      </c>
      <c r="N958" s="223">
        <v>4.2644</v>
      </c>
      <c r="O958" s="224"/>
      <c r="P958" s="225" t="s">
        <v>155</v>
      </c>
      <c r="Q958" s="225" t="s">
        <v>155</v>
      </c>
      <c r="R958" s="225" t="s">
        <v>155</v>
      </c>
      <c r="S958" s="225" t="s">
        <v>155</v>
      </c>
      <c r="T958" s="226"/>
      <c r="U958" s="227"/>
      <c r="V958" s="52" t="s">
        <v>250</v>
      </c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</row>
    <row r="959" ht="30.0" customHeight="1">
      <c r="A959" s="159"/>
      <c r="B959" s="218" t="s">
        <v>246</v>
      </c>
      <c r="C959" s="218" t="s">
        <v>2241</v>
      </c>
      <c r="D959" s="218" t="s">
        <v>2242</v>
      </c>
      <c r="E959" s="219">
        <v>15308.0</v>
      </c>
      <c r="F959" s="220" t="s">
        <v>2246</v>
      </c>
      <c r="G959" s="221" t="s">
        <v>369</v>
      </c>
      <c r="H959" s="222" t="s">
        <v>250</v>
      </c>
      <c r="I959" s="221" t="s">
        <v>42</v>
      </c>
      <c r="J959" s="222" t="s">
        <v>250</v>
      </c>
      <c r="K959" s="223">
        <v>1.0</v>
      </c>
      <c r="L959" s="223" t="b">
        <v>0</v>
      </c>
      <c r="M959" s="223" t="s">
        <v>42</v>
      </c>
      <c r="N959" s="223">
        <v>4.632531</v>
      </c>
      <c r="O959" s="224"/>
      <c r="P959" s="225" t="s">
        <v>155</v>
      </c>
      <c r="Q959" s="225" t="s">
        <v>155</v>
      </c>
      <c r="R959" s="225" t="s">
        <v>155</v>
      </c>
      <c r="S959" s="225" t="s">
        <v>155</v>
      </c>
      <c r="T959" s="226"/>
      <c r="U959" s="227"/>
      <c r="V959" s="52" t="s">
        <v>250</v>
      </c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</row>
    <row r="960" ht="30.0" customHeight="1">
      <c r="A960" s="159"/>
      <c r="B960" s="218" t="s">
        <v>246</v>
      </c>
      <c r="C960" s="218" t="s">
        <v>2241</v>
      </c>
      <c r="D960" s="218" t="s">
        <v>2242</v>
      </c>
      <c r="E960" s="219">
        <v>15318.0</v>
      </c>
      <c r="F960" s="220" t="s">
        <v>2247</v>
      </c>
      <c r="G960" s="221" t="s">
        <v>369</v>
      </c>
      <c r="H960" s="222" t="s">
        <v>250</v>
      </c>
      <c r="I960" s="221" t="s">
        <v>42</v>
      </c>
      <c r="J960" s="222" t="s">
        <v>250</v>
      </c>
      <c r="K960" s="223">
        <v>3.0</v>
      </c>
      <c r="L960" s="223" t="b">
        <v>0</v>
      </c>
      <c r="M960" s="228"/>
      <c r="N960" s="228"/>
      <c r="O960" s="224"/>
      <c r="P960" s="225" t="s">
        <v>155</v>
      </c>
      <c r="Q960" s="225" t="s">
        <v>155</v>
      </c>
      <c r="R960" s="225" t="s">
        <v>155</v>
      </c>
      <c r="S960" s="225" t="s">
        <v>155</v>
      </c>
      <c r="T960" s="226"/>
      <c r="U960" s="227"/>
      <c r="V960" s="52" t="s">
        <v>250</v>
      </c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</row>
    <row r="961" ht="30.0" customHeight="1">
      <c r="A961" s="159"/>
      <c r="B961" s="218" t="s">
        <v>246</v>
      </c>
      <c r="C961" s="218" t="s">
        <v>2241</v>
      </c>
      <c r="D961" s="218" t="s">
        <v>2242</v>
      </c>
      <c r="E961" s="219">
        <v>15319.0</v>
      </c>
      <c r="F961" s="220" t="s">
        <v>2248</v>
      </c>
      <c r="G961" s="221" t="s">
        <v>369</v>
      </c>
      <c r="H961" s="222" t="s">
        <v>250</v>
      </c>
      <c r="I961" s="221" t="s">
        <v>42</v>
      </c>
      <c r="J961" s="222" t="s">
        <v>250</v>
      </c>
      <c r="K961" s="223">
        <v>4.0</v>
      </c>
      <c r="L961" s="223" t="b">
        <v>0</v>
      </c>
      <c r="M961" s="228"/>
      <c r="N961" s="228"/>
      <c r="O961" s="224"/>
      <c r="P961" s="225" t="s">
        <v>155</v>
      </c>
      <c r="Q961" s="225" t="s">
        <v>155</v>
      </c>
      <c r="R961" s="225" t="s">
        <v>155</v>
      </c>
      <c r="S961" s="225" t="s">
        <v>155</v>
      </c>
      <c r="T961" s="226"/>
      <c r="U961" s="227"/>
      <c r="V961" s="52" t="s">
        <v>250</v>
      </c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</row>
    <row r="962" ht="30.0" customHeight="1">
      <c r="A962" s="159"/>
      <c r="B962" s="218" t="s">
        <v>246</v>
      </c>
      <c r="C962" s="218" t="s">
        <v>2241</v>
      </c>
      <c r="D962" s="218" t="s">
        <v>2242</v>
      </c>
      <c r="E962" s="219">
        <v>15334.0</v>
      </c>
      <c r="F962" s="220" t="s">
        <v>2249</v>
      </c>
      <c r="G962" s="221" t="s">
        <v>369</v>
      </c>
      <c r="H962" s="222" t="s">
        <v>250</v>
      </c>
      <c r="I962" s="221" t="s">
        <v>42</v>
      </c>
      <c r="J962" s="222" t="s">
        <v>250</v>
      </c>
      <c r="K962" s="223">
        <v>3.0</v>
      </c>
      <c r="L962" s="223" t="b">
        <v>0</v>
      </c>
      <c r="M962" s="223" t="s">
        <v>42</v>
      </c>
      <c r="N962" s="223">
        <v>7.717237</v>
      </c>
      <c r="O962" s="224"/>
      <c r="P962" s="225" t="s">
        <v>155</v>
      </c>
      <c r="Q962" s="225" t="s">
        <v>155</v>
      </c>
      <c r="R962" s="225" t="s">
        <v>155</v>
      </c>
      <c r="S962" s="225" t="s">
        <v>155</v>
      </c>
      <c r="T962" s="229" t="s">
        <v>554</v>
      </c>
      <c r="U962" s="227"/>
      <c r="V962" s="52" t="s">
        <v>250</v>
      </c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</row>
    <row r="963" ht="30.0" customHeight="1">
      <c r="A963" s="159"/>
      <c r="B963" s="218" t="s">
        <v>246</v>
      </c>
      <c r="C963" s="218" t="s">
        <v>2241</v>
      </c>
      <c r="D963" s="218" t="s">
        <v>2242</v>
      </c>
      <c r="E963" s="219">
        <v>15323.0</v>
      </c>
      <c r="F963" s="220" t="s">
        <v>2250</v>
      </c>
      <c r="G963" s="221" t="s">
        <v>369</v>
      </c>
      <c r="H963" s="222" t="s">
        <v>250</v>
      </c>
      <c r="I963" s="221" t="s">
        <v>42</v>
      </c>
      <c r="J963" s="222" t="s">
        <v>250</v>
      </c>
      <c r="K963" s="223">
        <v>4.0</v>
      </c>
      <c r="L963" s="223" t="b">
        <v>0</v>
      </c>
      <c r="M963" s="223" t="s">
        <v>42</v>
      </c>
      <c r="N963" s="223">
        <v>4.696753</v>
      </c>
      <c r="O963" s="224"/>
      <c r="P963" s="225" t="s">
        <v>155</v>
      </c>
      <c r="Q963" s="225" t="s">
        <v>155</v>
      </c>
      <c r="R963" s="225" t="s">
        <v>155</v>
      </c>
      <c r="S963" s="225" t="s">
        <v>155</v>
      </c>
      <c r="T963" s="229" t="s">
        <v>2251</v>
      </c>
      <c r="U963" s="227"/>
      <c r="V963" s="52" t="s">
        <v>250</v>
      </c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</row>
    <row r="964" ht="30.0" customHeight="1">
      <c r="A964" s="159"/>
      <c r="B964" s="218" t="s">
        <v>246</v>
      </c>
      <c r="C964" s="218" t="s">
        <v>2241</v>
      </c>
      <c r="D964" s="218" t="s">
        <v>2242</v>
      </c>
      <c r="E964" s="219">
        <v>15420.0</v>
      </c>
      <c r="F964" s="220" t="s">
        <v>2252</v>
      </c>
      <c r="G964" s="221" t="s">
        <v>369</v>
      </c>
      <c r="H964" s="222" t="s">
        <v>250</v>
      </c>
      <c r="I964" s="221" t="s">
        <v>42</v>
      </c>
      <c r="J964" s="222" t="s">
        <v>250</v>
      </c>
      <c r="K964" s="223">
        <v>4.0</v>
      </c>
      <c r="L964" s="223" t="b">
        <v>0</v>
      </c>
      <c r="M964" s="223" t="s">
        <v>42</v>
      </c>
      <c r="N964" s="223">
        <v>3.204563</v>
      </c>
      <c r="O964" s="224"/>
      <c r="P964" s="225" t="s">
        <v>155</v>
      </c>
      <c r="Q964" s="225" t="s">
        <v>155</v>
      </c>
      <c r="R964" s="225" t="s">
        <v>155</v>
      </c>
      <c r="S964" s="225" t="s">
        <v>155</v>
      </c>
      <c r="T964" s="226"/>
      <c r="U964" s="227"/>
      <c r="V964" s="52" t="s">
        <v>250</v>
      </c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</row>
    <row r="965" ht="30.0" customHeight="1">
      <c r="A965" s="159"/>
      <c r="B965" s="218" t="s">
        <v>246</v>
      </c>
      <c r="C965" s="218" t="s">
        <v>2241</v>
      </c>
      <c r="D965" s="218" t="s">
        <v>2253</v>
      </c>
      <c r="E965" s="219">
        <v>110061.0</v>
      </c>
      <c r="F965" s="220" t="s">
        <v>2254</v>
      </c>
      <c r="G965" s="221" t="s">
        <v>369</v>
      </c>
      <c r="H965" s="222" t="s">
        <v>250</v>
      </c>
      <c r="I965" s="221" t="s">
        <v>42</v>
      </c>
      <c r="J965" s="222" t="s">
        <v>250</v>
      </c>
      <c r="K965" s="223">
        <v>1.0</v>
      </c>
      <c r="L965" s="223" t="b">
        <v>0</v>
      </c>
      <c r="M965" s="223" t="s">
        <v>42</v>
      </c>
      <c r="N965" s="223">
        <v>0.68</v>
      </c>
      <c r="O965" s="224"/>
      <c r="P965" s="225" t="s">
        <v>155</v>
      </c>
      <c r="Q965" s="225" t="s">
        <v>155</v>
      </c>
      <c r="R965" s="225" t="s">
        <v>155</v>
      </c>
      <c r="S965" s="225" t="s">
        <v>155</v>
      </c>
      <c r="T965" s="226"/>
      <c r="U965" s="227"/>
      <c r="V965" s="52" t="s">
        <v>250</v>
      </c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</row>
    <row r="966" ht="30.0" customHeight="1">
      <c r="A966" s="159"/>
      <c r="B966" s="218" t="s">
        <v>246</v>
      </c>
      <c r="C966" s="218" t="s">
        <v>2241</v>
      </c>
      <c r="D966" s="218" t="s">
        <v>2253</v>
      </c>
      <c r="E966" s="219">
        <v>15370.0</v>
      </c>
      <c r="F966" s="220" t="s">
        <v>2255</v>
      </c>
      <c r="G966" s="221" t="s">
        <v>369</v>
      </c>
      <c r="H966" s="222" t="s">
        <v>250</v>
      </c>
      <c r="I966" s="221" t="s">
        <v>42</v>
      </c>
      <c r="J966" s="222" t="s">
        <v>250</v>
      </c>
      <c r="K966" s="223">
        <v>3.0</v>
      </c>
      <c r="L966" s="223" t="b">
        <v>0</v>
      </c>
      <c r="M966" s="223" t="s">
        <v>42</v>
      </c>
      <c r="N966" s="223">
        <v>0.697747</v>
      </c>
      <c r="O966" s="224" t="s">
        <v>238</v>
      </c>
      <c r="P966" s="225" t="s">
        <v>155</v>
      </c>
      <c r="Q966" s="225" t="s">
        <v>155</v>
      </c>
      <c r="R966" s="225" t="s">
        <v>155</v>
      </c>
      <c r="S966" s="225" t="s">
        <v>155</v>
      </c>
      <c r="T966" s="226"/>
      <c r="U966" s="227"/>
      <c r="V966" s="52" t="s">
        <v>250</v>
      </c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</row>
    <row r="967" ht="30.0" customHeight="1">
      <c r="A967" s="159"/>
      <c r="B967" s="218" t="s">
        <v>246</v>
      </c>
      <c r="C967" s="218" t="s">
        <v>2241</v>
      </c>
      <c r="D967" s="218" t="s">
        <v>2253</v>
      </c>
      <c r="E967" s="219">
        <v>23757.0</v>
      </c>
      <c r="F967" s="220" t="s">
        <v>2256</v>
      </c>
      <c r="G967" s="221" t="s">
        <v>369</v>
      </c>
      <c r="H967" s="222" t="s">
        <v>250</v>
      </c>
      <c r="I967" s="221" t="s">
        <v>42</v>
      </c>
      <c r="J967" s="222" t="s">
        <v>250</v>
      </c>
      <c r="K967" s="223">
        <v>4.0</v>
      </c>
      <c r="L967" s="223" t="b">
        <v>0</v>
      </c>
      <c r="M967" s="223" t="s">
        <v>42</v>
      </c>
      <c r="N967" s="223">
        <v>0.773214</v>
      </c>
      <c r="O967" s="224"/>
      <c r="P967" s="225" t="s">
        <v>155</v>
      </c>
      <c r="Q967" s="225" t="s">
        <v>155</v>
      </c>
      <c r="R967" s="225" t="s">
        <v>155</v>
      </c>
      <c r="S967" s="225" t="s">
        <v>155</v>
      </c>
      <c r="T967" s="226"/>
      <c r="U967" s="227"/>
      <c r="V967" s="109" t="s">
        <v>2257</v>
      </c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</row>
    <row r="968" ht="30.0" customHeight="1">
      <c r="A968" s="159"/>
      <c r="B968" s="218" t="s">
        <v>246</v>
      </c>
      <c r="C968" s="218" t="s">
        <v>2241</v>
      </c>
      <c r="D968" s="218" t="s">
        <v>2253</v>
      </c>
      <c r="E968" s="219">
        <v>15375.0</v>
      </c>
      <c r="F968" s="220" t="s">
        <v>2258</v>
      </c>
      <c r="G968" s="221" t="s">
        <v>369</v>
      </c>
      <c r="H968" s="222" t="s">
        <v>250</v>
      </c>
      <c r="I968" s="221" t="s">
        <v>42</v>
      </c>
      <c r="J968" s="222" t="s">
        <v>250</v>
      </c>
      <c r="K968" s="223">
        <v>4.0</v>
      </c>
      <c r="L968" s="223" t="b">
        <v>0</v>
      </c>
      <c r="M968" s="223" t="s">
        <v>42</v>
      </c>
      <c r="N968" s="223">
        <v>0.670437</v>
      </c>
      <c r="O968" s="224" t="s">
        <v>238</v>
      </c>
      <c r="P968" s="225" t="s">
        <v>155</v>
      </c>
      <c r="Q968" s="225" t="s">
        <v>155</v>
      </c>
      <c r="R968" s="225" t="s">
        <v>155</v>
      </c>
      <c r="S968" s="225" t="s">
        <v>155</v>
      </c>
      <c r="T968" s="229" t="s">
        <v>554</v>
      </c>
      <c r="U968" s="227"/>
      <c r="V968" s="52" t="s">
        <v>250</v>
      </c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</row>
    <row r="969" ht="30.0" customHeight="1">
      <c r="A969" s="159"/>
      <c r="B969" s="218" t="s">
        <v>246</v>
      </c>
      <c r="C969" s="218" t="s">
        <v>2241</v>
      </c>
      <c r="D969" s="218" t="s">
        <v>2253</v>
      </c>
      <c r="E969" s="219">
        <v>15378.0</v>
      </c>
      <c r="F969" s="220" t="s">
        <v>2259</v>
      </c>
      <c r="G969" s="221" t="s">
        <v>369</v>
      </c>
      <c r="H969" s="222" t="s">
        <v>250</v>
      </c>
      <c r="I969" s="221" t="s">
        <v>42</v>
      </c>
      <c r="J969" s="222" t="s">
        <v>250</v>
      </c>
      <c r="K969" s="223">
        <v>4.0</v>
      </c>
      <c r="L969" s="223" t="b">
        <v>0</v>
      </c>
      <c r="M969" s="223" t="s">
        <v>42</v>
      </c>
      <c r="N969" s="223">
        <v>1.92942</v>
      </c>
      <c r="O969" s="224"/>
      <c r="P969" s="225" t="s">
        <v>155</v>
      </c>
      <c r="Q969" s="225" t="s">
        <v>155</v>
      </c>
      <c r="R969" s="225" t="s">
        <v>155</v>
      </c>
      <c r="S969" s="225" t="s">
        <v>155</v>
      </c>
      <c r="T969" s="226"/>
      <c r="U969" s="227"/>
      <c r="V969" s="52" t="s">
        <v>250</v>
      </c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</row>
    <row r="970" ht="30.0" customHeight="1">
      <c r="A970" s="159"/>
      <c r="B970" s="218" t="s">
        <v>246</v>
      </c>
      <c r="C970" s="218" t="s">
        <v>2241</v>
      </c>
      <c r="D970" s="218" t="s">
        <v>2253</v>
      </c>
      <c r="E970" s="219">
        <v>43516.0</v>
      </c>
      <c r="F970" s="220" t="s">
        <v>2260</v>
      </c>
      <c r="G970" s="221" t="s">
        <v>369</v>
      </c>
      <c r="H970" s="222" t="s">
        <v>250</v>
      </c>
      <c r="I970" s="221" t="s">
        <v>42</v>
      </c>
      <c r="J970" s="222" t="s">
        <v>250</v>
      </c>
      <c r="K970" s="223">
        <v>4.0</v>
      </c>
      <c r="L970" s="223" t="b">
        <v>0</v>
      </c>
      <c r="M970" s="223" t="s">
        <v>42</v>
      </c>
      <c r="N970" s="223">
        <v>0.513109</v>
      </c>
      <c r="O970" s="224" t="s">
        <v>238</v>
      </c>
      <c r="P970" s="225" t="s">
        <v>155</v>
      </c>
      <c r="Q970" s="225" t="s">
        <v>155</v>
      </c>
      <c r="R970" s="225" t="s">
        <v>155</v>
      </c>
      <c r="S970" s="225" t="s">
        <v>155</v>
      </c>
      <c r="T970" s="226"/>
      <c r="U970" s="227"/>
      <c r="V970" s="52" t="s">
        <v>250</v>
      </c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</row>
    <row r="971" ht="30.0" customHeight="1">
      <c r="A971" s="159"/>
      <c r="B971" s="218" t="s">
        <v>246</v>
      </c>
      <c r="C971" s="218" t="s">
        <v>2241</v>
      </c>
      <c r="D971" s="218" t="s">
        <v>2253</v>
      </c>
      <c r="E971" s="219">
        <v>43517.0</v>
      </c>
      <c r="F971" s="220" t="s">
        <v>2261</v>
      </c>
      <c r="G971" s="221" t="s">
        <v>369</v>
      </c>
      <c r="H971" s="222" t="s">
        <v>250</v>
      </c>
      <c r="I971" s="221" t="s">
        <v>42</v>
      </c>
      <c r="J971" s="222" t="s">
        <v>250</v>
      </c>
      <c r="K971" s="223">
        <v>3.0</v>
      </c>
      <c r="L971" s="223" t="b">
        <v>0</v>
      </c>
      <c r="M971" s="223" t="s">
        <v>42</v>
      </c>
      <c r="N971" s="223">
        <v>0.531492</v>
      </c>
      <c r="O971" s="224"/>
      <c r="P971" s="225" t="s">
        <v>155</v>
      </c>
      <c r="Q971" s="225" t="s">
        <v>155</v>
      </c>
      <c r="R971" s="225" t="s">
        <v>155</v>
      </c>
      <c r="S971" s="225" t="s">
        <v>155</v>
      </c>
      <c r="T971" s="226"/>
      <c r="U971" s="227"/>
      <c r="V971" s="52" t="s">
        <v>250</v>
      </c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</row>
    <row r="972" ht="30.0" customHeight="1">
      <c r="A972" s="159"/>
      <c r="B972" s="218" t="s">
        <v>246</v>
      </c>
      <c r="C972" s="218" t="s">
        <v>2241</v>
      </c>
      <c r="D972" s="218" t="s">
        <v>2253</v>
      </c>
      <c r="E972" s="219">
        <v>15390.0</v>
      </c>
      <c r="F972" s="220" t="s">
        <v>2262</v>
      </c>
      <c r="G972" s="221" t="s">
        <v>369</v>
      </c>
      <c r="H972" s="222" t="s">
        <v>250</v>
      </c>
      <c r="I972" s="221" t="s">
        <v>42</v>
      </c>
      <c r="J972" s="222" t="s">
        <v>250</v>
      </c>
      <c r="K972" s="223">
        <v>3.0</v>
      </c>
      <c r="L972" s="223" t="b">
        <v>0</v>
      </c>
      <c r="M972" s="223" t="s">
        <v>42</v>
      </c>
      <c r="N972" s="223">
        <v>0.705856</v>
      </c>
      <c r="O972" s="224" t="s">
        <v>238</v>
      </c>
      <c r="P972" s="225" t="s">
        <v>155</v>
      </c>
      <c r="Q972" s="225" t="s">
        <v>155</v>
      </c>
      <c r="R972" s="225" t="s">
        <v>155</v>
      </c>
      <c r="S972" s="225" t="s">
        <v>155</v>
      </c>
      <c r="T972" s="229" t="s">
        <v>554</v>
      </c>
      <c r="U972" s="227"/>
      <c r="V972" s="52" t="s">
        <v>250</v>
      </c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</row>
    <row r="973" ht="30.0" customHeight="1">
      <c r="A973" s="159"/>
      <c r="B973" s="218" t="s">
        <v>246</v>
      </c>
      <c r="C973" s="218" t="s">
        <v>2241</v>
      </c>
      <c r="D973" s="218" t="s">
        <v>2253</v>
      </c>
      <c r="E973" s="219">
        <v>15389.0</v>
      </c>
      <c r="F973" s="220" t="s">
        <v>2263</v>
      </c>
      <c r="G973" s="221" t="s">
        <v>369</v>
      </c>
      <c r="H973" s="222" t="s">
        <v>250</v>
      </c>
      <c r="I973" s="221" t="s">
        <v>42</v>
      </c>
      <c r="J973" s="222" t="s">
        <v>250</v>
      </c>
      <c r="K973" s="223">
        <v>4.0</v>
      </c>
      <c r="L973" s="223" t="b">
        <v>0</v>
      </c>
      <c r="M973" s="223" t="s">
        <v>42</v>
      </c>
      <c r="N973" s="223">
        <v>1.728255</v>
      </c>
      <c r="O973" s="224" t="s">
        <v>238</v>
      </c>
      <c r="P973" s="225" t="s">
        <v>155</v>
      </c>
      <c r="Q973" s="225" t="s">
        <v>155</v>
      </c>
      <c r="R973" s="225" t="s">
        <v>155</v>
      </c>
      <c r="S973" s="225" t="s">
        <v>155</v>
      </c>
      <c r="T973" s="229" t="s">
        <v>554</v>
      </c>
      <c r="U973" s="227"/>
      <c r="V973" s="52" t="s">
        <v>250</v>
      </c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</row>
    <row r="974" ht="30.0" customHeight="1">
      <c r="A974" s="159"/>
      <c r="B974" s="218" t="s">
        <v>246</v>
      </c>
      <c r="C974" s="218" t="s">
        <v>2241</v>
      </c>
      <c r="D974" s="218" t="s">
        <v>2253</v>
      </c>
      <c r="E974" s="219">
        <v>15387.0</v>
      </c>
      <c r="F974" s="220" t="s">
        <v>2264</v>
      </c>
      <c r="G974" s="221" t="s">
        <v>369</v>
      </c>
      <c r="H974" s="222" t="s">
        <v>250</v>
      </c>
      <c r="I974" s="221" t="s">
        <v>42</v>
      </c>
      <c r="J974" s="222" t="s">
        <v>250</v>
      </c>
      <c r="K974" s="223">
        <v>4.0</v>
      </c>
      <c r="L974" s="223" t="b">
        <v>0</v>
      </c>
      <c r="M974" s="223" t="s">
        <v>42</v>
      </c>
      <c r="N974" s="223">
        <v>1.737119</v>
      </c>
      <c r="O974" s="224"/>
      <c r="P974" s="225" t="s">
        <v>155</v>
      </c>
      <c r="Q974" s="225" t="s">
        <v>155</v>
      </c>
      <c r="R974" s="225" t="s">
        <v>155</v>
      </c>
      <c r="S974" s="225" t="s">
        <v>155</v>
      </c>
      <c r="T974" s="229" t="s">
        <v>554</v>
      </c>
      <c r="U974" s="227"/>
      <c r="V974" s="52" t="s">
        <v>250</v>
      </c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</row>
    <row r="975" ht="30.0" customHeight="1">
      <c r="A975" s="159"/>
      <c r="B975" s="218" t="s">
        <v>246</v>
      </c>
      <c r="C975" s="218" t="s">
        <v>2241</v>
      </c>
      <c r="D975" s="218" t="s">
        <v>2253</v>
      </c>
      <c r="E975" s="219">
        <v>15395.0</v>
      </c>
      <c r="F975" s="220" t="s">
        <v>2265</v>
      </c>
      <c r="G975" s="221" t="s">
        <v>369</v>
      </c>
      <c r="H975" s="222" t="s">
        <v>250</v>
      </c>
      <c r="I975" s="221" t="s">
        <v>42</v>
      </c>
      <c r="J975" s="222" t="s">
        <v>250</v>
      </c>
      <c r="K975" s="223">
        <v>3.0</v>
      </c>
      <c r="L975" s="223" t="b">
        <v>0</v>
      </c>
      <c r="M975" s="223" t="s">
        <v>42</v>
      </c>
      <c r="N975" s="223">
        <v>1.218665</v>
      </c>
      <c r="O975" s="224"/>
      <c r="P975" s="225" t="s">
        <v>155</v>
      </c>
      <c r="Q975" s="225" t="s">
        <v>155</v>
      </c>
      <c r="R975" s="225" t="s">
        <v>155</v>
      </c>
      <c r="S975" s="225" t="s">
        <v>155</v>
      </c>
      <c r="T975" s="226"/>
      <c r="U975" s="227"/>
      <c r="V975" s="52" t="s">
        <v>250</v>
      </c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</row>
    <row r="976" ht="30.0" customHeight="1">
      <c r="A976" s="159"/>
      <c r="B976" s="218" t="s">
        <v>246</v>
      </c>
      <c r="C976" s="218" t="s">
        <v>2241</v>
      </c>
      <c r="D976" s="218" t="s">
        <v>2253</v>
      </c>
      <c r="E976" s="219">
        <v>15397.0</v>
      </c>
      <c r="F976" s="220" t="s">
        <v>2266</v>
      </c>
      <c r="G976" s="221" t="s">
        <v>369</v>
      </c>
      <c r="H976" s="222" t="s">
        <v>250</v>
      </c>
      <c r="I976" s="221" t="s">
        <v>42</v>
      </c>
      <c r="J976" s="222" t="s">
        <v>250</v>
      </c>
      <c r="K976" s="223">
        <v>3.0</v>
      </c>
      <c r="L976" s="223" t="b">
        <v>0</v>
      </c>
      <c r="M976" s="223" t="s">
        <v>42</v>
      </c>
      <c r="N976" s="223">
        <v>0.826956</v>
      </c>
      <c r="O976" s="224" t="s">
        <v>238</v>
      </c>
      <c r="P976" s="225" t="s">
        <v>155</v>
      </c>
      <c r="Q976" s="225" t="s">
        <v>155</v>
      </c>
      <c r="R976" s="225" t="s">
        <v>155</v>
      </c>
      <c r="S976" s="225" t="s">
        <v>155</v>
      </c>
      <c r="T976" s="229" t="s">
        <v>554</v>
      </c>
      <c r="U976" s="227"/>
      <c r="V976" s="52" t="s">
        <v>250</v>
      </c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</row>
    <row r="977" ht="30.0" customHeight="1">
      <c r="A977" s="159"/>
      <c r="B977" s="218" t="s">
        <v>246</v>
      </c>
      <c r="C977" s="218" t="s">
        <v>2241</v>
      </c>
      <c r="D977" s="218" t="s">
        <v>2253</v>
      </c>
      <c r="E977" s="219">
        <v>108947.0</v>
      </c>
      <c r="F977" s="220" t="s">
        <v>2267</v>
      </c>
      <c r="G977" s="221" t="s">
        <v>369</v>
      </c>
      <c r="H977" s="222" t="s">
        <v>250</v>
      </c>
      <c r="I977" s="221" t="s">
        <v>42</v>
      </c>
      <c r="J977" s="222" t="s">
        <v>250</v>
      </c>
      <c r="K977" s="223">
        <v>2.0</v>
      </c>
      <c r="L977" s="223" t="b">
        <v>0</v>
      </c>
      <c r="M977" s="223" t="s">
        <v>42</v>
      </c>
      <c r="N977" s="223">
        <v>46.862258</v>
      </c>
      <c r="O977" s="224"/>
      <c r="P977" s="225" t="s">
        <v>155</v>
      </c>
      <c r="Q977" s="225" t="s">
        <v>155</v>
      </c>
      <c r="R977" s="225" t="s">
        <v>155</v>
      </c>
      <c r="S977" s="225" t="s">
        <v>155</v>
      </c>
      <c r="T977" s="226"/>
      <c r="U977" s="227"/>
      <c r="V977" s="52" t="s">
        <v>250</v>
      </c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</row>
    <row r="978" ht="30.0" customHeight="1">
      <c r="A978" s="159"/>
      <c r="B978" s="218" t="s">
        <v>246</v>
      </c>
      <c r="C978" s="218" t="s">
        <v>2241</v>
      </c>
      <c r="D978" s="218" t="s">
        <v>2253</v>
      </c>
      <c r="E978" s="219">
        <v>15399.0</v>
      </c>
      <c r="F978" s="220" t="s">
        <v>2268</v>
      </c>
      <c r="G978" s="221" t="s">
        <v>369</v>
      </c>
      <c r="H978" s="222" t="s">
        <v>250</v>
      </c>
      <c r="I978" s="221" t="s">
        <v>42</v>
      </c>
      <c r="J978" s="222" t="s">
        <v>250</v>
      </c>
      <c r="K978" s="223">
        <v>3.0</v>
      </c>
      <c r="L978" s="223" t="b">
        <v>0</v>
      </c>
      <c r="M978" s="223" t="s">
        <v>42</v>
      </c>
      <c r="N978" s="223">
        <v>1.154729</v>
      </c>
      <c r="O978" s="224" t="s">
        <v>238</v>
      </c>
      <c r="P978" s="225" t="s">
        <v>155</v>
      </c>
      <c r="Q978" s="225" t="s">
        <v>155</v>
      </c>
      <c r="R978" s="225" t="s">
        <v>155</v>
      </c>
      <c r="S978" s="225" t="s">
        <v>155</v>
      </c>
      <c r="T978" s="229" t="s">
        <v>554</v>
      </c>
      <c r="U978" s="227"/>
      <c r="V978" s="52" t="s">
        <v>250</v>
      </c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</row>
    <row r="979" ht="30.0" customHeight="1">
      <c r="A979" s="159"/>
      <c r="B979" s="218" t="s">
        <v>246</v>
      </c>
      <c r="C979" s="218" t="s">
        <v>2241</v>
      </c>
      <c r="D979" s="218" t="s">
        <v>2253</v>
      </c>
      <c r="E979" s="219">
        <v>31631.0</v>
      </c>
      <c r="F979" s="220" t="s">
        <v>2269</v>
      </c>
      <c r="G979" s="221" t="s">
        <v>369</v>
      </c>
      <c r="H979" s="222" t="s">
        <v>250</v>
      </c>
      <c r="I979" s="221" t="s">
        <v>42</v>
      </c>
      <c r="J979" s="222" t="s">
        <v>250</v>
      </c>
      <c r="K979" s="223">
        <v>2.0</v>
      </c>
      <c r="L979" s="223" t="b">
        <v>0</v>
      </c>
      <c r="M979" s="223" t="s">
        <v>42</v>
      </c>
      <c r="N979" s="223">
        <v>0.98229</v>
      </c>
      <c r="O979" s="224"/>
      <c r="P979" s="225" t="s">
        <v>155</v>
      </c>
      <c r="Q979" s="225" t="s">
        <v>155</v>
      </c>
      <c r="R979" s="225" t="s">
        <v>155</v>
      </c>
      <c r="S979" s="225" t="s">
        <v>155</v>
      </c>
      <c r="T979" s="226"/>
      <c r="U979" s="227"/>
      <c r="V979" s="52" t="s">
        <v>250</v>
      </c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</row>
    <row r="980" ht="30.0" customHeight="1">
      <c r="A980" s="159"/>
      <c r="B980" s="218" t="s">
        <v>246</v>
      </c>
      <c r="C980" s="218" t="s">
        <v>2241</v>
      </c>
      <c r="D980" s="218" t="s">
        <v>2253</v>
      </c>
      <c r="E980" s="219">
        <v>15400.0</v>
      </c>
      <c r="F980" s="220" t="s">
        <v>2270</v>
      </c>
      <c r="G980" s="221" t="s">
        <v>369</v>
      </c>
      <c r="H980" s="222" t="s">
        <v>250</v>
      </c>
      <c r="I980" s="221" t="s">
        <v>42</v>
      </c>
      <c r="J980" s="222" t="s">
        <v>250</v>
      </c>
      <c r="K980" s="223">
        <v>3.0</v>
      </c>
      <c r="L980" s="223" t="b">
        <v>0</v>
      </c>
      <c r="M980" s="223" t="s">
        <v>42</v>
      </c>
      <c r="N980" s="223">
        <v>1.172666</v>
      </c>
      <c r="O980" s="224"/>
      <c r="P980" s="225" t="s">
        <v>155</v>
      </c>
      <c r="Q980" s="225" t="s">
        <v>155</v>
      </c>
      <c r="R980" s="225" t="s">
        <v>155</v>
      </c>
      <c r="S980" s="225" t="s">
        <v>155</v>
      </c>
      <c r="T980" s="229" t="s">
        <v>554</v>
      </c>
      <c r="U980" s="227"/>
      <c r="V980" s="52" t="s">
        <v>250</v>
      </c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</row>
    <row r="981" ht="30.0" customHeight="1">
      <c r="A981" s="159"/>
      <c r="B981" s="218" t="s">
        <v>246</v>
      </c>
      <c r="C981" s="218" t="s">
        <v>2241</v>
      </c>
      <c r="D981" s="218" t="s">
        <v>2253</v>
      </c>
      <c r="E981" s="219">
        <v>15402.0</v>
      </c>
      <c r="F981" s="220" t="s">
        <v>2271</v>
      </c>
      <c r="G981" s="221" t="s">
        <v>369</v>
      </c>
      <c r="H981" s="222" t="s">
        <v>250</v>
      </c>
      <c r="I981" s="221" t="s">
        <v>42</v>
      </c>
      <c r="J981" s="222" t="s">
        <v>250</v>
      </c>
      <c r="K981" s="223">
        <v>3.0</v>
      </c>
      <c r="L981" s="223" t="b">
        <v>0</v>
      </c>
      <c r="M981" s="223" t="s">
        <v>42</v>
      </c>
      <c r="N981" s="223">
        <v>0.735704</v>
      </c>
      <c r="O981" s="224" t="s">
        <v>238</v>
      </c>
      <c r="P981" s="225" t="s">
        <v>155</v>
      </c>
      <c r="Q981" s="225" t="s">
        <v>155</v>
      </c>
      <c r="R981" s="225" t="s">
        <v>155</v>
      </c>
      <c r="S981" s="225" t="s">
        <v>155</v>
      </c>
      <c r="T981" s="226"/>
      <c r="U981" s="227"/>
      <c r="V981" s="109" t="s">
        <v>2272</v>
      </c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</row>
    <row r="982" ht="30.0" customHeight="1">
      <c r="A982" s="159"/>
      <c r="B982" s="218" t="s">
        <v>246</v>
      </c>
      <c r="C982" s="218" t="s">
        <v>2241</v>
      </c>
      <c r="D982" s="218" t="s">
        <v>2253</v>
      </c>
      <c r="E982" s="219">
        <v>15404.0</v>
      </c>
      <c r="F982" s="220" t="s">
        <v>2273</v>
      </c>
      <c r="G982" s="221" t="s">
        <v>369</v>
      </c>
      <c r="H982" s="222" t="s">
        <v>250</v>
      </c>
      <c r="I982" s="221" t="s">
        <v>42</v>
      </c>
      <c r="J982" s="222" t="s">
        <v>250</v>
      </c>
      <c r="K982" s="223">
        <v>2.0</v>
      </c>
      <c r="L982" s="223" t="b">
        <v>0</v>
      </c>
      <c r="M982" s="223" t="s">
        <v>42</v>
      </c>
      <c r="N982" s="223">
        <v>0.746103</v>
      </c>
      <c r="O982" s="224" t="s">
        <v>238</v>
      </c>
      <c r="P982" s="225" t="s">
        <v>155</v>
      </c>
      <c r="Q982" s="225" t="s">
        <v>155</v>
      </c>
      <c r="R982" s="225" t="s">
        <v>155</v>
      </c>
      <c r="S982" s="225" t="s">
        <v>155</v>
      </c>
      <c r="T982" s="226"/>
      <c r="U982" s="227"/>
      <c r="V982" s="52" t="s">
        <v>250</v>
      </c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</row>
    <row r="983" ht="30.0" customHeight="1">
      <c r="A983" s="159"/>
      <c r="B983" s="218" t="s">
        <v>246</v>
      </c>
      <c r="C983" s="218" t="s">
        <v>2241</v>
      </c>
      <c r="D983" s="218" t="s">
        <v>2253</v>
      </c>
      <c r="E983" s="219">
        <v>15408.0</v>
      </c>
      <c r="F983" s="220" t="s">
        <v>2274</v>
      </c>
      <c r="G983" s="221" t="s">
        <v>369</v>
      </c>
      <c r="H983" s="222" t="s">
        <v>250</v>
      </c>
      <c r="I983" s="221" t="s">
        <v>42</v>
      </c>
      <c r="J983" s="222" t="s">
        <v>250</v>
      </c>
      <c r="K983" s="223">
        <v>4.0</v>
      </c>
      <c r="L983" s="223" t="b">
        <v>0</v>
      </c>
      <c r="M983" s="223" t="s">
        <v>42</v>
      </c>
      <c r="N983" s="223">
        <v>0.687887</v>
      </c>
      <c r="O983" s="224" t="s">
        <v>238</v>
      </c>
      <c r="P983" s="225" t="s">
        <v>155</v>
      </c>
      <c r="Q983" s="225" t="s">
        <v>155</v>
      </c>
      <c r="R983" s="225" t="s">
        <v>155</v>
      </c>
      <c r="S983" s="225" t="s">
        <v>155</v>
      </c>
      <c r="T983" s="229" t="s">
        <v>554</v>
      </c>
      <c r="U983" s="227"/>
      <c r="V983" s="52" t="s">
        <v>250</v>
      </c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</row>
    <row r="984" ht="30.0" customHeight="1">
      <c r="A984" s="159"/>
      <c r="B984" s="218" t="s">
        <v>246</v>
      </c>
      <c r="C984" s="218" t="s">
        <v>2241</v>
      </c>
      <c r="D984" s="218" t="s">
        <v>2253</v>
      </c>
      <c r="E984" s="219">
        <v>105768.0</v>
      </c>
      <c r="F984" s="220" t="s">
        <v>2275</v>
      </c>
      <c r="G984" s="221" t="s">
        <v>369</v>
      </c>
      <c r="H984" s="222" t="s">
        <v>250</v>
      </c>
      <c r="I984" s="221" t="s">
        <v>42</v>
      </c>
      <c r="J984" s="222" t="s">
        <v>250</v>
      </c>
      <c r="K984" s="223">
        <v>1.0</v>
      </c>
      <c r="L984" s="223" t="b">
        <v>0</v>
      </c>
      <c r="M984" s="223" t="s">
        <v>42</v>
      </c>
      <c r="N984" s="223">
        <v>1.768486</v>
      </c>
      <c r="O984" s="224"/>
      <c r="P984" s="225" t="s">
        <v>155</v>
      </c>
      <c r="Q984" s="225" t="s">
        <v>155</v>
      </c>
      <c r="R984" s="225" t="s">
        <v>155</v>
      </c>
      <c r="S984" s="225" t="s">
        <v>155</v>
      </c>
      <c r="T984" s="229" t="s">
        <v>720</v>
      </c>
      <c r="U984" s="227"/>
      <c r="V984" s="52" t="s">
        <v>250</v>
      </c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</row>
    <row r="985" ht="30.0" customHeight="1">
      <c r="A985" s="159"/>
      <c r="B985" s="218" t="s">
        <v>246</v>
      </c>
      <c r="C985" s="218" t="s">
        <v>2241</v>
      </c>
      <c r="D985" s="218" t="s">
        <v>2253</v>
      </c>
      <c r="E985" s="219">
        <v>15305.0</v>
      </c>
      <c r="F985" s="220" t="s">
        <v>2276</v>
      </c>
      <c r="G985" s="221" t="s">
        <v>369</v>
      </c>
      <c r="H985" s="222" t="s">
        <v>250</v>
      </c>
      <c r="I985" s="221" t="s">
        <v>42</v>
      </c>
      <c r="J985" s="222" t="s">
        <v>250</v>
      </c>
      <c r="K985" s="223">
        <v>3.0</v>
      </c>
      <c r="L985" s="223" t="b">
        <v>0</v>
      </c>
      <c r="M985" s="223" t="s">
        <v>42</v>
      </c>
      <c r="N985" s="223">
        <v>1.831989</v>
      </c>
      <c r="O985" s="224" t="s">
        <v>238</v>
      </c>
      <c r="P985" s="225" t="s">
        <v>155</v>
      </c>
      <c r="Q985" s="225" t="s">
        <v>155</v>
      </c>
      <c r="R985" s="225" t="s">
        <v>155</v>
      </c>
      <c r="S985" s="225" t="s">
        <v>155</v>
      </c>
      <c r="T985" s="229" t="s">
        <v>2277</v>
      </c>
      <c r="U985" s="227"/>
      <c r="V985" s="52" t="s">
        <v>250</v>
      </c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</row>
    <row r="986" ht="30.0" customHeight="1">
      <c r="A986" s="159"/>
      <c r="B986" s="218" t="s">
        <v>246</v>
      </c>
      <c r="C986" s="218" t="s">
        <v>2241</v>
      </c>
      <c r="D986" s="218" t="s">
        <v>2253</v>
      </c>
      <c r="E986" s="219">
        <v>15412.0</v>
      </c>
      <c r="F986" s="220" t="s">
        <v>2278</v>
      </c>
      <c r="G986" s="221" t="s">
        <v>369</v>
      </c>
      <c r="H986" s="222" t="s">
        <v>250</v>
      </c>
      <c r="I986" s="221" t="s">
        <v>42</v>
      </c>
      <c r="J986" s="222" t="s">
        <v>250</v>
      </c>
      <c r="K986" s="223">
        <v>4.0</v>
      </c>
      <c r="L986" s="223" t="b">
        <v>0</v>
      </c>
      <c r="M986" s="223" t="s">
        <v>42</v>
      </c>
      <c r="N986" s="223">
        <v>0.812274</v>
      </c>
      <c r="O986" s="224"/>
      <c r="P986" s="225" t="s">
        <v>155</v>
      </c>
      <c r="Q986" s="225" t="s">
        <v>155</v>
      </c>
      <c r="R986" s="225" t="s">
        <v>155</v>
      </c>
      <c r="S986" s="225" t="s">
        <v>155</v>
      </c>
      <c r="T986" s="226"/>
      <c r="U986" s="227"/>
      <c r="V986" s="52" t="s">
        <v>250</v>
      </c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</row>
    <row r="987" ht="30.0" customHeight="1">
      <c r="A987" s="159"/>
      <c r="B987" s="218" t="s">
        <v>246</v>
      </c>
      <c r="C987" s="218" t="s">
        <v>2241</v>
      </c>
      <c r="D987" s="218" t="s">
        <v>2253</v>
      </c>
      <c r="E987" s="219">
        <v>110900.0</v>
      </c>
      <c r="F987" s="220" t="s">
        <v>2279</v>
      </c>
      <c r="G987" s="221" t="s">
        <v>369</v>
      </c>
      <c r="H987" s="222" t="s">
        <v>250</v>
      </c>
      <c r="I987" s="221" t="s">
        <v>972</v>
      </c>
      <c r="J987" s="222" t="s">
        <v>250</v>
      </c>
      <c r="K987" s="223">
        <v>1.0</v>
      </c>
      <c r="L987" s="223" t="b">
        <v>0</v>
      </c>
      <c r="M987" s="223" t="s">
        <v>972</v>
      </c>
      <c r="N987" s="223">
        <v>1.559452</v>
      </c>
      <c r="O987" s="224"/>
      <c r="P987" s="225" t="s">
        <v>155</v>
      </c>
      <c r="Q987" s="225" t="s">
        <v>155</v>
      </c>
      <c r="R987" s="225" t="s">
        <v>155</v>
      </c>
      <c r="S987" s="225" t="s">
        <v>155</v>
      </c>
      <c r="T987" s="226"/>
      <c r="U987" s="227"/>
      <c r="V987" s="52" t="s">
        <v>250</v>
      </c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</row>
    <row r="988" ht="30.0" customHeight="1">
      <c r="A988" s="159"/>
      <c r="B988" s="218" t="s">
        <v>246</v>
      </c>
      <c r="C988" s="218" t="s">
        <v>2241</v>
      </c>
      <c r="D988" s="218" t="s">
        <v>2253</v>
      </c>
      <c r="E988" s="219">
        <v>108577.0</v>
      </c>
      <c r="F988" s="220" t="s">
        <v>2280</v>
      </c>
      <c r="G988" s="221" t="s">
        <v>369</v>
      </c>
      <c r="H988" s="222" t="s">
        <v>250</v>
      </c>
      <c r="I988" s="221" t="s">
        <v>42</v>
      </c>
      <c r="J988" s="222" t="s">
        <v>250</v>
      </c>
      <c r="K988" s="223">
        <v>3.0</v>
      </c>
      <c r="L988" s="223" t="b">
        <v>1</v>
      </c>
      <c r="M988" s="223" t="s">
        <v>42</v>
      </c>
      <c r="N988" s="223">
        <v>0.572061</v>
      </c>
      <c r="O988" s="224" t="s">
        <v>238</v>
      </c>
      <c r="P988" s="225" t="s">
        <v>155</v>
      </c>
      <c r="Q988" s="225" t="s">
        <v>155</v>
      </c>
      <c r="R988" s="225" t="s">
        <v>155</v>
      </c>
      <c r="S988" s="225" t="s">
        <v>155</v>
      </c>
      <c r="T988" s="226"/>
      <c r="U988" s="227"/>
      <c r="V988" s="52" t="s">
        <v>250</v>
      </c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</row>
    <row r="989" ht="30.0" customHeight="1">
      <c r="A989" s="159"/>
      <c r="B989" s="218" t="s">
        <v>246</v>
      </c>
      <c r="C989" s="218" t="s">
        <v>2241</v>
      </c>
      <c r="D989" s="218" t="s">
        <v>2253</v>
      </c>
      <c r="E989" s="219">
        <v>15506.0</v>
      </c>
      <c r="F989" s="220" t="s">
        <v>2281</v>
      </c>
      <c r="G989" s="221" t="s">
        <v>369</v>
      </c>
      <c r="H989" s="222" t="s">
        <v>250</v>
      </c>
      <c r="I989" s="221" t="s">
        <v>42</v>
      </c>
      <c r="J989" s="222" t="s">
        <v>250</v>
      </c>
      <c r="K989" s="223">
        <v>1.0</v>
      </c>
      <c r="L989" s="223" t="b">
        <v>0</v>
      </c>
      <c r="M989" s="223" t="s">
        <v>42</v>
      </c>
      <c r="N989" s="223">
        <v>0.6875</v>
      </c>
      <c r="O989" s="224"/>
      <c r="P989" s="225" t="s">
        <v>155</v>
      </c>
      <c r="Q989" s="225" t="s">
        <v>155</v>
      </c>
      <c r="R989" s="225" t="s">
        <v>155</v>
      </c>
      <c r="S989" s="225" t="s">
        <v>155</v>
      </c>
      <c r="T989" s="226"/>
      <c r="U989" s="227"/>
      <c r="V989" s="109" t="s">
        <v>1251</v>
      </c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</row>
    <row r="990" ht="30.0" customHeight="1">
      <c r="A990" s="159"/>
      <c r="B990" s="218" t="s">
        <v>246</v>
      </c>
      <c r="C990" s="218" t="s">
        <v>2241</v>
      </c>
      <c r="D990" s="218" t="s">
        <v>2253</v>
      </c>
      <c r="E990" s="219">
        <v>15316.0</v>
      </c>
      <c r="F990" s="220" t="s">
        <v>2282</v>
      </c>
      <c r="G990" s="221" t="s">
        <v>369</v>
      </c>
      <c r="H990" s="222" t="s">
        <v>250</v>
      </c>
      <c r="I990" s="221" t="s">
        <v>42</v>
      </c>
      <c r="J990" s="222" t="s">
        <v>250</v>
      </c>
      <c r="K990" s="223">
        <v>4.0</v>
      </c>
      <c r="L990" s="223" t="b">
        <v>0</v>
      </c>
      <c r="M990" s="223" t="s">
        <v>42</v>
      </c>
      <c r="N990" s="223">
        <v>1.683706</v>
      </c>
      <c r="O990" s="224"/>
      <c r="P990" s="225" t="s">
        <v>155</v>
      </c>
      <c r="Q990" s="225" t="s">
        <v>155</v>
      </c>
      <c r="R990" s="225" t="s">
        <v>155</v>
      </c>
      <c r="S990" s="225" t="s">
        <v>155</v>
      </c>
      <c r="T990" s="226"/>
      <c r="U990" s="227"/>
      <c r="V990" s="52" t="s">
        <v>250</v>
      </c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</row>
    <row r="991" ht="30.0" customHeight="1">
      <c r="A991" s="159"/>
      <c r="B991" s="218" t="s">
        <v>246</v>
      </c>
      <c r="C991" s="218" t="s">
        <v>2241</v>
      </c>
      <c r="D991" s="218" t="s">
        <v>2253</v>
      </c>
      <c r="E991" s="219">
        <v>32705.0</v>
      </c>
      <c r="F991" s="220" t="s">
        <v>2283</v>
      </c>
      <c r="G991" s="221" t="s">
        <v>369</v>
      </c>
      <c r="H991" s="222" t="s">
        <v>250</v>
      </c>
      <c r="I991" s="221" t="s">
        <v>42</v>
      </c>
      <c r="J991" s="222" t="s">
        <v>250</v>
      </c>
      <c r="K991" s="223">
        <v>2.0</v>
      </c>
      <c r="L991" s="223" t="b">
        <v>0</v>
      </c>
      <c r="M991" s="223" t="s">
        <v>42</v>
      </c>
      <c r="N991" s="223">
        <v>0.611967</v>
      </c>
      <c r="O991" s="224" t="s">
        <v>238</v>
      </c>
      <c r="P991" s="225" t="s">
        <v>155</v>
      </c>
      <c r="Q991" s="225" t="s">
        <v>155</v>
      </c>
      <c r="R991" s="225" t="s">
        <v>155</v>
      </c>
      <c r="S991" s="225" t="s">
        <v>155</v>
      </c>
      <c r="T991" s="226"/>
      <c r="U991" s="227"/>
      <c r="V991" s="52" t="s">
        <v>250</v>
      </c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</row>
    <row r="992" ht="30.0" customHeight="1">
      <c r="A992" s="159"/>
      <c r="B992" s="218" t="s">
        <v>246</v>
      </c>
      <c r="C992" s="218" t="s">
        <v>2241</v>
      </c>
      <c r="D992" s="218" t="s">
        <v>2253</v>
      </c>
      <c r="E992" s="219">
        <v>15325.0</v>
      </c>
      <c r="F992" s="220" t="s">
        <v>2284</v>
      </c>
      <c r="G992" s="221" t="s">
        <v>369</v>
      </c>
      <c r="H992" s="222" t="s">
        <v>250</v>
      </c>
      <c r="I992" s="221" t="s">
        <v>42</v>
      </c>
      <c r="J992" s="222" t="s">
        <v>250</v>
      </c>
      <c r="K992" s="223">
        <v>1.0</v>
      </c>
      <c r="L992" s="223" t="b">
        <v>0</v>
      </c>
      <c r="M992" s="223" t="s">
        <v>42</v>
      </c>
      <c r="N992" s="223">
        <v>0.883664</v>
      </c>
      <c r="O992" s="224"/>
      <c r="P992" s="225" t="s">
        <v>155</v>
      </c>
      <c r="Q992" s="225" t="s">
        <v>155</v>
      </c>
      <c r="R992" s="225" t="s">
        <v>155</v>
      </c>
      <c r="S992" s="225" t="s">
        <v>155</v>
      </c>
      <c r="T992" s="226"/>
      <c r="U992" s="227"/>
      <c r="V992" s="52" t="s">
        <v>250</v>
      </c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</row>
    <row r="993" ht="30.0" customHeight="1">
      <c r="A993" s="159"/>
      <c r="B993" s="218" t="s">
        <v>246</v>
      </c>
      <c r="C993" s="218" t="s">
        <v>2241</v>
      </c>
      <c r="D993" s="218" t="s">
        <v>2253</v>
      </c>
      <c r="E993" s="219">
        <v>15425.0</v>
      </c>
      <c r="F993" s="220" t="s">
        <v>2285</v>
      </c>
      <c r="G993" s="221" t="s">
        <v>369</v>
      </c>
      <c r="H993" s="222" t="s">
        <v>250</v>
      </c>
      <c r="I993" s="221" t="s">
        <v>42</v>
      </c>
      <c r="J993" s="222" t="s">
        <v>250</v>
      </c>
      <c r="K993" s="223">
        <v>3.0</v>
      </c>
      <c r="L993" s="223" t="b">
        <v>0</v>
      </c>
      <c r="M993" s="223" t="s">
        <v>42</v>
      </c>
      <c r="N993" s="223">
        <v>0.616413</v>
      </c>
      <c r="O993" s="224"/>
      <c r="P993" s="225" t="s">
        <v>155</v>
      </c>
      <c r="Q993" s="225" t="s">
        <v>155</v>
      </c>
      <c r="R993" s="225" t="s">
        <v>155</v>
      </c>
      <c r="S993" s="225" t="s">
        <v>155</v>
      </c>
      <c r="T993" s="229" t="s">
        <v>554</v>
      </c>
      <c r="U993" s="227"/>
      <c r="V993" s="52" t="s">
        <v>250</v>
      </c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</row>
    <row r="994" ht="30.0" customHeight="1">
      <c r="A994" s="209"/>
      <c r="B994" s="210" t="s">
        <v>2286</v>
      </c>
      <c r="C994" s="211"/>
      <c r="D994" s="211"/>
      <c r="E994" s="212"/>
      <c r="F994" s="213"/>
      <c r="G994" s="213"/>
      <c r="H994" s="213"/>
      <c r="I994" s="212"/>
      <c r="J994" s="212"/>
      <c r="K994" s="214"/>
      <c r="L994" s="214"/>
      <c r="M994" s="214"/>
      <c r="N994" s="214"/>
      <c r="O994" s="215"/>
      <c r="P994" s="216"/>
      <c r="Q994" s="216"/>
      <c r="R994" s="216"/>
      <c r="S994" s="216"/>
      <c r="T994" s="217"/>
      <c r="U994" s="217"/>
      <c r="V994" s="217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</row>
    <row r="995" ht="30.0" customHeight="1">
      <c r="A995" s="159"/>
      <c r="B995" s="218" t="s">
        <v>246</v>
      </c>
      <c r="C995" s="218" t="s">
        <v>2286</v>
      </c>
      <c r="D995" s="218" t="s">
        <v>2287</v>
      </c>
      <c r="E995" s="219">
        <v>37612.0</v>
      </c>
      <c r="F995" s="220" t="s">
        <v>2288</v>
      </c>
      <c r="G995" s="221" t="s">
        <v>369</v>
      </c>
      <c r="H995" s="222" t="s">
        <v>250</v>
      </c>
      <c r="I995" s="221" t="s">
        <v>2289</v>
      </c>
      <c r="J995" s="222" t="s">
        <v>250</v>
      </c>
      <c r="K995" s="223">
        <v>2.0</v>
      </c>
      <c r="L995" s="223" t="b">
        <v>0</v>
      </c>
      <c r="M995" s="223" t="s">
        <v>2289</v>
      </c>
      <c r="N995" s="223">
        <v>62.3693</v>
      </c>
      <c r="O995" s="224"/>
      <c r="P995" s="225" t="s">
        <v>155</v>
      </c>
      <c r="Q995" s="225" t="s">
        <v>155</v>
      </c>
      <c r="R995" s="225" t="s">
        <v>155</v>
      </c>
      <c r="S995" s="225" t="s">
        <v>155</v>
      </c>
      <c r="T995" s="226"/>
      <c r="U995" s="227"/>
      <c r="V995" s="52" t="s">
        <v>250</v>
      </c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</row>
    <row r="996" ht="30.0" customHeight="1">
      <c r="A996" s="159"/>
      <c r="B996" s="218" t="s">
        <v>246</v>
      </c>
      <c r="C996" s="218" t="s">
        <v>2286</v>
      </c>
      <c r="D996" s="218" t="s">
        <v>2287</v>
      </c>
      <c r="E996" s="219">
        <v>53697.0</v>
      </c>
      <c r="F996" s="220" t="s">
        <v>2290</v>
      </c>
      <c r="G996" s="221" t="s">
        <v>369</v>
      </c>
      <c r="H996" s="222" t="s">
        <v>250</v>
      </c>
      <c r="I996" s="221" t="s">
        <v>42</v>
      </c>
      <c r="J996" s="222" t="s">
        <v>250</v>
      </c>
      <c r="K996" s="223">
        <v>1.0</v>
      </c>
      <c r="L996" s="223" t="b">
        <v>0</v>
      </c>
      <c r="M996" s="223" t="s">
        <v>42</v>
      </c>
      <c r="N996" s="223">
        <v>2.369948</v>
      </c>
      <c r="O996" s="224"/>
      <c r="P996" s="225" t="s">
        <v>155</v>
      </c>
      <c r="Q996" s="225" t="s">
        <v>155</v>
      </c>
      <c r="R996" s="225" t="s">
        <v>155</v>
      </c>
      <c r="S996" s="225" t="s">
        <v>155</v>
      </c>
      <c r="T996" s="226"/>
      <c r="U996" s="227"/>
      <c r="V996" s="52" t="s">
        <v>250</v>
      </c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</row>
    <row r="997" ht="30.0" customHeight="1">
      <c r="A997" s="159"/>
      <c r="B997" s="218" t="s">
        <v>246</v>
      </c>
      <c r="C997" s="218" t="s">
        <v>2286</v>
      </c>
      <c r="D997" s="218" t="s">
        <v>2287</v>
      </c>
      <c r="E997" s="219">
        <v>20895.0</v>
      </c>
      <c r="F997" s="220" t="s">
        <v>2291</v>
      </c>
      <c r="G997" s="221" t="s">
        <v>369</v>
      </c>
      <c r="H997" s="222" t="s">
        <v>250</v>
      </c>
      <c r="I997" s="221" t="s">
        <v>42</v>
      </c>
      <c r="J997" s="222" t="s">
        <v>250</v>
      </c>
      <c r="K997" s="223">
        <v>1.0</v>
      </c>
      <c r="L997" s="223" t="b">
        <v>0</v>
      </c>
      <c r="M997" s="223" t="s">
        <v>42</v>
      </c>
      <c r="N997" s="223">
        <v>5.241851</v>
      </c>
      <c r="O997" s="224" t="s">
        <v>238</v>
      </c>
      <c r="P997" s="225" t="s">
        <v>155</v>
      </c>
      <c r="Q997" s="225" t="s">
        <v>155</v>
      </c>
      <c r="R997" s="225" t="s">
        <v>155</v>
      </c>
      <c r="S997" s="225" t="s">
        <v>155</v>
      </c>
      <c r="T997" s="226"/>
      <c r="U997" s="227"/>
      <c r="V997" s="52" t="s">
        <v>250</v>
      </c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</row>
    <row r="998" ht="30.0" customHeight="1">
      <c r="A998" s="159"/>
      <c r="B998" s="218" t="s">
        <v>246</v>
      </c>
      <c r="C998" s="218" t="s">
        <v>2286</v>
      </c>
      <c r="D998" s="218" t="s">
        <v>2287</v>
      </c>
      <c r="E998" s="219">
        <v>11843.0</v>
      </c>
      <c r="F998" s="220" t="s">
        <v>2292</v>
      </c>
      <c r="G998" s="221" t="s">
        <v>369</v>
      </c>
      <c r="H998" s="222" t="s">
        <v>250</v>
      </c>
      <c r="I998" s="221" t="s">
        <v>42</v>
      </c>
      <c r="J998" s="222" t="s">
        <v>250</v>
      </c>
      <c r="K998" s="223">
        <v>1.0</v>
      </c>
      <c r="L998" s="223" t="b">
        <v>0</v>
      </c>
      <c r="M998" s="223" t="s">
        <v>42</v>
      </c>
      <c r="N998" s="223">
        <v>3.481589</v>
      </c>
      <c r="O998" s="224"/>
      <c r="P998" s="225" t="s">
        <v>155</v>
      </c>
      <c r="Q998" s="225" t="s">
        <v>155</v>
      </c>
      <c r="R998" s="225" t="s">
        <v>155</v>
      </c>
      <c r="S998" s="225" t="s">
        <v>155</v>
      </c>
      <c r="T998" s="226"/>
      <c r="U998" s="227"/>
      <c r="V998" s="52" t="s">
        <v>250</v>
      </c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</row>
    <row r="999" ht="30.0" customHeight="1">
      <c r="A999" s="159"/>
      <c r="B999" s="218" t="s">
        <v>246</v>
      </c>
      <c r="C999" s="218" t="s">
        <v>2286</v>
      </c>
      <c r="D999" s="218" t="s">
        <v>2287</v>
      </c>
      <c r="E999" s="219">
        <v>15572.0</v>
      </c>
      <c r="F999" s="220" t="s">
        <v>2293</v>
      </c>
      <c r="G999" s="221" t="s">
        <v>369</v>
      </c>
      <c r="H999" s="222" t="s">
        <v>250</v>
      </c>
      <c r="I999" s="221" t="s">
        <v>42</v>
      </c>
      <c r="J999" s="222" t="s">
        <v>250</v>
      </c>
      <c r="K999" s="223">
        <v>2.0</v>
      </c>
      <c r="L999" s="223" t="b">
        <v>1</v>
      </c>
      <c r="M999" s="223" t="s">
        <v>42</v>
      </c>
      <c r="N999" s="223">
        <v>3.622079</v>
      </c>
      <c r="O999" s="224"/>
      <c r="P999" s="225" t="s">
        <v>155</v>
      </c>
      <c r="Q999" s="225" t="s">
        <v>155</v>
      </c>
      <c r="R999" s="225" t="s">
        <v>155</v>
      </c>
      <c r="S999" s="225" t="s">
        <v>155</v>
      </c>
      <c r="T999" s="226"/>
      <c r="U999" s="227"/>
      <c r="V999" s="52" t="s">
        <v>250</v>
      </c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</row>
    <row r="1000" ht="30.0" customHeight="1">
      <c r="A1000" s="159"/>
      <c r="B1000" s="218" t="s">
        <v>246</v>
      </c>
      <c r="C1000" s="218" t="s">
        <v>2286</v>
      </c>
      <c r="D1000" s="218" t="s">
        <v>2287</v>
      </c>
      <c r="E1000" s="219">
        <v>111708.0</v>
      </c>
      <c r="F1000" s="220" t="s">
        <v>2294</v>
      </c>
      <c r="G1000" s="221" t="s">
        <v>369</v>
      </c>
      <c r="H1000" s="222" t="s">
        <v>250</v>
      </c>
      <c r="I1000" s="221" t="s">
        <v>269</v>
      </c>
      <c r="J1000" s="222" t="s">
        <v>250</v>
      </c>
      <c r="K1000" s="223">
        <v>2.0</v>
      </c>
      <c r="L1000" s="223" t="b">
        <v>0</v>
      </c>
      <c r="M1000" s="223" t="s">
        <v>42</v>
      </c>
      <c r="N1000" s="223">
        <v>5.166666</v>
      </c>
      <c r="O1000" s="224"/>
      <c r="P1000" s="225" t="s">
        <v>155</v>
      </c>
      <c r="Q1000" s="225" t="s">
        <v>155</v>
      </c>
      <c r="R1000" s="225" t="s">
        <v>155</v>
      </c>
      <c r="S1000" s="225" t="s">
        <v>155</v>
      </c>
      <c r="T1000" s="226"/>
      <c r="U1000" s="227"/>
      <c r="V1000" s="52" t="s">
        <v>250</v>
      </c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</row>
    <row r="1001" ht="30.0" customHeight="1">
      <c r="A1001" s="159"/>
      <c r="B1001" s="218" t="s">
        <v>246</v>
      </c>
      <c r="C1001" s="218" t="s">
        <v>2286</v>
      </c>
      <c r="D1001" s="218" t="s">
        <v>2287</v>
      </c>
      <c r="E1001" s="219">
        <v>15605.0</v>
      </c>
      <c r="F1001" s="220" t="s">
        <v>2295</v>
      </c>
      <c r="G1001" s="221" t="s">
        <v>369</v>
      </c>
      <c r="H1001" s="222" t="s">
        <v>250</v>
      </c>
      <c r="I1001" s="221" t="s">
        <v>42</v>
      </c>
      <c r="J1001" s="222" t="s">
        <v>250</v>
      </c>
      <c r="K1001" s="223">
        <v>1.0</v>
      </c>
      <c r="L1001" s="223" t="b">
        <v>0</v>
      </c>
      <c r="M1001" s="223" t="s">
        <v>42</v>
      </c>
      <c r="N1001" s="223">
        <v>2.832475</v>
      </c>
      <c r="O1001" s="224" t="s">
        <v>238</v>
      </c>
      <c r="P1001" s="225" t="s">
        <v>155</v>
      </c>
      <c r="Q1001" s="225" t="s">
        <v>155</v>
      </c>
      <c r="R1001" s="225" t="s">
        <v>155</v>
      </c>
      <c r="S1001" s="225" t="s">
        <v>155</v>
      </c>
      <c r="T1001" s="226"/>
      <c r="U1001" s="227"/>
      <c r="V1001" s="109" t="s">
        <v>2296</v>
      </c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</row>
    <row r="1002" ht="30.0" customHeight="1">
      <c r="A1002" s="159"/>
      <c r="B1002" s="218" t="s">
        <v>246</v>
      </c>
      <c r="C1002" s="218" t="s">
        <v>2286</v>
      </c>
      <c r="D1002" s="218" t="s">
        <v>2287</v>
      </c>
      <c r="E1002" s="219">
        <v>15449.0</v>
      </c>
      <c r="F1002" s="220" t="s">
        <v>2297</v>
      </c>
      <c r="G1002" s="221" t="s">
        <v>369</v>
      </c>
      <c r="H1002" s="222" t="s">
        <v>250</v>
      </c>
      <c r="I1002" s="221" t="s">
        <v>42</v>
      </c>
      <c r="J1002" s="222" t="s">
        <v>250</v>
      </c>
      <c r="K1002" s="223">
        <v>1.0</v>
      </c>
      <c r="L1002" s="223" t="b">
        <v>0</v>
      </c>
      <c r="M1002" s="223" t="s">
        <v>42</v>
      </c>
      <c r="N1002" s="223">
        <v>0.491126</v>
      </c>
      <c r="O1002" s="224" t="s">
        <v>238</v>
      </c>
      <c r="P1002" s="225" t="s">
        <v>155</v>
      </c>
      <c r="Q1002" s="225" t="s">
        <v>155</v>
      </c>
      <c r="R1002" s="225" t="s">
        <v>155</v>
      </c>
      <c r="S1002" s="225" t="s">
        <v>155</v>
      </c>
      <c r="T1002" s="229" t="s">
        <v>554</v>
      </c>
      <c r="U1002" s="227"/>
      <c r="V1002" s="52" t="s">
        <v>250</v>
      </c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</row>
    <row r="1003" ht="30.0" customHeight="1">
      <c r="A1003" s="159"/>
      <c r="B1003" s="218" t="s">
        <v>246</v>
      </c>
      <c r="C1003" s="218" t="s">
        <v>2286</v>
      </c>
      <c r="D1003" s="218" t="s">
        <v>2287</v>
      </c>
      <c r="E1003" s="219">
        <v>102291.0</v>
      </c>
      <c r="F1003" s="220" t="s">
        <v>2298</v>
      </c>
      <c r="G1003" s="221" t="s">
        <v>369</v>
      </c>
      <c r="H1003" s="222" t="s">
        <v>250</v>
      </c>
      <c r="I1003" s="221" t="s">
        <v>42</v>
      </c>
      <c r="J1003" s="222" t="s">
        <v>250</v>
      </c>
      <c r="K1003" s="223">
        <v>2.0</v>
      </c>
      <c r="L1003" s="223" t="b">
        <v>0</v>
      </c>
      <c r="M1003" s="223" t="s">
        <v>42</v>
      </c>
      <c r="N1003" s="223">
        <v>2.664921</v>
      </c>
      <c r="O1003" s="224"/>
      <c r="P1003" s="225" t="s">
        <v>155</v>
      </c>
      <c r="Q1003" s="225" t="s">
        <v>155</v>
      </c>
      <c r="R1003" s="225" t="s">
        <v>155</v>
      </c>
      <c r="S1003" s="225" t="s">
        <v>155</v>
      </c>
      <c r="T1003" s="226"/>
      <c r="U1003" s="227"/>
      <c r="V1003" s="52" t="s">
        <v>250</v>
      </c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</row>
    <row r="1004" ht="30.0" customHeight="1">
      <c r="A1004" s="159"/>
      <c r="B1004" s="218" t="s">
        <v>246</v>
      </c>
      <c r="C1004" s="218" t="s">
        <v>2286</v>
      </c>
      <c r="D1004" s="218" t="s">
        <v>2287</v>
      </c>
      <c r="E1004" s="219">
        <v>102292.0</v>
      </c>
      <c r="F1004" s="220" t="s">
        <v>2299</v>
      </c>
      <c r="G1004" s="221" t="s">
        <v>369</v>
      </c>
      <c r="H1004" s="222" t="s">
        <v>250</v>
      </c>
      <c r="I1004" s="221" t="s">
        <v>42</v>
      </c>
      <c r="J1004" s="222" t="s">
        <v>250</v>
      </c>
      <c r="K1004" s="223">
        <v>2.0</v>
      </c>
      <c r="L1004" s="223" t="b">
        <v>0</v>
      </c>
      <c r="M1004" s="223" t="s">
        <v>42</v>
      </c>
      <c r="N1004" s="223">
        <v>1.197333</v>
      </c>
      <c r="O1004" s="224"/>
      <c r="P1004" s="225" t="s">
        <v>155</v>
      </c>
      <c r="Q1004" s="225" t="s">
        <v>155</v>
      </c>
      <c r="R1004" s="225" t="s">
        <v>155</v>
      </c>
      <c r="S1004" s="225" t="s">
        <v>155</v>
      </c>
      <c r="T1004" s="226"/>
      <c r="U1004" s="227"/>
      <c r="V1004" s="52" t="s">
        <v>250</v>
      </c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</row>
    <row r="1005" ht="30.0" customHeight="1">
      <c r="A1005" s="159"/>
      <c r="B1005" s="218" t="s">
        <v>246</v>
      </c>
      <c r="C1005" s="218" t="s">
        <v>2286</v>
      </c>
      <c r="D1005" s="218" t="s">
        <v>2287</v>
      </c>
      <c r="E1005" s="219">
        <v>15452.0</v>
      </c>
      <c r="F1005" s="220" t="s">
        <v>2300</v>
      </c>
      <c r="G1005" s="221" t="s">
        <v>369</v>
      </c>
      <c r="H1005" s="222" t="s">
        <v>250</v>
      </c>
      <c r="I1005" s="221" t="s">
        <v>42</v>
      </c>
      <c r="J1005" s="222" t="s">
        <v>250</v>
      </c>
      <c r="K1005" s="223">
        <v>1.0</v>
      </c>
      <c r="L1005" s="223" t="b">
        <v>0</v>
      </c>
      <c r="M1005" s="223" t="s">
        <v>42</v>
      </c>
      <c r="N1005" s="223">
        <v>1.863179</v>
      </c>
      <c r="O1005" s="224" t="s">
        <v>238</v>
      </c>
      <c r="P1005" s="225" t="s">
        <v>155</v>
      </c>
      <c r="Q1005" s="225" t="s">
        <v>155</v>
      </c>
      <c r="R1005" s="225" t="s">
        <v>155</v>
      </c>
      <c r="S1005" s="225" t="s">
        <v>155</v>
      </c>
      <c r="T1005" s="226"/>
      <c r="U1005" s="227"/>
      <c r="V1005" s="52" t="s">
        <v>250</v>
      </c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</row>
    <row r="1006" ht="30.0" customHeight="1">
      <c r="A1006" s="159"/>
      <c r="B1006" s="218" t="s">
        <v>246</v>
      </c>
      <c r="C1006" s="218" t="s">
        <v>2286</v>
      </c>
      <c r="D1006" s="218" t="s">
        <v>2287</v>
      </c>
      <c r="E1006" s="219">
        <v>15606.0</v>
      </c>
      <c r="F1006" s="220" t="s">
        <v>2301</v>
      </c>
      <c r="G1006" s="221" t="s">
        <v>369</v>
      </c>
      <c r="H1006" s="222" t="s">
        <v>250</v>
      </c>
      <c r="I1006" s="221" t="s">
        <v>42</v>
      </c>
      <c r="J1006" s="222" t="s">
        <v>250</v>
      </c>
      <c r="K1006" s="223">
        <v>1.0</v>
      </c>
      <c r="L1006" s="223" t="b">
        <v>0</v>
      </c>
      <c r="M1006" s="223" t="s">
        <v>42</v>
      </c>
      <c r="N1006" s="223">
        <v>1.134951</v>
      </c>
      <c r="O1006" s="224" t="s">
        <v>238</v>
      </c>
      <c r="P1006" s="225" t="s">
        <v>155</v>
      </c>
      <c r="Q1006" s="225" t="s">
        <v>155</v>
      </c>
      <c r="R1006" s="225" t="s">
        <v>155</v>
      </c>
      <c r="S1006" s="225" t="s">
        <v>155</v>
      </c>
      <c r="T1006" s="226"/>
      <c r="U1006" s="227"/>
      <c r="V1006" s="52" t="s">
        <v>250</v>
      </c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</row>
    <row r="1007" ht="30.0" customHeight="1">
      <c r="A1007" s="159"/>
      <c r="B1007" s="218" t="s">
        <v>246</v>
      </c>
      <c r="C1007" s="218" t="s">
        <v>2286</v>
      </c>
      <c r="D1007" s="218" t="s">
        <v>2287</v>
      </c>
      <c r="E1007" s="219">
        <v>15450.0</v>
      </c>
      <c r="F1007" s="220" t="s">
        <v>2302</v>
      </c>
      <c r="G1007" s="221" t="s">
        <v>369</v>
      </c>
      <c r="H1007" s="222" t="s">
        <v>250</v>
      </c>
      <c r="I1007" s="221" t="s">
        <v>42</v>
      </c>
      <c r="J1007" s="222" t="s">
        <v>250</v>
      </c>
      <c r="K1007" s="223">
        <v>1.0</v>
      </c>
      <c r="L1007" s="223" t="b">
        <v>0</v>
      </c>
      <c r="M1007" s="223" t="s">
        <v>42</v>
      </c>
      <c r="N1007" s="223">
        <v>1.002393</v>
      </c>
      <c r="O1007" s="224" t="s">
        <v>238</v>
      </c>
      <c r="P1007" s="225" t="s">
        <v>155</v>
      </c>
      <c r="Q1007" s="225" t="s">
        <v>155</v>
      </c>
      <c r="R1007" s="225" t="s">
        <v>155</v>
      </c>
      <c r="S1007" s="225" t="s">
        <v>155</v>
      </c>
      <c r="T1007" s="226"/>
      <c r="U1007" s="227"/>
      <c r="V1007" s="52" t="s">
        <v>250</v>
      </c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</row>
    <row r="1008" ht="30.0" customHeight="1">
      <c r="A1008" s="159"/>
      <c r="B1008" s="218" t="s">
        <v>246</v>
      </c>
      <c r="C1008" s="218" t="s">
        <v>2286</v>
      </c>
      <c r="D1008" s="218" t="s">
        <v>2287</v>
      </c>
      <c r="E1008" s="219">
        <v>106901.0</v>
      </c>
      <c r="F1008" s="220" t="s">
        <v>2303</v>
      </c>
      <c r="G1008" s="221" t="s">
        <v>369</v>
      </c>
      <c r="H1008" s="222" t="s">
        <v>250</v>
      </c>
      <c r="I1008" s="221" t="s">
        <v>389</v>
      </c>
      <c r="J1008" s="222" t="s">
        <v>250</v>
      </c>
      <c r="K1008" s="223">
        <v>0.0</v>
      </c>
      <c r="L1008" s="223" t="b">
        <v>0</v>
      </c>
      <c r="M1008" s="228"/>
      <c r="N1008" s="228"/>
      <c r="O1008" s="224"/>
      <c r="P1008" s="225" t="s">
        <v>155</v>
      </c>
      <c r="Q1008" s="225" t="s">
        <v>155</v>
      </c>
      <c r="R1008" s="225" t="s">
        <v>155</v>
      </c>
      <c r="S1008" s="225" t="s">
        <v>155</v>
      </c>
      <c r="T1008" s="226"/>
      <c r="U1008" s="227"/>
      <c r="V1008" s="52" t="s">
        <v>250</v>
      </c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</row>
    <row r="1009" ht="30.0" customHeight="1">
      <c r="A1009" s="159"/>
      <c r="B1009" s="218" t="s">
        <v>246</v>
      </c>
      <c r="C1009" s="218" t="s">
        <v>2286</v>
      </c>
      <c r="D1009" s="218" t="s">
        <v>2287</v>
      </c>
      <c r="E1009" s="219">
        <v>38191.0</v>
      </c>
      <c r="F1009" s="220" t="s">
        <v>2304</v>
      </c>
      <c r="G1009" s="221" t="s">
        <v>369</v>
      </c>
      <c r="H1009" s="222" t="s">
        <v>250</v>
      </c>
      <c r="I1009" s="221" t="s">
        <v>42</v>
      </c>
      <c r="J1009" s="222" t="s">
        <v>250</v>
      </c>
      <c r="K1009" s="223">
        <v>2.0</v>
      </c>
      <c r="L1009" s="223" t="b">
        <v>0</v>
      </c>
      <c r="M1009" s="223" t="s">
        <v>42</v>
      </c>
      <c r="N1009" s="223">
        <v>1.435082</v>
      </c>
      <c r="O1009" s="224" t="s">
        <v>238</v>
      </c>
      <c r="P1009" s="225" t="s">
        <v>155</v>
      </c>
      <c r="Q1009" s="225" t="s">
        <v>155</v>
      </c>
      <c r="R1009" s="225" t="s">
        <v>155</v>
      </c>
      <c r="S1009" s="225" t="s">
        <v>155</v>
      </c>
      <c r="T1009" s="226"/>
      <c r="U1009" s="227"/>
      <c r="V1009" s="52" t="s">
        <v>250</v>
      </c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</row>
    <row r="1010" ht="30.0" customHeight="1">
      <c r="A1010" s="159"/>
      <c r="B1010" s="218" t="s">
        <v>246</v>
      </c>
      <c r="C1010" s="218" t="s">
        <v>2286</v>
      </c>
      <c r="D1010" s="218" t="s">
        <v>2287</v>
      </c>
      <c r="E1010" s="219">
        <v>15454.0</v>
      </c>
      <c r="F1010" s="220" t="s">
        <v>2305</v>
      </c>
      <c r="G1010" s="221" t="s">
        <v>369</v>
      </c>
      <c r="H1010" s="222" t="s">
        <v>250</v>
      </c>
      <c r="I1010" s="221" t="s">
        <v>42</v>
      </c>
      <c r="J1010" s="222" t="s">
        <v>250</v>
      </c>
      <c r="K1010" s="223">
        <v>1.0</v>
      </c>
      <c r="L1010" s="223" t="b">
        <v>0</v>
      </c>
      <c r="M1010" s="223" t="s">
        <v>42</v>
      </c>
      <c r="N1010" s="223">
        <v>0.403824</v>
      </c>
      <c r="O1010" s="224" t="s">
        <v>238</v>
      </c>
      <c r="P1010" s="225" t="s">
        <v>155</v>
      </c>
      <c r="Q1010" s="225" t="s">
        <v>155</v>
      </c>
      <c r="R1010" s="225" t="s">
        <v>155</v>
      </c>
      <c r="S1010" s="225" t="s">
        <v>155</v>
      </c>
      <c r="T1010" s="226"/>
      <c r="U1010" s="227"/>
      <c r="V1010" s="52" t="s">
        <v>250</v>
      </c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</row>
    <row r="1011" ht="30.0" customHeight="1">
      <c r="A1011" s="159"/>
      <c r="B1011" s="218" t="s">
        <v>246</v>
      </c>
      <c r="C1011" s="218" t="s">
        <v>2286</v>
      </c>
      <c r="D1011" s="218" t="s">
        <v>2287</v>
      </c>
      <c r="E1011" s="219">
        <v>15456.0</v>
      </c>
      <c r="F1011" s="220" t="s">
        <v>2306</v>
      </c>
      <c r="G1011" s="221" t="s">
        <v>369</v>
      </c>
      <c r="H1011" s="222" t="s">
        <v>250</v>
      </c>
      <c r="I1011" s="221" t="s">
        <v>42</v>
      </c>
      <c r="J1011" s="222" t="s">
        <v>250</v>
      </c>
      <c r="K1011" s="223">
        <v>1.0</v>
      </c>
      <c r="L1011" s="223" t="b">
        <v>0</v>
      </c>
      <c r="M1011" s="223" t="s">
        <v>42</v>
      </c>
      <c r="N1011" s="223">
        <v>0.705325</v>
      </c>
      <c r="O1011" s="224" t="s">
        <v>238</v>
      </c>
      <c r="P1011" s="225" t="s">
        <v>155</v>
      </c>
      <c r="Q1011" s="225" t="s">
        <v>155</v>
      </c>
      <c r="R1011" s="225" t="s">
        <v>155</v>
      </c>
      <c r="S1011" s="225" t="s">
        <v>155</v>
      </c>
      <c r="T1011" s="226"/>
      <c r="U1011" s="227"/>
      <c r="V1011" s="52" t="s">
        <v>250</v>
      </c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</row>
    <row r="1012" ht="30.0" customHeight="1">
      <c r="A1012" s="159"/>
      <c r="B1012" s="218" t="s">
        <v>246</v>
      </c>
      <c r="C1012" s="218" t="s">
        <v>2286</v>
      </c>
      <c r="D1012" s="218" t="s">
        <v>2287</v>
      </c>
      <c r="E1012" s="219">
        <v>15455.0</v>
      </c>
      <c r="F1012" s="220" t="s">
        <v>2307</v>
      </c>
      <c r="G1012" s="221" t="s">
        <v>369</v>
      </c>
      <c r="H1012" s="222" t="s">
        <v>250</v>
      </c>
      <c r="I1012" s="221" t="s">
        <v>42</v>
      </c>
      <c r="J1012" s="222" t="s">
        <v>250</v>
      </c>
      <c r="K1012" s="223">
        <v>1.0</v>
      </c>
      <c r="L1012" s="223" t="b">
        <v>0</v>
      </c>
      <c r="M1012" s="223" t="s">
        <v>42</v>
      </c>
      <c r="N1012" s="223">
        <v>0.47681</v>
      </c>
      <c r="O1012" s="224" t="s">
        <v>238</v>
      </c>
      <c r="P1012" s="225" t="s">
        <v>155</v>
      </c>
      <c r="Q1012" s="225" t="s">
        <v>155</v>
      </c>
      <c r="R1012" s="225" t="s">
        <v>155</v>
      </c>
      <c r="S1012" s="225" t="s">
        <v>155</v>
      </c>
      <c r="T1012" s="226"/>
      <c r="U1012" s="227"/>
      <c r="V1012" s="52" t="s">
        <v>250</v>
      </c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</row>
    <row r="1013" ht="30.0" customHeight="1">
      <c r="A1013" s="159"/>
      <c r="B1013" s="218" t="s">
        <v>246</v>
      </c>
      <c r="C1013" s="218" t="s">
        <v>2286</v>
      </c>
      <c r="D1013" s="218" t="s">
        <v>2287</v>
      </c>
      <c r="E1013" s="219">
        <v>15545.0</v>
      </c>
      <c r="F1013" s="220" t="s">
        <v>2308</v>
      </c>
      <c r="G1013" s="221" t="s">
        <v>369</v>
      </c>
      <c r="H1013" s="222" t="s">
        <v>250</v>
      </c>
      <c r="I1013" s="221" t="s">
        <v>42</v>
      </c>
      <c r="J1013" s="222" t="s">
        <v>250</v>
      </c>
      <c r="K1013" s="223">
        <v>1.0</v>
      </c>
      <c r="L1013" s="223" t="b">
        <v>0</v>
      </c>
      <c r="M1013" s="223" t="s">
        <v>42</v>
      </c>
      <c r="N1013" s="223">
        <v>0.660947</v>
      </c>
      <c r="O1013" s="224" t="s">
        <v>238</v>
      </c>
      <c r="P1013" s="225" t="s">
        <v>155</v>
      </c>
      <c r="Q1013" s="225" t="s">
        <v>155</v>
      </c>
      <c r="R1013" s="225" t="s">
        <v>155</v>
      </c>
      <c r="S1013" s="225" t="s">
        <v>155</v>
      </c>
      <c r="T1013" s="226"/>
      <c r="U1013" s="227"/>
      <c r="V1013" s="52" t="s">
        <v>250</v>
      </c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</row>
    <row r="1014" ht="30.0" customHeight="1">
      <c r="A1014" s="159"/>
      <c r="B1014" s="218" t="s">
        <v>246</v>
      </c>
      <c r="C1014" s="218" t="s">
        <v>2286</v>
      </c>
      <c r="D1014" s="218" t="s">
        <v>2287</v>
      </c>
      <c r="E1014" s="219">
        <v>111931.0</v>
      </c>
      <c r="F1014" s="220" t="s">
        <v>2309</v>
      </c>
      <c r="G1014" s="221" t="s">
        <v>369</v>
      </c>
      <c r="H1014" s="222" t="s">
        <v>250</v>
      </c>
      <c r="I1014" s="221" t="s">
        <v>42</v>
      </c>
      <c r="J1014" s="222" t="s">
        <v>250</v>
      </c>
      <c r="K1014" s="223">
        <v>2.0</v>
      </c>
      <c r="L1014" s="223" t="b">
        <v>0</v>
      </c>
      <c r="M1014" s="223" t="s">
        <v>42</v>
      </c>
      <c r="N1014" s="223">
        <v>4.559411</v>
      </c>
      <c r="O1014" s="224"/>
      <c r="P1014" s="225" t="s">
        <v>155</v>
      </c>
      <c r="Q1014" s="225" t="s">
        <v>155</v>
      </c>
      <c r="R1014" s="225" t="s">
        <v>155</v>
      </c>
      <c r="S1014" s="225" t="s">
        <v>155</v>
      </c>
      <c r="T1014" s="226"/>
      <c r="U1014" s="227"/>
      <c r="V1014" s="52" t="s">
        <v>250</v>
      </c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</row>
    <row r="1015" ht="30.0" customHeight="1">
      <c r="A1015" s="159"/>
      <c r="B1015" s="218" t="s">
        <v>246</v>
      </c>
      <c r="C1015" s="218" t="s">
        <v>2286</v>
      </c>
      <c r="D1015" s="218" t="s">
        <v>2287</v>
      </c>
      <c r="E1015" s="219">
        <v>15458.0</v>
      </c>
      <c r="F1015" s="220" t="s">
        <v>2310</v>
      </c>
      <c r="G1015" s="221" t="s">
        <v>369</v>
      </c>
      <c r="H1015" s="222" t="s">
        <v>250</v>
      </c>
      <c r="I1015" s="221" t="s">
        <v>42</v>
      </c>
      <c r="J1015" s="222" t="s">
        <v>250</v>
      </c>
      <c r="K1015" s="223">
        <v>1.0</v>
      </c>
      <c r="L1015" s="223" t="b">
        <v>0</v>
      </c>
      <c r="M1015" s="223" t="s">
        <v>42</v>
      </c>
      <c r="N1015" s="223">
        <v>0.441751</v>
      </c>
      <c r="O1015" s="224" t="s">
        <v>238</v>
      </c>
      <c r="P1015" s="225" t="s">
        <v>155</v>
      </c>
      <c r="Q1015" s="225" t="s">
        <v>155</v>
      </c>
      <c r="R1015" s="225" t="s">
        <v>155</v>
      </c>
      <c r="S1015" s="225" t="s">
        <v>155</v>
      </c>
      <c r="T1015" s="229" t="s">
        <v>554</v>
      </c>
      <c r="U1015" s="227"/>
      <c r="V1015" s="52" t="s">
        <v>250</v>
      </c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</row>
    <row r="1016" ht="30.0" customHeight="1">
      <c r="A1016" s="159"/>
      <c r="B1016" s="218" t="s">
        <v>246</v>
      </c>
      <c r="C1016" s="218" t="s">
        <v>2286</v>
      </c>
      <c r="D1016" s="218" t="s">
        <v>2287</v>
      </c>
      <c r="E1016" s="219">
        <v>24674.0</v>
      </c>
      <c r="F1016" s="220" t="s">
        <v>2311</v>
      </c>
      <c r="G1016" s="221" t="s">
        <v>369</v>
      </c>
      <c r="H1016" s="222" t="s">
        <v>250</v>
      </c>
      <c r="I1016" s="221" t="s">
        <v>42</v>
      </c>
      <c r="J1016" s="222" t="s">
        <v>250</v>
      </c>
      <c r="K1016" s="223">
        <v>1.0</v>
      </c>
      <c r="L1016" s="223" t="b">
        <v>0</v>
      </c>
      <c r="M1016" s="228"/>
      <c r="N1016" s="228"/>
      <c r="O1016" s="224"/>
      <c r="P1016" s="225" t="s">
        <v>155</v>
      </c>
      <c r="Q1016" s="225" t="s">
        <v>155</v>
      </c>
      <c r="R1016" s="225" t="s">
        <v>155</v>
      </c>
      <c r="S1016" s="225" t="s">
        <v>155</v>
      </c>
      <c r="T1016" s="226"/>
      <c r="U1016" s="227"/>
      <c r="V1016" s="52" t="s">
        <v>250</v>
      </c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</row>
    <row r="1017" ht="30.0" customHeight="1">
      <c r="A1017" s="159"/>
      <c r="B1017" s="218" t="s">
        <v>246</v>
      </c>
      <c r="C1017" s="218" t="s">
        <v>2286</v>
      </c>
      <c r="D1017" s="218" t="s">
        <v>2287</v>
      </c>
      <c r="E1017" s="219">
        <v>15559.0</v>
      </c>
      <c r="F1017" s="220" t="s">
        <v>2312</v>
      </c>
      <c r="G1017" s="221" t="s">
        <v>369</v>
      </c>
      <c r="H1017" s="222" t="s">
        <v>250</v>
      </c>
      <c r="I1017" s="221" t="s">
        <v>42</v>
      </c>
      <c r="J1017" s="222" t="s">
        <v>250</v>
      </c>
      <c r="K1017" s="223">
        <v>1.0</v>
      </c>
      <c r="L1017" s="223" t="b">
        <v>0</v>
      </c>
      <c r="M1017" s="223" t="s">
        <v>42</v>
      </c>
      <c r="N1017" s="223">
        <v>5.46758</v>
      </c>
      <c r="O1017" s="224"/>
      <c r="P1017" s="225" t="s">
        <v>155</v>
      </c>
      <c r="Q1017" s="225" t="s">
        <v>155</v>
      </c>
      <c r="R1017" s="225" t="s">
        <v>155</v>
      </c>
      <c r="S1017" s="225" t="s">
        <v>155</v>
      </c>
      <c r="T1017" s="229" t="s">
        <v>554</v>
      </c>
      <c r="U1017" s="227"/>
      <c r="V1017" s="52" t="s">
        <v>250</v>
      </c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</row>
    <row r="1018" ht="30.0" customHeight="1">
      <c r="A1018" s="159"/>
      <c r="B1018" s="218" t="s">
        <v>246</v>
      </c>
      <c r="C1018" s="218" t="s">
        <v>2286</v>
      </c>
      <c r="D1018" s="218" t="s">
        <v>2287</v>
      </c>
      <c r="E1018" s="219">
        <v>110064.0</v>
      </c>
      <c r="F1018" s="220" t="s">
        <v>2313</v>
      </c>
      <c r="G1018" s="221" t="s">
        <v>369</v>
      </c>
      <c r="H1018" s="222" t="s">
        <v>250</v>
      </c>
      <c r="I1018" s="221" t="s">
        <v>42</v>
      </c>
      <c r="J1018" s="222" t="s">
        <v>250</v>
      </c>
      <c r="K1018" s="223">
        <v>1.0</v>
      </c>
      <c r="L1018" s="223" t="b">
        <v>0</v>
      </c>
      <c r="M1018" s="223" t="s">
        <v>42</v>
      </c>
      <c r="N1018" s="223">
        <v>1.189444</v>
      </c>
      <c r="O1018" s="224"/>
      <c r="P1018" s="225" t="s">
        <v>155</v>
      </c>
      <c r="Q1018" s="225" t="s">
        <v>155</v>
      </c>
      <c r="R1018" s="225" t="s">
        <v>155</v>
      </c>
      <c r="S1018" s="225" t="s">
        <v>155</v>
      </c>
      <c r="T1018" s="226"/>
      <c r="U1018" s="227"/>
      <c r="V1018" s="52" t="s">
        <v>250</v>
      </c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</row>
    <row r="1019" ht="30.0" customHeight="1">
      <c r="A1019" s="159"/>
      <c r="B1019" s="218" t="s">
        <v>246</v>
      </c>
      <c r="C1019" s="218" t="s">
        <v>2286</v>
      </c>
      <c r="D1019" s="218" t="s">
        <v>2287</v>
      </c>
      <c r="E1019" s="219">
        <v>15459.0</v>
      </c>
      <c r="F1019" s="220" t="s">
        <v>2314</v>
      </c>
      <c r="G1019" s="221" t="s">
        <v>369</v>
      </c>
      <c r="H1019" s="222" t="s">
        <v>250</v>
      </c>
      <c r="I1019" s="221" t="s">
        <v>42</v>
      </c>
      <c r="J1019" s="222" t="s">
        <v>250</v>
      </c>
      <c r="K1019" s="223">
        <v>1.0</v>
      </c>
      <c r="L1019" s="223" t="b">
        <v>0</v>
      </c>
      <c r="M1019" s="223" t="s">
        <v>42</v>
      </c>
      <c r="N1019" s="223">
        <v>0.953852</v>
      </c>
      <c r="O1019" s="224" t="s">
        <v>238</v>
      </c>
      <c r="P1019" s="225" t="s">
        <v>155</v>
      </c>
      <c r="Q1019" s="225" t="s">
        <v>155</v>
      </c>
      <c r="R1019" s="225" t="s">
        <v>155</v>
      </c>
      <c r="S1019" s="225" t="s">
        <v>155</v>
      </c>
      <c r="T1019" s="226"/>
      <c r="U1019" s="227"/>
      <c r="V1019" s="52" t="s">
        <v>250</v>
      </c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</row>
    <row r="1020" ht="30.0" customHeight="1">
      <c r="A1020" s="159"/>
      <c r="B1020" s="218" t="s">
        <v>246</v>
      </c>
      <c r="C1020" s="218" t="s">
        <v>2286</v>
      </c>
      <c r="D1020" s="218" t="s">
        <v>2287</v>
      </c>
      <c r="E1020" s="219">
        <v>110917.0</v>
      </c>
      <c r="F1020" s="220" t="s">
        <v>2315</v>
      </c>
      <c r="G1020" s="221" t="s">
        <v>369</v>
      </c>
      <c r="H1020" s="222" t="s">
        <v>250</v>
      </c>
      <c r="I1020" s="221" t="s">
        <v>616</v>
      </c>
      <c r="J1020" s="222" t="s">
        <v>250</v>
      </c>
      <c r="K1020" s="223">
        <v>1.0</v>
      </c>
      <c r="L1020" s="223" t="b">
        <v>0</v>
      </c>
      <c r="M1020" s="223" t="s">
        <v>42</v>
      </c>
      <c r="N1020" s="223">
        <v>1.630121</v>
      </c>
      <c r="O1020" s="224"/>
      <c r="P1020" s="225" t="s">
        <v>155</v>
      </c>
      <c r="Q1020" s="225" t="s">
        <v>155</v>
      </c>
      <c r="R1020" s="225" t="s">
        <v>155</v>
      </c>
      <c r="S1020" s="225" t="s">
        <v>155</v>
      </c>
      <c r="T1020" s="226"/>
      <c r="U1020" s="227"/>
      <c r="V1020" s="52" t="s">
        <v>250</v>
      </c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</row>
    <row r="1021" ht="30.0" customHeight="1">
      <c r="A1021" s="159"/>
      <c r="B1021" s="218" t="s">
        <v>246</v>
      </c>
      <c r="C1021" s="218" t="s">
        <v>2286</v>
      </c>
      <c r="D1021" s="218" t="s">
        <v>2287</v>
      </c>
      <c r="E1021" s="219">
        <v>110078.0</v>
      </c>
      <c r="F1021" s="220" t="s">
        <v>2316</v>
      </c>
      <c r="G1021" s="221" t="s">
        <v>369</v>
      </c>
      <c r="H1021" s="222" t="s">
        <v>250</v>
      </c>
      <c r="I1021" s="221" t="s">
        <v>972</v>
      </c>
      <c r="J1021" s="222" t="s">
        <v>250</v>
      </c>
      <c r="K1021" s="223">
        <v>1.0</v>
      </c>
      <c r="L1021" s="223" t="b">
        <v>0</v>
      </c>
      <c r="M1021" s="223" t="s">
        <v>972</v>
      </c>
      <c r="N1021" s="223">
        <v>1.690952</v>
      </c>
      <c r="O1021" s="224"/>
      <c r="P1021" s="225" t="s">
        <v>155</v>
      </c>
      <c r="Q1021" s="225" t="s">
        <v>155</v>
      </c>
      <c r="R1021" s="225" t="s">
        <v>155</v>
      </c>
      <c r="S1021" s="225" t="s">
        <v>155</v>
      </c>
      <c r="T1021" s="226"/>
      <c r="U1021" s="227"/>
      <c r="V1021" s="52" t="s">
        <v>250</v>
      </c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</row>
    <row r="1022" ht="30.0" customHeight="1">
      <c r="A1022" s="159"/>
      <c r="B1022" s="218" t="s">
        <v>246</v>
      </c>
      <c r="C1022" s="218" t="s">
        <v>2286</v>
      </c>
      <c r="D1022" s="218" t="s">
        <v>2287</v>
      </c>
      <c r="E1022" s="219">
        <v>15562.0</v>
      </c>
      <c r="F1022" s="220" t="s">
        <v>2317</v>
      </c>
      <c r="G1022" s="221" t="s">
        <v>369</v>
      </c>
      <c r="H1022" s="222" t="s">
        <v>250</v>
      </c>
      <c r="I1022" s="221" t="s">
        <v>42</v>
      </c>
      <c r="J1022" s="221" t="s">
        <v>1457</v>
      </c>
      <c r="K1022" s="223">
        <v>2.0</v>
      </c>
      <c r="L1022" s="223" t="b">
        <v>0</v>
      </c>
      <c r="M1022" s="223" t="s">
        <v>42</v>
      </c>
      <c r="N1022" s="223">
        <v>0.94725</v>
      </c>
      <c r="O1022" s="224" t="s">
        <v>238</v>
      </c>
      <c r="P1022" s="225" t="s">
        <v>155</v>
      </c>
      <c r="Q1022" s="225" t="s">
        <v>155</v>
      </c>
      <c r="R1022" s="225" t="s">
        <v>155</v>
      </c>
      <c r="S1022" s="225" t="s">
        <v>155</v>
      </c>
      <c r="T1022" s="226"/>
      <c r="U1022" s="227"/>
      <c r="V1022" s="52" t="s">
        <v>250</v>
      </c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</row>
    <row r="1023" ht="30.0" customHeight="1">
      <c r="A1023" s="159"/>
      <c r="B1023" s="218" t="s">
        <v>246</v>
      </c>
      <c r="C1023" s="218" t="s">
        <v>2286</v>
      </c>
      <c r="D1023" s="218" t="s">
        <v>2287</v>
      </c>
      <c r="E1023" s="219">
        <v>15460.0</v>
      </c>
      <c r="F1023" s="220" t="s">
        <v>2318</v>
      </c>
      <c r="G1023" s="221" t="s">
        <v>369</v>
      </c>
      <c r="H1023" s="222" t="s">
        <v>250</v>
      </c>
      <c r="I1023" s="221" t="s">
        <v>42</v>
      </c>
      <c r="J1023" s="221" t="s">
        <v>1457</v>
      </c>
      <c r="K1023" s="223">
        <v>1.0</v>
      </c>
      <c r="L1023" s="223" t="b">
        <v>0</v>
      </c>
      <c r="M1023" s="223" t="s">
        <v>42</v>
      </c>
      <c r="N1023" s="223">
        <v>0.585487</v>
      </c>
      <c r="O1023" s="224" t="s">
        <v>238</v>
      </c>
      <c r="P1023" s="225" t="s">
        <v>155</v>
      </c>
      <c r="Q1023" s="225" t="s">
        <v>155</v>
      </c>
      <c r="R1023" s="225" t="s">
        <v>155</v>
      </c>
      <c r="S1023" s="225" t="s">
        <v>155</v>
      </c>
      <c r="T1023" s="229" t="s">
        <v>554</v>
      </c>
      <c r="U1023" s="227"/>
      <c r="V1023" s="52" t="s">
        <v>250</v>
      </c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</row>
    <row r="1024" ht="30.0" customHeight="1">
      <c r="A1024" s="159"/>
      <c r="B1024" s="218" t="s">
        <v>246</v>
      </c>
      <c r="C1024" s="218" t="s">
        <v>2286</v>
      </c>
      <c r="D1024" s="218" t="s">
        <v>2287</v>
      </c>
      <c r="E1024" s="219">
        <v>109760.0</v>
      </c>
      <c r="F1024" s="220" t="s">
        <v>2319</v>
      </c>
      <c r="G1024" s="221" t="s">
        <v>369</v>
      </c>
      <c r="H1024" s="221" t="s">
        <v>2320</v>
      </c>
      <c r="I1024" s="221" t="s">
        <v>2321</v>
      </c>
      <c r="J1024" s="222" t="s">
        <v>250</v>
      </c>
      <c r="K1024" s="223">
        <v>1.0</v>
      </c>
      <c r="L1024" s="223" t="b">
        <v>0</v>
      </c>
      <c r="M1024" s="228"/>
      <c r="N1024" s="228"/>
      <c r="O1024" s="224"/>
      <c r="P1024" s="225" t="s">
        <v>155</v>
      </c>
      <c r="Q1024" s="225" t="s">
        <v>155</v>
      </c>
      <c r="R1024" s="225" t="s">
        <v>155</v>
      </c>
      <c r="S1024" s="225" t="s">
        <v>155</v>
      </c>
      <c r="T1024" s="226"/>
      <c r="U1024" s="227"/>
      <c r="V1024" s="52" t="s">
        <v>250</v>
      </c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</row>
    <row r="1025" ht="30.0" customHeight="1">
      <c r="A1025" s="159"/>
      <c r="B1025" s="218" t="s">
        <v>246</v>
      </c>
      <c r="C1025" s="218" t="s">
        <v>2286</v>
      </c>
      <c r="D1025" s="218" t="s">
        <v>2287</v>
      </c>
      <c r="E1025" s="219">
        <v>15589.0</v>
      </c>
      <c r="F1025" s="220" t="s">
        <v>2322</v>
      </c>
      <c r="G1025" s="221" t="s">
        <v>369</v>
      </c>
      <c r="H1025" s="222" t="s">
        <v>250</v>
      </c>
      <c r="I1025" s="221" t="s">
        <v>42</v>
      </c>
      <c r="J1025" s="222" t="s">
        <v>250</v>
      </c>
      <c r="K1025" s="223">
        <v>1.0</v>
      </c>
      <c r="L1025" s="223" t="b">
        <v>0</v>
      </c>
      <c r="M1025" s="223" t="s">
        <v>42</v>
      </c>
      <c r="N1025" s="223">
        <v>1.001034</v>
      </c>
      <c r="O1025" s="224"/>
      <c r="P1025" s="225" t="s">
        <v>155</v>
      </c>
      <c r="Q1025" s="225" t="s">
        <v>155</v>
      </c>
      <c r="R1025" s="225" t="s">
        <v>155</v>
      </c>
      <c r="S1025" s="225" t="s">
        <v>155</v>
      </c>
      <c r="T1025" s="226"/>
      <c r="U1025" s="227"/>
      <c r="V1025" s="52" t="s">
        <v>250</v>
      </c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</row>
    <row r="1026" ht="30.0" customHeight="1">
      <c r="A1026" s="159"/>
      <c r="B1026" s="218" t="s">
        <v>246</v>
      </c>
      <c r="C1026" s="218" t="s">
        <v>2286</v>
      </c>
      <c r="D1026" s="218" t="s">
        <v>2287</v>
      </c>
      <c r="E1026" s="219">
        <v>109753.0</v>
      </c>
      <c r="F1026" s="220" t="s">
        <v>2323</v>
      </c>
      <c r="G1026" s="221" t="s">
        <v>369</v>
      </c>
      <c r="H1026" s="222" t="s">
        <v>250</v>
      </c>
      <c r="I1026" s="221" t="s">
        <v>42</v>
      </c>
      <c r="J1026" s="222" t="s">
        <v>250</v>
      </c>
      <c r="K1026" s="223">
        <v>1.0</v>
      </c>
      <c r="L1026" s="223" t="b">
        <v>0</v>
      </c>
      <c r="M1026" s="223" t="s">
        <v>42</v>
      </c>
      <c r="N1026" s="223">
        <v>3.216533</v>
      </c>
      <c r="O1026" s="224"/>
      <c r="P1026" s="225" t="s">
        <v>155</v>
      </c>
      <c r="Q1026" s="225" t="s">
        <v>155</v>
      </c>
      <c r="R1026" s="225" t="s">
        <v>155</v>
      </c>
      <c r="S1026" s="225" t="s">
        <v>155</v>
      </c>
      <c r="T1026" s="226"/>
      <c r="U1026" s="227"/>
      <c r="V1026" s="52" t="s">
        <v>250</v>
      </c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</row>
    <row r="1027" ht="30.0" customHeight="1">
      <c r="A1027" s="159"/>
      <c r="B1027" s="218" t="s">
        <v>246</v>
      </c>
      <c r="C1027" s="218" t="s">
        <v>2286</v>
      </c>
      <c r="D1027" s="218" t="s">
        <v>2287</v>
      </c>
      <c r="E1027" s="219">
        <v>35189.0</v>
      </c>
      <c r="F1027" s="220" t="s">
        <v>2324</v>
      </c>
      <c r="G1027" s="221" t="s">
        <v>369</v>
      </c>
      <c r="H1027" s="222" t="s">
        <v>250</v>
      </c>
      <c r="I1027" s="221" t="s">
        <v>42</v>
      </c>
      <c r="J1027" s="222" t="s">
        <v>250</v>
      </c>
      <c r="K1027" s="223">
        <v>1.0</v>
      </c>
      <c r="L1027" s="223" t="b">
        <v>0</v>
      </c>
      <c r="M1027" s="223" t="s">
        <v>42</v>
      </c>
      <c r="N1027" s="223">
        <v>2.043169</v>
      </c>
      <c r="O1027" s="224" t="s">
        <v>238</v>
      </c>
      <c r="P1027" s="225" t="s">
        <v>155</v>
      </c>
      <c r="Q1027" s="225" t="s">
        <v>155</v>
      </c>
      <c r="R1027" s="225" t="s">
        <v>155</v>
      </c>
      <c r="S1027" s="225" t="s">
        <v>155</v>
      </c>
      <c r="T1027" s="226"/>
      <c r="U1027" s="227"/>
      <c r="V1027" s="52" t="s">
        <v>250</v>
      </c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</row>
    <row r="1028" ht="30.0" customHeight="1">
      <c r="A1028" s="159"/>
      <c r="B1028" s="218" t="s">
        <v>246</v>
      </c>
      <c r="C1028" s="218" t="s">
        <v>2286</v>
      </c>
      <c r="D1028" s="218" t="s">
        <v>2287</v>
      </c>
      <c r="E1028" s="219">
        <v>35188.0</v>
      </c>
      <c r="F1028" s="220" t="s">
        <v>2325</v>
      </c>
      <c r="G1028" s="221" t="s">
        <v>369</v>
      </c>
      <c r="H1028" s="222" t="s">
        <v>250</v>
      </c>
      <c r="I1028" s="221" t="s">
        <v>42</v>
      </c>
      <c r="J1028" s="222" t="s">
        <v>250</v>
      </c>
      <c r="K1028" s="223">
        <v>3.0</v>
      </c>
      <c r="L1028" s="223" t="b">
        <v>0</v>
      </c>
      <c r="M1028" s="223" t="s">
        <v>42</v>
      </c>
      <c r="N1028" s="223">
        <v>3.973142</v>
      </c>
      <c r="O1028" s="224" t="s">
        <v>238</v>
      </c>
      <c r="P1028" s="225" t="s">
        <v>155</v>
      </c>
      <c r="Q1028" s="225" t="s">
        <v>155</v>
      </c>
      <c r="R1028" s="225" t="s">
        <v>155</v>
      </c>
      <c r="S1028" s="225" t="s">
        <v>155</v>
      </c>
      <c r="T1028" s="226"/>
      <c r="U1028" s="227"/>
      <c r="V1028" s="52" t="s">
        <v>250</v>
      </c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</row>
    <row r="1029" ht="30.0" customHeight="1">
      <c r="A1029" s="159"/>
      <c r="B1029" s="218" t="s">
        <v>246</v>
      </c>
      <c r="C1029" s="218" t="s">
        <v>2286</v>
      </c>
      <c r="D1029" s="218" t="s">
        <v>2287</v>
      </c>
      <c r="E1029" s="219">
        <v>10013.0</v>
      </c>
      <c r="F1029" s="220" t="s">
        <v>2326</v>
      </c>
      <c r="G1029" s="221" t="s">
        <v>369</v>
      </c>
      <c r="H1029" s="222" t="s">
        <v>250</v>
      </c>
      <c r="I1029" s="221" t="s">
        <v>42</v>
      </c>
      <c r="J1029" s="222" t="s">
        <v>250</v>
      </c>
      <c r="K1029" s="223">
        <v>1.0</v>
      </c>
      <c r="L1029" s="223" t="b">
        <v>0</v>
      </c>
      <c r="M1029" s="223" t="s">
        <v>42</v>
      </c>
      <c r="N1029" s="223">
        <v>1.08593</v>
      </c>
      <c r="O1029" s="224" t="s">
        <v>238</v>
      </c>
      <c r="P1029" s="225" t="s">
        <v>155</v>
      </c>
      <c r="Q1029" s="225" t="s">
        <v>155</v>
      </c>
      <c r="R1029" s="225" t="s">
        <v>155</v>
      </c>
      <c r="S1029" s="225" t="s">
        <v>155</v>
      </c>
      <c r="T1029" s="226"/>
      <c r="U1029" s="227"/>
      <c r="V1029" s="52" t="s">
        <v>250</v>
      </c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</row>
    <row r="1030" ht="30.0" customHeight="1">
      <c r="A1030" s="159"/>
      <c r="B1030" s="218" t="s">
        <v>246</v>
      </c>
      <c r="C1030" s="218" t="s">
        <v>2286</v>
      </c>
      <c r="D1030" s="218" t="s">
        <v>2287</v>
      </c>
      <c r="E1030" s="219">
        <v>109754.0</v>
      </c>
      <c r="F1030" s="220" t="s">
        <v>2327</v>
      </c>
      <c r="G1030" s="221" t="s">
        <v>369</v>
      </c>
      <c r="H1030" s="222" t="s">
        <v>250</v>
      </c>
      <c r="I1030" s="221" t="s">
        <v>42</v>
      </c>
      <c r="J1030" s="222" t="s">
        <v>250</v>
      </c>
      <c r="K1030" s="223">
        <v>1.0</v>
      </c>
      <c r="L1030" s="223" t="b">
        <v>0</v>
      </c>
      <c r="M1030" s="223" t="s">
        <v>42</v>
      </c>
      <c r="N1030" s="223">
        <v>0.677428</v>
      </c>
      <c r="O1030" s="224"/>
      <c r="P1030" s="225" t="s">
        <v>155</v>
      </c>
      <c r="Q1030" s="225" t="s">
        <v>155</v>
      </c>
      <c r="R1030" s="225" t="s">
        <v>155</v>
      </c>
      <c r="S1030" s="225" t="s">
        <v>155</v>
      </c>
      <c r="T1030" s="226"/>
      <c r="U1030" s="227"/>
      <c r="V1030" s="52" t="s">
        <v>250</v>
      </c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</row>
    <row r="1031" ht="30.0" customHeight="1">
      <c r="A1031" s="159"/>
      <c r="B1031" s="218" t="s">
        <v>246</v>
      </c>
      <c r="C1031" s="218" t="s">
        <v>2286</v>
      </c>
      <c r="D1031" s="218" t="s">
        <v>2287</v>
      </c>
      <c r="E1031" s="219">
        <v>110076.0</v>
      </c>
      <c r="F1031" s="220" t="s">
        <v>2328</v>
      </c>
      <c r="G1031" s="221" t="s">
        <v>369</v>
      </c>
      <c r="H1031" s="222" t="s">
        <v>250</v>
      </c>
      <c r="I1031" s="221" t="s">
        <v>42</v>
      </c>
      <c r="J1031" s="222" t="s">
        <v>250</v>
      </c>
      <c r="K1031" s="223">
        <v>1.0</v>
      </c>
      <c r="L1031" s="223" t="b">
        <v>0</v>
      </c>
      <c r="M1031" s="223" t="s">
        <v>42</v>
      </c>
      <c r="N1031" s="223">
        <v>2.166862</v>
      </c>
      <c r="O1031" s="224"/>
      <c r="P1031" s="225" t="s">
        <v>155</v>
      </c>
      <c r="Q1031" s="225" t="s">
        <v>155</v>
      </c>
      <c r="R1031" s="225" t="s">
        <v>155</v>
      </c>
      <c r="S1031" s="225" t="s">
        <v>155</v>
      </c>
      <c r="T1031" s="226"/>
      <c r="U1031" s="227"/>
      <c r="V1031" s="52" t="s">
        <v>250</v>
      </c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</row>
    <row r="1032" ht="30.0" customHeight="1">
      <c r="A1032" s="159"/>
      <c r="B1032" s="218" t="s">
        <v>246</v>
      </c>
      <c r="C1032" s="218" t="s">
        <v>2286</v>
      </c>
      <c r="D1032" s="218" t="s">
        <v>2287</v>
      </c>
      <c r="E1032" s="219">
        <v>15462.0</v>
      </c>
      <c r="F1032" s="220" t="s">
        <v>2329</v>
      </c>
      <c r="G1032" s="221" t="s">
        <v>369</v>
      </c>
      <c r="H1032" s="222" t="s">
        <v>250</v>
      </c>
      <c r="I1032" s="221" t="s">
        <v>42</v>
      </c>
      <c r="J1032" s="222" t="s">
        <v>250</v>
      </c>
      <c r="K1032" s="223">
        <v>1.0</v>
      </c>
      <c r="L1032" s="223" t="b">
        <v>0</v>
      </c>
      <c r="M1032" s="223" t="s">
        <v>42</v>
      </c>
      <c r="N1032" s="223">
        <v>0.9869</v>
      </c>
      <c r="O1032" s="224" t="s">
        <v>238</v>
      </c>
      <c r="P1032" s="225" t="s">
        <v>155</v>
      </c>
      <c r="Q1032" s="225" t="s">
        <v>155</v>
      </c>
      <c r="R1032" s="225" t="s">
        <v>155</v>
      </c>
      <c r="S1032" s="225" t="s">
        <v>155</v>
      </c>
      <c r="T1032" s="229" t="s">
        <v>554</v>
      </c>
      <c r="U1032" s="227"/>
      <c r="V1032" s="52" t="s">
        <v>250</v>
      </c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</row>
    <row r="1033" ht="30.0" customHeight="1">
      <c r="A1033" s="159"/>
      <c r="B1033" s="218" t="s">
        <v>246</v>
      </c>
      <c r="C1033" s="218" t="s">
        <v>2286</v>
      </c>
      <c r="D1033" s="218" t="s">
        <v>2287</v>
      </c>
      <c r="E1033" s="219">
        <v>15619.0</v>
      </c>
      <c r="F1033" s="220" t="s">
        <v>2330</v>
      </c>
      <c r="G1033" s="221" t="s">
        <v>369</v>
      </c>
      <c r="H1033" s="222" t="s">
        <v>250</v>
      </c>
      <c r="I1033" s="221" t="s">
        <v>42</v>
      </c>
      <c r="J1033" s="222" t="s">
        <v>250</v>
      </c>
      <c r="K1033" s="223">
        <v>1.0</v>
      </c>
      <c r="L1033" s="223" t="b">
        <v>0</v>
      </c>
      <c r="M1033" s="223" t="s">
        <v>42</v>
      </c>
      <c r="N1033" s="223">
        <v>0.635797</v>
      </c>
      <c r="O1033" s="224"/>
      <c r="P1033" s="225" t="s">
        <v>155</v>
      </c>
      <c r="Q1033" s="225" t="s">
        <v>155</v>
      </c>
      <c r="R1033" s="225" t="s">
        <v>155</v>
      </c>
      <c r="S1033" s="225" t="s">
        <v>155</v>
      </c>
      <c r="T1033" s="226"/>
      <c r="U1033" s="227"/>
      <c r="V1033" s="52" t="s">
        <v>250</v>
      </c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</row>
    <row r="1034" ht="30.0" customHeight="1">
      <c r="A1034" s="159"/>
      <c r="B1034" s="218" t="s">
        <v>246</v>
      </c>
      <c r="C1034" s="218" t="s">
        <v>2286</v>
      </c>
      <c r="D1034" s="218" t="s">
        <v>2287</v>
      </c>
      <c r="E1034" s="219">
        <v>36433.0</v>
      </c>
      <c r="F1034" s="220" t="s">
        <v>2331</v>
      </c>
      <c r="G1034" s="221" t="s">
        <v>369</v>
      </c>
      <c r="H1034" s="222" t="s">
        <v>250</v>
      </c>
      <c r="I1034" s="221" t="s">
        <v>269</v>
      </c>
      <c r="J1034" s="222" t="s">
        <v>250</v>
      </c>
      <c r="K1034" s="223">
        <v>1.0</v>
      </c>
      <c r="L1034" s="223" t="b">
        <v>0</v>
      </c>
      <c r="M1034" s="223" t="s">
        <v>269</v>
      </c>
      <c r="N1034" s="223">
        <v>17.146056</v>
      </c>
      <c r="O1034" s="224"/>
      <c r="P1034" s="225" t="s">
        <v>155</v>
      </c>
      <c r="Q1034" s="225" t="s">
        <v>155</v>
      </c>
      <c r="R1034" s="225" t="s">
        <v>155</v>
      </c>
      <c r="S1034" s="225" t="s">
        <v>155</v>
      </c>
      <c r="T1034" s="226"/>
      <c r="U1034" s="227"/>
      <c r="V1034" s="52" t="s">
        <v>250</v>
      </c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</row>
    <row r="1035" ht="30.0" customHeight="1">
      <c r="A1035" s="159"/>
      <c r="B1035" s="218" t="s">
        <v>246</v>
      </c>
      <c r="C1035" s="218" t="s">
        <v>2286</v>
      </c>
      <c r="D1035" s="218" t="s">
        <v>2287</v>
      </c>
      <c r="E1035" s="219">
        <v>15464.0</v>
      </c>
      <c r="F1035" s="220" t="s">
        <v>2332</v>
      </c>
      <c r="G1035" s="221" t="s">
        <v>369</v>
      </c>
      <c r="H1035" s="222" t="s">
        <v>250</v>
      </c>
      <c r="I1035" s="221" t="s">
        <v>42</v>
      </c>
      <c r="J1035" s="222" t="s">
        <v>250</v>
      </c>
      <c r="K1035" s="223">
        <v>1.0</v>
      </c>
      <c r="L1035" s="223" t="b">
        <v>0</v>
      </c>
      <c r="M1035" s="223" t="s">
        <v>42</v>
      </c>
      <c r="N1035" s="223">
        <v>0.883348</v>
      </c>
      <c r="O1035" s="224" t="s">
        <v>238</v>
      </c>
      <c r="P1035" s="225" t="s">
        <v>155</v>
      </c>
      <c r="Q1035" s="225" t="s">
        <v>155</v>
      </c>
      <c r="R1035" s="225" t="s">
        <v>155</v>
      </c>
      <c r="S1035" s="225" t="s">
        <v>155</v>
      </c>
      <c r="T1035" s="226"/>
      <c r="U1035" s="227"/>
      <c r="V1035" s="52" t="s">
        <v>250</v>
      </c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</row>
    <row r="1036" ht="30.0" customHeight="1">
      <c r="A1036" s="159"/>
      <c r="B1036" s="218" t="s">
        <v>246</v>
      </c>
      <c r="C1036" s="218" t="s">
        <v>2286</v>
      </c>
      <c r="D1036" s="218" t="s">
        <v>2287</v>
      </c>
      <c r="E1036" s="219">
        <v>111089.0</v>
      </c>
      <c r="F1036" s="220" t="s">
        <v>2333</v>
      </c>
      <c r="G1036" s="221" t="s">
        <v>369</v>
      </c>
      <c r="H1036" s="221" t="s">
        <v>762</v>
      </c>
      <c r="I1036" s="221" t="s">
        <v>42</v>
      </c>
      <c r="J1036" s="222" t="s">
        <v>250</v>
      </c>
      <c r="K1036" s="223">
        <v>2.0</v>
      </c>
      <c r="L1036" s="223" t="b">
        <v>0</v>
      </c>
      <c r="M1036" s="223" t="s">
        <v>42</v>
      </c>
      <c r="N1036" s="223">
        <v>0.937733</v>
      </c>
      <c r="O1036" s="224"/>
      <c r="P1036" s="225" t="s">
        <v>155</v>
      </c>
      <c r="Q1036" s="230"/>
      <c r="R1036" s="225" t="s">
        <v>155</v>
      </c>
      <c r="S1036" s="230"/>
      <c r="T1036" s="229" t="s">
        <v>260</v>
      </c>
      <c r="U1036" s="227"/>
      <c r="V1036" s="52" t="s">
        <v>250</v>
      </c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</row>
    <row r="1037" ht="30.0" customHeight="1">
      <c r="A1037" s="159"/>
      <c r="B1037" s="218" t="s">
        <v>246</v>
      </c>
      <c r="C1037" s="218" t="s">
        <v>2286</v>
      </c>
      <c r="D1037" s="218" t="s">
        <v>2287</v>
      </c>
      <c r="E1037" s="219">
        <v>15547.0</v>
      </c>
      <c r="F1037" s="220" t="s">
        <v>2334</v>
      </c>
      <c r="G1037" s="221" t="s">
        <v>369</v>
      </c>
      <c r="H1037" s="222" t="s">
        <v>250</v>
      </c>
      <c r="I1037" s="221" t="s">
        <v>42</v>
      </c>
      <c r="J1037" s="222" t="s">
        <v>250</v>
      </c>
      <c r="K1037" s="223">
        <v>1.0</v>
      </c>
      <c r="L1037" s="223" t="b">
        <v>0</v>
      </c>
      <c r="M1037" s="223" t="s">
        <v>42</v>
      </c>
      <c r="N1037" s="223">
        <v>0.918574</v>
      </c>
      <c r="O1037" s="224" t="s">
        <v>238</v>
      </c>
      <c r="P1037" s="225" t="s">
        <v>155</v>
      </c>
      <c r="Q1037" s="225" t="s">
        <v>155</v>
      </c>
      <c r="R1037" s="225" t="s">
        <v>155</v>
      </c>
      <c r="S1037" s="225" t="s">
        <v>155</v>
      </c>
      <c r="T1037" s="229" t="s">
        <v>554</v>
      </c>
      <c r="U1037" s="227"/>
      <c r="V1037" s="52" t="s">
        <v>250</v>
      </c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</row>
    <row r="1038" ht="30.0" customHeight="1">
      <c r="A1038" s="159"/>
      <c r="B1038" s="218" t="s">
        <v>246</v>
      </c>
      <c r="C1038" s="218" t="s">
        <v>2286</v>
      </c>
      <c r="D1038" s="218" t="s">
        <v>2287</v>
      </c>
      <c r="E1038" s="219">
        <v>15508.0</v>
      </c>
      <c r="F1038" s="220" t="s">
        <v>2335</v>
      </c>
      <c r="G1038" s="221" t="s">
        <v>369</v>
      </c>
      <c r="H1038" s="222" t="s">
        <v>250</v>
      </c>
      <c r="I1038" s="221" t="s">
        <v>42</v>
      </c>
      <c r="J1038" s="222" t="s">
        <v>250</v>
      </c>
      <c r="K1038" s="223">
        <v>1.0</v>
      </c>
      <c r="L1038" s="223" t="b">
        <v>0</v>
      </c>
      <c r="M1038" s="223" t="s">
        <v>42</v>
      </c>
      <c r="N1038" s="223">
        <v>1.141626</v>
      </c>
      <c r="O1038" s="224"/>
      <c r="P1038" s="225" t="s">
        <v>155</v>
      </c>
      <c r="Q1038" s="225" t="s">
        <v>155</v>
      </c>
      <c r="R1038" s="225" t="s">
        <v>155</v>
      </c>
      <c r="S1038" s="225" t="s">
        <v>155</v>
      </c>
      <c r="T1038" s="226"/>
      <c r="U1038" s="227"/>
      <c r="V1038" s="52" t="s">
        <v>250</v>
      </c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</row>
    <row r="1039" ht="30.0" customHeight="1">
      <c r="A1039" s="159"/>
      <c r="B1039" s="218" t="s">
        <v>246</v>
      </c>
      <c r="C1039" s="218" t="s">
        <v>2286</v>
      </c>
      <c r="D1039" s="218" t="s">
        <v>2287</v>
      </c>
      <c r="E1039" s="219">
        <v>30479.0</v>
      </c>
      <c r="F1039" s="220" t="s">
        <v>2336</v>
      </c>
      <c r="G1039" s="221" t="s">
        <v>369</v>
      </c>
      <c r="H1039" s="222" t="s">
        <v>250</v>
      </c>
      <c r="I1039" s="221" t="s">
        <v>42</v>
      </c>
      <c r="J1039" s="222" t="s">
        <v>250</v>
      </c>
      <c r="K1039" s="223">
        <v>1.0</v>
      </c>
      <c r="L1039" s="223" t="b">
        <v>0</v>
      </c>
      <c r="M1039" s="223" t="s">
        <v>42</v>
      </c>
      <c r="N1039" s="223">
        <v>6.627229</v>
      </c>
      <c r="O1039" s="224" t="s">
        <v>238</v>
      </c>
      <c r="P1039" s="225" t="s">
        <v>155</v>
      </c>
      <c r="Q1039" s="225" t="s">
        <v>155</v>
      </c>
      <c r="R1039" s="225" t="s">
        <v>155</v>
      </c>
      <c r="S1039" s="225" t="s">
        <v>155</v>
      </c>
      <c r="T1039" s="226"/>
      <c r="U1039" s="227"/>
      <c r="V1039" s="52" t="s">
        <v>250</v>
      </c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</row>
    <row r="1040" ht="30.0" customHeight="1">
      <c r="A1040" s="159"/>
      <c r="B1040" s="218" t="s">
        <v>246</v>
      </c>
      <c r="C1040" s="218" t="s">
        <v>2286</v>
      </c>
      <c r="D1040" s="218" t="s">
        <v>2287</v>
      </c>
      <c r="E1040" s="219">
        <v>109766.0</v>
      </c>
      <c r="F1040" s="220" t="s">
        <v>2337</v>
      </c>
      <c r="G1040" s="221" t="s">
        <v>369</v>
      </c>
      <c r="H1040" s="222" t="s">
        <v>250</v>
      </c>
      <c r="I1040" s="221" t="s">
        <v>42</v>
      </c>
      <c r="J1040" s="222" t="s">
        <v>250</v>
      </c>
      <c r="K1040" s="223">
        <v>2.0</v>
      </c>
      <c r="L1040" s="223" t="b">
        <v>1</v>
      </c>
      <c r="M1040" s="223" t="s">
        <v>42</v>
      </c>
      <c r="N1040" s="223">
        <v>61.821333</v>
      </c>
      <c r="O1040" s="224"/>
      <c r="P1040" s="225" t="s">
        <v>155</v>
      </c>
      <c r="Q1040" s="225" t="s">
        <v>155</v>
      </c>
      <c r="R1040" s="225" t="s">
        <v>155</v>
      </c>
      <c r="S1040" s="225" t="s">
        <v>155</v>
      </c>
      <c r="T1040" s="226"/>
      <c r="U1040" s="227"/>
      <c r="V1040" s="52" t="s">
        <v>250</v>
      </c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</row>
    <row r="1041" ht="30.0" customHeight="1">
      <c r="A1041" s="159"/>
      <c r="B1041" s="218" t="s">
        <v>246</v>
      </c>
      <c r="C1041" s="218" t="s">
        <v>2286</v>
      </c>
      <c r="D1041" s="218" t="s">
        <v>2287</v>
      </c>
      <c r="E1041" s="219">
        <v>15466.0</v>
      </c>
      <c r="F1041" s="220" t="s">
        <v>2338</v>
      </c>
      <c r="G1041" s="221" t="s">
        <v>369</v>
      </c>
      <c r="H1041" s="222" t="s">
        <v>250</v>
      </c>
      <c r="I1041" s="221" t="s">
        <v>42</v>
      </c>
      <c r="J1041" s="222" t="s">
        <v>250</v>
      </c>
      <c r="K1041" s="223">
        <v>1.0</v>
      </c>
      <c r="L1041" s="223" t="b">
        <v>0</v>
      </c>
      <c r="M1041" s="223" t="s">
        <v>42</v>
      </c>
      <c r="N1041" s="223">
        <v>1.88</v>
      </c>
      <c r="O1041" s="224" t="s">
        <v>238</v>
      </c>
      <c r="P1041" s="225" t="s">
        <v>155</v>
      </c>
      <c r="Q1041" s="225" t="s">
        <v>155</v>
      </c>
      <c r="R1041" s="225" t="s">
        <v>155</v>
      </c>
      <c r="S1041" s="225" t="s">
        <v>155</v>
      </c>
      <c r="T1041" s="226"/>
      <c r="U1041" s="227"/>
      <c r="V1041" s="52" t="s">
        <v>250</v>
      </c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</row>
    <row r="1042" ht="30.0" customHeight="1">
      <c r="A1042" s="159"/>
      <c r="B1042" s="218" t="s">
        <v>246</v>
      </c>
      <c r="C1042" s="218" t="s">
        <v>2286</v>
      </c>
      <c r="D1042" s="218" t="s">
        <v>2287</v>
      </c>
      <c r="E1042" s="219">
        <v>30639.0</v>
      </c>
      <c r="F1042" s="220" t="s">
        <v>2339</v>
      </c>
      <c r="G1042" s="221" t="s">
        <v>369</v>
      </c>
      <c r="H1042" s="222" t="s">
        <v>250</v>
      </c>
      <c r="I1042" s="221" t="s">
        <v>42</v>
      </c>
      <c r="J1042" s="222" t="s">
        <v>250</v>
      </c>
      <c r="K1042" s="223">
        <v>3.0</v>
      </c>
      <c r="L1042" s="223" t="b">
        <v>0</v>
      </c>
      <c r="M1042" s="223" t="s">
        <v>42</v>
      </c>
      <c r="N1042" s="223">
        <v>2.517579</v>
      </c>
      <c r="O1042" s="224"/>
      <c r="P1042" s="225" t="s">
        <v>155</v>
      </c>
      <c r="Q1042" s="225" t="s">
        <v>155</v>
      </c>
      <c r="R1042" s="225" t="s">
        <v>155</v>
      </c>
      <c r="S1042" s="225" t="s">
        <v>155</v>
      </c>
      <c r="T1042" s="226"/>
      <c r="U1042" s="227"/>
      <c r="V1042" s="52" t="s">
        <v>250</v>
      </c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</row>
    <row r="1043" ht="30.0" customHeight="1">
      <c r="A1043" s="159"/>
      <c r="B1043" s="218" t="s">
        <v>246</v>
      </c>
      <c r="C1043" s="218" t="s">
        <v>2286</v>
      </c>
      <c r="D1043" s="218" t="s">
        <v>2287</v>
      </c>
      <c r="E1043" s="219">
        <v>38392.0</v>
      </c>
      <c r="F1043" s="220" t="s">
        <v>2340</v>
      </c>
      <c r="G1043" s="221" t="s">
        <v>369</v>
      </c>
      <c r="H1043" s="222" t="s">
        <v>250</v>
      </c>
      <c r="I1043" s="221" t="s">
        <v>389</v>
      </c>
      <c r="J1043" s="222" t="s">
        <v>250</v>
      </c>
      <c r="K1043" s="223">
        <v>2.0</v>
      </c>
      <c r="L1043" s="223" t="b">
        <v>1</v>
      </c>
      <c r="M1043" s="223" t="s">
        <v>389</v>
      </c>
      <c r="N1043" s="223">
        <v>2.500897</v>
      </c>
      <c r="O1043" s="224"/>
      <c r="P1043" s="225" t="s">
        <v>155</v>
      </c>
      <c r="Q1043" s="225" t="s">
        <v>155</v>
      </c>
      <c r="R1043" s="225" t="s">
        <v>155</v>
      </c>
      <c r="S1043" s="225" t="s">
        <v>155</v>
      </c>
      <c r="T1043" s="226"/>
      <c r="U1043" s="227"/>
      <c r="V1043" s="52" t="s">
        <v>250</v>
      </c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</row>
    <row r="1044" ht="30.0" customHeight="1">
      <c r="A1044" s="159"/>
      <c r="B1044" s="218" t="s">
        <v>246</v>
      </c>
      <c r="C1044" s="218" t="s">
        <v>2286</v>
      </c>
      <c r="D1044" s="218" t="s">
        <v>2287</v>
      </c>
      <c r="E1044" s="219">
        <v>61703.0</v>
      </c>
      <c r="F1044" s="220" t="s">
        <v>2341</v>
      </c>
      <c r="G1044" s="221" t="s">
        <v>369</v>
      </c>
      <c r="H1044" s="222" t="s">
        <v>250</v>
      </c>
      <c r="I1044" s="221" t="s">
        <v>42</v>
      </c>
      <c r="J1044" s="222" t="s">
        <v>250</v>
      </c>
      <c r="K1044" s="223">
        <v>1.0</v>
      </c>
      <c r="L1044" s="223" t="b">
        <v>0</v>
      </c>
      <c r="M1044" s="223" t="s">
        <v>42</v>
      </c>
      <c r="N1044" s="223">
        <v>3.321544</v>
      </c>
      <c r="O1044" s="224"/>
      <c r="P1044" s="225" t="s">
        <v>155</v>
      </c>
      <c r="Q1044" s="225" t="s">
        <v>155</v>
      </c>
      <c r="R1044" s="225" t="s">
        <v>155</v>
      </c>
      <c r="S1044" s="225" t="s">
        <v>155</v>
      </c>
      <c r="T1044" s="226"/>
      <c r="U1044" s="227"/>
      <c r="V1044" s="52" t="s">
        <v>250</v>
      </c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</row>
    <row r="1045" ht="30.0" customHeight="1">
      <c r="A1045" s="159"/>
      <c r="B1045" s="218" t="s">
        <v>246</v>
      </c>
      <c r="C1045" s="218" t="s">
        <v>2286</v>
      </c>
      <c r="D1045" s="218" t="s">
        <v>2287</v>
      </c>
      <c r="E1045" s="219">
        <v>15426.0</v>
      </c>
      <c r="F1045" s="220" t="s">
        <v>2342</v>
      </c>
      <c r="G1045" s="221" t="s">
        <v>369</v>
      </c>
      <c r="H1045" s="222" t="s">
        <v>250</v>
      </c>
      <c r="I1045" s="221" t="s">
        <v>42</v>
      </c>
      <c r="J1045" s="222" t="s">
        <v>250</v>
      </c>
      <c r="K1045" s="223">
        <v>1.0</v>
      </c>
      <c r="L1045" s="223" t="b">
        <v>0</v>
      </c>
      <c r="M1045" s="223" t="s">
        <v>42</v>
      </c>
      <c r="N1045" s="223">
        <v>3.431446</v>
      </c>
      <c r="O1045" s="224" t="s">
        <v>238</v>
      </c>
      <c r="P1045" s="225" t="s">
        <v>155</v>
      </c>
      <c r="Q1045" s="225" t="s">
        <v>155</v>
      </c>
      <c r="R1045" s="225" t="s">
        <v>155</v>
      </c>
      <c r="S1045" s="225" t="s">
        <v>155</v>
      </c>
      <c r="T1045" s="226"/>
      <c r="U1045" s="227"/>
      <c r="V1045" s="52" t="s">
        <v>250</v>
      </c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</row>
    <row r="1046" ht="30.0" customHeight="1">
      <c r="A1046" s="159"/>
      <c r="B1046" s="218" t="s">
        <v>246</v>
      </c>
      <c r="C1046" s="218" t="s">
        <v>2286</v>
      </c>
      <c r="D1046" s="218" t="s">
        <v>2287</v>
      </c>
      <c r="E1046" s="219">
        <v>15463.0</v>
      </c>
      <c r="F1046" s="220" t="s">
        <v>2343</v>
      </c>
      <c r="G1046" s="221" t="s">
        <v>369</v>
      </c>
      <c r="H1046" s="222" t="s">
        <v>250</v>
      </c>
      <c r="I1046" s="221" t="s">
        <v>42</v>
      </c>
      <c r="J1046" s="222" t="s">
        <v>250</v>
      </c>
      <c r="K1046" s="223">
        <v>1.0</v>
      </c>
      <c r="L1046" s="223" t="b">
        <v>0</v>
      </c>
      <c r="M1046" s="223" t="s">
        <v>42</v>
      </c>
      <c r="N1046" s="223">
        <v>3.153294</v>
      </c>
      <c r="O1046" s="224"/>
      <c r="P1046" s="225" t="s">
        <v>155</v>
      </c>
      <c r="Q1046" s="225" t="s">
        <v>155</v>
      </c>
      <c r="R1046" s="225" t="s">
        <v>155</v>
      </c>
      <c r="S1046" s="225" t="s">
        <v>155</v>
      </c>
      <c r="T1046" s="226"/>
      <c r="U1046" s="227"/>
      <c r="V1046" s="52" t="s">
        <v>250</v>
      </c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</row>
    <row r="1047" ht="30.0" customHeight="1">
      <c r="A1047" s="159"/>
      <c r="B1047" s="218" t="s">
        <v>246</v>
      </c>
      <c r="C1047" s="218" t="s">
        <v>2286</v>
      </c>
      <c r="D1047" s="218" t="s">
        <v>2287</v>
      </c>
      <c r="E1047" s="219">
        <v>30025.0</v>
      </c>
      <c r="F1047" s="220" t="s">
        <v>2344</v>
      </c>
      <c r="G1047" s="221" t="s">
        <v>369</v>
      </c>
      <c r="H1047" s="222" t="s">
        <v>250</v>
      </c>
      <c r="I1047" s="221" t="s">
        <v>42</v>
      </c>
      <c r="J1047" s="222" t="s">
        <v>250</v>
      </c>
      <c r="K1047" s="223">
        <v>2.0</v>
      </c>
      <c r="L1047" s="223" t="b">
        <v>1</v>
      </c>
      <c r="M1047" s="223" t="s">
        <v>42</v>
      </c>
      <c r="N1047" s="223">
        <v>28.007438</v>
      </c>
      <c r="O1047" s="224" t="s">
        <v>238</v>
      </c>
      <c r="P1047" s="225" t="s">
        <v>155</v>
      </c>
      <c r="Q1047" s="225" t="s">
        <v>155</v>
      </c>
      <c r="R1047" s="225" t="s">
        <v>155</v>
      </c>
      <c r="S1047" s="225" t="s">
        <v>155</v>
      </c>
      <c r="T1047" s="226"/>
      <c r="U1047" s="227"/>
      <c r="V1047" s="52" t="s">
        <v>250</v>
      </c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</row>
    <row r="1048" ht="30.0" customHeight="1">
      <c r="A1048" s="159"/>
      <c r="B1048" s="218" t="s">
        <v>246</v>
      </c>
      <c r="C1048" s="218" t="s">
        <v>2286</v>
      </c>
      <c r="D1048" s="218" t="s">
        <v>2287</v>
      </c>
      <c r="E1048" s="219">
        <v>110907.0</v>
      </c>
      <c r="F1048" s="220" t="s">
        <v>2345</v>
      </c>
      <c r="G1048" s="221" t="s">
        <v>369</v>
      </c>
      <c r="H1048" s="222" t="s">
        <v>250</v>
      </c>
      <c r="I1048" s="221" t="s">
        <v>42</v>
      </c>
      <c r="J1048" s="222" t="s">
        <v>250</v>
      </c>
      <c r="K1048" s="223">
        <v>1.0</v>
      </c>
      <c r="L1048" s="223" t="b">
        <v>0</v>
      </c>
      <c r="M1048" s="223" t="s">
        <v>42</v>
      </c>
      <c r="N1048" s="223">
        <v>1.576681</v>
      </c>
      <c r="O1048" s="224"/>
      <c r="P1048" s="225" t="s">
        <v>155</v>
      </c>
      <c r="Q1048" s="225" t="s">
        <v>155</v>
      </c>
      <c r="R1048" s="225" t="s">
        <v>155</v>
      </c>
      <c r="S1048" s="225" t="s">
        <v>155</v>
      </c>
      <c r="T1048" s="229" t="s">
        <v>554</v>
      </c>
      <c r="U1048" s="227"/>
      <c r="V1048" s="52" t="s">
        <v>250</v>
      </c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</row>
    <row r="1049" ht="30.0" customHeight="1">
      <c r="A1049" s="159"/>
      <c r="B1049" s="218" t="s">
        <v>246</v>
      </c>
      <c r="C1049" s="218" t="s">
        <v>2286</v>
      </c>
      <c r="D1049" s="218" t="s">
        <v>2287</v>
      </c>
      <c r="E1049" s="219">
        <v>11853.0</v>
      </c>
      <c r="F1049" s="220" t="s">
        <v>2346</v>
      </c>
      <c r="G1049" s="221" t="s">
        <v>369</v>
      </c>
      <c r="H1049" s="222" t="s">
        <v>250</v>
      </c>
      <c r="I1049" s="221" t="s">
        <v>42</v>
      </c>
      <c r="J1049" s="222" t="s">
        <v>250</v>
      </c>
      <c r="K1049" s="223">
        <v>3.0</v>
      </c>
      <c r="L1049" s="223" t="b">
        <v>0</v>
      </c>
      <c r="M1049" s="228"/>
      <c r="N1049" s="228"/>
      <c r="O1049" s="224"/>
      <c r="P1049" s="225" t="s">
        <v>155</v>
      </c>
      <c r="Q1049" s="225" t="s">
        <v>155</v>
      </c>
      <c r="R1049" s="225" t="s">
        <v>155</v>
      </c>
      <c r="S1049" s="225" t="s">
        <v>155</v>
      </c>
      <c r="T1049" s="226"/>
      <c r="U1049" s="227"/>
      <c r="V1049" s="52" t="s">
        <v>250</v>
      </c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</row>
    <row r="1050" ht="30.0" customHeight="1">
      <c r="A1050" s="159"/>
      <c r="B1050" s="218" t="s">
        <v>246</v>
      </c>
      <c r="C1050" s="218" t="s">
        <v>2286</v>
      </c>
      <c r="D1050" s="218" t="s">
        <v>2287</v>
      </c>
      <c r="E1050" s="219">
        <v>15471.0</v>
      </c>
      <c r="F1050" s="220" t="s">
        <v>2347</v>
      </c>
      <c r="G1050" s="221" t="s">
        <v>369</v>
      </c>
      <c r="H1050" s="222" t="s">
        <v>250</v>
      </c>
      <c r="I1050" s="221" t="s">
        <v>42</v>
      </c>
      <c r="J1050" s="222" t="s">
        <v>250</v>
      </c>
      <c r="K1050" s="223">
        <v>1.0</v>
      </c>
      <c r="L1050" s="223" t="b">
        <v>0</v>
      </c>
      <c r="M1050" s="223" t="s">
        <v>42</v>
      </c>
      <c r="N1050" s="223">
        <v>1.057056</v>
      </c>
      <c r="O1050" s="224" t="s">
        <v>238</v>
      </c>
      <c r="P1050" s="225" t="s">
        <v>155</v>
      </c>
      <c r="Q1050" s="225" t="s">
        <v>155</v>
      </c>
      <c r="R1050" s="225" t="s">
        <v>155</v>
      </c>
      <c r="S1050" s="225" t="s">
        <v>155</v>
      </c>
      <c r="T1050" s="226"/>
      <c r="U1050" s="227"/>
      <c r="V1050" s="52" t="s">
        <v>250</v>
      </c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</row>
    <row r="1051" ht="30.0" customHeight="1">
      <c r="A1051" s="159"/>
      <c r="B1051" s="218" t="s">
        <v>246</v>
      </c>
      <c r="C1051" s="218" t="s">
        <v>2286</v>
      </c>
      <c r="D1051" s="218" t="s">
        <v>2287</v>
      </c>
      <c r="E1051" s="219">
        <v>111049.0</v>
      </c>
      <c r="F1051" s="220" t="s">
        <v>2348</v>
      </c>
      <c r="G1051" s="221" t="s">
        <v>369</v>
      </c>
      <c r="H1051" s="222" t="s">
        <v>250</v>
      </c>
      <c r="I1051" s="221" t="s">
        <v>42</v>
      </c>
      <c r="J1051" s="222" t="s">
        <v>250</v>
      </c>
      <c r="K1051" s="223">
        <v>2.0</v>
      </c>
      <c r="L1051" s="223" t="b">
        <v>0</v>
      </c>
      <c r="M1051" s="223" t="s">
        <v>42</v>
      </c>
      <c r="N1051" s="223">
        <v>1.622553</v>
      </c>
      <c r="O1051" s="224"/>
      <c r="P1051" s="225" t="s">
        <v>155</v>
      </c>
      <c r="Q1051" s="225" t="s">
        <v>155</v>
      </c>
      <c r="R1051" s="225" t="s">
        <v>155</v>
      </c>
      <c r="S1051" s="225" t="s">
        <v>155</v>
      </c>
      <c r="T1051" s="226"/>
      <c r="U1051" s="227"/>
      <c r="V1051" s="52" t="s">
        <v>250</v>
      </c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</row>
    <row r="1052" ht="30.0" customHeight="1">
      <c r="A1052" s="159"/>
      <c r="B1052" s="218" t="s">
        <v>246</v>
      </c>
      <c r="C1052" s="218" t="s">
        <v>2286</v>
      </c>
      <c r="D1052" s="218" t="s">
        <v>2287</v>
      </c>
      <c r="E1052" s="219">
        <v>15475.0</v>
      </c>
      <c r="F1052" s="220" t="s">
        <v>2349</v>
      </c>
      <c r="G1052" s="221" t="s">
        <v>369</v>
      </c>
      <c r="H1052" s="222" t="s">
        <v>250</v>
      </c>
      <c r="I1052" s="221" t="s">
        <v>42</v>
      </c>
      <c r="J1052" s="222" t="s">
        <v>250</v>
      </c>
      <c r="K1052" s="223">
        <v>1.0</v>
      </c>
      <c r="L1052" s="223" t="b">
        <v>0</v>
      </c>
      <c r="M1052" s="223" t="s">
        <v>42</v>
      </c>
      <c r="N1052" s="223">
        <v>5.28</v>
      </c>
      <c r="O1052" s="224"/>
      <c r="P1052" s="225" t="s">
        <v>155</v>
      </c>
      <c r="Q1052" s="225" t="s">
        <v>155</v>
      </c>
      <c r="R1052" s="225" t="s">
        <v>155</v>
      </c>
      <c r="S1052" s="225" t="s">
        <v>155</v>
      </c>
      <c r="T1052" s="226"/>
      <c r="U1052" s="227"/>
      <c r="V1052" s="52" t="s">
        <v>250</v>
      </c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</row>
    <row r="1053" ht="30.0" customHeight="1">
      <c r="A1053" s="159"/>
      <c r="B1053" s="218" t="s">
        <v>246</v>
      </c>
      <c r="C1053" s="218" t="s">
        <v>2286</v>
      </c>
      <c r="D1053" s="218" t="s">
        <v>2287</v>
      </c>
      <c r="E1053" s="219">
        <v>15608.0</v>
      </c>
      <c r="F1053" s="220" t="s">
        <v>2350</v>
      </c>
      <c r="G1053" s="221" t="s">
        <v>369</v>
      </c>
      <c r="H1053" s="222" t="s">
        <v>250</v>
      </c>
      <c r="I1053" s="221" t="s">
        <v>42</v>
      </c>
      <c r="J1053" s="222" t="s">
        <v>250</v>
      </c>
      <c r="K1053" s="223">
        <v>1.0</v>
      </c>
      <c r="L1053" s="223" t="b">
        <v>0</v>
      </c>
      <c r="M1053" s="223" t="s">
        <v>42</v>
      </c>
      <c r="N1053" s="223">
        <v>3.137735</v>
      </c>
      <c r="O1053" s="224" t="s">
        <v>238</v>
      </c>
      <c r="P1053" s="225" t="s">
        <v>155</v>
      </c>
      <c r="Q1053" s="225" t="s">
        <v>155</v>
      </c>
      <c r="R1053" s="225" t="s">
        <v>155</v>
      </c>
      <c r="S1053" s="225" t="s">
        <v>155</v>
      </c>
      <c r="T1053" s="226"/>
      <c r="U1053" s="227"/>
      <c r="V1053" s="52" t="s">
        <v>250</v>
      </c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</row>
    <row r="1054" ht="30.0" customHeight="1">
      <c r="A1054" s="159"/>
      <c r="B1054" s="218" t="s">
        <v>246</v>
      </c>
      <c r="C1054" s="218" t="s">
        <v>2286</v>
      </c>
      <c r="D1054" s="218" t="s">
        <v>2287</v>
      </c>
      <c r="E1054" s="219">
        <v>15498.0</v>
      </c>
      <c r="F1054" s="220" t="s">
        <v>2351</v>
      </c>
      <c r="G1054" s="221" t="s">
        <v>369</v>
      </c>
      <c r="H1054" s="222" t="s">
        <v>250</v>
      </c>
      <c r="I1054" s="221" t="s">
        <v>42</v>
      </c>
      <c r="J1054" s="222" t="s">
        <v>250</v>
      </c>
      <c r="K1054" s="223">
        <v>1.0</v>
      </c>
      <c r="L1054" s="223" t="b">
        <v>0</v>
      </c>
      <c r="M1054" s="223" t="s">
        <v>42</v>
      </c>
      <c r="N1054" s="223">
        <v>1.298823</v>
      </c>
      <c r="O1054" s="224" t="s">
        <v>238</v>
      </c>
      <c r="P1054" s="225" t="s">
        <v>155</v>
      </c>
      <c r="Q1054" s="225" t="s">
        <v>155</v>
      </c>
      <c r="R1054" s="225" t="s">
        <v>155</v>
      </c>
      <c r="S1054" s="225" t="s">
        <v>155</v>
      </c>
      <c r="T1054" s="226"/>
      <c r="U1054" s="227"/>
      <c r="V1054" s="52" t="s">
        <v>250</v>
      </c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</row>
    <row r="1055" ht="30.0" customHeight="1">
      <c r="A1055" s="159"/>
      <c r="B1055" s="218" t="s">
        <v>246</v>
      </c>
      <c r="C1055" s="218" t="s">
        <v>2286</v>
      </c>
      <c r="D1055" s="218" t="s">
        <v>2287</v>
      </c>
      <c r="E1055" s="219">
        <v>15473.0</v>
      </c>
      <c r="F1055" s="220" t="s">
        <v>2352</v>
      </c>
      <c r="G1055" s="221" t="s">
        <v>369</v>
      </c>
      <c r="H1055" s="222" t="s">
        <v>250</v>
      </c>
      <c r="I1055" s="221" t="s">
        <v>42</v>
      </c>
      <c r="J1055" s="222" t="s">
        <v>250</v>
      </c>
      <c r="K1055" s="223">
        <v>1.0</v>
      </c>
      <c r="L1055" s="223" t="b">
        <v>0</v>
      </c>
      <c r="M1055" s="223" t="s">
        <v>42</v>
      </c>
      <c r="N1055" s="223">
        <v>0.906471</v>
      </c>
      <c r="O1055" s="224" t="s">
        <v>238</v>
      </c>
      <c r="P1055" s="225" t="s">
        <v>155</v>
      </c>
      <c r="Q1055" s="225" t="s">
        <v>155</v>
      </c>
      <c r="R1055" s="225" t="s">
        <v>155</v>
      </c>
      <c r="S1055" s="225" t="s">
        <v>155</v>
      </c>
      <c r="T1055" s="226"/>
      <c r="U1055" s="227"/>
      <c r="V1055" s="109" t="s">
        <v>2353</v>
      </c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</row>
    <row r="1056" ht="30.0" customHeight="1">
      <c r="A1056" s="159"/>
      <c r="B1056" s="218" t="s">
        <v>246</v>
      </c>
      <c r="C1056" s="218" t="s">
        <v>2286</v>
      </c>
      <c r="D1056" s="218" t="s">
        <v>2287</v>
      </c>
      <c r="E1056" s="219">
        <v>15609.0</v>
      </c>
      <c r="F1056" s="220" t="s">
        <v>2354</v>
      </c>
      <c r="G1056" s="221" t="s">
        <v>369</v>
      </c>
      <c r="H1056" s="222" t="s">
        <v>250</v>
      </c>
      <c r="I1056" s="221" t="s">
        <v>42</v>
      </c>
      <c r="J1056" s="222" t="s">
        <v>250</v>
      </c>
      <c r="K1056" s="223">
        <v>1.0</v>
      </c>
      <c r="L1056" s="223" t="b">
        <v>0</v>
      </c>
      <c r="M1056" s="223" t="s">
        <v>42</v>
      </c>
      <c r="N1056" s="223">
        <v>3.230242</v>
      </c>
      <c r="O1056" s="224" t="s">
        <v>238</v>
      </c>
      <c r="P1056" s="225" t="s">
        <v>155</v>
      </c>
      <c r="Q1056" s="225" t="s">
        <v>155</v>
      </c>
      <c r="R1056" s="225" t="s">
        <v>155</v>
      </c>
      <c r="S1056" s="225" t="s">
        <v>155</v>
      </c>
      <c r="T1056" s="226"/>
      <c r="U1056" s="227"/>
      <c r="V1056" s="52" t="s">
        <v>250</v>
      </c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</row>
    <row r="1057" ht="30.0" customHeight="1">
      <c r="A1057" s="159"/>
      <c r="B1057" s="218" t="s">
        <v>246</v>
      </c>
      <c r="C1057" s="218" t="s">
        <v>2286</v>
      </c>
      <c r="D1057" s="218" t="s">
        <v>2287</v>
      </c>
      <c r="E1057" s="219">
        <v>15489.0</v>
      </c>
      <c r="F1057" s="220" t="s">
        <v>2355</v>
      </c>
      <c r="G1057" s="221" t="s">
        <v>369</v>
      </c>
      <c r="H1057" s="222" t="s">
        <v>250</v>
      </c>
      <c r="I1057" s="221" t="s">
        <v>42</v>
      </c>
      <c r="J1057" s="222" t="s">
        <v>250</v>
      </c>
      <c r="K1057" s="223">
        <v>1.0</v>
      </c>
      <c r="L1057" s="223" t="b">
        <v>0</v>
      </c>
      <c r="M1057" s="223" t="s">
        <v>42</v>
      </c>
      <c r="N1057" s="223">
        <v>1.038691</v>
      </c>
      <c r="O1057" s="224" t="s">
        <v>238</v>
      </c>
      <c r="P1057" s="225" t="s">
        <v>155</v>
      </c>
      <c r="Q1057" s="225" t="s">
        <v>155</v>
      </c>
      <c r="R1057" s="225" t="s">
        <v>155</v>
      </c>
      <c r="S1057" s="225" t="s">
        <v>155</v>
      </c>
      <c r="T1057" s="226"/>
      <c r="U1057" s="227"/>
      <c r="V1057" s="52" t="s">
        <v>250</v>
      </c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</row>
    <row r="1058" ht="30.0" customHeight="1">
      <c r="A1058" s="159"/>
      <c r="B1058" s="218" t="s">
        <v>246</v>
      </c>
      <c r="C1058" s="218" t="s">
        <v>2286</v>
      </c>
      <c r="D1058" s="218" t="s">
        <v>2287</v>
      </c>
      <c r="E1058" s="219">
        <v>15623.0</v>
      </c>
      <c r="F1058" s="220" t="s">
        <v>2356</v>
      </c>
      <c r="G1058" s="221" t="s">
        <v>369</v>
      </c>
      <c r="H1058" s="222" t="s">
        <v>250</v>
      </c>
      <c r="I1058" s="221" t="s">
        <v>42</v>
      </c>
      <c r="J1058" s="222" t="s">
        <v>250</v>
      </c>
      <c r="K1058" s="223">
        <v>2.0</v>
      </c>
      <c r="L1058" s="223" t="b">
        <v>0</v>
      </c>
      <c r="M1058" s="223" t="s">
        <v>42</v>
      </c>
      <c r="N1058" s="223">
        <v>2.787448</v>
      </c>
      <c r="O1058" s="224"/>
      <c r="P1058" s="225" t="s">
        <v>155</v>
      </c>
      <c r="Q1058" s="225" t="s">
        <v>155</v>
      </c>
      <c r="R1058" s="225" t="s">
        <v>155</v>
      </c>
      <c r="S1058" s="225" t="s">
        <v>155</v>
      </c>
      <c r="T1058" s="226"/>
      <c r="U1058" s="227"/>
      <c r="V1058" s="52" t="s">
        <v>250</v>
      </c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</row>
    <row r="1059" ht="30.0" customHeight="1">
      <c r="A1059" s="159"/>
      <c r="B1059" s="218" t="s">
        <v>246</v>
      </c>
      <c r="C1059" s="218" t="s">
        <v>2286</v>
      </c>
      <c r="D1059" s="218" t="s">
        <v>2287</v>
      </c>
      <c r="E1059" s="219">
        <v>19401.0</v>
      </c>
      <c r="F1059" s="220" t="s">
        <v>2357</v>
      </c>
      <c r="G1059" s="221" t="s">
        <v>369</v>
      </c>
      <c r="H1059" s="222" t="s">
        <v>250</v>
      </c>
      <c r="I1059" s="221" t="s">
        <v>42</v>
      </c>
      <c r="J1059" s="222" t="s">
        <v>250</v>
      </c>
      <c r="K1059" s="223">
        <v>2.0</v>
      </c>
      <c r="L1059" s="223" t="b">
        <v>1</v>
      </c>
      <c r="M1059" s="223" t="s">
        <v>42</v>
      </c>
      <c r="N1059" s="223">
        <v>2.868846</v>
      </c>
      <c r="O1059" s="224"/>
      <c r="P1059" s="225" t="s">
        <v>155</v>
      </c>
      <c r="Q1059" s="225" t="s">
        <v>155</v>
      </c>
      <c r="R1059" s="225" t="s">
        <v>155</v>
      </c>
      <c r="S1059" s="225" t="s">
        <v>155</v>
      </c>
      <c r="T1059" s="226"/>
      <c r="U1059" s="227"/>
      <c r="V1059" s="109" t="s">
        <v>2358</v>
      </c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</row>
    <row r="1060" ht="30.0" customHeight="1">
      <c r="A1060" s="159"/>
      <c r="B1060" s="218" t="s">
        <v>246</v>
      </c>
      <c r="C1060" s="218" t="s">
        <v>2286</v>
      </c>
      <c r="D1060" s="218" t="s">
        <v>2287</v>
      </c>
      <c r="E1060" s="219">
        <v>110068.0</v>
      </c>
      <c r="F1060" s="220" t="s">
        <v>2359</v>
      </c>
      <c r="G1060" s="221" t="s">
        <v>369</v>
      </c>
      <c r="H1060" s="222" t="s">
        <v>250</v>
      </c>
      <c r="I1060" s="221" t="s">
        <v>42</v>
      </c>
      <c r="J1060" s="222" t="s">
        <v>250</v>
      </c>
      <c r="K1060" s="223">
        <v>1.0</v>
      </c>
      <c r="L1060" s="223" t="b">
        <v>0</v>
      </c>
      <c r="M1060" s="223" t="s">
        <v>42</v>
      </c>
      <c r="N1060" s="223">
        <v>8.652</v>
      </c>
      <c r="O1060" s="224"/>
      <c r="P1060" s="225" t="s">
        <v>155</v>
      </c>
      <c r="Q1060" s="225" t="s">
        <v>155</v>
      </c>
      <c r="R1060" s="225" t="s">
        <v>155</v>
      </c>
      <c r="S1060" s="225" t="s">
        <v>155</v>
      </c>
      <c r="T1060" s="226"/>
      <c r="U1060" s="227"/>
      <c r="V1060" s="52" t="s">
        <v>250</v>
      </c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</row>
    <row r="1061" ht="30.0" customHeight="1">
      <c r="A1061" s="159"/>
      <c r="B1061" s="218" t="s">
        <v>246</v>
      </c>
      <c r="C1061" s="218" t="s">
        <v>2286</v>
      </c>
      <c r="D1061" s="218" t="s">
        <v>2287</v>
      </c>
      <c r="E1061" s="219">
        <v>110908.0</v>
      </c>
      <c r="F1061" s="220" t="s">
        <v>2360</v>
      </c>
      <c r="G1061" s="221" t="s">
        <v>369</v>
      </c>
      <c r="H1061" s="222" t="s">
        <v>250</v>
      </c>
      <c r="I1061" s="221" t="s">
        <v>972</v>
      </c>
      <c r="J1061" s="222" t="s">
        <v>250</v>
      </c>
      <c r="K1061" s="223">
        <v>1.0</v>
      </c>
      <c r="L1061" s="223" t="b">
        <v>0</v>
      </c>
      <c r="M1061" s="228"/>
      <c r="N1061" s="228"/>
      <c r="O1061" s="224"/>
      <c r="P1061" s="225" t="s">
        <v>155</v>
      </c>
      <c r="Q1061" s="225" t="s">
        <v>155</v>
      </c>
      <c r="R1061" s="225" t="s">
        <v>155</v>
      </c>
      <c r="S1061" s="225" t="s">
        <v>155</v>
      </c>
      <c r="T1061" s="226"/>
      <c r="U1061" s="227"/>
      <c r="V1061" s="52" t="s">
        <v>250</v>
      </c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</row>
    <row r="1062" ht="30.0" customHeight="1">
      <c r="A1062" s="159"/>
      <c r="B1062" s="218" t="s">
        <v>246</v>
      </c>
      <c r="C1062" s="218" t="s">
        <v>2286</v>
      </c>
      <c r="D1062" s="218" t="s">
        <v>2287</v>
      </c>
      <c r="E1062" s="219">
        <v>110915.0</v>
      </c>
      <c r="F1062" s="220" t="s">
        <v>2361</v>
      </c>
      <c r="G1062" s="221" t="s">
        <v>369</v>
      </c>
      <c r="H1062" s="221" t="s">
        <v>2362</v>
      </c>
      <c r="I1062" s="221" t="s">
        <v>2363</v>
      </c>
      <c r="J1062" s="222" t="s">
        <v>250</v>
      </c>
      <c r="K1062" s="223">
        <v>1.0</v>
      </c>
      <c r="L1062" s="223" t="b">
        <v>0</v>
      </c>
      <c r="M1062" s="223" t="s">
        <v>2364</v>
      </c>
      <c r="N1062" s="223">
        <v>17.965789</v>
      </c>
      <c r="O1062" s="224"/>
      <c r="P1062" s="225" t="s">
        <v>155</v>
      </c>
      <c r="Q1062" s="225" t="s">
        <v>155</v>
      </c>
      <c r="R1062" s="225" t="s">
        <v>155</v>
      </c>
      <c r="S1062" s="225" t="s">
        <v>155</v>
      </c>
      <c r="T1062" s="226"/>
      <c r="U1062" s="227"/>
      <c r="V1062" s="52" t="s">
        <v>250</v>
      </c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</row>
    <row r="1063" ht="30.0" customHeight="1">
      <c r="A1063" s="159"/>
      <c r="B1063" s="218" t="s">
        <v>246</v>
      </c>
      <c r="C1063" s="218" t="s">
        <v>2286</v>
      </c>
      <c r="D1063" s="218" t="s">
        <v>2287</v>
      </c>
      <c r="E1063" s="219">
        <v>110916.0</v>
      </c>
      <c r="F1063" s="220" t="s">
        <v>2365</v>
      </c>
      <c r="G1063" s="221" t="s">
        <v>369</v>
      </c>
      <c r="H1063" s="221" t="s">
        <v>2362</v>
      </c>
      <c r="I1063" s="221" t="s">
        <v>42</v>
      </c>
      <c r="J1063" s="222" t="s">
        <v>250</v>
      </c>
      <c r="K1063" s="223">
        <v>1.0</v>
      </c>
      <c r="L1063" s="223" t="b">
        <v>0</v>
      </c>
      <c r="M1063" s="223" t="s">
        <v>42</v>
      </c>
      <c r="N1063" s="223">
        <v>62.3072</v>
      </c>
      <c r="O1063" s="224"/>
      <c r="P1063" s="225" t="s">
        <v>155</v>
      </c>
      <c r="Q1063" s="225" t="s">
        <v>155</v>
      </c>
      <c r="R1063" s="225" t="s">
        <v>155</v>
      </c>
      <c r="S1063" s="225" t="s">
        <v>155</v>
      </c>
      <c r="T1063" s="226"/>
      <c r="U1063" s="227"/>
      <c r="V1063" s="52" t="s">
        <v>250</v>
      </c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</row>
    <row r="1064" ht="30.0" customHeight="1">
      <c r="A1064" s="159"/>
      <c r="B1064" s="218" t="s">
        <v>246</v>
      </c>
      <c r="C1064" s="218" t="s">
        <v>2286</v>
      </c>
      <c r="D1064" s="218" t="s">
        <v>2287</v>
      </c>
      <c r="E1064" s="219">
        <v>110919.0</v>
      </c>
      <c r="F1064" s="220" t="s">
        <v>2366</v>
      </c>
      <c r="G1064" s="221" t="s">
        <v>369</v>
      </c>
      <c r="H1064" s="221" t="s">
        <v>2362</v>
      </c>
      <c r="I1064" s="221" t="s">
        <v>42</v>
      </c>
      <c r="J1064" s="222" t="s">
        <v>250</v>
      </c>
      <c r="K1064" s="223">
        <v>1.0</v>
      </c>
      <c r="L1064" s="223" t="b">
        <v>0</v>
      </c>
      <c r="M1064" s="223" t="s">
        <v>42</v>
      </c>
      <c r="N1064" s="223">
        <v>63.117575</v>
      </c>
      <c r="O1064" s="224"/>
      <c r="P1064" s="225" t="s">
        <v>155</v>
      </c>
      <c r="Q1064" s="225" t="s">
        <v>155</v>
      </c>
      <c r="R1064" s="225" t="s">
        <v>155</v>
      </c>
      <c r="S1064" s="225" t="s">
        <v>155</v>
      </c>
      <c r="T1064" s="226"/>
      <c r="U1064" s="227"/>
      <c r="V1064" s="52" t="s">
        <v>250</v>
      </c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</row>
    <row r="1065" ht="30.0" customHeight="1">
      <c r="A1065" s="159"/>
      <c r="B1065" s="218" t="s">
        <v>246</v>
      </c>
      <c r="C1065" s="218" t="s">
        <v>2286</v>
      </c>
      <c r="D1065" s="218" t="s">
        <v>2287</v>
      </c>
      <c r="E1065" s="219">
        <v>110911.0</v>
      </c>
      <c r="F1065" s="220" t="s">
        <v>2367</v>
      </c>
      <c r="G1065" s="221" t="s">
        <v>369</v>
      </c>
      <c r="H1065" s="221" t="s">
        <v>2362</v>
      </c>
      <c r="I1065" s="221" t="s">
        <v>2368</v>
      </c>
      <c r="J1065" s="222" t="s">
        <v>250</v>
      </c>
      <c r="K1065" s="223">
        <v>1.0</v>
      </c>
      <c r="L1065" s="223" t="b">
        <v>0</v>
      </c>
      <c r="M1065" s="223" t="s">
        <v>2364</v>
      </c>
      <c r="N1065" s="223">
        <v>23.304125</v>
      </c>
      <c r="O1065" s="224"/>
      <c r="P1065" s="225" t="s">
        <v>155</v>
      </c>
      <c r="Q1065" s="225" t="s">
        <v>155</v>
      </c>
      <c r="R1065" s="225" t="s">
        <v>155</v>
      </c>
      <c r="S1065" s="225" t="s">
        <v>155</v>
      </c>
      <c r="T1065" s="226"/>
      <c r="U1065" s="227"/>
      <c r="V1065" s="52" t="s">
        <v>250</v>
      </c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</row>
    <row r="1066" ht="30.0" customHeight="1">
      <c r="A1066" s="159"/>
      <c r="B1066" s="218" t="s">
        <v>246</v>
      </c>
      <c r="C1066" s="218" t="s">
        <v>2286</v>
      </c>
      <c r="D1066" s="218" t="s">
        <v>2287</v>
      </c>
      <c r="E1066" s="219">
        <v>111180.0</v>
      </c>
      <c r="F1066" s="220" t="s">
        <v>2369</v>
      </c>
      <c r="G1066" s="221" t="s">
        <v>369</v>
      </c>
      <c r="H1066" s="221" t="s">
        <v>2320</v>
      </c>
      <c r="I1066" s="221" t="s">
        <v>972</v>
      </c>
      <c r="J1066" s="222" t="s">
        <v>250</v>
      </c>
      <c r="K1066" s="223">
        <v>2.0</v>
      </c>
      <c r="L1066" s="223" t="b">
        <v>0</v>
      </c>
      <c r="M1066" s="223" t="s">
        <v>972</v>
      </c>
      <c r="N1066" s="223">
        <v>16.91439</v>
      </c>
      <c r="O1066" s="224"/>
      <c r="P1066" s="225" t="s">
        <v>155</v>
      </c>
      <c r="Q1066" s="225" t="s">
        <v>155</v>
      </c>
      <c r="R1066" s="225" t="s">
        <v>155</v>
      </c>
      <c r="S1066" s="225" t="s">
        <v>155</v>
      </c>
      <c r="T1066" s="226"/>
      <c r="U1066" s="227"/>
      <c r="V1066" s="52" t="s">
        <v>250</v>
      </c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</row>
    <row r="1067" ht="30.0" customHeight="1">
      <c r="A1067" s="159"/>
      <c r="B1067" s="218" t="s">
        <v>246</v>
      </c>
      <c r="C1067" s="218" t="s">
        <v>2286</v>
      </c>
      <c r="D1067" s="218" t="s">
        <v>2287</v>
      </c>
      <c r="E1067" s="219">
        <v>110056.0</v>
      </c>
      <c r="F1067" s="220" t="s">
        <v>2370</v>
      </c>
      <c r="G1067" s="221" t="s">
        <v>369</v>
      </c>
      <c r="H1067" s="221" t="s">
        <v>2362</v>
      </c>
      <c r="I1067" s="221" t="s">
        <v>42</v>
      </c>
      <c r="J1067" s="222" t="s">
        <v>250</v>
      </c>
      <c r="K1067" s="223">
        <v>3.0</v>
      </c>
      <c r="L1067" s="223" t="b">
        <v>0</v>
      </c>
      <c r="M1067" s="223" t="s">
        <v>42</v>
      </c>
      <c r="N1067" s="223">
        <v>63.015769</v>
      </c>
      <c r="O1067" s="224"/>
      <c r="P1067" s="225" t="s">
        <v>155</v>
      </c>
      <c r="Q1067" s="225" t="s">
        <v>155</v>
      </c>
      <c r="R1067" s="225" t="s">
        <v>155</v>
      </c>
      <c r="S1067" s="225" t="s">
        <v>155</v>
      </c>
      <c r="T1067" s="226"/>
      <c r="U1067" s="227"/>
      <c r="V1067" s="52" t="s">
        <v>250</v>
      </c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</row>
    <row r="1068" ht="30.0" customHeight="1">
      <c r="A1068" s="159"/>
      <c r="B1068" s="218" t="s">
        <v>246</v>
      </c>
      <c r="C1068" s="218" t="s">
        <v>2286</v>
      </c>
      <c r="D1068" s="218" t="s">
        <v>2287</v>
      </c>
      <c r="E1068" s="219">
        <v>110914.0</v>
      </c>
      <c r="F1068" s="220" t="s">
        <v>2371</v>
      </c>
      <c r="G1068" s="221" t="s">
        <v>369</v>
      </c>
      <c r="H1068" s="221" t="s">
        <v>2362</v>
      </c>
      <c r="I1068" s="221" t="s">
        <v>2363</v>
      </c>
      <c r="J1068" s="222" t="s">
        <v>250</v>
      </c>
      <c r="K1068" s="223">
        <v>1.0</v>
      </c>
      <c r="L1068" s="223" t="b">
        <v>0</v>
      </c>
      <c r="M1068" s="228"/>
      <c r="N1068" s="228"/>
      <c r="O1068" s="224"/>
      <c r="P1068" s="225" t="s">
        <v>155</v>
      </c>
      <c r="Q1068" s="225" t="s">
        <v>155</v>
      </c>
      <c r="R1068" s="225" t="s">
        <v>155</v>
      </c>
      <c r="S1068" s="225" t="s">
        <v>155</v>
      </c>
      <c r="T1068" s="226"/>
      <c r="U1068" s="227"/>
      <c r="V1068" s="52" t="s">
        <v>250</v>
      </c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</row>
    <row r="1069" ht="30.0" customHeight="1">
      <c r="A1069" s="159"/>
      <c r="B1069" s="218" t="s">
        <v>246</v>
      </c>
      <c r="C1069" s="218" t="s">
        <v>2286</v>
      </c>
      <c r="D1069" s="218" t="s">
        <v>2287</v>
      </c>
      <c r="E1069" s="219">
        <v>111046.0</v>
      </c>
      <c r="F1069" s="220" t="s">
        <v>2372</v>
      </c>
      <c r="G1069" s="221" t="s">
        <v>369</v>
      </c>
      <c r="H1069" s="222" t="s">
        <v>250</v>
      </c>
      <c r="I1069" s="221" t="s">
        <v>2373</v>
      </c>
      <c r="J1069" s="222" t="s">
        <v>250</v>
      </c>
      <c r="K1069" s="223">
        <v>2.0</v>
      </c>
      <c r="L1069" s="223" t="b">
        <v>0</v>
      </c>
      <c r="M1069" s="223" t="s">
        <v>42</v>
      </c>
      <c r="N1069" s="223">
        <v>6.193295</v>
      </c>
      <c r="O1069" s="224"/>
      <c r="P1069" s="225" t="s">
        <v>155</v>
      </c>
      <c r="Q1069" s="225" t="s">
        <v>155</v>
      </c>
      <c r="R1069" s="225" t="s">
        <v>155</v>
      </c>
      <c r="S1069" s="225" t="s">
        <v>155</v>
      </c>
      <c r="T1069" s="226"/>
      <c r="U1069" s="227"/>
      <c r="V1069" s="52" t="s">
        <v>250</v>
      </c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</row>
    <row r="1070" ht="30.0" customHeight="1">
      <c r="A1070" s="159"/>
      <c r="B1070" s="218" t="s">
        <v>246</v>
      </c>
      <c r="C1070" s="218" t="s">
        <v>2286</v>
      </c>
      <c r="D1070" s="218" t="s">
        <v>2287</v>
      </c>
      <c r="E1070" s="219">
        <v>110069.0</v>
      </c>
      <c r="F1070" s="220" t="s">
        <v>2374</v>
      </c>
      <c r="G1070" s="221" t="s">
        <v>369</v>
      </c>
      <c r="H1070" s="222" t="s">
        <v>250</v>
      </c>
      <c r="I1070" s="221" t="s">
        <v>42</v>
      </c>
      <c r="J1070" s="222" t="s">
        <v>250</v>
      </c>
      <c r="K1070" s="223">
        <v>3.0</v>
      </c>
      <c r="L1070" s="223" t="b">
        <v>0</v>
      </c>
      <c r="M1070" s="223" t="s">
        <v>42</v>
      </c>
      <c r="N1070" s="223">
        <v>5.106144</v>
      </c>
      <c r="O1070" s="224"/>
      <c r="P1070" s="225" t="s">
        <v>155</v>
      </c>
      <c r="Q1070" s="225" t="s">
        <v>155</v>
      </c>
      <c r="R1070" s="225" t="s">
        <v>155</v>
      </c>
      <c r="S1070" s="225" t="s">
        <v>155</v>
      </c>
      <c r="T1070" s="226"/>
      <c r="U1070" s="227"/>
      <c r="V1070" s="52" t="s">
        <v>250</v>
      </c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</row>
    <row r="1071" ht="30.0" customHeight="1">
      <c r="A1071" s="159"/>
      <c r="B1071" s="218" t="s">
        <v>246</v>
      </c>
      <c r="C1071" s="218" t="s">
        <v>2286</v>
      </c>
      <c r="D1071" s="218" t="s">
        <v>2287</v>
      </c>
      <c r="E1071" s="219">
        <v>24459.0</v>
      </c>
      <c r="F1071" s="220" t="s">
        <v>2375</v>
      </c>
      <c r="G1071" s="221" t="s">
        <v>369</v>
      </c>
      <c r="H1071" s="222" t="s">
        <v>250</v>
      </c>
      <c r="I1071" s="221" t="s">
        <v>42</v>
      </c>
      <c r="J1071" s="222" t="s">
        <v>250</v>
      </c>
      <c r="K1071" s="223">
        <v>1.0</v>
      </c>
      <c r="L1071" s="223" t="b">
        <v>0</v>
      </c>
      <c r="M1071" s="223" t="s">
        <v>42</v>
      </c>
      <c r="N1071" s="223">
        <v>1.750243</v>
      </c>
      <c r="O1071" s="224"/>
      <c r="P1071" s="225" t="s">
        <v>155</v>
      </c>
      <c r="Q1071" s="225" t="s">
        <v>155</v>
      </c>
      <c r="R1071" s="225" t="s">
        <v>155</v>
      </c>
      <c r="S1071" s="225" t="s">
        <v>155</v>
      </c>
      <c r="T1071" s="226"/>
      <c r="U1071" s="227"/>
      <c r="V1071" s="52" t="s">
        <v>250</v>
      </c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</row>
    <row r="1072" ht="30.0" customHeight="1">
      <c r="A1072" s="159"/>
      <c r="B1072" s="218" t="s">
        <v>246</v>
      </c>
      <c r="C1072" s="218" t="s">
        <v>2286</v>
      </c>
      <c r="D1072" s="218" t="s">
        <v>2287</v>
      </c>
      <c r="E1072" s="219">
        <v>11741.0</v>
      </c>
      <c r="F1072" s="220" t="s">
        <v>2376</v>
      </c>
      <c r="G1072" s="221" t="s">
        <v>369</v>
      </c>
      <c r="H1072" s="222" t="s">
        <v>250</v>
      </c>
      <c r="I1072" s="221" t="s">
        <v>42</v>
      </c>
      <c r="J1072" s="222" t="s">
        <v>250</v>
      </c>
      <c r="K1072" s="223">
        <v>3.0</v>
      </c>
      <c r="L1072" s="223" t="b">
        <v>0</v>
      </c>
      <c r="M1072" s="223" t="s">
        <v>42</v>
      </c>
      <c r="N1072" s="223">
        <v>19.035937</v>
      </c>
      <c r="O1072" s="224"/>
      <c r="P1072" s="225" t="s">
        <v>155</v>
      </c>
      <c r="Q1072" s="225" t="s">
        <v>155</v>
      </c>
      <c r="R1072" s="225" t="s">
        <v>155</v>
      </c>
      <c r="S1072" s="225" t="s">
        <v>155</v>
      </c>
      <c r="T1072" s="226"/>
      <c r="U1072" s="227"/>
      <c r="V1072" s="52" t="s">
        <v>250</v>
      </c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</row>
    <row r="1073" ht="30.0" customHeight="1">
      <c r="A1073" s="159"/>
      <c r="B1073" s="218" t="s">
        <v>246</v>
      </c>
      <c r="C1073" s="218" t="s">
        <v>2286</v>
      </c>
      <c r="D1073" s="218" t="s">
        <v>2287</v>
      </c>
      <c r="E1073" s="219">
        <v>15585.0</v>
      </c>
      <c r="F1073" s="220" t="s">
        <v>2377</v>
      </c>
      <c r="G1073" s="221" t="s">
        <v>369</v>
      </c>
      <c r="H1073" s="222" t="s">
        <v>250</v>
      </c>
      <c r="I1073" s="221" t="s">
        <v>42</v>
      </c>
      <c r="J1073" s="222" t="s">
        <v>250</v>
      </c>
      <c r="K1073" s="223">
        <v>1.0</v>
      </c>
      <c r="L1073" s="223" t="b">
        <v>0</v>
      </c>
      <c r="M1073" s="223" t="s">
        <v>42</v>
      </c>
      <c r="N1073" s="223">
        <v>4.413055</v>
      </c>
      <c r="O1073" s="224"/>
      <c r="P1073" s="225" t="s">
        <v>155</v>
      </c>
      <c r="Q1073" s="225" t="s">
        <v>155</v>
      </c>
      <c r="R1073" s="225" t="s">
        <v>155</v>
      </c>
      <c r="S1073" s="225" t="s">
        <v>155</v>
      </c>
      <c r="T1073" s="226"/>
      <c r="U1073" s="227"/>
      <c r="V1073" s="52" t="s">
        <v>250</v>
      </c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</row>
    <row r="1074" ht="30.0" customHeight="1">
      <c r="A1074" s="159"/>
      <c r="B1074" s="218" t="s">
        <v>246</v>
      </c>
      <c r="C1074" s="218" t="s">
        <v>2286</v>
      </c>
      <c r="D1074" s="218" t="s">
        <v>2287</v>
      </c>
      <c r="E1074" s="219">
        <v>15551.0</v>
      </c>
      <c r="F1074" s="220" t="s">
        <v>2378</v>
      </c>
      <c r="G1074" s="221" t="s">
        <v>369</v>
      </c>
      <c r="H1074" s="222" t="s">
        <v>250</v>
      </c>
      <c r="I1074" s="221" t="s">
        <v>42</v>
      </c>
      <c r="J1074" s="222" t="s">
        <v>250</v>
      </c>
      <c r="K1074" s="223">
        <v>2.0</v>
      </c>
      <c r="L1074" s="223" t="b">
        <v>1</v>
      </c>
      <c r="M1074" s="223" t="s">
        <v>42</v>
      </c>
      <c r="N1074" s="223">
        <v>2.751943</v>
      </c>
      <c r="O1074" s="224" t="s">
        <v>238</v>
      </c>
      <c r="P1074" s="225" t="s">
        <v>155</v>
      </c>
      <c r="Q1074" s="225" t="s">
        <v>155</v>
      </c>
      <c r="R1074" s="225" t="s">
        <v>155</v>
      </c>
      <c r="S1074" s="225" t="s">
        <v>155</v>
      </c>
      <c r="T1074" s="226"/>
      <c r="U1074" s="227"/>
      <c r="V1074" s="52" t="s">
        <v>250</v>
      </c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</row>
    <row r="1075" ht="30.0" customHeight="1">
      <c r="A1075" s="159"/>
      <c r="B1075" s="218" t="s">
        <v>246</v>
      </c>
      <c r="C1075" s="218" t="s">
        <v>2286</v>
      </c>
      <c r="D1075" s="218" t="s">
        <v>2287</v>
      </c>
      <c r="E1075" s="219">
        <v>15556.0</v>
      </c>
      <c r="F1075" s="220" t="s">
        <v>2379</v>
      </c>
      <c r="G1075" s="221" t="s">
        <v>369</v>
      </c>
      <c r="H1075" s="222" t="s">
        <v>250</v>
      </c>
      <c r="I1075" s="221" t="s">
        <v>42</v>
      </c>
      <c r="J1075" s="222" t="s">
        <v>250</v>
      </c>
      <c r="K1075" s="223">
        <v>2.0</v>
      </c>
      <c r="L1075" s="223" t="b">
        <v>1</v>
      </c>
      <c r="M1075" s="223" t="s">
        <v>42</v>
      </c>
      <c r="N1075" s="223">
        <v>6.079162</v>
      </c>
      <c r="O1075" s="224" t="s">
        <v>238</v>
      </c>
      <c r="P1075" s="225" t="s">
        <v>155</v>
      </c>
      <c r="Q1075" s="225" t="s">
        <v>155</v>
      </c>
      <c r="R1075" s="225" t="s">
        <v>155</v>
      </c>
      <c r="S1075" s="225" t="s">
        <v>155</v>
      </c>
      <c r="T1075" s="226"/>
      <c r="U1075" s="227"/>
      <c r="V1075" s="52" t="s">
        <v>250</v>
      </c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</row>
    <row r="1076" ht="30.0" customHeight="1">
      <c r="A1076" s="159"/>
      <c r="B1076" s="218" t="s">
        <v>246</v>
      </c>
      <c r="C1076" s="218" t="s">
        <v>2286</v>
      </c>
      <c r="D1076" s="218" t="s">
        <v>2287</v>
      </c>
      <c r="E1076" s="219">
        <v>31638.0</v>
      </c>
      <c r="F1076" s="220" t="s">
        <v>2380</v>
      </c>
      <c r="G1076" s="221" t="s">
        <v>369</v>
      </c>
      <c r="H1076" s="222" t="s">
        <v>250</v>
      </c>
      <c r="I1076" s="221" t="s">
        <v>42</v>
      </c>
      <c r="J1076" s="222" t="s">
        <v>250</v>
      </c>
      <c r="K1076" s="223">
        <v>1.0</v>
      </c>
      <c r="L1076" s="223" t="b">
        <v>0</v>
      </c>
      <c r="M1076" s="223" t="s">
        <v>42</v>
      </c>
      <c r="N1076" s="223">
        <v>2.40931</v>
      </c>
      <c r="O1076" s="224"/>
      <c r="P1076" s="225" t="s">
        <v>155</v>
      </c>
      <c r="Q1076" s="225" t="s">
        <v>155</v>
      </c>
      <c r="R1076" s="225" t="s">
        <v>155</v>
      </c>
      <c r="S1076" s="225" t="s">
        <v>155</v>
      </c>
      <c r="T1076" s="226"/>
      <c r="U1076" s="227"/>
      <c r="V1076" s="109" t="s">
        <v>2381</v>
      </c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</row>
    <row r="1077" ht="30.0" customHeight="1">
      <c r="A1077" s="159"/>
      <c r="B1077" s="218" t="s">
        <v>246</v>
      </c>
      <c r="C1077" s="218" t="s">
        <v>2286</v>
      </c>
      <c r="D1077" s="218" t="s">
        <v>2287</v>
      </c>
      <c r="E1077" s="219">
        <v>110060.0</v>
      </c>
      <c r="F1077" s="220" t="s">
        <v>2382</v>
      </c>
      <c r="G1077" s="221" t="s">
        <v>369</v>
      </c>
      <c r="H1077" s="222" t="s">
        <v>250</v>
      </c>
      <c r="I1077" s="221" t="s">
        <v>42</v>
      </c>
      <c r="J1077" s="222" t="s">
        <v>250</v>
      </c>
      <c r="K1077" s="223">
        <v>1.0</v>
      </c>
      <c r="L1077" s="223" t="b">
        <v>0</v>
      </c>
      <c r="M1077" s="228"/>
      <c r="N1077" s="228"/>
      <c r="O1077" s="224"/>
      <c r="P1077" s="225" t="s">
        <v>155</v>
      </c>
      <c r="Q1077" s="225" t="s">
        <v>155</v>
      </c>
      <c r="R1077" s="225" t="s">
        <v>155</v>
      </c>
      <c r="S1077" s="225" t="s">
        <v>155</v>
      </c>
      <c r="T1077" s="226"/>
      <c r="U1077" s="227"/>
      <c r="V1077" s="52" t="s">
        <v>250</v>
      </c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</row>
    <row r="1078" ht="30.0" customHeight="1">
      <c r="A1078" s="159"/>
      <c r="B1078" s="218" t="s">
        <v>246</v>
      </c>
      <c r="C1078" s="218" t="s">
        <v>2286</v>
      </c>
      <c r="D1078" s="218" t="s">
        <v>2287</v>
      </c>
      <c r="E1078" s="219">
        <v>15624.0</v>
      </c>
      <c r="F1078" s="220" t="s">
        <v>2383</v>
      </c>
      <c r="G1078" s="221" t="s">
        <v>369</v>
      </c>
      <c r="H1078" s="222" t="s">
        <v>250</v>
      </c>
      <c r="I1078" s="221" t="s">
        <v>42</v>
      </c>
      <c r="J1078" s="222" t="s">
        <v>250</v>
      </c>
      <c r="K1078" s="223">
        <v>3.0</v>
      </c>
      <c r="L1078" s="223" t="b">
        <v>0</v>
      </c>
      <c r="M1078" s="223" t="s">
        <v>42</v>
      </c>
      <c r="N1078" s="223">
        <v>2.456923</v>
      </c>
      <c r="O1078" s="224"/>
      <c r="P1078" s="225" t="s">
        <v>155</v>
      </c>
      <c r="Q1078" s="225" t="s">
        <v>155</v>
      </c>
      <c r="R1078" s="225" t="s">
        <v>155</v>
      </c>
      <c r="S1078" s="225" t="s">
        <v>155</v>
      </c>
      <c r="T1078" s="229" t="s">
        <v>2384</v>
      </c>
      <c r="U1078" s="227"/>
      <c r="V1078" s="52" t="s">
        <v>250</v>
      </c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</row>
    <row r="1079" ht="30.0" customHeight="1">
      <c r="A1079" s="159"/>
      <c r="B1079" s="218" t="s">
        <v>246</v>
      </c>
      <c r="C1079" s="218" t="s">
        <v>2286</v>
      </c>
      <c r="D1079" s="218" t="s">
        <v>2287</v>
      </c>
      <c r="E1079" s="219">
        <v>46179.0</v>
      </c>
      <c r="F1079" s="220" t="s">
        <v>2385</v>
      </c>
      <c r="G1079" s="221" t="s">
        <v>369</v>
      </c>
      <c r="H1079" s="222" t="s">
        <v>250</v>
      </c>
      <c r="I1079" s="221" t="s">
        <v>42</v>
      </c>
      <c r="J1079" s="222" t="s">
        <v>250</v>
      </c>
      <c r="K1079" s="223">
        <v>1.0</v>
      </c>
      <c r="L1079" s="223" t="b">
        <v>0</v>
      </c>
      <c r="M1079" s="223" t="s">
        <v>42</v>
      </c>
      <c r="N1079" s="223">
        <v>0.626101</v>
      </c>
      <c r="O1079" s="224" t="s">
        <v>238</v>
      </c>
      <c r="P1079" s="225" t="s">
        <v>155</v>
      </c>
      <c r="Q1079" s="225" t="s">
        <v>155</v>
      </c>
      <c r="R1079" s="225" t="s">
        <v>155</v>
      </c>
      <c r="S1079" s="225" t="s">
        <v>155</v>
      </c>
      <c r="T1079" s="226"/>
      <c r="U1079" s="227"/>
      <c r="V1079" s="52" t="s">
        <v>250</v>
      </c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</row>
    <row r="1080" ht="30.0" customHeight="1">
      <c r="A1080" s="159"/>
      <c r="B1080" s="218" t="s">
        <v>246</v>
      </c>
      <c r="C1080" s="218" t="s">
        <v>2286</v>
      </c>
      <c r="D1080" s="218" t="s">
        <v>2287</v>
      </c>
      <c r="E1080" s="219">
        <v>15496.0</v>
      </c>
      <c r="F1080" s="220" t="s">
        <v>2386</v>
      </c>
      <c r="G1080" s="221" t="s">
        <v>369</v>
      </c>
      <c r="H1080" s="222" t="s">
        <v>250</v>
      </c>
      <c r="I1080" s="221" t="s">
        <v>42</v>
      </c>
      <c r="J1080" s="222" t="s">
        <v>250</v>
      </c>
      <c r="K1080" s="223">
        <v>1.0</v>
      </c>
      <c r="L1080" s="223" t="b">
        <v>0</v>
      </c>
      <c r="M1080" s="223" t="s">
        <v>42</v>
      </c>
      <c r="N1080" s="223">
        <v>0.61286</v>
      </c>
      <c r="O1080" s="224" t="s">
        <v>238</v>
      </c>
      <c r="P1080" s="225" t="s">
        <v>155</v>
      </c>
      <c r="Q1080" s="225" t="s">
        <v>155</v>
      </c>
      <c r="R1080" s="225" t="s">
        <v>155</v>
      </c>
      <c r="S1080" s="225" t="s">
        <v>155</v>
      </c>
      <c r="T1080" s="226"/>
      <c r="U1080" s="227"/>
      <c r="V1080" s="52" t="s">
        <v>250</v>
      </c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</row>
    <row r="1081" ht="30.0" customHeight="1">
      <c r="A1081" s="159"/>
      <c r="B1081" s="218" t="s">
        <v>246</v>
      </c>
      <c r="C1081" s="218" t="s">
        <v>2286</v>
      </c>
      <c r="D1081" s="218" t="s">
        <v>2287</v>
      </c>
      <c r="E1081" s="219">
        <v>111864.0</v>
      </c>
      <c r="F1081" s="220" t="s">
        <v>2387</v>
      </c>
      <c r="G1081" s="221" t="s">
        <v>369</v>
      </c>
      <c r="H1081" s="222" t="s">
        <v>250</v>
      </c>
      <c r="I1081" s="221" t="s">
        <v>665</v>
      </c>
      <c r="J1081" s="222" t="s">
        <v>250</v>
      </c>
      <c r="K1081" s="223">
        <v>1.0</v>
      </c>
      <c r="L1081" s="223" t="b">
        <v>0</v>
      </c>
      <c r="M1081" s="223" t="s">
        <v>665</v>
      </c>
      <c r="N1081" s="223">
        <v>5.849259</v>
      </c>
      <c r="O1081" s="224"/>
      <c r="P1081" s="225" t="s">
        <v>155</v>
      </c>
      <c r="Q1081" s="225" t="s">
        <v>155</v>
      </c>
      <c r="R1081" s="225" t="s">
        <v>155</v>
      </c>
      <c r="S1081" s="225" t="s">
        <v>155</v>
      </c>
      <c r="T1081" s="226"/>
      <c r="U1081" s="227"/>
      <c r="V1081" s="52" t="s">
        <v>250</v>
      </c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</row>
    <row r="1082" ht="30.0" customHeight="1">
      <c r="A1082" s="159"/>
      <c r="B1082" s="218" t="s">
        <v>246</v>
      </c>
      <c r="C1082" s="218" t="s">
        <v>2286</v>
      </c>
      <c r="D1082" s="218" t="s">
        <v>2287</v>
      </c>
      <c r="E1082" s="219">
        <v>15497.0</v>
      </c>
      <c r="F1082" s="220" t="s">
        <v>2388</v>
      </c>
      <c r="G1082" s="221" t="s">
        <v>369</v>
      </c>
      <c r="H1082" s="222" t="s">
        <v>250</v>
      </c>
      <c r="I1082" s="221" t="s">
        <v>42</v>
      </c>
      <c r="J1082" s="222" t="s">
        <v>250</v>
      </c>
      <c r="K1082" s="223">
        <v>2.0</v>
      </c>
      <c r="L1082" s="223" t="b">
        <v>0</v>
      </c>
      <c r="M1082" s="223" t="s">
        <v>42</v>
      </c>
      <c r="N1082" s="223">
        <v>0.390277</v>
      </c>
      <c r="O1082" s="224" t="s">
        <v>238</v>
      </c>
      <c r="P1082" s="225" t="s">
        <v>155</v>
      </c>
      <c r="Q1082" s="225" t="s">
        <v>155</v>
      </c>
      <c r="R1082" s="225" t="s">
        <v>155</v>
      </c>
      <c r="S1082" s="225" t="s">
        <v>155</v>
      </c>
      <c r="T1082" s="226"/>
      <c r="U1082" s="227"/>
      <c r="V1082" s="52" t="s">
        <v>250</v>
      </c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</row>
    <row r="1083" ht="30.0" customHeight="1">
      <c r="A1083" s="159"/>
      <c r="B1083" s="218" t="s">
        <v>246</v>
      </c>
      <c r="C1083" s="218" t="s">
        <v>2286</v>
      </c>
      <c r="D1083" s="218" t="s">
        <v>2287</v>
      </c>
      <c r="E1083" s="219">
        <v>23714.0</v>
      </c>
      <c r="F1083" s="220" t="s">
        <v>2389</v>
      </c>
      <c r="G1083" s="221" t="s">
        <v>369</v>
      </c>
      <c r="H1083" s="222" t="s">
        <v>250</v>
      </c>
      <c r="I1083" s="221" t="s">
        <v>42</v>
      </c>
      <c r="J1083" s="222" t="s">
        <v>250</v>
      </c>
      <c r="K1083" s="223">
        <v>1.0</v>
      </c>
      <c r="L1083" s="223" t="b">
        <v>0</v>
      </c>
      <c r="M1083" s="223" t="s">
        <v>42</v>
      </c>
      <c r="N1083" s="223">
        <v>1.284341</v>
      </c>
      <c r="O1083" s="224"/>
      <c r="P1083" s="225" t="s">
        <v>155</v>
      </c>
      <c r="Q1083" s="225" t="s">
        <v>155</v>
      </c>
      <c r="R1083" s="225" t="s">
        <v>155</v>
      </c>
      <c r="S1083" s="225" t="s">
        <v>155</v>
      </c>
      <c r="T1083" s="226"/>
      <c r="U1083" s="227"/>
      <c r="V1083" s="52" t="s">
        <v>250</v>
      </c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</row>
    <row r="1084" ht="30.0" customHeight="1">
      <c r="A1084" s="159"/>
      <c r="B1084" s="218" t="s">
        <v>246</v>
      </c>
      <c r="C1084" s="218" t="s">
        <v>2286</v>
      </c>
      <c r="D1084" s="218" t="s">
        <v>2287</v>
      </c>
      <c r="E1084" s="219">
        <v>110088.0</v>
      </c>
      <c r="F1084" s="220" t="s">
        <v>2390</v>
      </c>
      <c r="G1084" s="221" t="s">
        <v>369</v>
      </c>
      <c r="H1084" s="222" t="s">
        <v>250</v>
      </c>
      <c r="I1084" s="221" t="s">
        <v>42</v>
      </c>
      <c r="J1084" s="222" t="s">
        <v>250</v>
      </c>
      <c r="K1084" s="223">
        <v>1.0</v>
      </c>
      <c r="L1084" s="223" t="b">
        <v>0</v>
      </c>
      <c r="M1084" s="223" t="s">
        <v>42</v>
      </c>
      <c r="N1084" s="223">
        <v>33.8928</v>
      </c>
      <c r="O1084" s="224"/>
      <c r="P1084" s="225" t="s">
        <v>155</v>
      </c>
      <c r="Q1084" s="225" t="s">
        <v>155</v>
      </c>
      <c r="R1084" s="225" t="s">
        <v>155</v>
      </c>
      <c r="S1084" s="225" t="s">
        <v>155</v>
      </c>
      <c r="T1084" s="226"/>
      <c r="U1084" s="227"/>
      <c r="V1084" s="52" t="s">
        <v>250</v>
      </c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</row>
    <row r="1085" ht="30.0" customHeight="1">
      <c r="A1085" s="159"/>
      <c r="B1085" s="218" t="s">
        <v>246</v>
      </c>
      <c r="C1085" s="218" t="s">
        <v>2286</v>
      </c>
      <c r="D1085" s="218" t="s">
        <v>2287</v>
      </c>
      <c r="E1085" s="219">
        <v>109763.0</v>
      </c>
      <c r="F1085" s="220" t="s">
        <v>2391</v>
      </c>
      <c r="G1085" s="221" t="s">
        <v>369</v>
      </c>
      <c r="H1085" s="222" t="s">
        <v>250</v>
      </c>
      <c r="I1085" s="221" t="s">
        <v>42</v>
      </c>
      <c r="J1085" s="222" t="s">
        <v>250</v>
      </c>
      <c r="K1085" s="223">
        <v>1.0</v>
      </c>
      <c r="L1085" s="223" t="b">
        <v>0</v>
      </c>
      <c r="M1085" s="223" t="s">
        <v>42</v>
      </c>
      <c r="N1085" s="223">
        <v>8.321818</v>
      </c>
      <c r="O1085" s="224"/>
      <c r="P1085" s="225" t="s">
        <v>155</v>
      </c>
      <c r="Q1085" s="225" t="s">
        <v>155</v>
      </c>
      <c r="R1085" s="225" t="s">
        <v>155</v>
      </c>
      <c r="S1085" s="225" t="s">
        <v>155</v>
      </c>
      <c r="T1085" s="226"/>
      <c r="U1085" s="227"/>
      <c r="V1085" s="52" t="s">
        <v>250</v>
      </c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</row>
    <row r="1086" ht="30.0" customHeight="1">
      <c r="A1086" s="159"/>
      <c r="B1086" s="218" t="s">
        <v>246</v>
      </c>
      <c r="C1086" s="218" t="s">
        <v>2286</v>
      </c>
      <c r="D1086" s="218" t="s">
        <v>2287</v>
      </c>
      <c r="E1086" s="219">
        <v>110913.0</v>
      </c>
      <c r="F1086" s="220" t="s">
        <v>2392</v>
      </c>
      <c r="G1086" s="221" t="s">
        <v>369</v>
      </c>
      <c r="H1086" s="222" t="s">
        <v>250</v>
      </c>
      <c r="I1086" s="221" t="s">
        <v>389</v>
      </c>
      <c r="J1086" s="222" t="s">
        <v>250</v>
      </c>
      <c r="K1086" s="223">
        <v>1.0</v>
      </c>
      <c r="L1086" s="223" t="b">
        <v>0</v>
      </c>
      <c r="M1086" s="223" t="s">
        <v>389</v>
      </c>
      <c r="N1086" s="223">
        <v>7.14</v>
      </c>
      <c r="O1086" s="224"/>
      <c r="P1086" s="225" t="s">
        <v>155</v>
      </c>
      <c r="Q1086" s="225" t="s">
        <v>155</v>
      </c>
      <c r="R1086" s="225" t="s">
        <v>155</v>
      </c>
      <c r="S1086" s="225" t="s">
        <v>155</v>
      </c>
      <c r="T1086" s="226"/>
      <c r="U1086" s="227"/>
      <c r="V1086" s="52" t="s">
        <v>250</v>
      </c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</row>
    <row r="1087" ht="30.0" customHeight="1">
      <c r="A1087" s="159"/>
      <c r="B1087" s="218" t="s">
        <v>246</v>
      </c>
      <c r="C1087" s="218" t="s">
        <v>2286</v>
      </c>
      <c r="D1087" s="218" t="s">
        <v>2287</v>
      </c>
      <c r="E1087" s="219">
        <v>112615.0</v>
      </c>
      <c r="F1087" s="220" t="s">
        <v>2393</v>
      </c>
      <c r="G1087" s="221" t="s">
        <v>369</v>
      </c>
      <c r="H1087" s="222" t="s">
        <v>250</v>
      </c>
      <c r="I1087" s="221" t="s">
        <v>269</v>
      </c>
      <c r="J1087" s="222" t="s">
        <v>250</v>
      </c>
      <c r="K1087" s="223">
        <v>1.0</v>
      </c>
      <c r="L1087" s="223" t="b">
        <v>0</v>
      </c>
      <c r="M1087" s="223" t="s">
        <v>42</v>
      </c>
      <c r="N1087" s="223">
        <v>3.138461</v>
      </c>
      <c r="O1087" s="224"/>
      <c r="P1087" s="225" t="s">
        <v>155</v>
      </c>
      <c r="Q1087" s="225" t="s">
        <v>155</v>
      </c>
      <c r="R1087" s="225" t="s">
        <v>155</v>
      </c>
      <c r="S1087" s="225" t="s">
        <v>155</v>
      </c>
      <c r="T1087" s="226"/>
      <c r="U1087" s="227"/>
      <c r="V1087" s="52" t="s">
        <v>250</v>
      </c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</row>
    <row r="1088" ht="30.0" customHeight="1">
      <c r="A1088" s="159"/>
      <c r="B1088" s="218" t="s">
        <v>246</v>
      </c>
      <c r="C1088" s="218" t="s">
        <v>2286</v>
      </c>
      <c r="D1088" s="218" t="s">
        <v>2287</v>
      </c>
      <c r="E1088" s="219">
        <v>111047.0</v>
      </c>
      <c r="F1088" s="220" t="s">
        <v>2394</v>
      </c>
      <c r="G1088" s="221" t="s">
        <v>369</v>
      </c>
      <c r="H1088" s="222" t="s">
        <v>250</v>
      </c>
      <c r="I1088" s="221" t="s">
        <v>2373</v>
      </c>
      <c r="J1088" s="222" t="s">
        <v>250</v>
      </c>
      <c r="K1088" s="223">
        <v>1.0</v>
      </c>
      <c r="L1088" s="223" t="b">
        <v>0</v>
      </c>
      <c r="M1088" s="223" t="s">
        <v>42</v>
      </c>
      <c r="N1088" s="223">
        <v>2.701282</v>
      </c>
      <c r="O1088" s="224"/>
      <c r="P1088" s="225" t="s">
        <v>155</v>
      </c>
      <c r="Q1088" s="225" t="s">
        <v>155</v>
      </c>
      <c r="R1088" s="225" t="s">
        <v>155</v>
      </c>
      <c r="S1088" s="225" t="s">
        <v>155</v>
      </c>
      <c r="T1088" s="226"/>
      <c r="U1088" s="227"/>
      <c r="V1088" s="52" t="s">
        <v>250</v>
      </c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</row>
    <row r="1089" ht="30.0" customHeight="1">
      <c r="A1089" s="159"/>
      <c r="B1089" s="218" t="s">
        <v>246</v>
      </c>
      <c r="C1089" s="218" t="s">
        <v>2286</v>
      </c>
      <c r="D1089" s="218" t="s">
        <v>2287</v>
      </c>
      <c r="E1089" s="219">
        <v>15501.0</v>
      </c>
      <c r="F1089" s="220" t="s">
        <v>2395</v>
      </c>
      <c r="G1089" s="221" t="s">
        <v>369</v>
      </c>
      <c r="H1089" s="222" t="s">
        <v>250</v>
      </c>
      <c r="I1089" s="221" t="s">
        <v>42</v>
      </c>
      <c r="J1089" s="222" t="s">
        <v>250</v>
      </c>
      <c r="K1089" s="223">
        <v>1.0</v>
      </c>
      <c r="L1089" s="223" t="b">
        <v>0</v>
      </c>
      <c r="M1089" s="223" t="s">
        <v>42</v>
      </c>
      <c r="N1089" s="223">
        <v>0.999711</v>
      </c>
      <c r="O1089" s="224" t="s">
        <v>238</v>
      </c>
      <c r="P1089" s="225" t="s">
        <v>155</v>
      </c>
      <c r="Q1089" s="225" t="s">
        <v>155</v>
      </c>
      <c r="R1089" s="225" t="s">
        <v>155</v>
      </c>
      <c r="S1089" s="225" t="s">
        <v>155</v>
      </c>
      <c r="T1089" s="226"/>
      <c r="U1089" s="227"/>
      <c r="V1089" s="52" t="s">
        <v>250</v>
      </c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</row>
    <row r="1090" ht="30.0" customHeight="1">
      <c r="A1090" s="159"/>
      <c r="B1090" s="218" t="s">
        <v>246</v>
      </c>
      <c r="C1090" s="218" t="s">
        <v>2286</v>
      </c>
      <c r="D1090" s="218" t="s">
        <v>2287</v>
      </c>
      <c r="E1090" s="219">
        <v>15504.0</v>
      </c>
      <c r="F1090" s="220" t="s">
        <v>2396</v>
      </c>
      <c r="G1090" s="221" t="s">
        <v>369</v>
      </c>
      <c r="H1090" s="222" t="s">
        <v>250</v>
      </c>
      <c r="I1090" s="221" t="s">
        <v>42</v>
      </c>
      <c r="J1090" s="222" t="s">
        <v>250</v>
      </c>
      <c r="K1090" s="223">
        <v>1.0</v>
      </c>
      <c r="L1090" s="223" t="b">
        <v>0</v>
      </c>
      <c r="M1090" s="223" t="s">
        <v>42</v>
      </c>
      <c r="N1090" s="223">
        <v>2.468711</v>
      </c>
      <c r="O1090" s="224" t="s">
        <v>238</v>
      </c>
      <c r="P1090" s="225" t="s">
        <v>155</v>
      </c>
      <c r="Q1090" s="225" t="s">
        <v>155</v>
      </c>
      <c r="R1090" s="225" t="s">
        <v>155</v>
      </c>
      <c r="S1090" s="225" t="s">
        <v>155</v>
      </c>
      <c r="T1090" s="229" t="s">
        <v>554</v>
      </c>
      <c r="U1090" s="227"/>
      <c r="V1090" s="52" t="s">
        <v>250</v>
      </c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</row>
    <row r="1091" ht="30.0" customHeight="1">
      <c r="A1091" s="159"/>
      <c r="B1091" s="218" t="s">
        <v>246</v>
      </c>
      <c r="C1091" s="218" t="s">
        <v>2286</v>
      </c>
      <c r="D1091" s="218" t="s">
        <v>2287</v>
      </c>
      <c r="E1091" s="219">
        <v>15502.0</v>
      </c>
      <c r="F1091" s="220" t="s">
        <v>2397</v>
      </c>
      <c r="G1091" s="221" t="s">
        <v>369</v>
      </c>
      <c r="H1091" s="222" t="s">
        <v>250</v>
      </c>
      <c r="I1091" s="221" t="s">
        <v>42</v>
      </c>
      <c r="J1091" s="222" t="s">
        <v>250</v>
      </c>
      <c r="K1091" s="223">
        <v>1.0</v>
      </c>
      <c r="L1091" s="223" t="b">
        <v>0</v>
      </c>
      <c r="M1091" s="223" t="s">
        <v>42</v>
      </c>
      <c r="N1091" s="223">
        <v>1.274598</v>
      </c>
      <c r="O1091" s="224" t="s">
        <v>238</v>
      </c>
      <c r="P1091" s="225" t="s">
        <v>155</v>
      </c>
      <c r="Q1091" s="225" t="s">
        <v>155</v>
      </c>
      <c r="R1091" s="225" t="s">
        <v>155</v>
      </c>
      <c r="S1091" s="225" t="s">
        <v>155</v>
      </c>
      <c r="T1091" s="226"/>
      <c r="U1091" s="227"/>
      <c r="V1091" s="52" t="s">
        <v>250</v>
      </c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</row>
    <row r="1092" ht="30.0" customHeight="1">
      <c r="A1092" s="159"/>
      <c r="B1092" s="218" t="s">
        <v>246</v>
      </c>
      <c r="C1092" s="218" t="s">
        <v>2286</v>
      </c>
      <c r="D1092" s="218" t="s">
        <v>2287</v>
      </c>
      <c r="E1092" s="219">
        <v>15577.0</v>
      </c>
      <c r="F1092" s="220" t="s">
        <v>2398</v>
      </c>
      <c r="G1092" s="221" t="s">
        <v>369</v>
      </c>
      <c r="H1092" s="222" t="s">
        <v>250</v>
      </c>
      <c r="I1092" s="221" t="s">
        <v>42</v>
      </c>
      <c r="J1092" s="222" t="s">
        <v>250</v>
      </c>
      <c r="K1092" s="223">
        <v>1.0</v>
      </c>
      <c r="L1092" s="223" t="b">
        <v>0</v>
      </c>
      <c r="M1092" s="223" t="s">
        <v>42</v>
      </c>
      <c r="N1092" s="223">
        <v>1.302892</v>
      </c>
      <c r="O1092" s="224" t="s">
        <v>238</v>
      </c>
      <c r="P1092" s="225" t="s">
        <v>155</v>
      </c>
      <c r="Q1092" s="225" t="s">
        <v>155</v>
      </c>
      <c r="R1092" s="225" t="s">
        <v>155</v>
      </c>
      <c r="S1092" s="225" t="s">
        <v>155</v>
      </c>
      <c r="T1092" s="226"/>
      <c r="U1092" s="227"/>
      <c r="V1092" s="52" t="s">
        <v>250</v>
      </c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</row>
    <row r="1093" ht="30.0" customHeight="1">
      <c r="A1093" s="159"/>
      <c r="B1093" s="218" t="s">
        <v>246</v>
      </c>
      <c r="C1093" s="218" t="s">
        <v>2286</v>
      </c>
      <c r="D1093" s="218" t="s">
        <v>2287</v>
      </c>
      <c r="E1093" s="219">
        <v>33604.0</v>
      </c>
      <c r="F1093" s="220" t="s">
        <v>2399</v>
      </c>
      <c r="G1093" s="221" t="s">
        <v>369</v>
      </c>
      <c r="H1093" s="222" t="s">
        <v>250</v>
      </c>
      <c r="I1093" s="221" t="s">
        <v>42</v>
      </c>
      <c r="J1093" s="222" t="s">
        <v>250</v>
      </c>
      <c r="K1093" s="223">
        <v>1.0</v>
      </c>
      <c r="L1093" s="223" t="b">
        <v>0</v>
      </c>
      <c r="M1093" s="223" t="s">
        <v>42</v>
      </c>
      <c r="N1093" s="223">
        <v>2.694611</v>
      </c>
      <c r="O1093" s="224"/>
      <c r="P1093" s="225" t="s">
        <v>155</v>
      </c>
      <c r="Q1093" s="225" t="s">
        <v>155</v>
      </c>
      <c r="R1093" s="225" t="s">
        <v>155</v>
      </c>
      <c r="S1093" s="225" t="s">
        <v>155</v>
      </c>
      <c r="T1093" s="226"/>
      <c r="U1093" s="227"/>
      <c r="V1093" s="52" t="s">
        <v>250</v>
      </c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</row>
    <row r="1094" ht="30.0" customHeight="1">
      <c r="A1094" s="159"/>
      <c r="B1094" s="218" t="s">
        <v>246</v>
      </c>
      <c r="C1094" s="218" t="s">
        <v>2286</v>
      </c>
      <c r="D1094" s="218" t="s">
        <v>2287</v>
      </c>
      <c r="E1094" s="219">
        <v>110075.0</v>
      </c>
      <c r="F1094" s="220" t="s">
        <v>2400</v>
      </c>
      <c r="G1094" s="221" t="s">
        <v>369</v>
      </c>
      <c r="H1094" s="222" t="s">
        <v>250</v>
      </c>
      <c r="I1094" s="221" t="s">
        <v>42</v>
      </c>
      <c r="J1094" s="222" t="s">
        <v>250</v>
      </c>
      <c r="K1094" s="223">
        <v>1.0</v>
      </c>
      <c r="L1094" s="223" t="b">
        <v>0</v>
      </c>
      <c r="M1094" s="223" t="s">
        <v>42</v>
      </c>
      <c r="N1094" s="223">
        <v>1.799642</v>
      </c>
      <c r="O1094" s="224"/>
      <c r="P1094" s="225" t="s">
        <v>155</v>
      </c>
      <c r="Q1094" s="225" t="s">
        <v>155</v>
      </c>
      <c r="R1094" s="225" t="s">
        <v>155</v>
      </c>
      <c r="S1094" s="225" t="s">
        <v>155</v>
      </c>
      <c r="T1094" s="226"/>
      <c r="U1094" s="227"/>
      <c r="V1094" s="52" t="s">
        <v>250</v>
      </c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</row>
    <row r="1095" ht="30.0" customHeight="1">
      <c r="A1095" s="159"/>
      <c r="B1095" s="218" t="s">
        <v>246</v>
      </c>
      <c r="C1095" s="218" t="s">
        <v>2286</v>
      </c>
      <c r="D1095" s="218" t="s">
        <v>2287</v>
      </c>
      <c r="E1095" s="219">
        <v>109751.0</v>
      </c>
      <c r="F1095" s="220" t="s">
        <v>2401</v>
      </c>
      <c r="G1095" s="221" t="s">
        <v>369</v>
      </c>
      <c r="H1095" s="222" t="s">
        <v>250</v>
      </c>
      <c r="I1095" s="221" t="s">
        <v>42</v>
      </c>
      <c r="J1095" s="222" t="s">
        <v>250</v>
      </c>
      <c r="K1095" s="223">
        <v>1.0</v>
      </c>
      <c r="L1095" s="223" t="b">
        <v>0</v>
      </c>
      <c r="M1095" s="223" t="s">
        <v>42</v>
      </c>
      <c r="N1095" s="223">
        <v>0.422777</v>
      </c>
      <c r="O1095" s="224"/>
      <c r="P1095" s="225" t="s">
        <v>155</v>
      </c>
      <c r="Q1095" s="225" t="s">
        <v>155</v>
      </c>
      <c r="R1095" s="225" t="s">
        <v>155</v>
      </c>
      <c r="S1095" s="225" t="s">
        <v>155</v>
      </c>
      <c r="T1095" s="226"/>
      <c r="U1095" s="227"/>
      <c r="V1095" s="52" t="s">
        <v>250</v>
      </c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</row>
    <row r="1096" ht="30.0" customHeight="1">
      <c r="A1096" s="159"/>
      <c r="B1096" s="218" t="s">
        <v>246</v>
      </c>
      <c r="C1096" s="218" t="s">
        <v>2286</v>
      </c>
      <c r="D1096" s="218" t="s">
        <v>2287</v>
      </c>
      <c r="E1096" s="219">
        <v>15513.0</v>
      </c>
      <c r="F1096" s="220" t="s">
        <v>2402</v>
      </c>
      <c r="G1096" s="221" t="s">
        <v>369</v>
      </c>
      <c r="H1096" s="222" t="s">
        <v>250</v>
      </c>
      <c r="I1096" s="221" t="s">
        <v>42</v>
      </c>
      <c r="J1096" s="222" t="s">
        <v>250</v>
      </c>
      <c r="K1096" s="223">
        <v>1.0</v>
      </c>
      <c r="L1096" s="223" t="b">
        <v>0</v>
      </c>
      <c r="M1096" s="223" t="s">
        <v>42</v>
      </c>
      <c r="N1096" s="223">
        <v>0.381752</v>
      </c>
      <c r="O1096" s="224" t="s">
        <v>238</v>
      </c>
      <c r="P1096" s="225" t="s">
        <v>155</v>
      </c>
      <c r="Q1096" s="225" t="s">
        <v>155</v>
      </c>
      <c r="R1096" s="225" t="s">
        <v>155</v>
      </c>
      <c r="S1096" s="225" t="s">
        <v>155</v>
      </c>
      <c r="T1096" s="226"/>
      <c r="U1096" s="227"/>
      <c r="V1096" s="52" t="s">
        <v>250</v>
      </c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</row>
    <row r="1097" ht="30.0" customHeight="1">
      <c r="A1097" s="159"/>
      <c r="B1097" s="218" t="s">
        <v>246</v>
      </c>
      <c r="C1097" s="218" t="s">
        <v>2286</v>
      </c>
      <c r="D1097" s="218" t="s">
        <v>2287</v>
      </c>
      <c r="E1097" s="219">
        <v>15510.0</v>
      </c>
      <c r="F1097" s="220" t="s">
        <v>2403</v>
      </c>
      <c r="G1097" s="221" t="s">
        <v>369</v>
      </c>
      <c r="H1097" s="222" t="s">
        <v>250</v>
      </c>
      <c r="I1097" s="221" t="s">
        <v>42</v>
      </c>
      <c r="J1097" s="222" t="s">
        <v>250</v>
      </c>
      <c r="K1097" s="223">
        <v>1.0</v>
      </c>
      <c r="L1097" s="223" t="b">
        <v>0</v>
      </c>
      <c r="M1097" s="223" t="s">
        <v>42</v>
      </c>
      <c r="N1097" s="223">
        <v>0.466777</v>
      </c>
      <c r="O1097" s="224" t="s">
        <v>238</v>
      </c>
      <c r="P1097" s="225" t="s">
        <v>155</v>
      </c>
      <c r="Q1097" s="225" t="s">
        <v>155</v>
      </c>
      <c r="R1097" s="225" t="s">
        <v>155</v>
      </c>
      <c r="S1097" s="225" t="s">
        <v>155</v>
      </c>
      <c r="T1097" s="226"/>
      <c r="U1097" s="227"/>
      <c r="V1097" s="52" t="s">
        <v>250</v>
      </c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</row>
    <row r="1098" ht="30.0" customHeight="1">
      <c r="A1098" s="159"/>
      <c r="B1098" s="218" t="s">
        <v>246</v>
      </c>
      <c r="C1098" s="218" t="s">
        <v>2286</v>
      </c>
      <c r="D1098" s="218" t="s">
        <v>2287</v>
      </c>
      <c r="E1098" s="219">
        <v>11856.0</v>
      </c>
      <c r="F1098" s="220" t="s">
        <v>2404</v>
      </c>
      <c r="G1098" s="221" t="s">
        <v>369</v>
      </c>
      <c r="H1098" s="222" t="s">
        <v>250</v>
      </c>
      <c r="I1098" s="221" t="s">
        <v>42</v>
      </c>
      <c r="J1098" s="222" t="s">
        <v>250</v>
      </c>
      <c r="K1098" s="223">
        <v>1.0</v>
      </c>
      <c r="L1098" s="223" t="b">
        <v>0</v>
      </c>
      <c r="M1098" s="223" t="s">
        <v>42</v>
      </c>
      <c r="N1098" s="223">
        <v>0.469455</v>
      </c>
      <c r="O1098" s="224"/>
      <c r="P1098" s="225" t="s">
        <v>155</v>
      </c>
      <c r="Q1098" s="225" t="s">
        <v>155</v>
      </c>
      <c r="R1098" s="225" t="s">
        <v>155</v>
      </c>
      <c r="S1098" s="225" t="s">
        <v>155</v>
      </c>
      <c r="T1098" s="226"/>
      <c r="U1098" s="227"/>
      <c r="V1098" s="52" t="s">
        <v>250</v>
      </c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</row>
    <row r="1099" ht="30.0" customHeight="1">
      <c r="A1099" s="159"/>
      <c r="B1099" s="218" t="s">
        <v>246</v>
      </c>
      <c r="C1099" s="218" t="s">
        <v>2286</v>
      </c>
      <c r="D1099" s="218" t="s">
        <v>2287</v>
      </c>
      <c r="E1099" s="219">
        <v>15507.0</v>
      </c>
      <c r="F1099" s="220" t="s">
        <v>2405</v>
      </c>
      <c r="G1099" s="221" t="s">
        <v>369</v>
      </c>
      <c r="H1099" s="222" t="s">
        <v>250</v>
      </c>
      <c r="I1099" s="221" t="s">
        <v>42</v>
      </c>
      <c r="J1099" s="222" t="s">
        <v>250</v>
      </c>
      <c r="K1099" s="223">
        <v>1.0</v>
      </c>
      <c r="L1099" s="223" t="b">
        <v>0</v>
      </c>
      <c r="M1099" s="223" t="s">
        <v>42</v>
      </c>
      <c r="N1099" s="223">
        <v>0.427967</v>
      </c>
      <c r="O1099" s="224" t="s">
        <v>238</v>
      </c>
      <c r="P1099" s="225" t="s">
        <v>155</v>
      </c>
      <c r="Q1099" s="225" t="s">
        <v>155</v>
      </c>
      <c r="R1099" s="225" t="s">
        <v>155</v>
      </c>
      <c r="S1099" s="225" t="s">
        <v>155</v>
      </c>
      <c r="T1099" s="226"/>
      <c r="U1099" s="227"/>
      <c r="V1099" s="52" t="s">
        <v>250</v>
      </c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</row>
    <row r="1100" ht="30.0" customHeight="1">
      <c r="A1100" s="159"/>
      <c r="B1100" s="218" t="s">
        <v>246</v>
      </c>
      <c r="C1100" s="218" t="s">
        <v>2286</v>
      </c>
      <c r="D1100" s="218" t="s">
        <v>2287</v>
      </c>
      <c r="E1100" s="219">
        <v>15516.0</v>
      </c>
      <c r="F1100" s="220" t="s">
        <v>2406</v>
      </c>
      <c r="G1100" s="221" t="s">
        <v>369</v>
      </c>
      <c r="H1100" s="222" t="s">
        <v>250</v>
      </c>
      <c r="I1100" s="221" t="s">
        <v>42</v>
      </c>
      <c r="J1100" s="222" t="s">
        <v>250</v>
      </c>
      <c r="K1100" s="223">
        <v>1.0</v>
      </c>
      <c r="L1100" s="223" t="b">
        <v>0</v>
      </c>
      <c r="M1100" s="223" t="s">
        <v>42</v>
      </c>
      <c r="N1100" s="223">
        <v>0.61927</v>
      </c>
      <c r="O1100" s="224" t="s">
        <v>238</v>
      </c>
      <c r="P1100" s="225" t="s">
        <v>155</v>
      </c>
      <c r="Q1100" s="225" t="s">
        <v>155</v>
      </c>
      <c r="R1100" s="225" t="s">
        <v>155</v>
      </c>
      <c r="S1100" s="225" t="s">
        <v>155</v>
      </c>
      <c r="T1100" s="229" t="s">
        <v>554</v>
      </c>
      <c r="U1100" s="227"/>
      <c r="V1100" s="52" t="s">
        <v>250</v>
      </c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</row>
    <row r="1101" ht="30.0" customHeight="1">
      <c r="A1101" s="159"/>
      <c r="B1101" s="218" t="s">
        <v>246</v>
      </c>
      <c r="C1101" s="218" t="s">
        <v>2286</v>
      </c>
      <c r="D1101" s="218" t="s">
        <v>2287</v>
      </c>
      <c r="E1101" s="219">
        <v>15469.0</v>
      </c>
      <c r="F1101" s="220" t="s">
        <v>2407</v>
      </c>
      <c r="G1101" s="221" t="s">
        <v>369</v>
      </c>
      <c r="H1101" s="222" t="s">
        <v>250</v>
      </c>
      <c r="I1101" s="221" t="s">
        <v>42</v>
      </c>
      <c r="J1101" s="222" t="s">
        <v>250</v>
      </c>
      <c r="K1101" s="223">
        <v>1.0</v>
      </c>
      <c r="L1101" s="223" t="b">
        <v>0</v>
      </c>
      <c r="M1101" s="223" t="s">
        <v>42</v>
      </c>
      <c r="N1101" s="223">
        <v>1.402412</v>
      </c>
      <c r="O1101" s="224" t="s">
        <v>238</v>
      </c>
      <c r="P1101" s="225" t="s">
        <v>155</v>
      </c>
      <c r="Q1101" s="225" t="s">
        <v>155</v>
      </c>
      <c r="R1101" s="225" t="s">
        <v>155</v>
      </c>
      <c r="S1101" s="225" t="s">
        <v>155</v>
      </c>
      <c r="T1101" s="226"/>
      <c r="U1101" s="227"/>
      <c r="V1101" s="52" t="s">
        <v>250</v>
      </c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</row>
    <row r="1102" ht="30.0" customHeight="1">
      <c r="A1102" s="159"/>
      <c r="B1102" s="218" t="s">
        <v>246</v>
      </c>
      <c r="C1102" s="218" t="s">
        <v>2286</v>
      </c>
      <c r="D1102" s="218" t="s">
        <v>2287</v>
      </c>
      <c r="E1102" s="219">
        <v>110065.0</v>
      </c>
      <c r="F1102" s="220" t="s">
        <v>2408</v>
      </c>
      <c r="G1102" s="221" t="s">
        <v>369</v>
      </c>
      <c r="H1102" s="222" t="s">
        <v>250</v>
      </c>
      <c r="I1102" s="221" t="s">
        <v>42</v>
      </c>
      <c r="J1102" s="222" t="s">
        <v>250</v>
      </c>
      <c r="K1102" s="223">
        <v>1.0</v>
      </c>
      <c r="L1102" s="223" t="b">
        <v>0</v>
      </c>
      <c r="M1102" s="223" t="s">
        <v>42</v>
      </c>
      <c r="N1102" s="223">
        <v>3.195822</v>
      </c>
      <c r="O1102" s="224"/>
      <c r="P1102" s="225" t="s">
        <v>155</v>
      </c>
      <c r="Q1102" s="225" t="s">
        <v>155</v>
      </c>
      <c r="R1102" s="225" t="s">
        <v>155</v>
      </c>
      <c r="S1102" s="225" t="s">
        <v>155</v>
      </c>
      <c r="T1102" s="226"/>
      <c r="U1102" s="227"/>
      <c r="V1102" s="52" t="s">
        <v>250</v>
      </c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</row>
    <row r="1103" ht="30.0" customHeight="1">
      <c r="A1103" s="159"/>
      <c r="B1103" s="218" t="s">
        <v>246</v>
      </c>
      <c r="C1103" s="218" t="s">
        <v>2286</v>
      </c>
      <c r="D1103" s="218" t="s">
        <v>2287</v>
      </c>
      <c r="E1103" s="219">
        <v>15518.0</v>
      </c>
      <c r="F1103" s="220" t="s">
        <v>2409</v>
      </c>
      <c r="G1103" s="221" t="s">
        <v>369</v>
      </c>
      <c r="H1103" s="222" t="s">
        <v>250</v>
      </c>
      <c r="I1103" s="221" t="s">
        <v>42</v>
      </c>
      <c r="J1103" s="222" t="s">
        <v>250</v>
      </c>
      <c r="K1103" s="223">
        <v>1.0</v>
      </c>
      <c r="L1103" s="223" t="b">
        <v>0</v>
      </c>
      <c r="M1103" s="223" t="s">
        <v>42</v>
      </c>
      <c r="N1103" s="223">
        <v>0.844787</v>
      </c>
      <c r="O1103" s="224" t="s">
        <v>238</v>
      </c>
      <c r="P1103" s="225" t="s">
        <v>155</v>
      </c>
      <c r="Q1103" s="225" t="s">
        <v>155</v>
      </c>
      <c r="R1103" s="225" t="s">
        <v>155</v>
      </c>
      <c r="S1103" s="225" t="s">
        <v>155</v>
      </c>
      <c r="T1103" s="226"/>
      <c r="U1103" s="227"/>
      <c r="V1103" s="52" t="s">
        <v>250</v>
      </c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</row>
    <row r="1104" ht="30.0" customHeight="1">
      <c r="A1104" s="159"/>
      <c r="B1104" s="218" t="s">
        <v>246</v>
      </c>
      <c r="C1104" s="218" t="s">
        <v>2286</v>
      </c>
      <c r="D1104" s="218" t="s">
        <v>2287</v>
      </c>
      <c r="E1104" s="219">
        <v>110054.0</v>
      </c>
      <c r="F1104" s="220" t="s">
        <v>2410</v>
      </c>
      <c r="G1104" s="221" t="s">
        <v>369</v>
      </c>
      <c r="H1104" s="222" t="s">
        <v>250</v>
      </c>
      <c r="I1104" s="221" t="s">
        <v>42</v>
      </c>
      <c r="J1104" s="222" t="s">
        <v>250</v>
      </c>
      <c r="K1104" s="223">
        <v>1.0</v>
      </c>
      <c r="L1104" s="223" t="b">
        <v>0</v>
      </c>
      <c r="M1104" s="223" t="s">
        <v>42</v>
      </c>
      <c r="N1104" s="223">
        <v>9.79421</v>
      </c>
      <c r="O1104" s="224"/>
      <c r="P1104" s="225" t="s">
        <v>155</v>
      </c>
      <c r="Q1104" s="225" t="s">
        <v>155</v>
      </c>
      <c r="R1104" s="225" t="s">
        <v>155</v>
      </c>
      <c r="S1104" s="225" t="s">
        <v>155</v>
      </c>
      <c r="T1104" s="226"/>
      <c r="U1104" s="227"/>
      <c r="V1104" s="52" t="s">
        <v>250</v>
      </c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</row>
    <row r="1105" ht="30.0" customHeight="1">
      <c r="A1105" s="159"/>
      <c r="B1105" s="218" t="s">
        <v>246</v>
      </c>
      <c r="C1105" s="218" t="s">
        <v>2286</v>
      </c>
      <c r="D1105" s="218" t="s">
        <v>2287</v>
      </c>
      <c r="E1105" s="219">
        <v>24185.0</v>
      </c>
      <c r="F1105" s="220" t="s">
        <v>2411</v>
      </c>
      <c r="G1105" s="221" t="s">
        <v>369</v>
      </c>
      <c r="H1105" s="222" t="s">
        <v>250</v>
      </c>
      <c r="I1105" s="221" t="s">
        <v>42</v>
      </c>
      <c r="J1105" s="222" t="s">
        <v>250</v>
      </c>
      <c r="K1105" s="223">
        <v>1.0</v>
      </c>
      <c r="L1105" s="223" t="b">
        <v>0</v>
      </c>
      <c r="M1105" s="223" t="s">
        <v>42</v>
      </c>
      <c r="N1105" s="223">
        <v>1.583</v>
      </c>
      <c r="O1105" s="224"/>
      <c r="P1105" s="225" t="s">
        <v>155</v>
      </c>
      <c r="Q1105" s="225" t="s">
        <v>155</v>
      </c>
      <c r="R1105" s="225" t="s">
        <v>155</v>
      </c>
      <c r="S1105" s="225" t="s">
        <v>155</v>
      </c>
      <c r="T1105" s="226"/>
      <c r="U1105" s="227"/>
      <c r="V1105" s="52" t="s">
        <v>250</v>
      </c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</row>
    <row r="1106" ht="30.0" customHeight="1">
      <c r="A1106" s="159"/>
      <c r="B1106" s="218" t="s">
        <v>246</v>
      </c>
      <c r="C1106" s="218" t="s">
        <v>2286</v>
      </c>
      <c r="D1106" s="218" t="s">
        <v>2287</v>
      </c>
      <c r="E1106" s="219">
        <v>106885.0</v>
      </c>
      <c r="F1106" s="220" t="s">
        <v>2412</v>
      </c>
      <c r="G1106" s="221" t="s">
        <v>369</v>
      </c>
      <c r="H1106" s="222" t="s">
        <v>250</v>
      </c>
      <c r="I1106" s="221" t="s">
        <v>389</v>
      </c>
      <c r="J1106" s="222" t="s">
        <v>250</v>
      </c>
      <c r="K1106" s="223">
        <v>1.0</v>
      </c>
      <c r="L1106" s="223" t="b">
        <v>0</v>
      </c>
      <c r="M1106" s="223" t="s">
        <v>389</v>
      </c>
      <c r="N1106" s="223">
        <v>16.803181</v>
      </c>
      <c r="O1106" s="224"/>
      <c r="P1106" s="225" t="s">
        <v>155</v>
      </c>
      <c r="Q1106" s="225" t="s">
        <v>155</v>
      </c>
      <c r="R1106" s="225" t="s">
        <v>155</v>
      </c>
      <c r="S1106" s="225" t="s">
        <v>155</v>
      </c>
      <c r="T1106" s="226"/>
      <c r="U1106" s="227"/>
      <c r="V1106" s="52" t="s">
        <v>250</v>
      </c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</row>
    <row r="1107" ht="30.0" customHeight="1">
      <c r="A1107" s="159"/>
      <c r="B1107" s="218" t="s">
        <v>246</v>
      </c>
      <c r="C1107" s="218" t="s">
        <v>2286</v>
      </c>
      <c r="D1107" s="218" t="s">
        <v>2287</v>
      </c>
      <c r="E1107" s="219">
        <v>61705.0</v>
      </c>
      <c r="F1107" s="220" t="s">
        <v>2413</v>
      </c>
      <c r="G1107" s="221" t="s">
        <v>369</v>
      </c>
      <c r="H1107" s="222" t="s">
        <v>250</v>
      </c>
      <c r="I1107" s="221" t="s">
        <v>42</v>
      </c>
      <c r="J1107" s="222" t="s">
        <v>250</v>
      </c>
      <c r="K1107" s="223">
        <v>1.0</v>
      </c>
      <c r="L1107" s="223" t="b">
        <v>0</v>
      </c>
      <c r="M1107" s="223" t="s">
        <v>42</v>
      </c>
      <c r="N1107" s="223">
        <v>1.826438</v>
      </c>
      <c r="O1107" s="224"/>
      <c r="P1107" s="225" t="s">
        <v>155</v>
      </c>
      <c r="Q1107" s="225" t="s">
        <v>155</v>
      </c>
      <c r="R1107" s="225" t="s">
        <v>155</v>
      </c>
      <c r="S1107" s="225" t="s">
        <v>155</v>
      </c>
      <c r="T1107" s="226"/>
      <c r="U1107" s="227"/>
      <c r="V1107" s="109" t="s">
        <v>2414</v>
      </c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</row>
    <row r="1108" ht="30.0" customHeight="1">
      <c r="A1108" s="159"/>
      <c r="B1108" s="218" t="s">
        <v>246</v>
      </c>
      <c r="C1108" s="218" t="s">
        <v>2286</v>
      </c>
      <c r="D1108" s="218" t="s">
        <v>2287</v>
      </c>
      <c r="E1108" s="219">
        <v>15522.0</v>
      </c>
      <c r="F1108" s="220" t="s">
        <v>2415</v>
      </c>
      <c r="G1108" s="221" t="s">
        <v>369</v>
      </c>
      <c r="H1108" s="222" t="s">
        <v>250</v>
      </c>
      <c r="I1108" s="221" t="s">
        <v>42</v>
      </c>
      <c r="J1108" s="222" t="s">
        <v>250</v>
      </c>
      <c r="K1108" s="223">
        <v>1.0</v>
      </c>
      <c r="L1108" s="223" t="b">
        <v>0</v>
      </c>
      <c r="M1108" s="223" t="s">
        <v>42</v>
      </c>
      <c r="N1108" s="223">
        <v>1.719897</v>
      </c>
      <c r="O1108" s="224" t="s">
        <v>238</v>
      </c>
      <c r="P1108" s="225" t="s">
        <v>155</v>
      </c>
      <c r="Q1108" s="225" t="s">
        <v>155</v>
      </c>
      <c r="R1108" s="225" t="s">
        <v>155</v>
      </c>
      <c r="S1108" s="225" t="s">
        <v>155</v>
      </c>
      <c r="T1108" s="226"/>
      <c r="U1108" s="227"/>
      <c r="V1108" s="52" t="s">
        <v>250</v>
      </c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</row>
    <row r="1109" ht="30.0" customHeight="1">
      <c r="A1109" s="159"/>
      <c r="B1109" s="218" t="s">
        <v>246</v>
      </c>
      <c r="C1109" s="218" t="s">
        <v>2286</v>
      </c>
      <c r="D1109" s="218" t="s">
        <v>2287</v>
      </c>
      <c r="E1109" s="219">
        <v>110066.0</v>
      </c>
      <c r="F1109" s="220" t="s">
        <v>2416</v>
      </c>
      <c r="G1109" s="221" t="s">
        <v>369</v>
      </c>
      <c r="H1109" s="222" t="s">
        <v>250</v>
      </c>
      <c r="I1109" s="221" t="s">
        <v>42</v>
      </c>
      <c r="J1109" s="222" t="s">
        <v>250</v>
      </c>
      <c r="K1109" s="223">
        <v>1.0</v>
      </c>
      <c r="L1109" s="223" t="b">
        <v>0</v>
      </c>
      <c r="M1109" s="228"/>
      <c r="N1109" s="228"/>
      <c r="O1109" s="224"/>
      <c r="P1109" s="225" t="s">
        <v>155</v>
      </c>
      <c r="Q1109" s="225" t="s">
        <v>155</v>
      </c>
      <c r="R1109" s="225" t="s">
        <v>155</v>
      </c>
      <c r="S1109" s="225" t="s">
        <v>155</v>
      </c>
      <c r="T1109" s="226"/>
      <c r="U1109" s="227"/>
      <c r="V1109" s="52" t="s">
        <v>250</v>
      </c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</row>
    <row r="1110" ht="30.0" customHeight="1">
      <c r="A1110" s="159"/>
      <c r="B1110" s="218" t="s">
        <v>246</v>
      </c>
      <c r="C1110" s="218" t="s">
        <v>2286</v>
      </c>
      <c r="D1110" s="218" t="s">
        <v>2287</v>
      </c>
      <c r="E1110" s="219">
        <v>18613.0</v>
      </c>
      <c r="F1110" s="220" t="s">
        <v>2417</v>
      </c>
      <c r="G1110" s="221" t="s">
        <v>369</v>
      </c>
      <c r="H1110" s="222" t="s">
        <v>250</v>
      </c>
      <c r="I1110" s="221" t="s">
        <v>42</v>
      </c>
      <c r="J1110" s="222" t="s">
        <v>250</v>
      </c>
      <c r="K1110" s="223">
        <v>1.0</v>
      </c>
      <c r="L1110" s="223" t="b">
        <v>0</v>
      </c>
      <c r="M1110" s="228"/>
      <c r="N1110" s="228"/>
      <c r="O1110" s="224"/>
      <c r="P1110" s="225" t="s">
        <v>155</v>
      </c>
      <c r="Q1110" s="225" t="s">
        <v>155</v>
      </c>
      <c r="R1110" s="225" t="s">
        <v>155</v>
      </c>
      <c r="S1110" s="225" t="s">
        <v>155</v>
      </c>
      <c r="T1110" s="229" t="s">
        <v>2418</v>
      </c>
      <c r="U1110" s="227"/>
      <c r="V1110" s="52" t="s">
        <v>250</v>
      </c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</row>
    <row r="1111" ht="30.0" customHeight="1">
      <c r="A1111" s="159"/>
      <c r="B1111" s="218" t="s">
        <v>246</v>
      </c>
      <c r="C1111" s="218" t="s">
        <v>2286</v>
      </c>
      <c r="D1111" s="218" t="s">
        <v>2287</v>
      </c>
      <c r="E1111" s="219">
        <v>15525.0</v>
      </c>
      <c r="F1111" s="220" t="s">
        <v>2419</v>
      </c>
      <c r="G1111" s="221" t="s">
        <v>369</v>
      </c>
      <c r="H1111" s="222" t="s">
        <v>250</v>
      </c>
      <c r="I1111" s="221" t="s">
        <v>42</v>
      </c>
      <c r="J1111" s="222" t="s">
        <v>250</v>
      </c>
      <c r="K1111" s="223">
        <v>1.0</v>
      </c>
      <c r="L1111" s="223" t="b">
        <v>0</v>
      </c>
      <c r="M1111" s="223" t="s">
        <v>42</v>
      </c>
      <c r="N1111" s="223">
        <v>1.767443</v>
      </c>
      <c r="O1111" s="224" t="s">
        <v>238</v>
      </c>
      <c r="P1111" s="225" t="s">
        <v>155</v>
      </c>
      <c r="Q1111" s="225" t="s">
        <v>155</v>
      </c>
      <c r="R1111" s="225" t="s">
        <v>155</v>
      </c>
      <c r="S1111" s="225" t="s">
        <v>155</v>
      </c>
      <c r="T1111" s="229" t="s">
        <v>554</v>
      </c>
      <c r="U1111" s="227"/>
      <c r="V1111" s="52" t="s">
        <v>250</v>
      </c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</row>
    <row r="1112" ht="30.0" customHeight="1">
      <c r="A1112" s="159"/>
      <c r="B1112" s="218" t="s">
        <v>246</v>
      </c>
      <c r="C1112" s="218" t="s">
        <v>2286</v>
      </c>
      <c r="D1112" s="218" t="s">
        <v>2287</v>
      </c>
      <c r="E1112" s="219">
        <v>15145.0</v>
      </c>
      <c r="F1112" s="220" t="s">
        <v>2420</v>
      </c>
      <c r="G1112" s="221" t="s">
        <v>369</v>
      </c>
      <c r="H1112" s="222" t="s">
        <v>250</v>
      </c>
      <c r="I1112" s="221" t="s">
        <v>42</v>
      </c>
      <c r="J1112" s="222" t="s">
        <v>250</v>
      </c>
      <c r="K1112" s="223">
        <v>1.0</v>
      </c>
      <c r="L1112" s="223" t="b">
        <v>0</v>
      </c>
      <c r="M1112" s="223" t="s">
        <v>42</v>
      </c>
      <c r="N1112" s="223">
        <v>3.097808</v>
      </c>
      <c r="O1112" s="224"/>
      <c r="P1112" s="225" t="s">
        <v>155</v>
      </c>
      <c r="Q1112" s="225" t="s">
        <v>155</v>
      </c>
      <c r="R1112" s="225" t="s">
        <v>155</v>
      </c>
      <c r="S1112" s="225" t="s">
        <v>155</v>
      </c>
      <c r="T1112" s="226"/>
      <c r="U1112" s="227"/>
      <c r="V1112" s="52" t="s">
        <v>250</v>
      </c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</row>
    <row r="1113" ht="30.0" customHeight="1">
      <c r="A1113" s="159"/>
      <c r="B1113" s="218" t="s">
        <v>246</v>
      </c>
      <c r="C1113" s="218" t="s">
        <v>2286</v>
      </c>
      <c r="D1113" s="218" t="s">
        <v>2287</v>
      </c>
      <c r="E1113" s="219">
        <v>110912.0</v>
      </c>
      <c r="F1113" s="220" t="s">
        <v>2421</v>
      </c>
      <c r="G1113" s="221" t="s">
        <v>369</v>
      </c>
      <c r="H1113" s="222" t="s">
        <v>250</v>
      </c>
      <c r="I1113" s="221" t="s">
        <v>2422</v>
      </c>
      <c r="J1113" s="222" t="s">
        <v>250</v>
      </c>
      <c r="K1113" s="223">
        <v>1.0</v>
      </c>
      <c r="L1113" s="223" t="b">
        <v>0</v>
      </c>
      <c r="M1113" s="223" t="s">
        <v>2422</v>
      </c>
      <c r="N1113" s="223">
        <v>8.990263</v>
      </c>
      <c r="O1113" s="224"/>
      <c r="P1113" s="225" t="s">
        <v>155</v>
      </c>
      <c r="Q1113" s="225" t="s">
        <v>155</v>
      </c>
      <c r="R1113" s="225" t="s">
        <v>155</v>
      </c>
      <c r="S1113" s="225" t="s">
        <v>155</v>
      </c>
      <c r="T1113" s="226"/>
      <c r="U1113" s="227"/>
      <c r="V1113" s="52" t="s">
        <v>250</v>
      </c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</row>
    <row r="1114" ht="30.0" customHeight="1">
      <c r="A1114" s="159"/>
      <c r="B1114" s="218" t="s">
        <v>246</v>
      </c>
      <c r="C1114" s="218" t="s">
        <v>2286</v>
      </c>
      <c r="D1114" s="218" t="s">
        <v>2287</v>
      </c>
      <c r="E1114" s="219">
        <v>110903.0</v>
      </c>
      <c r="F1114" s="220" t="s">
        <v>2423</v>
      </c>
      <c r="G1114" s="221" t="s">
        <v>369</v>
      </c>
      <c r="H1114" s="222" t="s">
        <v>250</v>
      </c>
      <c r="I1114" s="221" t="s">
        <v>42</v>
      </c>
      <c r="J1114" s="221" t="s">
        <v>364</v>
      </c>
      <c r="K1114" s="223">
        <v>2.0</v>
      </c>
      <c r="L1114" s="223" t="b">
        <v>1</v>
      </c>
      <c r="M1114" s="223" t="s">
        <v>42</v>
      </c>
      <c r="N1114" s="223">
        <v>1.160109</v>
      </c>
      <c r="O1114" s="224"/>
      <c r="P1114" s="225" t="s">
        <v>155</v>
      </c>
      <c r="Q1114" s="225" t="s">
        <v>155</v>
      </c>
      <c r="R1114" s="225" t="s">
        <v>155</v>
      </c>
      <c r="S1114" s="225" t="s">
        <v>155</v>
      </c>
      <c r="T1114" s="226"/>
      <c r="U1114" s="227"/>
      <c r="V1114" s="52" t="s">
        <v>250</v>
      </c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</row>
    <row r="1115" ht="30.0" customHeight="1">
      <c r="A1115" s="159"/>
      <c r="B1115" s="218" t="s">
        <v>246</v>
      </c>
      <c r="C1115" s="218" t="s">
        <v>2286</v>
      </c>
      <c r="D1115" s="218" t="s">
        <v>2287</v>
      </c>
      <c r="E1115" s="219">
        <v>148485.0</v>
      </c>
      <c r="F1115" s="220" t="s">
        <v>2424</v>
      </c>
      <c r="G1115" s="221" t="s">
        <v>369</v>
      </c>
      <c r="H1115" s="222" t="s">
        <v>250</v>
      </c>
      <c r="I1115" s="221" t="s">
        <v>289</v>
      </c>
      <c r="J1115" s="222" t="s">
        <v>250</v>
      </c>
      <c r="K1115" s="223">
        <v>1.0</v>
      </c>
      <c r="L1115" s="223" t="b">
        <v>0</v>
      </c>
      <c r="M1115" s="228"/>
      <c r="N1115" s="228"/>
      <c r="O1115" s="224"/>
      <c r="P1115" s="225" t="s">
        <v>155</v>
      </c>
      <c r="Q1115" s="225" t="s">
        <v>155</v>
      </c>
      <c r="R1115" s="225" t="s">
        <v>155</v>
      </c>
      <c r="S1115" s="225" t="s">
        <v>155</v>
      </c>
      <c r="T1115" s="226"/>
      <c r="U1115" s="227"/>
      <c r="V1115" s="52" t="s">
        <v>250</v>
      </c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</row>
    <row r="1116" ht="30.0" customHeight="1">
      <c r="A1116" s="159"/>
      <c r="B1116" s="218" t="s">
        <v>246</v>
      </c>
      <c r="C1116" s="218" t="s">
        <v>2286</v>
      </c>
      <c r="D1116" s="218" t="s">
        <v>2287</v>
      </c>
      <c r="E1116" s="219">
        <v>15528.0</v>
      </c>
      <c r="F1116" s="220" t="s">
        <v>2425</v>
      </c>
      <c r="G1116" s="221" t="s">
        <v>369</v>
      </c>
      <c r="H1116" s="222" t="s">
        <v>250</v>
      </c>
      <c r="I1116" s="221" t="s">
        <v>42</v>
      </c>
      <c r="J1116" s="222" t="s">
        <v>250</v>
      </c>
      <c r="K1116" s="223">
        <v>1.0</v>
      </c>
      <c r="L1116" s="223" t="b">
        <v>0</v>
      </c>
      <c r="M1116" s="223" t="s">
        <v>42</v>
      </c>
      <c r="N1116" s="223">
        <v>0.64632</v>
      </c>
      <c r="O1116" s="224" t="s">
        <v>238</v>
      </c>
      <c r="P1116" s="225" t="s">
        <v>155</v>
      </c>
      <c r="Q1116" s="225" t="s">
        <v>155</v>
      </c>
      <c r="R1116" s="225" t="s">
        <v>155</v>
      </c>
      <c r="S1116" s="225" t="s">
        <v>155</v>
      </c>
      <c r="T1116" s="226"/>
      <c r="U1116" s="227"/>
      <c r="V1116" s="52" t="s">
        <v>250</v>
      </c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</row>
    <row r="1117" ht="30.0" customHeight="1">
      <c r="A1117" s="159"/>
      <c r="B1117" s="218" t="s">
        <v>246</v>
      </c>
      <c r="C1117" s="218" t="s">
        <v>2286</v>
      </c>
      <c r="D1117" s="218" t="s">
        <v>2287</v>
      </c>
      <c r="E1117" s="219">
        <v>110072.0</v>
      </c>
      <c r="F1117" s="220" t="s">
        <v>2426</v>
      </c>
      <c r="G1117" s="221" t="s">
        <v>369</v>
      </c>
      <c r="H1117" s="222" t="s">
        <v>250</v>
      </c>
      <c r="I1117" s="221" t="s">
        <v>42</v>
      </c>
      <c r="J1117" s="222" t="s">
        <v>250</v>
      </c>
      <c r="K1117" s="223">
        <v>1.0</v>
      </c>
      <c r="L1117" s="223" t="b">
        <v>0</v>
      </c>
      <c r="M1117" s="228"/>
      <c r="N1117" s="228"/>
      <c r="O1117" s="224"/>
      <c r="P1117" s="225" t="s">
        <v>155</v>
      </c>
      <c r="Q1117" s="225" t="s">
        <v>155</v>
      </c>
      <c r="R1117" s="225" t="s">
        <v>155</v>
      </c>
      <c r="S1117" s="225" t="s">
        <v>155</v>
      </c>
      <c r="T1117" s="226"/>
      <c r="U1117" s="227"/>
      <c r="V1117" s="52" t="s">
        <v>250</v>
      </c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</row>
    <row r="1118" ht="30.0" customHeight="1">
      <c r="A1118" s="159"/>
      <c r="B1118" s="218" t="s">
        <v>246</v>
      </c>
      <c r="C1118" s="218" t="s">
        <v>2286</v>
      </c>
      <c r="D1118" s="218" t="s">
        <v>2287</v>
      </c>
      <c r="E1118" s="219">
        <v>15530.0</v>
      </c>
      <c r="F1118" s="220" t="s">
        <v>2427</v>
      </c>
      <c r="G1118" s="221" t="s">
        <v>369</v>
      </c>
      <c r="H1118" s="222" t="s">
        <v>250</v>
      </c>
      <c r="I1118" s="221" t="s">
        <v>349</v>
      </c>
      <c r="J1118" s="222" t="s">
        <v>250</v>
      </c>
      <c r="K1118" s="223">
        <v>1.0</v>
      </c>
      <c r="L1118" s="223" t="b">
        <v>0</v>
      </c>
      <c r="M1118" s="228"/>
      <c r="N1118" s="228"/>
      <c r="O1118" s="224"/>
      <c r="P1118" s="225" t="s">
        <v>155</v>
      </c>
      <c r="Q1118" s="225" t="s">
        <v>155</v>
      </c>
      <c r="R1118" s="225" t="s">
        <v>155</v>
      </c>
      <c r="S1118" s="225" t="s">
        <v>155</v>
      </c>
      <c r="T1118" s="226"/>
      <c r="U1118" s="227"/>
      <c r="V1118" s="52" t="s">
        <v>250</v>
      </c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</row>
    <row r="1119" ht="30.0" customHeight="1">
      <c r="A1119" s="159"/>
      <c r="B1119" s="218" t="s">
        <v>246</v>
      </c>
      <c r="C1119" s="218" t="s">
        <v>2286</v>
      </c>
      <c r="D1119" s="218" t="s">
        <v>2287</v>
      </c>
      <c r="E1119" s="219">
        <v>11729.0</v>
      </c>
      <c r="F1119" s="220" t="s">
        <v>2428</v>
      </c>
      <c r="G1119" s="221" t="s">
        <v>369</v>
      </c>
      <c r="H1119" s="222" t="s">
        <v>250</v>
      </c>
      <c r="I1119" s="221" t="s">
        <v>334</v>
      </c>
      <c r="J1119" s="222" t="s">
        <v>250</v>
      </c>
      <c r="K1119" s="223">
        <v>1.0</v>
      </c>
      <c r="L1119" s="223" t="b">
        <v>0</v>
      </c>
      <c r="M1119" s="223" t="s">
        <v>42</v>
      </c>
      <c r="N1119" s="223">
        <v>1.118076</v>
      </c>
      <c r="O1119" s="224"/>
      <c r="P1119" s="225" t="s">
        <v>155</v>
      </c>
      <c r="Q1119" s="225" t="s">
        <v>155</v>
      </c>
      <c r="R1119" s="225" t="s">
        <v>155</v>
      </c>
      <c r="S1119" s="225" t="s">
        <v>155</v>
      </c>
      <c r="T1119" s="226"/>
      <c r="U1119" s="227"/>
      <c r="V1119" s="109" t="s">
        <v>1251</v>
      </c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</row>
    <row r="1120" ht="30.0" customHeight="1">
      <c r="A1120" s="159"/>
      <c r="B1120" s="218" t="s">
        <v>246</v>
      </c>
      <c r="C1120" s="218" t="s">
        <v>2286</v>
      </c>
      <c r="D1120" s="218" t="s">
        <v>2287</v>
      </c>
      <c r="E1120" s="219">
        <v>15531.0</v>
      </c>
      <c r="F1120" s="220" t="s">
        <v>2429</v>
      </c>
      <c r="G1120" s="221" t="s">
        <v>369</v>
      </c>
      <c r="H1120" s="222" t="s">
        <v>250</v>
      </c>
      <c r="I1120" s="221" t="s">
        <v>42</v>
      </c>
      <c r="J1120" s="222" t="s">
        <v>250</v>
      </c>
      <c r="K1120" s="223">
        <v>3.0</v>
      </c>
      <c r="L1120" s="223" t="b">
        <v>0</v>
      </c>
      <c r="M1120" s="223" t="s">
        <v>42</v>
      </c>
      <c r="N1120" s="223">
        <v>1.211875</v>
      </c>
      <c r="O1120" s="224"/>
      <c r="P1120" s="225" t="s">
        <v>155</v>
      </c>
      <c r="Q1120" s="225" t="s">
        <v>155</v>
      </c>
      <c r="R1120" s="225" t="s">
        <v>155</v>
      </c>
      <c r="S1120" s="225" t="s">
        <v>155</v>
      </c>
      <c r="T1120" s="226"/>
      <c r="U1120" s="227"/>
      <c r="V1120" s="52" t="s">
        <v>250</v>
      </c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</row>
    <row r="1121" ht="30.0" customHeight="1">
      <c r="A1121" s="159"/>
      <c r="B1121" s="218" t="s">
        <v>246</v>
      </c>
      <c r="C1121" s="218" t="s">
        <v>2286</v>
      </c>
      <c r="D1121" s="218" t="s">
        <v>2287</v>
      </c>
      <c r="E1121" s="219">
        <v>15571.0</v>
      </c>
      <c r="F1121" s="220" t="s">
        <v>2430</v>
      </c>
      <c r="G1121" s="221" t="s">
        <v>369</v>
      </c>
      <c r="H1121" s="222" t="s">
        <v>250</v>
      </c>
      <c r="I1121" s="221" t="s">
        <v>42</v>
      </c>
      <c r="J1121" s="222" t="s">
        <v>250</v>
      </c>
      <c r="K1121" s="223">
        <v>2.0</v>
      </c>
      <c r="L1121" s="223" t="b">
        <v>0</v>
      </c>
      <c r="M1121" s="228"/>
      <c r="N1121" s="228"/>
      <c r="O1121" s="224"/>
      <c r="P1121" s="225" t="s">
        <v>155</v>
      </c>
      <c r="Q1121" s="225" t="s">
        <v>155</v>
      </c>
      <c r="R1121" s="225" t="s">
        <v>155</v>
      </c>
      <c r="S1121" s="225" t="s">
        <v>155</v>
      </c>
      <c r="T1121" s="229" t="s">
        <v>470</v>
      </c>
      <c r="U1121" s="227"/>
      <c r="V1121" s="52" t="s">
        <v>250</v>
      </c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</row>
    <row r="1122" ht="30.0" customHeight="1">
      <c r="A1122" s="159"/>
      <c r="B1122" s="218" t="s">
        <v>246</v>
      </c>
      <c r="C1122" s="218" t="s">
        <v>2286</v>
      </c>
      <c r="D1122" s="218" t="s">
        <v>2287</v>
      </c>
      <c r="E1122" s="219">
        <v>109755.0</v>
      </c>
      <c r="F1122" s="220" t="s">
        <v>2431</v>
      </c>
      <c r="G1122" s="221" t="s">
        <v>369</v>
      </c>
      <c r="H1122" s="222" t="s">
        <v>250</v>
      </c>
      <c r="I1122" s="221" t="s">
        <v>42</v>
      </c>
      <c r="J1122" s="222" t="s">
        <v>250</v>
      </c>
      <c r="K1122" s="223">
        <v>1.0</v>
      </c>
      <c r="L1122" s="223" t="b">
        <v>0</v>
      </c>
      <c r="M1122" s="223" t="s">
        <v>42</v>
      </c>
      <c r="N1122" s="223">
        <v>0.740816</v>
      </c>
      <c r="O1122" s="224"/>
      <c r="P1122" s="225" t="s">
        <v>155</v>
      </c>
      <c r="Q1122" s="225" t="s">
        <v>155</v>
      </c>
      <c r="R1122" s="225" t="s">
        <v>155</v>
      </c>
      <c r="S1122" s="225" t="s">
        <v>155</v>
      </c>
      <c r="T1122" s="226"/>
      <c r="U1122" s="227"/>
      <c r="V1122" s="52" t="s">
        <v>250</v>
      </c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</row>
    <row r="1123" ht="30.0" customHeight="1">
      <c r="A1123" s="159"/>
      <c r="B1123" s="218" t="s">
        <v>246</v>
      </c>
      <c r="C1123" s="218" t="s">
        <v>2286</v>
      </c>
      <c r="D1123" s="218" t="s">
        <v>2287</v>
      </c>
      <c r="E1123" s="219">
        <v>15575.0</v>
      </c>
      <c r="F1123" s="220" t="s">
        <v>2432</v>
      </c>
      <c r="G1123" s="221" t="s">
        <v>369</v>
      </c>
      <c r="H1123" s="222" t="s">
        <v>250</v>
      </c>
      <c r="I1123" s="221" t="s">
        <v>42</v>
      </c>
      <c r="J1123" s="222" t="s">
        <v>250</v>
      </c>
      <c r="K1123" s="223">
        <v>1.0</v>
      </c>
      <c r="L1123" s="223" t="b">
        <v>0</v>
      </c>
      <c r="M1123" s="223" t="s">
        <v>42</v>
      </c>
      <c r="N1123" s="223">
        <v>1.275813</v>
      </c>
      <c r="O1123" s="224"/>
      <c r="P1123" s="225" t="s">
        <v>155</v>
      </c>
      <c r="Q1123" s="225" t="s">
        <v>155</v>
      </c>
      <c r="R1123" s="225" t="s">
        <v>155</v>
      </c>
      <c r="S1123" s="225" t="s">
        <v>155</v>
      </c>
      <c r="T1123" s="226"/>
      <c r="U1123" s="227"/>
      <c r="V1123" s="52" t="s">
        <v>250</v>
      </c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</row>
    <row r="1124" ht="30.0" customHeight="1">
      <c r="A1124" s="159"/>
      <c r="B1124" s="218" t="s">
        <v>246</v>
      </c>
      <c r="C1124" s="218" t="s">
        <v>2286</v>
      </c>
      <c r="D1124" s="218" t="s">
        <v>2287</v>
      </c>
      <c r="E1124" s="219">
        <v>15537.0</v>
      </c>
      <c r="F1124" s="220" t="s">
        <v>2433</v>
      </c>
      <c r="G1124" s="221" t="s">
        <v>369</v>
      </c>
      <c r="H1124" s="222" t="s">
        <v>250</v>
      </c>
      <c r="I1124" s="221" t="s">
        <v>42</v>
      </c>
      <c r="J1124" s="222" t="s">
        <v>250</v>
      </c>
      <c r="K1124" s="223">
        <v>1.0</v>
      </c>
      <c r="L1124" s="223" t="b">
        <v>0</v>
      </c>
      <c r="M1124" s="223" t="s">
        <v>42</v>
      </c>
      <c r="N1124" s="223">
        <v>1.042709</v>
      </c>
      <c r="O1124" s="224" t="s">
        <v>238</v>
      </c>
      <c r="P1124" s="225" t="s">
        <v>155</v>
      </c>
      <c r="Q1124" s="225" t="s">
        <v>155</v>
      </c>
      <c r="R1124" s="225" t="s">
        <v>155</v>
      </c>
      <c r="S1124" s="225" t="s">
        <v>155</v>
      </c>
      <c r="T1124" s="226"/>
      <c r="U1124" s="227"/>
      <c r="V1124" s="109" t="s">
        <v>2434</v>
      </c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</row>
    <row r="1125" ht="30.0" customHeight="1">
      <c r="A1125" s="159"/>
      <c r="B1125" s="218" t="s">
        <v>246</v>
      </c>
      <c r="C1125" s="218" t="s">
        <v>2286</v>
      </c>
      <c r="D1125" s="218" t="s">
        <v>2287</v>
      </c>
      <c r="E1125" s="219">
        <v>15534.0</v>
      </c>
      <c r="F1125" s="220" t="s">
        <v>2435</v>
      </c>
      <c r="G1125" s="221" t="s">
        <v>369</v>
      </c>
      <c r="H1125" s="222" t="s">
        <v>250</v>
      </c>
      <c r="I1125" s="221" t="s">
        <v>42</v>
      </c>
      <c r="J1125" s="222" t="s">
        <v>250</v>
      </c>
      <c r="K1125" s="223">
        <v>1.0</v>
      </c>
      <c r="L1125" s="223" t="b">
        <v>0</v>
      </c>
      <c r="M1125" s="223" t="s">
        <v>42</v>
      </c>
      <c r="N1125" s="223">
        <v>1.611795</v>
      </c>
      <c r="O1125" s="224" t="s">
        <v>238</v>
      </c>
      <c r="P1125" s="225" t="s">
        <v>155</v>
      </c>
      <c r="Q1125" s="225" t="s">
        <v>155</v>
      </c>
      <c r="R1125" s="225" t="s">
        <v>155</v>
      </c>
      <c r="S1125" s="225" t="s">
        <v>155</v>
      </c>
      <c r="T1125" s="226"/>
      <c r="U1125" s="227"/>
      <c r="V1125" s="52" t="s">
        <v>250</v>
      </c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</row>
    <row r="1126" ht="30.0" customHeight="1">
      <c r="A1126" s="159"/>
      <c r="B1126" s="218" t="s">
        <v>246</v>
      </c>
      <c r="C1126" s="218" t="s">
        <v>2286</v>
      </c>
      <c r="D1126" s="218" t="s">
        <v>2287</v>
      </c>
      <c r="E1126" s="219">
        <v>109765.0</v>
      </c>
      <c r="F1126" s="220" t="s">
        <v>2436</v>
      </c>
      <c r="G1126" s="221" t="s">
        <v>369</v>
      </c>
      <c r="H1126" s="222" t="s">
        <v>250</v>
      </c>
      <c r="I1126" s="221" t="s">
        <v>42</v>
      </c>
      <c r="J1126" s="222" t="s">
        <v>250</v>
      </c>
      <c r="K1126" s="223">
        <v>1.0</v>
      </c>
      <c r="L1126" s="223" t="b">
        <v>0</v>
      </c>
      <c r="M1126" s="223" t="s">
        <v>42</v>
      </c>
      <c r="N1126" s="223">
        <v>2.601279</v>
      </c>
      <c r="O1126" s="224"/>
      <c r="P1126" s="225" t="s">
        <v>155</v>
      </c>
      <c r="Q1126" s="225" t="s">
        <v>155</v>
      </c>
      <c r="R1126" s="225" t="s">
        <v>155</v>
      </c>
      <c r="S1126" s="225" t="s">
        <v>155</v>
      </c>
      <c r="T1126" s="226"/>
      <c r="U1126" s="227"/>
      <c r="V1126" s="52" t="s">
        <v>250</v>
      </c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</row>
    <row r="1127" ht="30.0" customHeight="1">
      <c r="A1127" s="159"/>
      <c r="B1127" s="218" t="s">
        <v>246</v>
      </c>
      <c r="C1127" s="218" t="s">
        <v>2286</v>
      </c>
      <c r="D1127" s="218" t="s">
        <v>2287</v>
      </c>
      <c r="E1127" s="219">
        <v>110073.0</v>
      </c>
      <c r="F1127" s="220" t="s">
        <v>2437</v>
      </c>
      <c r="G1127" s="221" t="s">
        <v>369</v>
      </c>
      <c r="H1127" s="222" t="s">
        <v>250</v>
      </c>
      <c r="I1127" s="221" t="s">
        <v>42</v>
      </c>
      <c r="J1127" s="222" t="s">
        <v>250</v>
      </c>
      <c r="K1127" s="223">
        <v>1.0</v>
      </c>
      <c r="L1127" s="223" t="b">
        <v>0</v>
      </c>
      <c r="M1127" s="223" t="s">
        <v>42</v>
      </c>
      <c r="N1127" s="223">
        <v>1.400625</v>
      </c>
      <c r="O1127" s="224"/>
      <c r="P1127" s="230"/>
      <c r="Q1127" s="225" t="s">
        <v>155</v>
      </c>
      <c r="R1127" s="225" t="s">
        <v>155</v>
      </c>
      <c r="S1127" s="230"/>
      <c r="T1127" s="229" t="s">
        <v>2438</v>
      </c>
      <c r="U1127" s="227"/>
      <c r="V1127" s="52" t="s">
        <v>250</v>
      </c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</row>
    <row r="1128" ht="30.0" customHeight="1">
      <c r="A1128" s="159"/>
      <c r="B1128" s="218" t="s">
        <v>246</v>
      </c>
      <c r="C1128" s="218" t="s">
        <v>2286</v>
      </c>
      <c r="D1128" s="218" t="s">
        <v>2287</v>
      </c>
      <c r="E1128" s="219">
        <v>35223.0</v>
      </c>
      <c r="F1128" s="220" t="s">
        <v>2439</v>
      </c>
      <c r="G1128" s="221" t="s">
        <v>369</v>
      </c>
      <c r="H1128" s="222" t="s">
        <v>250</v>
      </c>
      <c r="I1128" s="221" t="s">
        <v>42</v>
      </c>
      <c r="J1128" s="222" t="s">
        <v>250</v>
      </c>
      <c r="K1128" s="223">
        <v>1.0</v>
      </c>
      <c r="L1128" s="223" t="b">
        <v>0</v>
      </c>
      <c r="M1128" s="223" t="s">
        <v>42</v>
      </c>
      <c r="N1128" s="223">
        <v>1.82</v>
      </c>
      <c r="O1128" s="224"/>
      <c r="P1128" s="225" t="s">
        <v>155</v>
      </c>
      <c r="Q1128" s="225" t="s">
        <v>155</v>
      </c>
      <c r="R1128" s="225" t="s">
        <v>155</v>
      </c>
      <c r="S1128" s="225" t="s">
        <v>155</v>
      </c>
      <c r="T1128" s="226"/>
      <c r="U1128" s="227"/>
      <c r="V1128" s="52" t="s">
        <v>250</v>
      </c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</row>
    <row r="1129" ht="30.0" customHeight="1">
      <c r="A1129" s="159"/>
      <c r="B1129" s="218" t="s">
        <v>246</v>
      </c>
      <c r="C1129" s="218" t="s">
        <v>2286</v>
      </c>
      <c r="D1129" s="218" t="s">
        <v>2287</v>
      </c>
      <c r="E1129" s="219">
        <v>15568.0</v>
      </c>
      <c r="F1129" s="220" t="s">
        <v>2440</v>
      </c>
      <c r="G1129" s="221" t="s">
        <v>369</v>
      </c>
      <c r="H1129" s="222" t="s">
        <v>250</v>
      </c>
      <c r="I1129" s="221" t="s">
        <v>42</v>
      </c>
      <c r="J1129" s="222" t="s">
        <v>250</v>
      </c>
      <c r="K1129" s="223">
        <v>1.0</v>
      </c>
      <c r="L1129" s="223" t="b">
        <v>0</v>
      </c>
      <c r="M1129" s="223" t="s">
        <v>42</v>
      </c>
      <c r="N1129" s="223">
        <v>2.185357</v>
      </c>
      <c r="O1129" s="224"/>
      <c r="P1129" s="225" t="s">
        <v>155</v>
      </c>
      <c r="Q1129" s="225" t="s">
        <v>155</v>
      </c>
      <c r="R1129" s="225" t="s">
        <v>155</v>
      </c>
      <c r="S1129" s="225" t="s">
        <v>155</v>
      </c>
      <c r="T1129" s="226"/>
      <c r="U1129" s="227"/>
      <c r="V1129" s="52" t="s">
        <v>250</v>
      </c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</row>
    <row r="1130" ht="30.0" customHeight="1">
      <c r="A1130" s="159"/>
      <c r="B1130" s="218" t="s">
        <v>246</v>
      </c>
      <c r="C1130" s="218" t="s">
        <v>2286</v>
      </c>
      <c r="D1130" s="218" t="s">
        <v>2287</v>
      </c>
      <c r="E1130" s="219">
        <v>102794.0</v>
      </c>
      <c r="F1130" s="220" t="s">
        <v>2441</v>
      </c>
      <c r="G1130" s="221" t="s">
        <v>369</v>
      </c>
      <c r="H1130" s="222" t="s">
        <v>250</v>
      </c>
      <c r="I1130" s="221" t="s">
        <v>42</v>
      </c>
      <c r="J1130" s="222" t="s">
        <v>250</v>
      </c>
      <c r="K1130" s="223">
        <v>1.0</v>
      </c>
      <c r="L1130" s="223" t="b">
        <v>0</v>
      </c>
      <c r="M1130" s="223" t="s">
        <v>42</v>
      </c>
      <c r="N1130" s="223">
        <v>6.103448</v>
      </c>
      <c r="O1130" s="224"/>
      <c r="P1130" s="225" t="s">
        <v>155</v>
      </c>
      <c r="Q1130" s="225" t="s">
        <v>155</v>
      </c>
      <c r="R1130" s="225" t="s">
        <v>155</v>
      </c>
      <c r="S1130" s="225" t="s">
        <v>155</v>
      </c>
      <c r="T1130" s="226"/>
      <c r="U1130" s="227"/>
      <c r="V1130" s="52" t="s">
        <v>250</v>
      </c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</row>
    <row r="1131" ht="30.0" customHeight="1">
      <c r="A1131" s="159"/>
      <c r="B1131" s="218" t="s">
        <v>246</v>
      </c>
      <c r="C1131" s="218" t="s">
        <v>2286</v>
      </c>
      <c r="D1131" s="218" t="s">
        <v>2287</v>
      </c>
      <c r="E1131" s="219">
        <v>15539.0</v>
      </c>
      <c r="F1131" s="220" t="s">
        <v>2442</v>
      </c>
      <c r="G1131" s="221" t="s">
        <v>369</v>
      </c>
      <c r="H1131" s="222" t="s">
        <v>250</v>
      </c>
      <c r="I1131" s="221" t="s">
        <v>42</v>
      </c>
      <c r="J1131" s="222" t="s">
        <v>250</v>
      </c>
      <c r="K1131" s="223">
        <v>1.0</v>
      </c>
      <c r="L1131" s="223" t="b">
        <v>0</v>
      </c>
      <c r="M1131" s="223" t="s">
        <v>42</v>
      </c>
      <c r="N1131" s="223">
        <v>0.76809</v>
      </c>
      <c r="O1131" s="224" t="s">
        <v>238</v>
      </c>
      <c r="P1131" s="225" t="s">
        <v>155</v>
      </c>
      <c r="Q1131" s="225" t="s">
        <v>155</v>
      </c>
      <c r="R1131" s="225" t="s">
        <v>155</v>
      </c>
      <c r="S1131" s="225" t="s">
        <v>155</v>
      </c>
      <c r="T1131" s="226"/>
      <c r="U1131" s="227"/>
      <c r="V1131" s="52" t="s">
        <v>250</v>
      </c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</row>
    <row r="1132" ht="30.0" customHeight="1">
      <c r="A1132" s="159"/>
      <c r="B1132" s="218" t="s">
        <v>246</v>
      </c>
      <c r="C1132" s="218" t="s">
        <v>2286</v>
      </c>
      <c r="D1132" s="218" t="s">
        <v>2287</v>
      </c>
      <c r="E1132" s="219">
        <v>110101.0</v>
      </c>
      <c r="F1132" s="220" t="s">
        <v>2443</v>
      </c>
      <c r="G1132" s="221" t="s">
        <v>369</v>
      </c>
      <c r="H1132" s="222" t="s">
        <v>250</v>
      </c>
      <c r="I1132" s="221" t="s">
        <v>972</v>
      </c>
      <c r="J1132" s="222" t="s">
        <v>250</v>
      </c>
      <c r="K1132" s="223">
        <v>1.0</v>
      </c>
      <c r="L1132" s="223" t="b">
        <v>0</v>
      </c>
      <c r="M1132" s="223" t="s">
        <v>972</v>
      </c>
      <c r="N1132" s="223">
        <v>4.528275</v>
      </c>
      <c r="O1132" s="224"/>
      <c r="P1132" s="225" t="s">
        <v>155</v>
      </c>
      <c r="Q1132" s="225" t="s">
        <v>155</v>
      </c>
      <c r="R1132" s="225" t="s">
        <v>155</v>
      </c>
      <c r="S1132" s="225" t="s">
        <v>155</v>
      </c>
      <c r="T1132" s="226"/>
      <c r="U1132" s="227"/>
      <c r="V1132" s="52" t="s">
        <v>250</v>
      </c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</row>
    <row r="1133" ht="30.0" customHeight="1">
      <c r="A1133" s="159"/>
      <c r="B1133" s="218" t="s">
        <v>246</v>
      </c>
      <c r="C1133" s="218" t="s">
        <v>2286</v>
      </c>
      <c r="D1133" s="218" t="s">
        <v>2287</v>
      </c>
      <c r="E1133" s="219">
        <v>15542.0</v>
      </c>
      <c r="F1133" s="220" t="s">
        <v>2444</v>
      </c>
      <c r="G1133" s="221" t="s">
        <v>369</v>
      </c>
      <c r="H1133" s="222" t="s">
        <v>250</v>
      </c>
      <c r="I1133" s="221" t="s">
        <v>42</v>
      </c>
      <c r="J1133" s="222" t="s">
        <v>250</v>
      </c>
      <c r="K1133" s="223">
        <v>1.0</v>
      </c>
      <c r="L1133" s="223" t="b">
        <v>0</v>
      </c>
      <c r="M1133" s="223" t="s">
        <v>42</v>
      </c>
      <c r="N1133" s="223">
        <v>1.001903</v>
      </c>
      <c r="O1133" s="224" t="s">
        <v>238</v>
      </c>
      <c r="P1133" s="225" t="s">
        <v>155</v>
      </c>
      <c r="Q1133" s="225" t="s">
        <v>155</v>
      </c>
      <c r="R1133" s="225" t="s">
        <v>155</v>
      </c>
      <c r="S1133" s="225" t="s">
        <v>155</v>
      </c>
      <c r="T1133" s="226"/>
      <c r="U1133" s="227"/>
      <c r="V1133" s="52" t="s">
        <v>250</v>
      </c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</row>
    <row r="1134" ht="30.0" customHeight="1">
      <c r="A1134" s="159"/>
      <c r="B1134" s="218" t="s">
        <v>246</v>
      </c>
      <c r="C1134" s="218" t="s">
        <v>2286</v>
      </c>
      <c r="D1134" s="218" t="s">
        <v>2445</v>
      </c>
      <c r="E1134" s="219">
        <v>24182.0</v>
      </c>
      <c r="F1134" s="220" t="s">
        <v>2446</v>
      </c>
      <c r="G1134" s="221" t="s">
        <v>369</v>
      </c>
      <c r="H1134" s="222" t="s">
        <v>250</v>
      </c>
      <c r="I1134" s="221" t="s">
        <v>42</v>
      </c>
      <c r="J1134" s="222" t="s">
        <v>250</v>
      </c>
      <c r="K1134" s="223">
        <v>1.0</v>
      </c>
      <c r="L1134" s="223" t="b">
        <v>0</v>
      </c>
      <c r="M1134" s="223" t="s">
        <v>42</v>
      </c>
      <c r="N1134" s="223">
        <v>3.748282</v>
      </c>
      <c r="O1134" s="224"/>
      <c r="P1134" s="225" t="s">
        <v>155</v>
      </c>
      <c r="Q1134" s="225" t="s">
        <v>155</v>
      </c>
      <c r="R1134" s="225" t="s">
        <v>155</v>
      </c>
      <c r="S1134" s="225" t="s">
        <v>155</v>
      </c>
      <c r="T1134" s="226"/>
      <c r="U1134" s="227"/>
      <c r="V1134" s="109" t="s">
        <v>2447</v>
      </c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</row>
    <row r="1135" ht="30.0" customHeight="1">
      <c r="A1135" s="159"/>
      <c r="B1135" s="218" t="s">
        <v>246</v>
      </c>
      <c r="C1135" s="218" t="s">
        <v>2286</v>
      </c>
      <c r="D1135" s="218" t="s">
        <v>2445</v>
      </c>
      <c r="E1135" s="219">
        <v>15429.0</v>
      </c>
      <c r="F1135" s="220" t="s">
        <v>2448</v>
      </c>
      <c r="G1135" s="221" t="s">
        <v>369</v>
      </c>
      <c r="H1135" s="222" t="s">
        <v>250</v>
      </c>
      <c r="I1135" s="221" t="s">
        <v>42</v>
      </c>
      <c r="J1135" s="222" t="s">
        <v>250</v>
      </c>
      <c r="K1135" s="223">
        <v>1.0</v>
      </c>
      <c r="L1135" s="223" t="b">
        <v>0</v>
      </c>
      <c r="M1135" s="223" t="s">
        <v>42</v>
      </c>
      <c r="N1135" s="223">
        <v>5.738543</v>
      </c>
      <c r="O1135" s="224" t="s">
        <v>238</v>
      </c>
      <c r="P1135" s="225" t="s">
        <v>155</v>
      </c>
      <c r="Q1135" s="225" t="s">
        <v>155</v>
      </c>
      <c r="R1135" s="225" t="s">
        <v>155</v>
      </c>
      <c r="S1135" s="225" t="s">
        <v>155</v>
      </c>
      <c r="T1135" s="229" t="s">
        <v>554</v>
      </c>
      <c r="U1135" s="227"/>
      <c r="V1135" s="52" t="s">
        <v>250</v>
      </c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</row>
    <row r="1136" ht="30.0" customHeight="1">
      <c r="A1136" s="159"/>
      <c r="B1136" s="218" t="s">
        <v>246</v>
      </c>
      <c r="C1136" s="218" t="s">
        <v>2286</v>
      </c>
      <c r="D1136" s="218" t="s">
        <v>2445</v>
      </c>
      <c r="E1136" s="219">
        <v>111119.0</v>
      </c>
      <c r="F1136" s="220" t="s">
        <v>2449</v>
      </c>
      <c r="G1136" s="221" t="s">
        <v>369</v>
      </c>
      <c r="H1136" s="221" t="s">
        <v>2450</v>
      </c>
      <c r="I1136" s="221" t="s">
        <v>972</v>
      </c>
      <c r="J1136" s="222" t="s">
        <v>250</v>
      </c>
      <c r="K1136" s="223">
        <v>1.0</v>
      </c>
      <c r="L1136" s="223" t="b">
        <v>0</v>
      </c>
      <c r="M1136" s="228"/>
      <c r="N1136" s="228"/>
      <c r="O1136" s="224"/>
      <c r="P1136" s="225" t="s">
        <v>155</v>
      </c>
      <c r="Q1136" s="225" t="s">
        <v>155</v>
      </c>
      <c r="R1136" s="225" t="s">
        <v>155</v>
      </c>
      <c r="S1136" s="225" t="s">
        <v>155</v>
      </c>
      <c r="T1136" s="226"/>
      <c r="U1136" s="227"/>
      <c r="V1136" s="52" t="s">
        <v>250</v>
      </c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</row>
    <row r="1137" ht="30.0" customHeight="1">
      <c r="A1137" s="159"/>
      <c r="B1137" s="218" t="s">
        <v>246</v>
      </c>
      <c r="C1137" s="218" t="s">
        <v>2286</v>
      </c>
      <c r="D1137" s="218" t="s">
        <v>2445</v>
      </c>
      <c r="E1137" s="219">
        <v>15543.0</v>
      </c>
      <c r="F1137" s="220" t="s">
        <v>2451</v>
      </c>
      <c r="G1137" s="221" t="s">
        <v>369</v>
      </c>
      <c r="H1137" s="222" t="s">
        <v>250</v>
      </c>
      <c r="I1137" s="221" t="s">
        <v>42</v>
      </c>
      <c r="J1137" s="222" t="s">
        <v>250</v>
      </c>
      <c r="K1137" s="223">
        <v>1.0</v>
      </c>
      <c r="L1137" s="223" t="b">
        <v>0</v>
      </c>
      <c r="M1137" s="223" t="s">
        <v>42</v>
      </c>
      <c r="N1137" s="223">
        <v>10.259191</v>
      </c>
      <c r="O1137" s="224"/>
      <c r="P1137" s="225" t="s">
        <v>155</v>
      </c>
      <c r="Q1137" s="225" t="s">
        <v>155</v>
      </c>
      <c r="R1137" s="225" t="s">
        <v>155</v>
      </c>
      <c r="S1137" s="225" t="s">
        <v>155</v>
      </c>
      <c r="T1137" s="226"/>
      <c r="U1137" s="227"/>
      <c r="V1137" s="52" t="s">
        <v>250</v>
      </c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</row>
    <row r="1138" ht="30.0" customHeight="1">
      <c r="A1138" s="159"/>
      <c r="B1138" s="218" t="s">
        <v>246</v>
      </c>
      <c r="C1138" s="218" t="s">
        <v>2286</v>
      </c>
      <c r="D1138" s="218" t="s">
        <v>2445</v>
      </c>
      <c r="E1138" s="219">
        <v>15438.0</v>
      </c>
      <c r="F1138" s="220" t="s">
        <v>2452</v>
      </c>
      <c r="G1138" s="221" t="s">
        <v>369</v>
      </c>
      <c r="H1138" s="222" t="s">
        <v>250</v>
      </c>
      <c r="I1138" s="221" t="s">
        <v>42</v>
      </c>
      <c r="J1138" s="222" t="s">
        <v>250</v>
      </c>
      <c r="K1138" s="223">
        <v>1.0</v>
      </c>
      <c r="L1138" s="223" t="b">
        <v>0</v>
      </c>
      <c r="M1138" s="223" t="s">
        <v>42</v>
      </c>
      <c r="N1138" s="223">
        <v>6.925441</v>
      </c>
      <c r="O1138" s="224" t="s">
        <v>238</v>
      </c>
      <c r="P1138" s="225" t="s">
        <v>155</v>
      </c>
      <c r="Q1138" s="225" t="s">
        <v>155</v>
      </c>
      <c r="R1138" s="225" t="s">
        <v>155</v>
      </c>
      <c r="S1138" s="225" t="s">
        <v>155</v>
      </c>
      <c r="T1138" s="226"/>
      <c r="U1138" s="227"/>
      <c r="V1138" s="52" t="s">
        <v>250</v>
      </c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</row>
    <row r="1139" ht="30.0" customHeight="1">
      <c r="A1139" s="159"/>
      <c r="B1139" s="218" t="s">
        <v>246</v>
      </c>
      <c r="C1139" s="218" t="s">
        <v>2286</v>
      </c>
      <c r="D1139" s="218" t="s">
        <v>2445</v>
      </c>
      <c r="E1139" s="219">
        <v>15431.0</v>
      </c>
      <c r="F1139" s="220" t="s">
        <v>2453</v>
      </c>
      <c r="G1139" s="221" t="s">
        <v>369</v>
      </c>
      <c r="H1139" s="222" t="s">
        <v>250</v>
      </c>
      <c r="I1139" s="221" t="s">
        <v>42</v>
      </c>
      <c r="J1139" s="222" t="s">
        <v>250</v>
      </c>
      <c r="K1139" s="223">
        <v>1.0</v>
      </c>
      <c r="L1139" s="223" t="b">
        <v>0</v>
      </c>
      <c r="M1139" s="223" t="s">
        <v>42</v>
      </c>
      <c r="N1139" s="223">
        <v>2.958758</v>
      </c>
      <c r="O1139" s="224" t="s">
        <v>238</v>
      </c>
      <c r="P1139" s="225" t="s">
        <v>155</v>
      </c>
      <c r="Q1139" s="225" t="s">
        <v>155</v>
      </c>
      <c r="R1139" s="225" t="s">
        <v>155</v>
      </c>
      <c r="S1139" s="225" t="s">
        <v>155</v>
      </c>
      <c r="T1139" s="229" t="s">
        <v>554</v>
      </c>
      <c r="U1139" s="227"/>
      <c r="V1139" s="52" t="s">
        <v>250</v>
      </c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</row>
    <row r="1140" ht="30.0" customHeight="1">
      <c r="A1140" s="159"/>
      <c r="B1140" s="218" t="s">
        <v>246</v>
      </c>
      <c r="C1140" s="218" t="s">
        <v>2286</v>
      </c>
      <c r="D1140" s="218" t="s">
        <v>2445</v>
      </c>
      <c r="E1140" s="219">
        <v>111175.0</v>
      </c>
      <c r="F1140" s="220" t="s">
        <v>2454</v>
      </c>
      <c r="G1140" s="221" t="s">
        <v>369</v>
      </c>
      <c r="H1140" s="221" t="s">
        <v>2450</v>
      </c>
      <c r="I1140" s="221" t="s">
        <v>972</v>
      </c>
      <c r="J1140" s="222" t="s">
        <v>250</v>
      </c>
      <c r="K1140" s="223">
        <v>1.0</v>
      </c>
      <c r="L1140" s="223" t="b">
        <v>0</v>
      </c>
      <c r="M1140" s="223" t="s">
        <v>972</v>
      </c>
      <c r="N1140" s="223">
        <v>13.498906</v>
      </c>
      <c r="O1140" s="224"/>
      <c r="P1140" s="225" t="s">
        <v>155</v>
      </c>
      <c r="Q1140" s="225" t="s">
        <v>155</v>
      </c>
      <c r="R1140" s="225" t="s">
        <v>155</v>
      </c>
      <c r="S1140" s="225" t="s">
        <v>155</v>
      </c>
      <c r="T1140" s="226"/>
      <c r="U1140" s="227"/>
      <c r="V1140" s="52" t="s">
        <v>250</v>
      </c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</row>
    <row r="1141" ht="30.0" customHeight="1">
      <c r="A1141" s="159"/>
      <c r="B1141" s="218" t="s">
        <v>246</v>
      </c>
      <c r="C1141" s="218" t="s">
        <v>2286</v>
      </c>
      <c r="D1141" s="218" t="s">
        <v>2445</v>
      </c>
      <c r="E1141" s="219">
        <v>30024.0</v>
      </c>
      <c r="F1141" s="220" t="s">
        <v>2455</v>
      </c>
      <c r="G1141" s="221" t="s">
        <v>369</v>
      </c>
      <c r="H1141" s="222" t="s">
        <v>250</v>
      </c>
      <c r="I1141" s="221" t="s">
        <v>389</v>
      </c>
      <c r="J1141" s="222" t="s">
        <v>250</v>
      </c>
      <c r="K1141" s="223">
        <v>1.0</v>
      </c>
      <c r="L1141" s="223" t="b">
        <v>0</v>
      </c>
      <c r="M1141" s="223" t="s">
        <v>389</v>
      </c>
      <c r="N1141" s="223">
        <v>47.624252</v>
      </c>
      <c r="O1141" s="224" t="s">
        <v>238</v>
      </c>
      <c r="P1141" s="225" t="s">
        <v>155</v>
      </c>
      <c r="Q1141" s="225" t="s">
        <v>155</v>
      </c>
      <c r="R1141" s="225" t="s">
        <v>155</v>
      </c>
      <c r="S1141" s="225" t="s">
        <v>155</v>
      </c>
      <c r="T1141" s="226"/>
      <c r="U1141" s="227"/>
      <c r="V1141" s="109" t="s">
        <v>2456</v>
      </c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</row>
    <row r="1142" ht="30.0" customHeight="1">
      <c r="A1142" s="159"/>
      <c r="B1142" s="218" t="s">
        <v>246</v>
      </c>
      <c r="C1142" s="218" t="s">
        <v>2286</v>
      </c>
      <c r="D1142" s="218" t="s">
        <v>2445</v>
      </c>
      <c r="E1142" s="219">
        <v>15433.0</v>
      </c>
      <c r="F1142" s="220" t="s">
        <v>2457</v>
      </c>
      <c r="G1142" s="221" t="s">
        <v>369</v>
      </c>
      <c r="H1142" s="222" t="s">
        <v>250</v>
      </c>
      <c r="I1142" s="221" t="s">
        <v>42</v>
      </c>
      <c r="J1142" s="222" t="s">
        <v>250</v>
      </c>
      <c r="K1142" s="223">
        <v>1.0</v>
      </c>
      <c r="L1142" s="223" t="b">
        <v>0</v>
      </c>
      <c r="M1142" s="223" t="s">
        <v>42</v>
      </c>
      <c r="N1142" s="223">
        <v>4.583491</v>
      </c>
      <c r="O1142" s="224" t="s">
        <v>238</v>
      </c>
      <c r="P1142" s="225" t="s">
        <v>155</v>
      </c>
      <c r="Q1142" s="225" t="s">
        <v>155</v>
      </c>
      <c r="R1142" s="225" t="s">
        <v>155</v>
      </c>
      <c r="S1142" s="225" t="s">
        <v>155</v>
      </c>
      <c r="T1142" s="229" t="s">
        <v>554</v>
      </c>
      <c r="U1142" s="227"/>
      <c r="V1142" s="52" t="s">
        <v>250</v>
      </c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</row>
    <row r="1143" ht="30.0" customHeight="1">
      <c r="A1143" s="159"/>
      <c r="B1143" s="218" t="s">
        <v>246</v>
      </c>
      <c r="C1143" s="218" t="s">
        <v>2286</v>
      </c>
      <c r="D1143" s="218" t="s">
        <v>2445</v>
      </c>
      <c r="E1143" s="219">
        <v>15478.0</v>
      </c>
      <c r="F1143" s="220" t="s">
        <v>2458</v>
      </c>
      <c r="G1143" s="221" t="s">
        <v>369</v>
      </c>
      <c r="H1143" s="222" t="s">
        <v>250</v>
      </c>
      <c r="I1143" s="221" t="s">
        <v>42</v>
      </c>
      <c r="J1143" s="222" t="s">
        <v>250</v>
      </c>
      <c r="K1143" s="223">
        <v>1.0</v>
      </c>
      <c r="L1143" s="223" t="b">
        <v>0</v>
      </c>
      <c r="M1143" s="223" t="s">
        <v>42</v>
      </c>
      <c r="N1143" s="223">
        <v>4.246932</v>
      </c>
      <c r="O1143" s="224" t="s">
        <v>238</v>
      </c>
      <c r="P1143" s="225" t="s">
        <v>155</v>
      </c>
      <c r="Q1143" s="225" t="s">
        <v>155</v>
      </c>
      <c r="R1143" s="225" t="s">
        <v>155</v>
      </c>
      <c r="S1143" s="225" t="s">
        <v>155</v>
      </c>
      <c r="T1143" s="226"/>
      <c r="U1143" s="227"/>
      <c r="V1143" s="52" t="s">
        <v>250</v>
      </c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</row>
    <row r="1144" ht="30.0" customHeight="1">
      <c r="A1144" s="159"/>
      <c r="B1144" s="218" t="s">
        <v>246</v>
      </c>
      <c r="C1144" s="218" t="s">
        <v>2286</v>
      </c>
      <c r="D1144" s="218" t="s">
        <v>2445</v>
      </c>
      <c r="E1144" s="219">
        <v>15434.0</v>
      </c>
      <c r="F1144" s="220" t="s">
        <v>2459</v>
      </c>
      <c r="G1144" s="221" t="s">
        <v>369</v>
      </c>
      <c r="H1144" s="222" t="s">
        <v>250</v>
      </c>
      <c r="I1144" s="221" t="s">
        <v>42</v>
      </c>
      <c r="J1144" s="222" t="s">
        <v>250</v>
      </c>
      <c r="K1144" s="223">
        <v>1.0</v>
      </c>
      <c r="L1144" s="223" t="b">
        <v>0</v>
      </c>
      <c r="M1144" s="223" t="s">
        <v>42</v>
      </c>
      <c r="N1144" s="223">
        <v>6.25074</v>
      </c>
      <c r="O1144" s="224"/>
      <c r="P1144" s="225" t="s">
        <v>155</v>
      </c>
      <c r="Q1144" s="225" t="s">
        <v>155</v>
      </c>
      <c r="R1144" s="225" t="s">
        <v>155</v>
      </c>
      <c r="S1144" s="225" t="s">
        <v>155</v>
      </c>
      <c r="T1144" s="226"/>
      <c r="U1144" s="227"/>
      <c r="V1144" s="52" t="s">
        <v>250</v>
      </c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</row>
    <row r="1145" ht="30.0" customHeight="1">
      <c r="A1145" s="159"/>
      <c r="B1145" s="218" t="s">
        <v>246</v>
      </c>
      <c r="C1145" s="218" t="s">
        <v>2286</v>
      </c>
      <c r="D1145" s="218" t="s">
        <v>2445</v>
      </c>
      <c r="E1145" s="219">
        <v>15436.0</v>
      </c>
      <c r="F1145" s="220" t="s">
        <v>2460</v>
      </c>
      <c r="G1145" s="221" t="s">
        <v>369</v>
      </c>
      <c r="H1145" s="222" t="s">
        <v>250</v>
      </c>
      <c r="I1145" s="221" t="s">
        <v>42</v>
      </c>
      <c r="J1145" s="222" t="s">
        <v>250</v>
      </c>
      <c r="K1145" s="223">
        <v>1.0</v>
      </c>
      <c r="L1145" s="223" t="b">
        <v>0</v>
      </c>
      <c r="M1145" s="223" t="s">
        <v>42</v>
      </c>
      <c r="N1145" s="223">
        <v>4.367522</v>
      </c>
      <c r="O1145" s="224" t="s">
        <v>238</v>
      </c>
      <c r="P1145" s="225" t="s">
        <v>155</v>
      </c>
      <c r="Q1145" s="225" t="s">
        <v>155</v>
      </c>
      <c r="R1145" s="225" t="s">
        <v>155</v>
      </c>
      <c r="S1145" s="225" t="s">
        <v>155</v>
      </c>
      <c r="T1145" s="229" t="s">
        <v>554</v>
      </c>
      <c r="U1145" s="227"/>
      <c r="V1145" s="52" t="s">
        <v>250</v>
      </c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</row>
    <row r="1146" ht="30.0" customHeight="1">
      <c r="A1146" s="159"/>
      <c r="B1146" s="218" t="s">
        <v>246</v>
      </c>
      <c r="C1146" s="218" t="s">
        <v>2286</v>
      </c>
      <c r="D1146" s="218" t="s">
        <v>2445</v>
      </c>
      <c r="E1146" s="219">
        <v>15447.0</v>
      </c>
      <c r="F1146" s="220" t="s">
        <v>2461</v>
      </c>
      <c r="G1146" s="221" t="s">
        <v>369</v>
      </c>
      <c r="H1146" s="222" t="s">
        <v>250</v>
      </c>
      <c r="I1146" s="221" t="s">
        <v>42</v>
      </c>
      <c r="J1146" s="222" t="s">
        <v>250</v>
      </c>
      <c r="K1146" s="223">
        <v>1.0</v>
      </c>
      <c r="L1146" s="223" t="b">
        <v>0</v>
      </c>
      <c r="M1146" s="223" t="s">
        <v>42</v>
      </c>
      <c r="N1146" s="223">
        <v>6.553875</v>
      </c>
      <c r="O1146" s="224" t="s">
        <v>238</v>
      </c>
      <c r="P1146" s="225" t="s">
        <v>155</v>
      </c>
      <c r="Q1146" s="225" t="s">
        <v>155</v>
      </c>
      <c r="R1146" s="225" t="s">
        <v>155</v>
      </c>
      <c r="S1146" s="225" t="s">
        <v>155</v>
      </c>
      <c r="T1146" s="229" t="s">
        <v>554</v>
      </c>
      <c r="U1146" s="227"/>
      <c r="V1146" s="52" t="s">
        <v>250</v>
      </c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</row>
    <row r="1147" ht="30.0" customHeight="1">
      <c r="A1147" s="159"/>
      <c r="B1147" s="218" t="s">
        <v>246</v>
      </c>
      <c r="C1147" s="218" t="s">
        <v>2286</v>
      </c>
      <c r="D1147" s="218" t="s">
        <v>2445</v>
      </c>
      <c r="E1147" s="219">
        <v>15500.0</v>
      </c>
      <c r="F1147" s="220" t="s">
        <v>2462</v>
      </c>
      <c r="G1147" s="221" t="s">
        <v>369</v>
      </c>
      <c r="H1147" s="222" t="s">
        <v>250</v>
      </c>
      <c r="I1147" s="221" t="s">
        <v>42</v>
      </c>
      <c r="J1147" s="222" t="s">
        <v>250</v>
      </c>
      <c r="K1147" s="223">
        <v>1.0</v>
      </c>
      <c r="L1147" s="223" t="b">
        <v>0</v>
      </c>
      <c r="M1147" s="223" t="s">
        <v>42</v>
      </c>
      <c r="N1147" s="223">
        <v>1.314608</v>
      </c>
      <c r="O1147" s="224" t="s">
        <v>238</v>
      </c>
      <c r="P1147" s="225" t="s">
        <v>155</v>
      </c>
      <c r="Q1147" s="225" t="s">
        <v>155</v>
      </c>
      <c r="R1147" s="225" t="s">
        <v>155</v>
      </c>
      <c r="S1147" s="225" t="s">
        <v>155</v>
      </c>
      <c r="T1147" s="229" t="s">
        <v>554</v>
      </c>
      <c r="U1147" s="227"/>
      <c r="V1147" s="52" t="s">
        <v>250</v>
      </c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</row>
    <row r="1148" ht="30.0" customHeight="1">
      <c r="A1148" s="159"/>
      <c r="B1148" s="218" t="s">
        <v>246</v>
      </c>
      <c r="C1148" s="218" t="s">
        <v>2286</v>
      </c>
      <c r="D1148" s="218" t="s">
        <v>2445</v>
      </c>
      <c r="E1148" s="219">
        <v>111808.0</v>
      </c>
      <c r="F1148" s="220" t="s">
        <v>2463</v>
      </c>
      <c r="G1148" s="221" t="s">
        <v>369</v>
      </c>
      <c r="H1148" s="221" t="s">
        <v>2450</v>
      </c>
      <c r="I1148" s="221" t="s">
        <v>972</v>
      </c>
      <c r="J1148" s="222" t="s">
        <v>250</v>
      </c>
      <c r="K1148" s="223">
        <v>0.0</v>
      </c>
      <c r="L1148" s="223" t="b">
        <v>0</v>
      </c>
      <c r="M1148" s="228"/>
      <c r="N1148" s="228"/>
      <c r="O1148" s="224"/>
      <c r="P1148" s="225" t="s">
        <v>155</v>
      </c>
      <c r="Q1148" s="225" t="s">
        <v>155</v>
      </c>
      <c r="R1148" s="225" t="s">
        <v>155</v>
      </c>
      <c r="S1148" s="225" t="s">
        <v>155</v>
      </c>
      <c r="T1148" s="226"/>
      <c r="U1148" s="227"/>
      <c r="V1148" s="52" t="s">
        <v>250</v>
      </c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</row>
    <row r="1149" ht="30.0" customHeight="1">
      <c r="A1149" s="159"/>
      <c r="B1149" s="218" t="s">
        <v>246</v>
      </c>
      <c r="C1149" s="218" t="s">
        <v>2286</v>
      </c>
      <c r="D1149" s="218" t="s">
        <v>2445</v>
      </c>
      <c r="E1149" s="219">
        <v>11838.0</v>
      </c>
      <c r="F1149" s="220" t="s">
        <v>2464</v>
      </c>
      <c r="G1149" s="221" t="s">
        <v>369</v>
      </c>
      <c r="H1149" s="222" t="s">
        <v>250</v>
      </c>
      <c r="I1149" s="221" t="s">
        <v>42</v>
      </c>
      <c r="J1149" s="222" t="s">
        <v>250</v>
      </c>
      <c r="K1149" s="223">
        <v>1.0</v>
      </c>
      <c r="L1149" s="223" t="b">
        <v>0</v>
      </c>
      <c r="M1149" s="223" t="s">
        <v>42</v>
      </c>
      <c r="N1149" s="223">
        <v>1.57375</v>
      </c>
      <c r="O1149" s="224"/>
      <c r="P1149" s="225" t="s">
        <v>155</v>
      </c>
      <c r="Q1149" s="225" t="s">
        <v>155</v>
      </c>
      <c r="R1149" s="225" t="s">
        <v>155</v>
      </c>
      <c r="S1149" s="225" t="s">
        <v>155</v>
      </c>
      <c r="T1149" s="226"/>
      <c r="U1149" s="227"/>
      <c r="V1149" s="52" t="s">
        <v>250</v>
      </c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</row>
    <row r="1150" ht="30.0" customHeight="1">
      <c r="A1150" s="159"/>
      <c r="B1150" s="218" t="s">
        <v>246</v>
      </c>
      <c r="C1150" s="218" t="s">
        <v>2286</v>
      </c>
      <c r="D1150" s="218" t="s">
        <v>2445</v>
      </c>
      <c r="E1150" s="219">
        <v>15427.0</v>
      </c>
      <c r="F1150" s="220" t="s">
        <v>2465</v>
      </c>
      <c r="G1150" s="221" t="s">
        <v>369</v>
      </c>
      <c r="H1150" s="222" t="s">
        <v>250</v>
      </c>
      <c r="I1150" s="221" t="s">
        <v>42</v>
      </c>
      <c r="J1150" s="222" t="s">
        <v>250</v>
      </c>
      <c r="K1150" s="223">
        <v>1.0</v>
      </c>
      <c r="L1150" s="223" t="b">
        <v>0</v>
      </c>
      <c r="M1150" s="223" t="s">
        <v>42</v>
      </c>
      <c r="N1150" s="223">
        <v>5.55541</v>
      </c>
      <c r="O1150" s="224" t="s">
        <v>238</v>
      </c>
      <c r="P1150" s="225" t="s">
        <v>155</v>
      </c>
      <c r="Q1150" s="225" t="s">
        <v>155</v>
      </c>
      <c r="R1150" s="225" t="s">
        <v>155</v>
      </c>
      <c r="S1150" s="225" t="s">
        <v>155</v>
      </c>
      <c r="T1150" s="229" t="s">
        <v>554</v>
      </c>
      <c r="U1150" s="227"/>
      <c r="V1150" s="52" t="s">
        <v>250</v>
      </c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</row>
    <row r="1151" ht="30.0" customHeight="1">
      <c r="A1151" s="159"/>
      <c r="B1151" s="218" t="s">
        <v>246</v>
      </c>
      <c r="C1151" s="218" t="s">
        <v>2286</v>
      </c>
      <c r="D1151" s="218" t="s">
        <v>2445</v>
      </c>
      <c r="E1151" s="219">
        <v>15444.0</v>
      </c>
      <c r="F1151" s="220" t="s">
        <v>2466</v>
      </c>
      <c r="G1151" s="221" t="s">
        <v>369</v>
      </c>
      <c r="H1151" s="222" t="s">
        <v>250</v>
      </c>
      <c r="I1151" s="221" t="s">
        <v>42</v>
      </c>
      <c r="J1151" s="222" t="s">
        <v>250</v>
      </c>
      <c r="K1151" s="223">
        <v>1.0</v>
      </c>
      <c r="L1151" s="223" t="b">
        <v>0</v>
      </c>
      <c r="M1151" s="223" t="s">
        <v>42</v>
      </c>
      <c r="N1151" s="223">
        <v>6.28455</v>
      </c>
      <c r="O1151" s="224" t="s">
        <v>238</v>
      </c>
      <c r="P1151" s="225" t="s">
        <v>155</v>
      </c>
      <c r="Q1151" s="225" t="s">
        <v>155</v>
      </c>
      <c r="R1151" s="225" t="s">
        <v>155</v>
      </c>
      <c r="S1151" s="225" t="s">
        <v>155</v>
      </c>
      <c r="T1151" s="229" t="s">
        <v>554</v>
      </c>
      <c r="U1151" s="227"/>
      <c r="V1151" s="52" t="s">
        <v>250</v>
      </c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</row>
    <row r="1152" ht="30.0" customHeight="1">
      <c r="A1152" s="159"/>
      <c r="B1152" s="218" t="s">
        <v>246</v>
      </c>
      <c r="C1152" s="218" t="s">
        <v>2286</v>
      </c>
      <c r="D1152" s="218" t="s">
        <v>2445</v>
      </c>
      <c r="E1152" s="219">
        <v>11842.0</v>
      </c>
      <c r="F1152" s="220" t="s">
        <v>2467</v>
      </c>
      <c r="G1152" s="221" t="s">
        <v>369</v>
      </c>
      <c r="H1152" s="222" t="s">
        <v>250</v>
      </c>
      <c r="I1152" s="221" t="s">
        <v>42</v>
      </c>
      <c r="J1152" s="222" t="s">
        <v>250</v>
      </c>
      <c r="K1152" s="223">
        <v>1.0</v>
      </c>
      <c r="L1152" s="223" t="b">
        <v>0</v>
      </c>
      <c r="M1152" s="223" t="s">
        <v>42</v>
      </c>
      <c r="N1152" s="223">
        <v>6.876764</v>
      </c>
      <c r="O1152" s="224"/>
      <c r="P1152" s="225" t="s">
        <v>155</v>
      </c>
      <c r="Q1152" s="225" t="s">
        <v>155</v>
      </c>
      <c r="R1152" s="225" t="s">
        <v>155</v>
      </c>
      <c r="S1152" s="225" t="s">
        <v>155</v>
      </c>
      <c r="T1152" s="226"/>
      <c r="U1152" s="227"/>
      <c r="V1152" s="52" t="s">
        <v>250</v>
      </c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</row>
    <row r="1153" ht="30.0" customHeight="1">
      <c r="A1153" s="159"/>
      <c r="B1153" s="218" t="s">
        <v>246</v>
      </c>
      <c r="C1153" s="218" t="s">
        <v>2286</v>
      </c>
      <c r="D1153" s="218" t="s">
        <v>2445</v>
      </c>
      <c r="E1153" s="219">
        <v>15442.0</v>
      </c>
      <c r="F1153" s="220" t="s">
        <v>2468</v>
      </c>
      <c r="G1153" s="221" t="s">
        <v>369</v>
      </c>
      <c r="H1153" s="222" t="s">
        <v>250</v>
      </c>
      <c r="I1153" s="221" t="s">
        <v>42</v>
      </c>
      <c r="J1153" s="222" t="s">
        <v>250</v>
      </c>
      <c r="K1153" s="223">
        <v>1.0</v>
      </c>
      <c r="L1153" s="223" t="b">
        <v>0</v>
      </c>
      <c r="M1153" s="223" t="s">
        <v>42</v>
      </c>
      <c r="N1153" s="223">
        <v>8.027832</v>
      </c>
      <c r="O1153" s="224" t="s">
        <v>238</v>
      </c>
      <c r="P1153" s="225" t="s">
        <v>155</v>
      </c>
      <c r="Q1153" s="225" t="s">
        <v>155</v>
      </c>
      <c r="R1153" s="225" t="s">
        <v>155</v>
      </c>
      <c r="S1153" s="225" t="s">
        <v>155</v>
      </c>
      <c r="T1153" s="229" t="s">
        <v>554</v>
      </c>
      <c r="U1153" s="227"/>
      <c r="V1153" s="52" t="s">
        <v>250</v>
      </c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</row>
    <row r="1154" ht="30.0" customHeight="1">
      <c r="A1154" s="159"/>
      <c r="B1154" s="218" t="s">
        <v>246</v>
      </c>
      <c r="C1154" s="218" t="s">
        <v>2286</v>
      </c>
      <c r="D1154" s="218" t="s">
        <v>2445</v>
      </c>
      <c r="E1154" s="219">
        <v>15446.0</v>
      </c>
      <c r="F1154" s="220" t="s">
        <v>2469</v>
      </c>
      <c r="G1154" s="221" t="s">
        <v>369</v>
      </c>
      <c r="H1154" s="222" t="s">
        <v>250</v>
      </c>
      <c r="I1154" s="221" t="s">
        <v>42</v>
      </c>
      <c r="J1154" s="222" t="s">
        <v>250</v>
      </c>
      <c r="K1154" s="223">
        <v>1.0</v>
      </c>
      <c r="L1154" s="223" t="b">
        <v>0</v>
      </c>
      <c r="M1154" s="223" t="s">
        <v>42</v>
      </c>
      <c r="N1154" s="223">
        <v>5.797939</v>
      </c>
      <c r="O1154" s="224" t="s">
        <v>238</v>
      </c>
      <c r="P1154" s="225" t="s">
        <v>155</v>
      </c>
      <c r="Q1154" s="225" t="s">
        <v>155</v>
      </c>
      <c r="R1154" s="225" t="s">
        <v>155</v>
      </c>
      <c r="S1154" s="225" t="s">
        <v>155</v>
      </c>
      <c r="T1154" s="226"/>
      <c r="U1154" s="227"/>
      <c r="V1154" s="52" t="s">
        <v>250</v>
      </c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</row>
    <row r="1155" ht="30.0" customHeight="1">
      <c r="A1155" s="159"/>
      <c r="B1155" s="218" t="s">
        <v>246</v>
      </c>
      <c r="C1155" s="218" t="s">
        <v>2286</v>
      </c>
      <c r="D1155" s="218" t="s">
        <v>2445</v>
      </c>
      <c r="E1155" s="219">
        <v>15540.0</v>
      </c>
      <c r="F1155" s="220" t="s">
        <v>2470</v>
      </c>
      <c r="G1155" s="221" t="s">
        <v>369</v>
      </c>
      <c r="H1155" s="222" t="s">
        <v>250</v>
      </c>
      <c r="I1155" s="221" t="s">
        <v>42</v>
      </c>
      <c r="J1155" s="222" t="s">
        <v>250</v>
      </c>
      <c r="K1155" s="223">
        <v>1.0</v>
      </c>
      <c r="L1155" s="223" t="b">
        <v>0</v>
      </c>
      <c r="M1155" s="223" t="s">
        <v>42</v>
      </c>
      <c r="N1155" s="223">
        <v>3.070617</v>
      </c>
      <c r="O1155" s="224"/>
      <c r="P1155" s="225" t="s">
        <v>155</v>
      </c>
      <c r="Q1155" s="225" t="s">
        <v>155</v>
      </c>
      <c r="R1155" s="225" t="s">
        <v>155</v>
      </c>
      <c r="S1155" s="225" t="s">
        <v>155</v>
      </c>
      <c r="T1155" s="226"/>
      <c r="U1155" s="227"/>
      <c r="V1155" s="52" t="s">
        <v>250</v>
      </c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</row>
    <row r="1156" ht="30.0" customHeight="1">
      <c r="A1156" s="209"/>
      <c r="B1156" s="210" t="s">
        <v>2471</v>
      </c>
      <c r="C1156" s="211"/>
      <c r="D1156" s="211"/>
      <c r="E1156" s="212"/>
      <c r="F1156" s="213"/>
      <c r="G1156" s="213"/>
      <c r="H1156" s="213"/>
      <c r="I1156" s="212"/>
      <c r="J1156" s="212"/>
      <c r="K1156" s="214"/>
      <c r="L1156" s="214"/>
      <c r="M1156" s="214"/>
      <c r="N1156" s="214"/>
      <c r="O1156" s="215"/>
      <c r="P1156" s="216"/>
      <c r="Q1156" s="216"/>
      <c r="R1156" s="216"/>
      <c r="S1156" s="216"/>
      <c r="T1156" s="217"/>
      <c r="U1156" s="217"/>
      <c r="V1156" s="217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</row>
    <row r="1157" ht="30.0" customHeight="1">
      <c r="A1157" s="159"/>
      <c r="B1157" s="218" t="s">
        <v>246</v>
      </c>
      <c r="C1157" s="218" t="s">
        <v>2471</v>
      </c>
      <c r="D1157" s="218" t="s">
        <v>422</v>
      </c>
      <c r="E1157" s="219">
        <v>112720.0</v>
      </c>
      <c r="F1157" s="220" t="s">
        <v>2472</v>
      </c>
      <c r="G1157" s="221" t="s">
        <v>369</v>
      </c>
      <c r="H1157" s="222"/>
      <c r="I1157" s="221" t="s">
        <v>42</v>
      </c>
      <c r="J1157" s="222"/>
      <c r="K1157" s="228"/>
      <c r="L1157" s="228"/>
      <c r="M1157" s="228"/>
      <c r="N1157" s="228"/>
      <c r="O1157" s="224"/>
      <c r="P1157" s="230"/>
      <c r="Q1157" s="230"/>
      <c r="R1157" s="230"/>
      <c r="S1157" s="230"/>
      <c r="T1157" s="229" t="s">
        <v>497</v>
      </c>
      <c r="U1157" s="227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</row>
    <row r="1158" ht="30.0" customHeight="1">
      <c r="A1158" s="159"/>
      <c r="B1158" s="218" t="s">
        <v>246</v>
      </c>
      <c r="C1158" s="218" t="s">
        <v>2471</v>
      </c>
      <c r="D1158" s="218" t="s">
        <v>2473</v>
      </c>
      <c r="E1158" s="219">
        <v>24431.0</v>
      </c>
      <c r="F1158" s="220" t="s">
        <v>2474</v>
      </c>
      <c r="G1158" s="221" t="s">
        <v>249</v>
      </c>
      <c r="H1158" s="221" t="s">
        <v>2475</v>
      </c>
      <c r="I1158" s="221" t="s">
        <v>972</v>
      </c>
      <c r="J1158" s="221" t="s">
        <v>481</v>
      </c>
      <c r="K1158" s="223">
        <v>3.0</v>
      </c>
      <c r="L1158" s="223" t="b">
        <v>1</v>
      </c>
      <c r="M1158" s="223" t="s">
        <v>972</v>
      </c>
      <c r="N1158" s="223">
        <v>34.182272</v>
      </c>
      <c r="O1158" s="224"/>
      <c r="P1158" s="230"/>
      <c r="Q1158" s="225" t="s">
        <v>155</v>
      </c>
      <c r="R1158" s="230"/>
      <c r="S1158" s="225" t="s">
        <v>155</v>
      </c>
      <c r="T1158" s="229" t="s">
        <v>260</v>
      </c>
      <c r="U1158" s="227"/>
      <c r="V1158" s="52" t="s">
        <v>250</v>
      </c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</row>
    <row r="1159" ht="15.75" customHeight="1">
      <c r="A1159" s="159"/>
      <c r="B1159" s="218" t="s">
        <v>246</v>
      </c>
      <c r="C1159" s="218" t="s">
        <v>2471</v>
      </c>
      <c r="D1159" s="218" t="s">
        <v>2473</v>
      </c>
      <c r="E1159" s="219">
        <v>14831.0</v>
      </c>
      <c r="F1159" s="220" t="s">
        <v>2476</v>
      </c>
      <c r="G1159" s="221" t="s">
        <v>518</v>
      </c>
      <c r="H1159" s="221" t="s">
        <v>2477</v>
      </c>
      <c r="I1159" s="221" t="s">
        <v>2478</v>
      </c>
      <c r="J1159" s="221" t="s">
        <v>476</v>
      </c>
      <c r="K1159" s="223">
        <v>4.0</v>
      </c>
      <c r="L1159" s="223" t="b">
        <v>1</v>
      </c>
      <c r="M1159" s="223" t="s">
        <v>2478</v>
      </c>
      <c r="N1159" s="223">
        <v>0.117692</v>
      </c>
      <c r="O1159" s="251" t="s">
        <v>238</v>
      </c>
      <c r="P1159" s="225" t="s">
        <v>155</v>
      </c>
      <c r="Q1159" s="225" t="s">
        <v>155</v>
      </c>
      <c r="R1159" s="225" t="s">
        <v>155</v>
      </c>
      <c r="S1159" s="225" t="s">
        <v>155</v>
      </c>
      <c r="T1159" s="226"/>
      <c r="U1159" s="227"/>
      <c r="V1159" s="52" t="s">
        <v>250</v>
      </c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</row>
    <row r="1160" ht="15.75" customHeight="1">
      <c r="A1160" s="159"/>
      <c r="B1160" s="218" t="s">
        <v>246</v>
      </c>
      <c r="C1160" s="218" t="s">
        <v>2471</v>
      </c>
      <c r="D1160" s="218" t="s">
        <v>516</v>
      </c>
      <c r="E1160" s="219">
        <v>47170.0</v>
      </c>
      <c r="F1160" s="220" t="s">
        <v>2479</v>
      </c>
      <c r="G1160" s="221" t="s">
        <v>369</v>
      </c>
      <c r="H1160" s="222"/>
      <c r="I1160" s="221" t="s">
        <v>42</v>
      </c>
      <c r="J1160" s="222"/>
      <c r="K1160" s="228"/>
      <c r="L1160" s="228"/>
      <c r="M1160" s="228"/>
      <c r="N1160" s="228"/>
      <c r="O1160" s="251"/>
      <c r="P1160" s="230"/>
      <c r="Q1160" s="230"/>
      <c r="R1160" s="230"/>
      <c r="S1160" s="230"/>
      <c r="T1160" s="229" t="s">
        <v>2480</v>
      </c>
      <c r="U1160" s="227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</row>
    <row r="1161" ht="15.75" customHeight="1">
      <c r="A1161" s="159"/>
      <c r="B1161" s="218" t="s">
        <v>246</v>
      </c>
      <c r="C1161" s="218" t="s">
        <v>2471</v>
      </c>
      <c r="D1161" s="218" t="s">
        <v>2481</v>
      </c>
      <c r="E1161" s="219">
        <v>79486.0</v>
      </c>
      <c r="F1161" s="220" t="s">
        <v>2482</v>
      </c>
      <c r="G1161" s="221" t="s">
        <v>369</v>
      </c>
      <c r="H1161" s="221" t="s">
        <v>2483</v>
      </c>
      <c r="I1161" s="221" t="s">
        <v>42</v>
      </c>
      <c r="J1161" s="222" t="s">
        <v>250</v>
      </c>
      <c r="K1161" s="223">
        <v>3.0</v>
      </c>
      <c r="L1161" s="223" t="b">
        <v>0</v>
      </c>
      <c r="M1161" s="228"/>
      <c r="N1161" s="228"/>
      <c r="O1161" s="251"/>
      <c r="P1161" s="230"/>
      <c r="Q1161" s="230"/>
      <c r="R1161" s="230"/>
      <c r="S1161" s="225" t="s">
        <v>155</v>
      </c>
      <c r="T1161" s="229" t="s">
        <v>418</v>
      </c>
      <c r="U1161" s="227"/>
      <c r="V1161" s="52" t="s">
        <v>250</v>
      </c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</row>
    <row r="1162" ht="15.75" customHeight="1">
      <c r="A1162" s="159"/>
      <c r="B1162" s="218" t="s">
        <v>246</v>
      </c>
      <c r="C1162" s="218" t="s">
        <v>2471</v>
      </c>
      <c r="D1162" s="218" t="s">
        <v>2484</v>
      </c>
      <c r="E1162" s="219">
        <v>20880.0</v>
      </c>
      <c r="F1162" s="220" t="s">
        <v>2485</v>
      </c>
      <c r="G1162" s="221" t="s">
        <v>518</v>
      </c>
      <c r="H1162" s="221" t="s">
        <v>1592</v>
      </c>
      <c r="I1162" s="221" t="s">
        <v>42</v>
      </c>
      <c r="J1162" s="222" t="s">
        <v>250</v>
      </c>
      <c r="K1162" s="223">
        <v>4.0</v>
      </c>
      <c r="L1162" s="223" t="b">
        <v>1</v>
      </c>
      <c r="M1162" s="223" t="s">
        <v>42</v>
      </c>
      <c r="N1162" s="223">
        <v>9.17</v>
      </c>
      <c r="O1162" s="251"/>
      <c r="P1162" s="225" t="s">
        <v>155</v>
      </c>
      <c r="Q1162" s="225" t="s">
        <v>155</v>
      </c>
      <c r="R1162" s="225" t="s">
        <v>155</v>
      </c>
      <c r="S1162" s="225" t="s">
        <v>155</v>
      </c>
      <c r="T1162" s="226"/>
      <c r="U1162" s="227"/>
      <c r="V1162" s="52" t="s">
        <v>250</v>
      </c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</row>
    <row r="1163" ht="15.75" customHeight="1">
      <c r="A1163" s="159"/>
      <c r="B1163" s="218" t="s">
        <v>246</v>
      </c>
      <c r="C1163" s="218" t="s">
        <v>2471</v>
      </c>
      <c r="D1163" s="218" t="s">
        <v>2484</v>
      </c>
      <c r="E1163" s="219">
        <v>101990.0</v>
      </c>
      <c r="F1163" s="220" t="s">
        <v>2486</v>
      </c>
      <c r="G1163" s="221" t="s">
        <v>518</v>
      </c>
      <c r="H1163" s="221" t="s">
        <v>2487</v>
      </c>
      <c r="I1163" s="221" t="s">
        <v>2038</v>
      </c>
      <c r="J1163" s="222" t="s">
        <v>250</v>
      </c>
      <c r="K1163" s="223">
        <v>4.0</v>
      </c>
      <c r="L1163" s="223" t="b">
        <v>0</v>
      </c>
      <c r="M1163" s="223" t="s">
        <v>2038</v>
      </c>
      <c r="N1163" s="223">
        <v>42.905217</v>
      </c>
      <c r="O1163" s="251"/>
      <c r="P1163" s="225" t="s">
        <v>155</v>
      </c>
      <c r="Q1163" s="225" t="s">
        <v>155</v>
      </c>
      <c r="R1163" s="225" t="s">
        <v>155</v>
      </c>
      <c r="S1163" s="225" t="s">
        <v>155</v>
      </c>
      <c r="T1163" s="226"/>
      <c r="U1163" s="227"/>
      <c r="V1163" s="52" t="s">
        <v>250</v>
      </c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</row>
    <row r="1164" ht="15.75" customHeight="1">
      <c r="A1164" s="159"/>
      <c r="B1164" s="218" t="s">
        <v>246</v>
      </c>
      <c r="C1164" s="218" t="s">
        <v>2471</v>
      </c>
      <c r="D1164" s="218" t="s">
        <v>2488</v>
      </c>
      <c r="E1164" s="219">
        <v>145537.0</v>
      </c>
      <c r="F1164" s="220" t="s">
        <v>2489</v>
      </c>
      <c r="G1164" s="221" t="s">
        <v>369</v>
      </c>
      <c r="H1164" s="221" t="s">
        <v>2490</v>
      </c>
      <c r="I1164" s="221" t="s">
        <v>2491</v>
      </c>
      <c r="J1164" s="222" t="s">
        <v>250</v>
      </c>
      <c r="K1164" s="223">
        <v>2.0</v>
      </c>
      <c r="L1164" s="223" t="b">
        <v>0</v>
      </c>
      <c r="M1164" s="223" t="s">
        <v>2491</v>
      </c>
      <c r="N1164" s="223">
        <v>133.98</v>
      </c>
      <c r="O1164" s="251"/>
      <c r="P1164" s="225" t="s">
        <v>155</v>
      </c>
      <c r="Q1164" s="225" t="s">
        <v>155</v>
      </c>
      <c r="R1164" s="225" t="s">
        <v>155</v>
      </c>
      <c r="S1164" s="225" t="s">
        <v>155</v>
      </c>
      <c r="T1164" s="229" t="s">
        <v>276</v>
      </c>
      <c r="U1164" s="227"/>
      <c r="V1164" s="52" t="s">
        <v>250</v>
      </c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</row>
    <row r="1165" ht="15.75" customHeight="1">
      <c r="A1165" s="159"/>
      <c r="B1165" s="218" t="s">
        <v>246</v>
      </c>
      <c r="C1165" s="218" t="s">
        <v>2471</v>
      </c>
      <c r="D1165" s="218" t="s">
        <v>2488</v>
      </c>
      <c r="E1165" s="219">
        <v>145538.0</v>
      </c>
      <c r="F1165" s="220" t="s">
        <v>2492</v>
      </c>
      <c r="G1165" s="221" t="s">
        <v>369</v>
      </c>
      <c r="H1165" s="221" t="s">
        <v>846</v>
      </c>
      <c r="I1165" s="221" t="s">
        <v>2493</v>
      </c>
      <c r="J1165" s="222" t="s">
        <v>250</v>
      </c>
      <c r="K1165" s="223">
        <v>2.0</v>
      </c>
      <c r="L1165" s="223" t="b">
        <v>0</v>
      </c>
      <c r="M1165" s="223" t="s">
        <v>2494</v>
      </c>
      <c r="N1165" s="223">
        <v>32.293333</v>
      </c>
      <c r="O1165" s="251"/>
      <c r="P1165" s="225" t="s">
        <v>155</v>
      </c>
      <c r="Q1165" s="225" t="s">
        <v>155</v>
      </c>
      <c r="R1165" s="225" t="s">
        <v>155</v>
      </c>
      <c r="S1165" s="225" t="s">
        <v>155</v>
      </c>
      <c r="T1165" s="226"/>
      <c r="U1165" s="227"/>
      <c r="V1165" s="52" t="s">
        <v>250</v>
      </c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</row>
    <row r="1166" ht="15.75" customHeight="1">
      <c r="A1166" s="159"/>
      <c r="B1166" s="218" t="s">
        <v>246</v>
      </c>
      <c r="C1166" s="218" t="s">
        <v>2471</v>
      </c>
      <c r="D1166" s="218" t="s">
        <v>2495</v>
      </c>
      <c r="E1166" s="219">
        <v>79483.0</v>
      </c>
      <c r="F1166" s="220" t="s">
        <v>2496</v>
      </c>
      <c r="G1166" s="221" t="s">
        <v>369</v>
      </c>
      <c r="H1166" s="222"/>
      <c r="I1166" s="221" t="s">
        <v>42</v>
      </c>
      <c r="J1166" s="222" t="s">
        <v>250</v>
      </c>
      <c r="K1166" s="223">
        <v>3.0</v>
      </c>
      <c r="L1166" s="223" t="b">
        <v>0</v>
      </c>
      <c r="M1166" s="228"/>
      <c r="N1166" s="228"/>
      <c r="O1166" s="251"/>
      <c r="P1166" s="230"/>
      <c r="Q1166" s="230"/>
      <c r="R1166" s="230"/>
      <c r="S1166" s="225" t="s">
        <v>155</v>
      </c>
      <c r="T1166" s="229" t="s">
        <v>418</v>
      </c>
      <c r="U1166" s="227"/>
      <c r="V1166" s="52" t="s">
        <v>250</v>
      </c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</row>
    <row r="1167" ht="15.75" customHeight="1">
      <c r="A1167" s="159"/>
      <c r="B1167" s="218" t="s">
        <v>246</v>
      </c>
      <c r="C1167" s="218" t="s">
        <v>2471</v>
      </c>
      <c r="D1167" s="218" t="s">
        <v>2497</v>
      </c>
      <c r="E1167" s="219">
        <v>51247.0</v>
      </c>
      <c r="F1167" s="220" t="s">
        <v>2498</v>
      </c>
      <c r="G1167" s="221" t="s">
        <v>518</v>
      </c>
      <c r="H1167" s="221" t="s">
        <v>2499</v>
      </c>
      <c r="I1167" s="221" t="s">
        <v>2500</v>
      </c>
      <c r="J1167" s="222" t="s">
        <v>250</v>
      </c>
      <c r="K1167" s="223">
        <v>2.0</v>
      </c>
      <c r="L1167" s="223" t="b">
        <v>0</v>
      </c>
      <c r="M1167" s="223" t="s">
        <v>2500</v>
      </c>
      <c r="N1167" s="223">
        <v>20.118</v>
      </c>
      <c r="O1167" s="251"/>
      <c r="P1167" s="225" t="s">
        <v>155</v>
      </c>
      <c r="Q1167" s="225" t="s">
        <v>155</v>
      </c>
      <c r="R1167" s="225" t="s">
        <v>155</v>
      </c>
      <c r="S1167" s="225" t="s">
        <v>155</v>
      </c>
      <c r="T1167" s="226"/>
      <c r="U1167" s="227"/>
      <c r="V1167" s="109" t="s">
        <v>2501</v>
      </c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</row>
    <row r="1168" ht="15.75" customHeight="1">
      <c r="A1168" s="159"/>
      <c r="B1168" s="218" t="s">
        <v>246</v>
      </c>
      <c r="C1168" s="218" t="s">
        <v>2471</v>
      </c>
      <c r="D1168" s="218" t="s">
        <v>2502</v>
      </c>
      <c r="E1168" s="219">
        <v>10275.0</v>
      </c>
      <c r="F1168" s="220" t="s">
        <v>2503</v>
      </c>
      <c r="G1168" s="221" t="s">
        <v>518</v>
      </c>
      <c r="H1168" s="222"/>
      <c r="I1168" s="221" t="s">
        <v>42</v>
      </c>
      <c r="J1168" s="222" t="s">
        <v>250</v>
      </c>
      <c r="K1168" s="223">
        <v>4.0</v>
      </c>
      <c r="L1168" s="223" t="b">
        <v>0</v>
      </c>
      <c r="M1168" s="223" t="s">
        <v>42</v>
      </c>
      <c r="N1168" s="223">
        <v>3.36</v>
      </c>
      <c r="O1168" s="251" t="s">
        <v>238</v>
      </c>
      <c r="P1168" s="225" t="s">
        <v>155</v>
      </c>
      <c r="Q1168" s="225" t="s">
        <v>155</v>
      </c>
      <c r="R1168" s="225" t="s">
        <v>155</v>
      </c>
      <c r="S1168" s="225" t="s">
        <v>155</v>
      </c>
      <c r="T1168" s="226"/>
      <c r="U1168" s="227"/>
      <c r="V1168" s="52" t="s">
        <v>250</v>
      </c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</row>
    <row r="1169" ht="15.75" customHeight="1">
      <c r="A1169" s="159"/>
      <c r="B1169" s="218" t="s">
        <v>246</v>
      </c>
      <c r="C1169" s="218" t="s">
        <v>2471</v>
      </c>
      <c r="D1169" s="218" t="s">
        <v>2504</v>
      </c>
      <c r="E1169" s="219">
        <v>10217.0</v>
      </c>
      <c r="F1169" s="220" t="s">
        <v>2505</v>
      </c>
      <c r="G1169" s="221" t="s">
        <v>518</v>
      </c>
      <c r="H1169" s="222"/>
      <c r="I1169" s="221" t="s">
        <v>2506</v>
      </c>
      <c r="J1169" s="222" t="s">
        <v>250</v>
      </c>
      <c r="K1169" s="223">
        <v>4.0</v>
      </c>
      <c r="L1169" s="223" t="b">
        <v>1</v>
      </c>
      <c r="M1169" s="223" t="s">
        <v>2506</v>
      </c>
      <c r="N1169" s="223">
        <v>83.271666</v>
      </c>
      <c r="O1169" s="251"/>
      <c r="P1169" s="225" t="s">
        <v>155</v>
      </c>
      <c r="Q1169" s="225" t="s">
        <v>155</v>
      </c>
      <c r="R1169" s="225" t="s">
        <v>155</v>
      </c>
      <c r="S1169" s="225" t="s">
        <v>155</v>
      </c>
      <c r="T1169" s="226"/>
      <c r="U1169" s="227"/>
      <c r="V1169" s="52" t="s">
        <v>250</v>
      </c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</row>
    <row r="1170" ht="15.75" customHeight="1">
      <c r="A1170" s="159"/>
      <c r="B1170" s="218" t="s">
        <v>246</v>
      </c>
      <c r="C1170" s="218" t="s">
        <v>2471</v>
      </c>
      <c r="D1170" s="218" t="s">
        <v>2504</v>
      </c>
      <c r="E1170" s="219">
        <v>142741.0</v>
      </c>
      <c r="F1170" s="220" t="s">
        <v>2507</v>
      </c>
      <c r="G1170" s="221" t="s">
        <v>518</v>
      </c>
      <c r="H1170" s="221" t="s">
        <v>2508</v>
      </c>
      <c r="I1170" s="221" t="s">
        <v>2509</v>
      </c>
      <c r="J1170" s="222" t="s">
        <v>250</v>
      </c>
      <c r="K1170" s="223">
        <v>1.0</v>
      </c>
      <c r="L1170" s="223" t="b">
        <v>0</v>
      </c>
      <c r="M1170" s="228"/>
      <c r="N1170" s="228"/>
      <c r="O1170" s="251"/>
      <c r="P1170" s="225" t="s">
        <v>155</v>
      </c>
      <c r="Q1170" s="225" t="s">
        <v>155</v>
      </c>
      <c r="R1170" s="225" t="s">
        <v>155</v>
      </c>
      <c r="S1170" s="225" t="s">
        <v>155</v>
      </c>
      <c r="T1170" s="226"/>
      <c r="U1170" s="227"/>
      <c r="V1170" s="109" t="s">
        <v>2510</v>
      </c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</row>
    <row r="1171" ht="15.75" customHeight="1">
      <c r="A1171" s="209"/>
      <c r="B1171" s="211"/>
      <c r="C1171" s="211"/>
      <c r="D1171" s="211"/>
      <c r="E1171" s="212"/>
      <c r="F1171" s="213"/>
      <c r="G1171" s="213"/>
      <c r="H1171" s="213"/>
      <c r="I1171" s="212"/>
      <c r="J1171" s="212"/>
      <c r="K1171" s="214"/>
      <c r="L1171" s="214"/>
      <c r="M1171" s="214"/>
      <c r="N1171" s="214"/>
      <c r="O1171" s="252"/>
      <c r="P1171" s="216"/>
      <c r="Q1171" s="216"/>
      <c r="R1171" s="216"/>
      <c r="S1171" s="216"/>
      <c r="T1171" s="217"/>
      <c r="U1171" s="217"/>
      <c r="V1171" s="217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</row>
    <row r="1172" ht="15.75" customHeight="1">
      <c r="A1172" s="159"/>
      <c r="B1172" s="218" t="s">
        <v>246</v>
      </c>
      <c r="C1172" s="218" t="s">
        <v>2511</v>
      </c>
      <c r="D1172" s="218" t="s">
        <v>2512</v>
      </c>
      <c r="E1172" s="219">
        <v>142536.0</v>
      </c>
      <c r="F1172" s="220" t="s">
        <v>2513</v>
      </c>
      <c r="G1172" s="221" t="s">
        <v>369</v>
      </c>
      <c r="H1172" s="222" t="s">
        <v>250</v>
      </c>
      <c r="I1172" s="221" t="s">
        <v>42</v>
      </c>
      <c r="J1172" s="222" t="s">
        <v>250</v>
      </c>
      <c r="K1172" s="223">
        <v>0.0</v>
      </c>
      <c r="L1172" s="223" t="b">
        <v>0</v>
      </c>
      <c r="M1172" s="228"/>
      <c r="N1172" s="228"/>
      <c r="O1172" s="251"/>
      <c r="P1172" s="225" t="s">
        <v>155</v>
      </c>
      <c r="Q1172" s="225" t="s">
        <v>155</v>
      </c>
      <c r="R1172" s="225" t="s">
        <v>155</v>
      </c>
      <c r="S1172" s="225" t="s">
        <v>155</v>
      </c>
      <c r="T1172" s="226"/>
      <c r="U1172" s="227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</row>
    <row r="1173" ht="15.75" customHeight="1">
      <c r="A1173" s="159"/>
      <c r="B1173" s="218" t="s">
        <v>246</v>
      </c>
      <c r="C1173" s="218" t="s">
        <v>2514</v>
      </c>
      <c r="D1173" s="218" t="s">
        <v>521</v>
      </c>
      <c r="E1173" s="219">
        <v>42445.0</v>
      </c>
      <c r="F1173" s="220" t="s">
        <v>2515</v>
      </c>
      <c r="G1173" s="221" t="s">
        <v>369</v>
      </c>
      <c r="H1173" s="222" t="s">
        <v>250</v>
      </c>
      <c r="I1173" s="221" t="s">
        <v>972</v>
      </c>
      <c r="J1173" s="221" t="s">
        <v>2516</v>
      </c>
      <c r="K1173" s="223">
        <v>0.0</v>
      </c>
      <c r="L1173" s="223" t="b">
        <v>0</v>
      </c>
      <c r="M1173" s="223" t="s">
        <v>972</v>
      </c>
      <c r="N1173" s="223">
        <v>153.5765</v>
      </c>
      <c r="O1173" s="251"/>
      <c r="P1173" s="225" t="s">
        <v>155</v>
      </c>
      <c r="Q1173" s="225" t="s">
        <v>155</v>
      </c>
      <c r="R1173" s="225" t="s">
        <v>155</v>
      </c>
      <c r="S1173" s="225" t="s">
        <v>155</v>
      </c>
      <c r="T1173" s="229" t="s">
        <v>2517</v>
      </c>
      <c r="U1173" s="227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</row>
    <row r="1174" ht="15.75" customHeight="1">
      <c r="A1174" s="159"/>
      <c r="B1174" s="218" t="s">
        <v>246</v>
      </c>
      <c r="C1174" s="218" t="s">
        <v>2514</v>
      </c>
      <c r="D1174" s="218" t="s">
        <v>521</v>
      </c>
      <c r="E1174" s="219">
        <v>107428.0</v>
      </c>
      <c r="F1174" s="220" t="s">
        <v>2518</v>
      </c>
      <c r="G1174" s="221" t="s">
        <v>518</v>
      </c>
      <c r="H1174" s="222" t="s">
        <v>250</v>
      </c>
      <c r="I1174" s="221" t="s">
        <v>972</v>
      </c>
      <c r="J1174" s="222" t="s">
        <v>250</v>
      </c>
      <c r="K1174" s="223">
        <v>0.0</v>
      </c>
      <c r="L1174" s="223" t="b">
        <v>0</v>
      </c>
      <c r="M1174" s="223" t="s">
        <v>972</v>
      </c>
      <c r="N1174" s="223">
        <v>207.844165</v>
      </c>
      <c r="O1174" s="251"/>
      <c r="P1174" s="225" t="s">
        <v>155</v>
      </c>
      <c r="Q1174" s="225" t="s">
        <v>155</v>
      </c>
      <c r="R1174" s="225" t="s">
        <v>155</v>
      </c>
      <c r="S1174" s="225" t="s">
        <v>155</v>
      </c>
      <c r="T1174" s="229" t="s">
        <v>2517</v>
      </c>
      <c r="U1174" s="227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</row>
    <row r="1175" ht="15.75" customHeight="1">
      <c r="A1175" s="159"/>
      <c r="B1175" s="218" t="s">
        <v>2519</v>
      </c>
      <c r="C1175" s="218" t="s">
        <v>2520</v>
      </c>
      <c r="D1175" s="218" t="s">
        <v>2521</v>
      </c>
      <c r="E1175" s="219">
        <v>113094.0</v>
      </c>
      <c r="F1175" s="220" t="s">
        <v>2522</v>
      </c>
      <c r="G1175" s="221" t="s">
        <v>518</v>
      </c>
      <c r="H1175" s="222" t="s">
        <v>250</v>
      </c>
      <c r="I1175" s="221" t="s">
        <v>42</v>
      </c>
      <c r="J1175" s="222" t="s">
        <v>250</v>
      </c>
      <c r="K1175" s="223">
        <v>4.0</v>
      </c>
      <c r="L1175" s="223" t="b">
        <v>0</v>
      </c>
      <c r="M1175" s="223" t="s">
        <v>972</v>
      </c>
      <c r="N1175" s="223">
        <v>208.194017</v>
      </c>
      <c r="O1175" s="251"/>
      <c r="P1175" s="225" t="s">
        <v>155</v>
      </c>
      <c r="Q1175" s="225" t="s">
        <v>155</v>
      </c>
      <c r="R1175" s="225" t="s">
        <v>155</v>
      </c>
      <c r="S1175" s="225" t="s">
        <v>155</v>
      </c>
      <c r="T1175" s="229" t="s">
        <v>554</v>
      </c>
      <c r="U1175" s="227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</row>
    <row r="1176" ht="15.75" customHeight="1">
      <c r="A1176" s="159"/>
      <c r="B1176" s="218" t="s">
        <v>2519</v>
      </c>
      <c r="C1176" s="218" t="s">
        <v>2520</v>
      </c>
      <c r="D1176" s="218" t="s">
        <v>2521</v>
      </c>
      <c r="E1176" s="219">
        <v>113093.0</v>
      </c>
      <c r="F1176" s="220" t="s">
        <v>2523</v>
      </c>
      <c r="G1176" s="221" t="s">
        <v>518</v>
      </c>
      <c r="H1176" s="222" t="s">
        <v>250</v>
      </c>
      <c r="I1176" s="221" t="s">
        <v>42</v>
      </c>
      <c r="J1176" s="222" t="s">
        <v>250</v>
      </c>
      <c r="K1176" s="223">
        <v>0.0</v>
      </c>
      <c r="L1176" s="223" t="b">
        <v>0</v>
      </c>
      <c r="M1176" s="228"/>
      <c r="N1176" s="228"/>
      <c r="O1176" s="251"/>
      <c r="P1176" s="225" t="s">
        <v>155</v>
      </c>
      <c r="Q1176" s="225" t="s">
        <v>155</v>
      </c>
      <c r="R1176" s="225" t="s">
        <v>155</v>
      </c>
      <c r="S1176" s="225" t="s">
        <v>155</v>
      </c>
      <c r="T1176" s="229" t="s">
        <v>554</v>
      </c>
      <c r="U1176" s="227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</row>
    <row r="1177" ht="15.75" customHeight="1">
      <c r="A1177" s="159"/>
      <c r="B1177" s="159"/>
      <c r="C1177" s="159"/>
      <c r="D1177" s="159"/>
      <c r="E1177" s="159"/>
      <c r="F1177" s="159"/>
      <c r="G1177" s="159"/>
      <c r="H1177" s="159"/>
      <c r="I1177" s="159"/>
      <c r="J1177" s="159"/>
      <c r="K1177" s="197"/>
      <c r="L1177" s="197"/>
      <c r="M1177" s="197"/>
      <c r="N1177" s="159"/>
      <c r="O1177" s="253"/>
      <c r="P1177" s="198"/>
      <c r="Q1177" s="198"/>
      <c r="R1177" s="198"/>
      <c r="S1177" s="198"/>
      <c r="T1177" s="253"/>
      <c r="U1177" s="253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</row>
    <row r="1178" ht="15.75" customHeight="1">
      <c r="A1178" s="159"/>
      <c r="B1178" s="159"/>
      <c r="C1178" s="159"/>
      <c r="D1178" s="159"/>
      <c r="E1178" s="159"/>
      <c r="F1178" s="40"/>
      <c r="G1178" s="159"/>
      <c r="H1178" s="159"/>
      <c r="I1178" s="159"/>
      <c r="J1178" s="159"/>
      <c r="K1178" s="197"/>
      <c r="L1178" s="197"/>
      <c r="M1178" s="197"/>
      <c r="N1178" s="159"/>
      <c r="O1178" s="253"/>
      <c r="P1178" s="198"/>
      <c r="Q1178" s="198"/>
      <c r="R1178" s="198"/>
      <c r="S1178" s="198"/>
      <c r="T1178" s="253"/>
      <c r="U1178" s="253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</row>
    <row r="1179" ht="15.75" customHeight="1">
      <c r="A1179" s="159"/>
      <c r="B1179" s="159"/>
      <c r="C1179" s="159"/>
      <c r="D1179" s="159"/>
      <c r="E1179" s="159"/>
      <c r="F1179" s="159"/>
      <c r="G1179" s="159"/>
      <c r="H1179" s="159"/>
      <c r="I1179" s="159"/>
      <c r="J1179" s="159"/>
      <c r="K1179" s="197"/>
      <c r="L1179" s="197"/>
      <c r="M1179" s="197"/>
      <c r="N1179" s="159"/>
      <c r="O1179" s="253"/>
      <c r="P1179" s="198"/>
      <c r="Q1179" s="198"/>
      <c r="R1179" s="198"/>
      <c r="S1179" s="198"/>
      <c r="T1179" s="253"/>
      <c r="U1179" s="253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</row>
    <row r="1180" ht="15.75" customHeight="1">
      <c r="A1180" s="159"/>
      <c r="B1180" s="159"/>
      <c r="C1180" s="159"/>
      <c r="D1180" s="159"/>
      <c r="E1180" s="159"/>
      <c r="F1180" s="159"/>
      <c r="G1180" s="159"/>
      <c r="H1180" s="159"/>
      <c r="I1180" s="159"/>
      <c r="J1180" s="159"/>
      <c r="K1180" s="197"/>
      <c r="L1180" s="197"/>
      <c r="M1180" s="197"/>
      <c r="N1180" s="159"/>
      <c r="O1180" s="253"/>
      <c r="P1180" s="198"/>
      <c r="Q1180" s="198"/>
      <c r="R1180" s="198"/>
      <c r="S1180" s="198"/>
      <c r="T1180" s="253"/>
      <c r="U1180" s="253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</row>
    <row r="1181" ht="15.75" customHeight="1">
      <c r="A1181" s="159"/>
      <c r="B1181" s="159"/>
      <c r="C1181" s="159"/>
      <c r="D1181" s="159"/>
      <c r="E1181" s="159"/>
      <c r="F1181" s="159"/>
      <c r="G1181" s="159"/>
      <c r="H1181" s="159"/>
      <c r="I1181" s="159"/>
      <c r="J1181" s="159"/>
      <c r="K1181" s="197"/>
      <c r="L1181" s="197"/>
      <c r="M1181" s="197"/>
      <c r="N1181" s="159"/>
      <c r="O1181" s="253"/>
      <c r="P1181" s="198"/>
      <c r="Q1181" s="198"/>
      <c r="R1181" s="198"/>
      <c r="S1181" s="198"/>
      <c r="T1181" s="253"/>
      <c r="U1181" s="253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</row>
    <row r="1182" ht="15.75" customHeight="1">
      <c r="A1182" s="159"/>
      <c r="B1182" s="159"/>
      <c r="C1182" s="159"/>
      <c r="D1182" s="159"/>
      <c r="E1182" s="159"/>
      <c r="F1182" s="159"/>
      <c r="G1182" s="159"/>
      <c r="H1182" s="159"/>
      <c r="I1182" s="159"/>
      <c r="J1182" s="159"/>
      <c r="K1182" s="197"/>
      <c r="L1182" s="197"/>
      <c r="M1182" s="197"/>
      <c r="N1182" s="159"/>
      <c r="O1182" s="253"/>
      <c r="P1182" s="198"/>
      <c r="Q1182" s="198"/>
      <c r="R1182" s="198"/>
      <c r="S1182" s="198"/>
      <c r="T1182" s="253"/>
      <c r="U1182" s="253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</row>
    <row r="1183" ht="15.75" customHeight="1">
      <c r="A1183" s="159"/>
      <c r="B1183" s="159"/>
      <c r="C1183" s="159"/>
      <c r="D1183" s="159"/>
      <c r="E1183" s="159"/>
      <c r="F1183" s="159"/>
      <c r="G1183" s="159"/>
      <c r="H1183" s="159"/>
      <c r="I1183" s="159"/>
      <c r="J1183" s="159"/>
      <c r="K1183" s="197"/>
      <c r="L1183" s="197"/>
      <c r="M1183" s="197"/>
      <c r="N1183" s="159"/>
      <c r="O1183" s="253"/>
      <c r="P1183" s="198"/>
      <c r="Q1183" s="198"/>
      <c r="R1183" s="198"/>
      <c r="S1183" s="198"/>
      <c r="T1183" s="253"/>
      <c r="U1183" s="253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</row>
    <row r="1184" ht="15.75" customHeight="1">
      <c r="A1184" s="159"/>
      <c r="B1184" s="159"/>
      <c r="C1184" s="159"/>
      <c r="D1184" s="159"/>
      <c r="E1184" s="159"/>
      <c r="F1184" s="159"/>
      <c r="G1184" s="159"/>
      <c r="H1184" s="159"/>
      <c r="I1184" s="159"/>
      <c r="J1184" s="159"/>
      <c r="K1184" s="197"/>
      <c r="L1184" s="197"/>
      <c r="M1184" s="197"/>
      <c r="N1184" s="159"/>
      <c r="O1184" s="253"/>
      <c r="P1184" s="198"/>
      <c r="Q1184" s="198"/>
      <c r="R1184" s="198"/>
      <c r="S1184" s="198"/>
      <c r="T1184" s="253"/>
      <c r="U1184" s="253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</row>
    <row r="1185" ht="15.75" customHeight="1">
      <c r="A1185" s="159"/>
      <c r="B1185" s="159"/>
      <c r="C1185" s="159"/>
      <c r="D1185" s="159"/>
      <c r="E1185" s="159"/>
      <c r="F1185" s="159"/>
      <c r="G1185" s="159"/>
      <c r="H1185" s="159"/>
      <c r="I1185" s="159"/>
      <c r="J1185" s="159"/>
      <c r="K1185" s="197"/>
      <c r="L1185" s="197"/>
      <c r="M1185" s="197"/>
      <c r="N1185" s="159"/>
      <c r="O1185" s="253"/>
      <c r="P1185" s="198"/>
      <c r="Q1185" s="198"/>
      <c r="R1185" s="198"/>
      <c r="S1185" s="198"/>
      <c r="T1185" s="253"/>
      <c r="U1185" s="253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</row>
    <row r="1186" ht="15.75" customHeight="1">
      <c r="A1186" s="159"/>
      <c r="B1186" s="159"/>
      <c r="C1186" s="159"/>
      <c r="D1186" s="159"/>
      <c r="E1186" s="159"/>
      <c r="F1186" s="159"/>
      <c r="G1186" s="159"/>
      <c r="H1186" s="159"/>
      <c r="I1186" s="159"/>
      <c r="J1186" s="159"/>
      <c r="K1186" s="197"/>
      <c r="L1186" s="197"/>
      <c r="M1186" s="197"/>
      <c r="N1186" s="159"/>
      <c r="O1186" s="253"/>
      <c r="P1186" s="198"/>
      <c r="Q1186" s="198"/>
      <c r="R1186" s="198"/>
      <c r="S1186" s="198"/>
      <c r="T1186" s="253"/>
      <c r="U1186" s="253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</row>
    <row r="1187" ht="15.75" customHeight="1">
      <c r="A1187" s="159"/>
      <c r="B1187" s="159"/>
      <c r="C1187" s="159"/>
      <c r="D1187" s="159"/>
      <c r="E1187" s="159"/>
      <c r="F1187" s="159"/>
      <c r="G1187" s="159"/>
      <c r="H1187" s="159"/>
      <c r="I1187" s="159"/>
      <c r="J1187" s="159"/>
      <c r="K1187" s="197"/>
      <c r="L1187" s="197"/>
      <c r="M1187" s="197"/>
      <c r="N1187" s="159"/>
      <c r="O1187" s="253"/>
      <c r="P1187" s="198"/>
      <c r="Q1187" s="198"/>
      <c r="R1187" s="198"/>
      <c r="S1187" s="198"/>
      <c r="T1187" s="253"/>
      <c r="U1187" s="253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</row>
    <row r="1188" ht="15.75" customHeight="1">
      <c r="A1188" s="254"/>
      <c r="B1188" s="255"/>
      <c r="C1188" s="256"/>
      <c r="D1188" s="257"/>
      <c r="E1188" s="258">
        <v>107283.0</v>
      </c>
      <c r="F1188" s="259" t="s">
        <v>14</v>
      </c>
      <c r="G1188" s="260"/>
      <c r="H1188" s="260"/>
      <c r="I1188" s="260"/>
      <c r="J1188" s="260"/>
      <c r="K1188" s="261"/>
      <c r="L1188" s="261"/>
      <c r="M1188" s="262"/>
      <c r="N1188" s="263"/>
    </row>
    <row r="1189" ht="15.75" customHeight="1">
      <c r="A1189" s="254"/>
      <c r="B1189" s="255"/>
      <c r="C1189" s="256"/>
      <c r="D1189" s="257"/>
      <c r="E1189" s="17" t="s">
        <v>2524</v>
      </c>
      <c r="F1189" s="40" t="s">
        <v>2525</v>
      </c>
      <c r="G1189" s="260"/>
      <c r="H1189" s="260"/>
      <c r="I1189" s="260"/>
      <c r="J1189" s="260"/>
      <c r="K1189" s="261"/>
      <c r="L1189" s="261"/>
      <c r="M1189" s="262"/>
      <c r="N1189" s="263"/>
    </row>
    <row r="1190" ht="15.75" customHeight="1">
      <c r="A1190" s="254"/>
      <c r="B1190" s="255"/>
      <c r="C1190" s="256"/>
      <c r="D1190" s="257"/>
      <c r="E1190" s="17" t="s">
        <v>2524</v>
      </c>
      <c r="F1190" s="40" t="s">
        <v>2526</v>
      </c>
      <c r="G1190" s="260"/>
      <c r="H1190" s="260"/>
      <c r="I1190" s="260"/>
      <c r="J1190" s="260"/>
      <c r="K1190" s="261"/>
      <c r="L1190" s="261"/>
      <c r="M1190" s="262"/>
      <c r="N1190" s="263"/>
    </row>
    <row r="1191" ht="15.75" customHeight="1">
      <c r="A1191" s="254"/>
      <c r="B1191" s="255"/>
      <c r="C1191" s="256"/>
      <c r="D1191" s="257"/>
      <c r="E1191" s="17" t="s">
        <v>2524</v>
      </c>
      <c r="F1191" s="40" t="s">
        <v>2527</v>
      </c>
      <c r="G1191" s="260"/>
      <c r="H1191" s="260"/>
      <c r="I1191" s="260"/>
      <c r="J1191" s="260"/>
      <c r="K1191" s="261"/>
      <c r="L1191" s="261"/>
      <c r="M1191" s="262"/>
      <c r="N1191" s="263"/>
    </row>
    <row r="1192" ht="15.75" customHeight="1">
      <c r="A1192" s="254"/>
      <c r="B1192" s="255"/>
      <c r="C1192" s="256"/>
      <c r="D1192" s="257"/>
      <c r="E1192" s="264"/>
      <c r="F1192" s="260"/>
      <c r="G1192" s="260"/>
      <c r="H1192" s="260"/>
      <c r="I1192" s="260"/>
      <c r="J1192" s="260"/>
      <c r="K1192" s="261"/>
      <c r="L1192" s="261"/>
      <c r="M1192" s="262"/>
      <c r="N1192" s="263"/>
    </row>
    <row r="1193" ht="15.75" customHeight="1">
      <c r="A1193" s="254"/>
      <c r="B1193" s="255"/>
      <c r="C1193" s="256"/>
      <c r="D1193" s="257"/>
      <c r="E1193" s="264"/>
      <c r="F1193" s="260"/>
      <c r="G1193" s="260"/>
      <c r="H1193" s="260"/>
      <c r="I1193" s="260"/>
      <c r="J1193" s="260"/>
      <c r="K1193" s="261"/>
      <c r="L1193" s="261"/>
      <c r="M1193" s="262"/>
      <c r="N1193" s="263"/>
    </row>
    <row r="1194" ht="15.75" customHeight="1">
      <c r="A1194" s="254"/>
      <c r="B1194" s="255"/>
      <c r="C1194" s="256"/>
      <c r="D1194" s="257"/>
      <c r="E1194" s="264"/>
      <c r="F1194" s="260"/>
      <c r="G1194" s="260"/>
      <c r="H1194" s="260"/>
      <c r="I1194" s="260"/>
      <c r="J1194" s="260"/>
      <c r="K1194" s="261"/>
      <c r="L1194" s="261"/>
      <c r="M1194" s="262"/>
      <c r="N1194" s="263"/>
    </row>
    <row r="1195" ht="15.75" customHeight="1">
      <c r="A1195" s="254"/>
      <c r="B1195" s="265"/>
      <c r="C1195" s="266"/>
      <c r="D1195" s="267"/>
      <c r="E1195" s="268"/>
      <c r="F1195" s="269"/>
      <c r="G1195" s="269"/>
      <c r="H1195" s="269"/>
      <c r="I1195" s="269"/>
      <c r="J1195" s="269"/>
      <c r="K1195" s="270"/>
      <c r="L1195" s="270"/>
      <c r="M1195" s="271"/>
      <c r="N1195" s="265"/>
    </row>
    <row r="1196" ht="15.75" customHeight="1">
      <c r="A1196" s="254"/>
      <c r="B1196" s="255"/>
      <c r="C1196" s="256"/>
      <c r="D1196" s="257"/>
      <c r="E1196" s="264"/>
      <c r="F1196" s="260"/>
      <c r="G1196" s="260"/>
      <c r="H1196" s="260"/>
      <c r="I1196" s="260"/>
      <c r="J1196" s="260"/>
      <c r="K1196" s="261"/>
      <c r="L1196" s="261"/>
      <c r="M1196" s="262"/>
      <c r="N1196" s="272"/>
    </row>
    <row r="1197" ht="15.75" customHeight="1">
      <c r="A1197" s="254"/>
      <c r="B1197" s="265"/>
      <c r="C1197" s="266"/>
      <c r="D1197" s="267"/>
      <c r="E1197" s="268"/>
      <c r="F1197" s="269"/>
      <c r="G1197" s="269"/>
      <c r="H1197" s="269"/>
      <c r="I1197" s="269"/>
      <c r="J1197" s="269"/>
      <c r="K1197" s="270"/>
      <c r="L1197" s="270"/>
      <c r="M1197" s="271"/>
      <c r="N1197" s="273"/>
    </row>
    <row r="1198" ht="15.75" customHeight="1">
      <c r="A1198" s="254"/>
      <c r="B1198" s="255"/>
      <c r="C1198" s="256"/>
      <c r="D1198" s="257"/>
      <c r="E1198" s="264"/>
      <c r="F1198" s="260"/>
      <c r="G1198" s="260"/>
      <c r="H1198" s="260"/>
      <c r="I1198" s="260"/>
      <c r="J1198" s="260"/>
      <c r="K1198" s="261"/>
      <c r="L1198" s="261"/>
      <c r="M1198" s="262"/>
      <c r="N1198" s="263"/>
    </row>
    <row r="1199" ht="15.75" customHeight="1">
      <c r="A1199" s="254"/>
      <c r="B1199" s="255"/>
      <c r="C1199" s="256"/>
      <c r="D1199" s="257"/>
      <c r="E1199" s="264"/>
      <c r="F1199" s="260"/>
      <c r="G1199" s="260"/>
      <c r="H1199" s="260"/>
      <c r="I1199" s="260"/>
      <c r="J1199" s="260"/>
      <c r="K1199" s="261"/>
      <c r="L1199" s="261"/>
      <c r="M1199" s="262"/>
      <c r="N1199" s="272"/>
    </row>
    <row r="1200" ht="15.75" customHeight="1">
      <c r="A1200" s="254"/>
      <c r="B1200" s="255"/>
      <c r="C1200" s="256"/>
      <c r="D1200" s="257"/>
      <c r="E1200" s="264"/>
      <c r="F1200" s="260"/>
      <c r="G1200" s="260"/>
      <c r="H1200" s="260"/>
      <c r="I1200" s="260"/>
      <c r="J1200" s="260"/>
      <c r="K1200" s="261"/>
      <c r="L1200" s="261"/>
      <c r="M1200" s="262"/>
      <c r="N1200" s="272"/>
    </row>
    <row r="1201" ht="15.75" customHeight="1">
      <c r="A1201" s="254"/>
      <c r="B1201" s="265"/>
      <c r="C1201" s="266"/>
      <c r="D1201" s="267"/>
      <c r="E1201" s="268"/>
      <c r="F1201" s="269"/>
      <c r="G1201" s="269"/>
      <c r="H1201" s="269"/>
      <c r="I1201" s="269"/>
      <c r="J1201" s="269"/>
      <c r="K1201" s="270"/>
      <c r="L1201" s="270"/>
      <c r="M1201" s="271"/>
      <c r="N1201" s="273"/>
    </row>
    <row r="1202" ht="15.75" customHeight="1">
      <c r="A1202" s="254"/>
      <c r="B1202" s="255"/>
      <c r="C1202" s="256"/>
      <c r="D1202" s="257"/>
      <c r="E1202" s="264"/>
      <c r="F1202" s="260"/>
      <c r="G1202" s="260"/>
      <c r="H1202" s="260"/>
      <c r="I1202" s="260"/>
      <c r="J1202" s="260"/>
      <c r="K1202" s="261"/>
      <c r="L1202" s="261"/>
      <c r="M1202" s="262"/>
      <c r="N1202" s="272"/>
    </row>
    <row r="1203" ht="15.75" customHeight="1">
      <c r="A1203" s="254"/>
      <c r="B1203" s="255"/>
      <c r="C1203" s="256"/>
      <c r="D1203" s="257"/>
      <c r="E1203" s="264"/>
      <c r="F1203" s="260"/>
      <c r="G1203" s="260"/>
      <c r="H1203" s="260"/>
      <c r="I1203" s="260"/>
      <c r="J1203" s="260"/>
      <c r="K1203" s="261"/>
      <c r="L1203" s="261"/>
      <c r="M1203" s="262"/>
      <c r="N1203" s="272"/>
    </row>
    <row r="1204" ht="15.75" customHeight="1">
      <c r="A1204" s="254"/>
      <c r="B1204" s="274"/>
      <c r="C1204" s="275"/>
      <c r="D1204" s="276"/>
      <c r="E1204" s="277"/>
      <c r="F1204" s="278"/>
      <c r="G1204" s="278"/>
      <c r="H1204" s="278"/>
      <c r="I1204" s="278"/>
      <c r="J1204" s="278"/>
      <c r="K1204" s="279"/>
      <c r="L1204" s="279"/>
      <c r="M1204" s="280"/>
      <c r="N1204" s="281"/>
    </row>
    <row r="1205" ht="15.75" customHeight="1">
      <c r="C1205" s="282"/>
      <c r="D1205" s="52"/>
      <c r="E1205" s="7"/>
      <c r="G1205" s="283"/>
      <c r="H1205" s="283"/>
    </row>
    <row r="1206" ht="15.75" customHeight="1">
      <c r="E1206" s="7"/>
      <c r="G1206" s="283"/>
      <c r="H1206" s="283"/>
    </row>
    <row r="1207" ht="15.75" customHeight="1">
      <c r="E1207" s="7"/>
      <c r="G1207" s="283"/>
      <c r="H1207" s="283"/>
    </row>
    <row r="1208" ht="15.75" customHeight="1">
      <c r="E1208" s="7"/>
      <c r="G1208" s="283"/>
      <c r="H1208" s="283"/>
    </row>
    <row r="1209" ht="15.75" customHeight="1">
      <c r="E1209" s="7"/>
      <c r="G1209" s="283"/>
      <c r="H1209" s="283"/>
    </row>
    <row r="1210" ht="15.75" customHeight="1">
      <c r="E1210" s="7"/>
      <c r="G1210" s="283"/>
      <c r="H1210" s="283"/>
    </row>
    <row r="1211" ht="15.75" customHeight="1">
      <c r="E1211" s="7"/>
      <c r="G1211" s="283"/>
      <c r="H1211" s="283"/>
    </row>
    <row r="1212" ht="15.75" customHeight="1">
      <c r="E1212" s="7"/>
      <c r="G1212" s="283"/>
      <c r="H1212" s="283"/>
    </row>
    <row r="1213" ht="15.75" customHeight="1">
      <c r="E1213" s="7"/>
      <c r="G1213" s="283"/>
      <c r="H1213" s="283"/>
    </row>
    <row r="1214" ht="15.75" customHeight="1">
      <c r="E1214" s="7"/>
      <c r="G1214" s="283"/>
      <c r="H1214" s="283"/>
    </row>
    <row r="1215" ht="15.75" customHeight="1">
      <c r="E1215" s="7"/>
      <c r="G1215" s="283"/>
      <c r="H1215" s="283"/>
    </row>
    <row r="1216" ht="15.75" customHeight="1">
      <c r="E1216" s="7"/>
      <c r="G1216" s="283"/>
      <c r="H1216" s="283"/>
    </row>
    <row r="1217" ht="15.75" customHeight="1">
      <c r="E1217" s="7"/>
      <c r="G1217" s="283"/>
      <c r="H1217" s="283"/>
    </row>
    <row r="1218" ht="15.75" customHeight="1">
      <c r="E1218" s="7"/>
      <c r="G1218" s="283"/>
      <c r="H1218" s="283"/>
    </row>
    <row r="1219" ht="15.75" customHeight="1">
      <c r="E1219" s="7"/>
      <c r="G1219" s="283"/>
      <c r="H1219" s="283"/>
    </row>
    <row r="1220" ht="15.75" customHeight="1">
      <c r="E1220" s="7"/>
      <c r="G1220" s="283"/>
      <c r="H1220" s="283"/>
    </row>
    <row r="1221" ht="15.75" customHeight="1">
      <c r="E1221" s="7"/>
      <c r="G1221" s="283"/>
      <c r="H1221" s="283"/>
    </row>
    <row r="1222" ht="15.75" customHeight="1">
      <c r="E1222" s="7"/>
      <c r="G1222" s="283"/>
      <c r="H1222" s="283"/>
    </row>
    <row r="1223" ht="15.75" customHeight="1">
      <c r="E1223" s="7"/>
      <c r="G1223" s="283"/>
      <c r="H1223" s="283"/>
    </row>
    <row r="1224" ht="15.75" customHeight="1">
      <c r="E1224" s="7"/>
      <c r="G1224" s="283"/>
      <c r="H1224" s="283"/>
    </row>
    <row r="1225" ht="15.75" customHeight="1">
      <c r="E1225" s="7"/>
      <c r="G1225" s="283"/>
      <c r="H1225" s="283"/>
    </row>
    <row r="1226" ht="15.75" customHeight="1">
      <c r="E1226" s="7"/>
      <c r="G1226" s="283"/>
      <c r="H1226" s="283"/>
    </row>
    <row r="1227" ht="15.75" customHeight="1">
      <c r="E1227" s="7"/>
      <c r="G1227" s="283"/>
      <c r="H1227" s="283"/>
    </row>
    <row r="1228" ht="15.75" customHeight="1">
      <c r="E1228" s="7"/>
      <c r="G1228" s="283"/>
      <c r="H1228" s="283"/>
    </row>
    <row r="1229" ht="15.75" customHeight="1">
      <c r="E1229" s="7"/>
      <c r="G1229" s="283"/>
      <c r="H1229" s="283"/>
    </row>
    <row r="1230" ht="15.75" customHeight="1">
      <c r="E1230" s="7"/>
      <c r="G1230" s="283"/>
      <c r="H1230" s="283"/>
    </row>
    <row r="1231" ht="15.75" customHeight="1">
      <c r="E1231" s="7"/>
      <c r="G1231" s="283"/>
      <c r="H1231" s="283"/>
    </row>
    <row r="1232" ht="15.75" customHeight="1">
      <c r="E1232" s="7"/>
      <c r="G1232" s="283"/>
      <c r="H1232" s="283"/>
    </row>
    <row r="1233" ht="15.75" customHeight="1">
      <c r="E1233" s="7"/>
      <c r="G1233" s="283"/>
      <c r="H1233" s="283"/>
    </row>
    <row r="1234" ht="15.75" customHeight="1">
      <c r="E1234" s="7"/>
      <c r="G1234" s="283"/>
      <c r="H1234" s="283"/>
    </row>
    <row r="1235" ht="15.75" customHeight="1">
      <c r="E1235" s="7"/>
      <c r="G1235" s="283"/>
      <c r="H1235" s="283"/>
    </row>
    <row r="1236" ht="15.75" customHeight="1">
      <c r="E1236" s="7"/>
      <c r="G1236" s="283"/>
      <c r="H1236" s="283"/>
    </row>
    <row r="1237" ht="15.75" customHeight="1">
      <c r="E1237" s="7"/>
      <c r="G1237" s="283"/>
      <c r="H1237" s="283"/>
    </row>
    <row r="1238" ht="15.75" customHeight="1">
      <c r="E1238" s="7"/>
      <c r="G1238" s="283"/>
      <c r="H1238" s="283"/>
    </row>
    <row r="1239" ht="15.75" customHeight="1">
      <c r="E1239" s="7"/>
      <c r="G1239" s="283"/>
      <c r="H1239" s="283"/>
    </row>
    <row r="1240" ht="15.75" customHeight="1">
      <c r="E1240" s="7"/>
      <c r="G1240" s="283"/>
      <c r="H1240" s="283"/>
    </row>
    <row r="1241" ht="15.75" customHeight="1">
      <c r="E1241" s="7"/>
      <c r="G1241" s="283"/>
      <c r="H1241" s="283"/>
    </row>
    <row r="1242" ht="15.75" customHeight="1">
      <c r="E1242" s="7"/>
      <c r="G1242" s="283"/>
      <c r="H1242" s="283"/>
    </row>
    <row r="1243" ht="15.75" customHeight="1">
      <c r="E1243" s="7"/>
      <c r="G1243" s="283"/>
      <c r="H1243" s="283"/>
    </row>
    <row r="1244" ht="15.75" customHeight="1">
      <c r="E1244" s="7"/>
      <c r="G1244" s="283"/>
      <c r="H1244" s="283"/>
    </row>
    <row r="1245" ht="15.75" customHeight="1">
      <c r="E1245" s="7"/>
      <c r="G1245" s="283"/>
      <c r="H1245" s="283"/>
    </row>
    <row r="1246" ht="15.75" customHeight="1">
      <c r="E1246" s="7"/>
      <c r="G1246" s="283"/>
      <c r="H1246" s="283"/>
    </row>
    <row r="1247" ht="15.75" customHeight="1">
      <c r="E1247" s="7"/>
      <c r="G1247" s="283"/>
      <c r="H1247" s="283"/>
    </row>
    <row r="1248" ht="15.75" customHeight="1">
      <c r="E1248" s="7"/>
      <c r="G1248" s="283"/>
      <c r="H1248" s="283"/>
    </row>
    <row r="1249" ht="15.75" customHeight="1">
      <c r="E1249" s="7"/>
      <c r="G1249" s="283"/>
      <c r="H1249" s="283"/>
    </row>
    <row r="1250" ht="15.75" customHeight="1">
      <c r="E1250" s="7"/>
      <c r="G1250" s="283"/>
      <c r="H1250" s="283"/>
    </row>
    <row r="1251" ht="15.75" customHeight="1">
      <c r="E1251" s="7"/>
      <c r="G1251" s="283"/>
      <c r="H1251" s="283"/>
    </row>
    <row r="1252" ht="15.75" customHeight="1">
      <c r="E1252" s="7"/>
      <c r="G1252" s="283"/>
      <c r="H1252" s="283"/>
    </row>
    <row r="1253" ht="15.75" customHeight="1">
      <c r="E1253" s="7"/>
      <c r="G1253" s="283"/>
      <c r="H1253" s="283"/>
    </row>
    <row r="1254" ht="15.75" customHeight="1">
      <c r="E1254" s="7"/>
      <c r="G1254" s="283"/>
      <c r="H1254" s="283"/>
    </row>
    <row r="1255" ht="15.75" customHeight="1">
      <c r="E1255" s="7"/>
      <c r="G1255" s="283"/>
      <c r="H1255" s="283"/>
    </row>
    <row r="1256" ht="15.75" customHeight="1">
      <c r="E1256" s="7"/>
      <c r="G1256" s="283"/>
      <c r="H1256" s="283"/>
    </row>
    <row r="1257" ht="15.75" customHeight="1">
      <c r="E1257" s="7"/>
      <c r="G1257" s="283"/>
      <c r="H1257" s="283"/>
    </row>
    <row r="1258" ht="15.75" customHeight="1">
      <c r="E1258" s="7"/>
      <c r="G1258" s="283"/>
      <c r="H1258" s="283"/>
    </row>
    <row r="1259" ht="15.75" customHeight="1">
      <c r="E1259" s="7"/>
      <c r="G1259" s="283"/>
      <c r="H1259" s="283"/>
    </row>
    <row r="1260" ht="15.75" customHeight="1">
      <c r="E1260" s="7"/>
      <c r="G1260" s="283"/>
      <c r="H1260" s="283"/>
    </row>
    <row r="1261" ht="15.75" customHeight="1">
      <c r="E1261" s="7"/>
      <c r="G1261" s="283"/>
      <c r="H1261" s="283"/>
    </row>
    <row r="1262" ht="15.75" customHeight="1">
      <c r="E1262" s="7"/>
      <c r="G1262" s="283"/>
      <c r="H1262" s="283"/>
    </row>
    <row r="1263" ht="15.75" customHeight="1">
      <c r="E1263" s="7"/>
      <c r="G1263" s="283"/>
      <c r="H1263" s="283"/>
    </row>
    <row r="1264" ht="15.75" customHeight="1">
      <c r="E1264" s="7"/>
      <c r="G1264" s="283"/>
      <c r="H1264" s="283"/>
    </row>
    <row r="1265" ht="15.75" customHeight="1">
      <c r="E1265" s="7"/>
      <c r="G1265" s="283"/>
      <c r="H1265" s="283"/>
    </row>
    <row r="1266" ht="15.75" customHeight="1">
      <c r="E1266" s="7"/>
      <c r="G1266" s="283"/>
      <c r="H1266" s="283"/>
    </row>
    <row r="1267" ht="15.75" customHeight="1">
      <c r="E1267" s="7"/>
      <c r="G1267" s="283"/>
      <c r="H1267" s="283"/>
    </row>
    <row r="1268" ht="15.75" customHeight="1">
      <c r="E1268" s="7"/>
      <c r="G1268" s="283"/>
      <c r="H1268" s="283"/>
    </row>
    <row r="1269" ht="15.75" customHeight="1">
      <c r="E1269" s="7"/>
      <c r="G1269" s="283"/>
      <c r="H1269" s="283"/>
    </row>
    <row r="1270" ht="15.75" customHeight="1">
      <c r="E1270" s="7"/>
      <c r="G1270" s="283"/>
      <c r="H1270" s="283"/>
    </row>
    <row r="1271" ht="15.75" customHeight="1">
      <c r="E1271" s="7"/>
      <c r="G1271" s="283"/>
      <c r="H1271" s="283"/>
    </row>
    <row r="1272" ht="15.75" customHeight="1">
      <c r="E1272" s="7"/>
      <c r="G1272" s="283"/>
      <c r="H1272" s="283"/>
    </row>
    <row r="1273" ht="15.75" customHeight="1">
      <c r="E1273" s="7"/>
      <c r="G1273" s="283"/>
      <c r="H1273" s="283"/>
    </row>
    <row r="1274" ht="15.75" customHeight="1">
      <c r="E1274" s="7"/>
      <c r="G1274" s="283"/>
      <c r="H1274" s="283"/>
    </row>
    <row r="1275" ht="15.75" customHeight="1">
      <c r="E1275" s="7"/>
      <c r="G1275" s="283"/>
      <c r="H1275" s="283"/>
    </row>
    <row r="1276" ht="15.75" customHeight="1">
      <c r="E1276" s="7"/>
      <c r="G1276" s="283"/>
      <c r="H1276" s="283"/>
    </row>
    <row r="1277" ht="15.75" customHeight="1">
      <c r="E1277" s="7"/>
      <c r="G1277" s="283"/>
      <c r="H1277" s="283"/>
    </row>
    <row r="1278" ht="15.75" customHeight="1">
      <c r="E1278" s="7"/>
      <c r="G1278" s="283"/>
      <c r="H1278" s="283"/>
    </row>
    <row r="1279" ht="15.75" customHeight="1">
      <c r="E1279" s="7"/>
      <c r="G1279" s="283"/>
      <c r="H1279" s="283"/>
    </row>
    <row r="1280" ht="15.75" customHeight="1">
      <c r="E1280" s="7"/>
      <c r="G1280" s="283"/>
      <c r="H1280" s="283"/>
    </row>
    <row r="1281" ht="15.75" customHeight="1">
      <c r="E1281" s="7"/>
      <c r="G1281" s="283"/>
      <c r="H1281" s="283"/>
    </row>
    <row r="1282" ht="15.75" customHeight="1">
      <c r="E1282" s="7"/>
      <c r="G1282" s="283"/>
      <c r="H1282" s="283"/>
    </row>
    <row r="1283" ht="15.75" customHeight="1">
      <c r="E1283" s="7"/>
      <c r="G1283" s="283"/>
      <c r="H1283" s="283"/>
    </row>
    <row r="1284" ht="15.75" customHeight="1">
      <c r="E1284" s="7"/>
      <c r="G1284" s="283"/>
      <c r="H1284" s="283"/>
    </row>
    <row r="1285" ht="15.75" customHeight="1">
      <c r="E1285" s="7"/>
      <c r="G1285" s="283"/>
      <c r="H1285" s="283"/>
    </row>
    <row r="1286" ht="15.75" customHeight="1">
      <c r="E1286" s="7"/>
      <c r="G1286" s="283"/>
      <c r="H1286" s="283"/>
    </row>
    <row r="1287" ht="15.75" customHeight="1">
      <c r="E1287" s="7"/>
      <c r="G1287" s="283"/>
      <c r="H1287" s="283"/>
    </row>
    <row r="1288" ht="15.75" customHeight="1">
      <c r="E1288" s="7"/>
      <c r="G1288" s="283"/>
      <c r="H1288" s="283"/>
    </row>
    <row r="1289" ht="15.75" customHeight="1">
      <c r="E1289" s="7"/>
      <c r="G1289" s="283"/>
      <c r="H1289" s="283"/>
    </row>
    <row r="1290" ht="15.75" customHeight="1">
      <c r="E1290" s="7"/>
      <c r="G1290" s="283"/>
      <c r="H1290" s="283"/>
    </row>
    <row r="1291" ht="15.75" customHeight="1">
      <c r="E1291" s="7"/>
      <c r="G1291" s="283"/>
      <c r="H1291" s="283"/>
    </row>
    <row r="1292" ht="15.75" customHeight="1">
      <c r="E1292" s="7"/>
      <c r="G1292" s="283"/>
      <c r="H1292" s="283"/>
    </row>
    <row r="1293" ht="15.75" customHeight="1">
      <c r="E1293" s="7"/>
      <c r="G1293" s="283"/>
      <c r="H1293" s="283"/>
    </row>
    <row r="1294" ht="15.75" customHeight="1">
      <c r="E1294" s="7"/>
      <c r="G1294" s="283"/>
      <c r="H1294" s="283"/>
    </row>
    <row r="1295" ht="15.75" customHeight="1">
      <c r="E1295" s="7"/>
      <c r="G1295" s="283"/>
      <c r="H1295" s="283"/>
    </row>
    <row r="1296" ht="15.75" customHeight="1">
      <c r="E1296" s="7"/>
      <c r="G1296" s="283"/>
      <c r="H1296" s="283"/>
    </row>
    <row r="1297" ht="15.75" customHeight="1">
      <c r="E1297" s="7"/>
      <c r="G1297" s="283"/>
      <c r="H1297" s="283"/>
    </row>
    <row r="1298" ht="15.75" customHeight="1">
      <c r="E1298" s="7"/>
      <c r="G1298" s="283"/>
      <c r="H1298" s="283"/>
    </row>
    <row r="1299" ht="15.75" customHeight="1">
      <c r="E1299" s="7"/>
      <c r="G1299" s="283"/>
      <c r="H1299" s="283"/>
    </row>
    <row r="1300" ht="15.75" customHeight="1">
      <c r="E1300" s="7"/>
      <c r="G1300" s="283"/>
      <c r="H1300" s="283"/>
    </row>
    <row r="1301" ht="15.75" customHeight="1">
      <c r="E1301" s="7"/>
      <c r="G1301" s="283"/>
      <c r="H1301" s="283"/>
    </row>
    <row r="1302" ht="15.75" customHeight="1">
      <c r="E1302" s="7"/>
      <c r="G1302" s="283"/>
      <c r="H1302" s="283"/>
    </row>
    <row r="1303" ht="15.75" customHeight="1">
      <c r="E1303" s="7"/>
      <c r="G1303" s="283"/>
      <c r="H1303" s="283"/>
    </row>
    <row r="1304" ht="15.75" customHeight="1">
      <c r="E1304" s="7"/>
      <c r="G1304" s="283"/>
      <c r="H1304" s="283"/>
    </row>
    <row r="1305" ht="15.75" customHeight="1">
      <c r="E1305" s="7"/>
      <c r="G1305" s="283"/>
      <c r="H1305" s="283"/>
    </row>
    <row r="1306" ht="15.75" customHeight="1">
      <c r="E1306" s="7"/>
      <c r="G1306" s="283"/>
      <c r="H1306" s="283"/>
    </row>
    <row r="1307" ht="15.75" customHeight="1">
      <c r="E1307" s="7"/>
      <c r="G1307" s="283"/>
      <c r="H1307" s="283"/>
    </row>
    <row r="1308" ht="15.75" customHeight="1">
      <c r="E1308" s="7"/>
      <c r="G1308" s="283"/>
      <c r="H1308" s="283"/>
    </row>
    <row r="1309" ht="15.75" customHeight="1">
      <c r="E1309" s="7"/>
      <c r="G1309" s="283"/>
      <c r="H1309" s="283"/>
    </row>
    <row r="1310" ht="15.75" customHeight="1">
      <c r="E1310" s="7"/>
      <c r="G1310" s="283"/>
      <c r="H1310" s="283"/>
    </row>
    <row r="1311" ht="15.75" customHeight="1">
      <c r="E1311" s="7"/>
      <c r="G1311" s="283"/>
      <c r="H1311" s="283"/>
    </row>
    <row r="1312" ht="15.75" customHeight="1">
      <c r="E1312" s="7"/>
      <c r="G1312" s="283"/>
      <c r="H1312" s="283"/>
    </row>
    <row r="1313" ht="15.75" customHeight="1">
      <c r="E1313" s="7"/>
      <c r="G1313" s="283"/>
      <c r="H1313" s="283"/>
    </row>
    <row r="1314" ht="15.75" customHeight="1">
      <c r="E1314" s="7"/>
      <c r="G1314" s="283"/>
      <c r="H1314" s="283"/>
    </row>
    <row r="1315" ht="15.75" customHeight="1">
      <c r="E1315" s="7"/>
      <c r="G1315" s="283"/>
      <c r="H1315" s="283"/>
    </row>
    <row r="1316" ht="15.75" customHeight="1">
      <c r="E1316" s="7"/>
      <c r="G1316" s="283"/>
      <c r="H1316" s="283"/>
    </row>
    <row r="1317" ht="15.75" customHeight="1">
      <c r="E1317" s="7"/>
      <c r="G1317" s="283"/>
      <c r="H1317" s="283"/>
    </row>
    <row r="1318" ht="15.75" customHeight="1">
      <c r="E1318" s="7"/>
      <c r="G1318" s="283"/>
      <c r="H1318" s="283"/>
    </row>
    <row r="1319" ht="15.75" customHeight="1">
      <c r="E1319" s="7"/>
      <c r="G1319" s="283"/>
      <c r="H1319" s="283"/>
    </row>
    <row r="1320" ht="15.75" customHeight="1">
      <c r="E1320" s="7"/>
      <c r="G1320" s="283"/>
      <c r="H1320" s="283"/>
    </row>
    <row r="1321" ht="15.75" customHeight="1">
      <c r="E1321" s="7"/>
      <c r="G1321" s="283"/>
      <c r="H1321" s="283"/>
    </row>
    <row r="1322" ht="15.75" customHeight="1">
      <c r="E1322" s="7"/>
      <c r="G1322" s="283"/>
      <c r="H1322" s="283"/>
    </row>
    <row r="1323" ht="15.75" customHeight="1">
      <c r="E1323" s="7"/>
      <c r="G1323" s="283"/>
      <c r="H1323" s="283"/>
    </row>
    <row r="1324" ht="15.75" customHeight="1">
      <c r="E1324" s="7"/>
      <c r="G1324" s="283"/>
      <c r="H1324" s="283"/>
    </row>
    <row r="1325" ht="15.75" customHeight="1">
      <c r="E1325" s="7"/>
      <c r="G1325" s="283"/>
      <c r="H1325" s="283"/>
    </row>
    <row r="1326" ht="15.75" customHeight="1">
      <c r="E1326" s="7"/>
      <c r="G1326" s="283"/>
      <c r="H1326" s="283"/>
    </row>
    <row r="1327" ht="15.75" customHeight="1">
      <c r="E1327" s="7"/>
      <c r="G1327" s="283"/>
      <c r="H1327" s="283"/>
    </row>
    <row r="1328" ht="15.75" customHeight="1">
      <c r="E1328" s="7"/>
      <c r="G1328" s="283"/>
      <c r="H1328" s="283"/>
    </row>
    <row r="1329" ht="15.75" customHeight="1">
      <c r="E1329" s="7"/>
      <c r="G1329" s="283"/>
      <c r="H1329" s="283"/>
    </row>
    <row r="1330" ht="15.75" customHeight="1">
      <c r="E1330" s="7"/>
      <c r="G1330" s="283"/>
      <c r="H1330" s="283"/>
    </row>
    <row r="1331" ht="15.75" customHeight="1">
      <c r="E1331" s="7"/>
      <c r="G1331" s="283"/>
      <c r="H1331" s="283"/>
    </row>
    <row r="1332" ht="15.75" customHeight="1">
      <c r="E1332" s="7"/>
      <c r="G1332" s="283"/>
      <c r="H1332" s="283"/>
    </row>
    <row r="1333" ht="15.75" customHeight="1">
      <c r="E1333" s="7"/>
      <c r="G1333" s="283"/>
      <c r="H1333" s="283"/>
    </row>
    <row r="1334" ht="15.75" customHeight="1">
      <c r="E1334" s="7"/>
      <c r="G1334" s="283"/>
      <c r="H1334" s="283"/>
    </row>
    <row r="1335" ht="15.75" customHeight="1">
      <c r="E1335" s="7"/>
      <c r="G1335" s="283"/>
      <c r="H1335" s="283"/>
    </row>
    <row r="1336" ht="15.75" customHeight="1">
      <c r="E1336" s="7"/>
      <c r="G1336" s="283"/>
      <c r="H1336" s="283"/>
    </row>
    <row r="1337" ht="15.75" customHeight="1">
      <c r="E1337" s="7"/>
      <c r="G1337" s="283"/>
      <c r="H1337" s="283"/>
    </row>
    <row r="1338" ht="15.75" customHeight="1">
      <c r="E1338" s="7"/>
      <c r="G1338" s="283"/>
      <c r="H1338" s="283"/>
    </row>
    <row r="1339" ht="15.75" customHeight="1">
      <c r="E1339" s="7"/>
      <c r="G1339" s="283"/>
      <c r="H1339" s="283"/>
    </row>
    <row r="1340" ht="15.75" customHeight="1">
      <c r="E1340" s="7"/>
      <c r="G1340" s="283"/>
      <c r="H1340" s="283"/>
    </row>
    <row r="1341" ht="15.75" customHeight="1">
      <c r="E1341" s="7"/>
      <c r="G1341" s="283"/>
      <c r="H1341" s="283"/>
    </row>
    <row r="1342" ht="15.75" customHeight="1">
      <c r="E1342" s="7"/>
      <c r="G1342" s="283"/>
      <c r="H1342" s="283"/>
    </row>
    <row r="1343" ht="15.75" customHeight="1">
      <c r="E1343" s="7"/>
      <c r="G1343" s="283"/>
      <c r="H1343" s="283"/>
    </row>
    <row r="1344" ht="15.75" customHeight="1">
      <c r="E1344" s="7"/>
      <c r="G1344" s="283"/>
      <c r="H1344" s="283"/>
    </row>
    <row r="1345" ht="15.75" customHeight="1">
      <c r="E1345" s="7"/>
      <c r="G1345" s="283"/>
      <c r="H1345" s="283"/>
    </row>
    <row r="1346" ht="15.75" customHeight="1">
      <c r="E1346" s="7"/>
      <c r="G1346" s="283"/>
      <c r="H1346" s="283"/>
    </row>
    <row r="1347" ht="15.75" customHeight="1">
      <c r="E1347" s="7"/>
      <c r="G1347" s="283"/>
      <c r="H1347" s="283"/>
    </row>
    <row r="1348" ht="15.75" customHeight="1">
      <c r="E1348" s="7"/>
      <c r="G1348" s="283"/>
      <c r="H1348" s="283"/>
    </row>
    <row r="1349" ht="15.75" customHeight="1">
      <c r="E1349" s="7"/>
      <c r="G1349" s="283"/>
      <c r="H1349" s="283"/>
    </row>
    <row r="1350" ht="15.75" customHeight="1">
      <c r="E1350" s="7"/>
      <c r="G1350" s="283"/>
      <c r="H1350" s="283"/>
    </row>
    <row r="1351" ht="15.75" customHeight="1">
      <c r="E1351" s="7"/>
      <c r="G1351" s="283"/>
      <c r="H1351" s="283"/>
    </row>
    <row r="1352" ht="15.75" customHeight="1">
      <c r="E1352" s="7"/>
      <c r="G1352" s="283"/>
      <c r="H1352" s="283"/>
    </row>
    <row r="1353" ht="15.75" customHeight="1">
      <c r="E1353" s="7"/>
      <c r="G1353" s="283"/>
      <c r="H1353" s="283"/>
    </row>
    <row r="1354" ht="15.75" customHeight="1">
      <c r="E1354" s="7"/>
      <c r="G1354" s="283"/>
      <c r="H1354" s="283"/>
    </row>
    <row r="1355" ht="15.75" customHeight="1">
      <c r="E1355" s="7"/>
      <c r="G1355" s="283"/>
      <c r="H1355" s="283"/>
    </row>
    <row r="1356" ht="15.75" customHeight="1">
      <c r="E1356" s="7"/>
      <c r="G1356" s="283"/>
      <c r="H1356" s="283"/>
    </row>
    <row r="1357" ht="15.75" customHeight="1">
      <c r="E1357" s="7"/>
      <c r="G1357" s="283"/>
      <c r="H1357" s="283"/>
    </row>
    <row r="1358" ht="15.75" customHeight="1">
      <c r="E1358" s="7"/>
      <c r="G1358" s="283"/>
      <c r="H1358" s="283"/>
    </row>
    <row r="1359" ht="15.75" customHeight="1">
      <c r="E1359" s="7"/>
      <c r="G1359" s="283"/>
      <c r="H1359" s="283"/>
    </row>
    <row r="1360" ht="15.75" customHeight="1">
      <c r="E1360" s="7"/>
      <c r="G1360" s="283"/>
      <c r="H1360" s="283"/>
    </row>
    <row r="1361" ht="15.75" customHeight="1">
      <c r="E1361" s="7"/>
      <c r="G1361" s="283"/>
      <c r="H1361" s="283"/>
    </row>
    <row r="1362" ht="15.75" customHeight="1">
      <c r="E1362" s="7"/>
      <c r="G1362" s="283"/>
      <c r="H1362" s="283"/>
    </row>
    <row r="1363" ht="15.75" customHeight="1">
      <c r="E1363" s="7"/>
      <c r="G1363" s="283"/>
      <c r="H1363" s="283"/>
    </row>
    <row r="1364" ht="15.75" customHeight="1">
      <c r="E1364" s="7"/>
      <c r="G1364" s="283"/>
      <c r="H1364" s="283"/>
    </row>
    <row r="1365" ht="15.75" customHeight="1">
      <c r="E1365" s="7"/>
      <c r="G1365" s="283"/>
      <c r="H1365" s="283"/>
    </row>
    <row r="1366" ht="15.75" customHeight="1">
      <c r="E1366" s="7"/>
      <c r="G1366" s="283"/>
      <c r="H1366" s="283"/>
    </row>
    <row r="1367" ht="15.75" customHeight="1">
      <c r="E1367" s="7"/>
      <c r="G1367" s="283"/>
      <c r="H1367" s="283"/>
    </row>
    <row r="1368" ht="15.75" customHeight="1">
      <c r="E1368" s="7"/>
      <c r="G1368" s="283"/>
      <c r="H1368" s="283"/>
    </row>
    <row r="1369" ht="15.75" customHeight="1">
      <c r="E1369" s="7"/>
      <c r="G1369" s="283"/>
      <c r="H1369" s="283"/>
    </row>
    <row r="1370" ht="15.75" customHeight="1">
      <c r="E1370" s="7"/>
      <c r="G1370" s="283"/>
      <c r="H1370" s="283"/>
    </row>
    <row r="1371" ht="15.75" customHeight="1">
      <c r="E1371" s="7"/>
      <c r="G1371" s="283"/>
      <c r="H1371" s="283"/>
    </row>
    <row r="1372" ht="15.75" customHeight="1">
      <c r="E1372" s="7"/>
      <c r="G1372" s="283"/>
      <c r="H1372" s="283"/>
    </row>
    <row r="1373" ht="15.75" customHeight="1">
      <c r="E1373" s="7"/>
      <c r="G1373" s="283"/>
      <c r="H1373" s="283"/>
    </row>
    <row r="1374" ht="15.75" customHeight="1">
      <c r="E1374" s="7"/>
      <c r="G1374" s="283"/>
      <c r="H1374" s="283"/>
    </row>
    <row r="1375" ht="15.75" customHeight="1">
      <c r="E1375" s="7"/>
      <c r="G1375" s="283"/>
      <c r="H1375" s="283"/>
    </row>
    <row r="1376" ht="15.75" customHeight="1">
      <c r="E1376" s="7"/>
      <c r="G1376" s="283"/>
      <c r="H1376" s="283"/>
    </row>
    <row r="1377" ht="15.75" customHeight="1">
      <c r="E1377" s="7"/>
      <c r="G1377" s="283"/>
      <c r="H1377" s="283"/>
    </row>
    <row r="1378" ht="15.75" customHeight="1">
      <c r="E1378" s="7"/>
      <c r="G1378" s="283"/>
      <c r="H1378" s="283"/>
    </row>
    <row r="1379" ht="15.75" customHeight="1">
      <c r="E1379" s="7"/>
      <c r="G1379" s="283"/>
      <c r="H1379" s="283"/>
    </row>
    <row r="1380" ht="15.75" customHeight="1">
      <c r="E1380" s="7"/>
      <c r="G1380" s="283"/>
      <c r="H1380" s="283"/>
    </row>
    <row r="1381" ht="15.75" customHeight="1">
      <c r="E1381" s="7"/>
      <c r="G1381" s="283"/>
      <c r="H1381" s="283"/>
    </row>
    <row r="1382" ht="15.75" customHeight="1">
      <c r="E1382" s="7"/>
      <c r="G1382" s="283"/>
      <c r="H1382" s="283"/>
    </row>
    <row r="1383" ht="15.75" customHeight="1">
      <c r="E1383" s="7"/>
      <c r="G1383" s="283"/>
      <c r="H1383" s="283"/>
    </row>
    <row r="1384" ht="15.75" customHeight="1">
      <c r="E1384" s="7"/>
      <c r="G1384" s="283"/>
      <c r="H1384" s="283"/>
    </row>
    <row r="1385" ht="15.75" customHeight="1">
      <c r="E1385" s="7"/>
      <c r="G1385" s="283"/>
      <c r="H1385" s="283"/>
    </row>
    <row r="1386" ht="15.75" customHeight="1">
      <c r="E1386" s="7"/>
      <c r="G1386" s="283"/>
      <c r="H1386" s="283"/>
    </row>
    <row r="1387" ht="15.75" customHeight="1">
      <c r="E1387" s="7"/>
      <c r="G1387" s="283"/>
      <c r="H1387" s="283"/>
    </row>
    <row r="1388" ht="15.75" customHeight="1">
      <c r="E1388" s="7"/>
      <c r="G1388" s="283"/>
      <c r="H1388" s="283"/>
    </row>
    <row r="1389" ht="15.75" customHeight="1">
      <c r="E1389" s="7"/>
      <c r="G1389" s="283"/>
      <c r="H1389" s="283"/>
    </row>
    <row r="1390" ht="15.75" customHeight="1">
      <c r="E1390" s="7"/>
      <c r="G1390" s="283"/>
      <c r="H1390" s="283"/>
    </row>
    <row r="1391" ht="15.75" customHeight="1">
      <c r="E1391" s="7"/>
      <c r="G1391" s="283"/>
      <c r="H1391" s="283"/>
    </row>
    <row r="1392" ht="15.75" customHeight="1">
      <c r="E1392" s="7"/>
      <c r="G1392" s="283"/>
      <c r="H1392" s="283"/>
    </row>
    <row r="1393" ht="15.75" customHeight="1">
      <c r="E1393" s="7"/>
      <c r="G1393" s="283"/>
      <c r="H1393" s="283"/>
    </row>
    <row r="1394" ht="15.75" customHeight="1">
      <c r="E1394" s="7"/>
      <c r="G1394" s="283"/>
      <c r="H1394" s="283"/>
    </row>
    <row r="1395" ht="15.75" customHeight="1">
      <c r="E1395" s="7"/>
      <c r="G1395" s="283"/>
      <c r="H1395" s="283"/>
    </row>
    <row r="1396" ht="15.75" customHeight="1">
      <c r="E1396" s="7"/>
      <c r="G1396" s="283"/>
      <c r="H1396" s="283"/>
    </row>
    <row r="1397" ht="15.75" customHeight="1">
      <c r="E1397" s="7"/>
      <c r="G1397" s="283"/>
      <c r="H1397" s="283"/>
    </row>
    <row r="1398" ht="15.75" customHeight="1">
      <c r="E1398" s="7"/>
      <c r="G1398" s="283"/>
      <c r="H1398" s="283"/>
    </row>
    <row r="1399" ht="15.75" customHeight="1">
      <c r="E1399" s="7"/>
      <c r="G1399" s="283"/>
      <c r="H1399" s="283"/>
    </row>
    <row r="1400" ht="15.75" customHeight="1">
      <c r="E1400" s="7"/>
      <c r="G1400" s="283"/>
      <c r="H1400" s="283"/>
    </row>
    <row r="1401" ht="15.75" customHeight="1">
      <c r="E1401" s="7"/>
      <c r="G1401" s="283"/>
      <c r="H1401" s="283"/>
    </row>
    <row r="1402" ht="15.75" customHeight="1">
      <c r="E1402" s="7"/>
      <c r="G1402" s="283"/>
      <c r="H1402" s="283"/>
    </row>
    <row r="1403" ht="15.75" customHeight="1">
      <c r="E1403" s="7"/>
      <c r="G1403" s="283"/>
      <c r="H1403" s="283"/>
    </row>
  </sheetData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6.57"/>
    <col customWidth="1" min="3" max="3" width="10.14"/>
    <col customWidth="1" min="4" max="4" width="54.14"/>
    <col customWidth="1" min="5" max="5" width="10.86"/>
    <col customWidth="1" min="6" max="6" width="52.0"/>
    <col customWidth="1" min="7" max="27" width="8.71"/>
  </cols>
  <sheetData>
    <row r="1">
      <c r="A1" s="284" t="s">
        <v>6</v>
      </c>
      <c r="B1" s="284" t="s">
        <v>2528</v>
      </c>
      <c r="C1" s="284" t="s">
        <v>2529</v>
      </c>
      <c r="D1" s="284" t="s">
        <v>230</v>
      </c>
      <c r="E1" s="285" t="s">
        <v>2530</v>
      </c>
      <c r="F1" s="285" t="s">
        <v>2531</v>
      </c>
      <c r="G1" s="284" t="s">
        <v>244</v>
      </c>
      <c r="H1" s="40"/>
      <c r="I1" s="40"/>
      <c r="J1" s="40"/>
      <c r="K1" s="40"/>
      <c r="L1" s="286"/>
      <c r="M1" s="40"/>
      <c r="N1" s="40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287">
        <v>14457.0</v>
      </c>
      <c r="B2" s="287" t="s">
        <v>248</v>
      </c>
      <c r="C2" s="287" t="s">
        <v>42</v>
      </c>
      <c r="D2" s="287" t="s">
        <v>249</v>
      </c>
      <c r="E2" s="287" t="b">
        <v>1</v>
      </c>
      <c r="F2" s="287" t="b">
        <v>1</v>
      </c>
      <c r="G2" s="287" t="s">
        <v>2532</v>
      </c>
      <c r="H2" s="40"/>
      <c r="I2" s="40"/>
      <c r="J2" s="40"/>
      <c r="K2" s="40"/>
      <c r="L2" s="286"/>
      <c r="M2" s="40"/>
      <c r="N2" s="40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287">
        <v>37382.0</v>
      </c>
      <c r="B3" s="287" t="s">
        <v>251</v>
      </c>
      <c r="C3" s="287" t="s">
        <v>42</v>
      </c>
      <c r="D3" s="287" t="s">
        <v>249</v>
      </c>
      <c r="E3" s="287" t="b">
        <v>1</v>
      </c>
      <c r="F3" s="287" t="b">
        <v>1</v>
      </c>
      <c r="G3" s="287" t="s">
        <v>250</v>
      </c>
      <c r="H3" s="40"/>
      <c r="I3" s="40"/>
      <c r="J3" s="40"/>
      <c r="K3" s="286"/>
      <c r="L3" s="286"/>
      <c r="M3" s="40"/>
      <c r="N3" s="4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287">
        <v>14383.0</v>
      </c>
      <c r="B4" s="287" t="s">
        <v>254</v>
      </c>
      <c r="C4" s="287" t="s">
        <v>42</v>
      </c>
      <c r="D4" s="287" t="s">
        <v>249</v>
      </c>
      <c r="E4" s="287" t="b">
        <v>1</v>
      </c>
      <c r="F4" s="287" t="b">
        <v>1</v>
      </c>
      <c r="G4" s="287" t="s">
        <v>250</v>
      </c>
      <c r="H4" s="40"/>
      <c r="I4" s="40"/>
      <c r="J4" s="40"/>
      <c r="K4" s="286"/>
      <c r="L4" s="286"/>
      <c r="M4" s="40"/>
      <c r="N4" s="40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287">
        <v>148688.0</v>
      </c>
      <c r="B5" s="287" t="s">
        <v>2533</v>
      </c>
      <c r="C5" s="287" t="s">
        <v>42</v>
      </c>
      <c r="D5" s="287" t="s">
        <v>249</v>
      </c>
      <c r="E5" s="287" t="b">
        <v>1</v>
      </c>
      <c r="F5" s="287" t="b">
        <v>1</v>
      </c>
      <c r="G5" s="287" t="s">
        <v>2534</v>
      </c>
      <c r="H5" s="40"/>
      <c r="I5" s="40"/>
      <c r="J5" s="40"/>
      <c r="K5" s="286"/>
      <c r="L5" s="286"/>
      <c r="M5" s="40"/>
      <c r="N5" s="40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287">
        <v>34727.0</v>
      </c>
      <c r="B6" s="287" t="s">
        <v>255</v>
      </c>
      <c r="C6" s="287" t="s">
        <v>42</v>
      </c>
      <c r="D6" s="287" t="s">
        <v>249</v>
      </c>
      <c r="E6" s="287" t="b">
        <v>1</v>
      </c>
      <c r="F6" s="287" t="b">
        <v>1</v>
      </c>
      <c r="G6" s="287" t="s">
        <v>2535</v>
      </c>
      <c r="H6" s="40"/>
      <c r="I6" s="40"/>
      <c r="J6" s="40"/>
      <c r="K6" s="286"/>
      <c r="L6" s="286"/>
      <c r="M6" s="40"/>
      <c r="N6" s="40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287">
        <v>11189.0</v>
      </c>
      <c r="B7" s="287" t="s">
        <v>262</v>
      </c>
      <c r="C7" s="287" t="s">
        <v>42</v>
      </c>
      <c r="D7" s="287" t="s">
        <v>249</v>
      </c>
      <c r="E7" s="287" t="b">
        <v>1</v>
      </c>
      <c r="F7" s="287" t="b">
        <v>1</v>
      </c>
      <c r="G7" s="287" t="s">
        <v>250</v>
      </c>
      <c r="H7" s="40"/>
      <c r="I7" s="40"/>
      <c r="J7" s="40"/>
      <c r="K7" s="286"/>
      <c r="L7" s="286"/>
      <c r="M7" s="40"/>
      <c r="N7" s="40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287">
        <v>53802.0</v>
      </c>
      <c r="B8" s="287" t="s">
        <v>264</v>
      </c>
      <c r="C8" s="287" t="s">
        <v>42</v>
      </c>
      <c r="D8" s="287" t="s">
        <v>249</v>
      </c>
      <c r="E8" s="287" t="b">
        <v>1</v>
      </c>
      <c r="F8" s="287" t="b">
        <v>1</v>
      </c>
      <c r="G8" s="287" t="s">
        <v>250</v>
      </c>
      <c r="H8" s="40"/>
      <c r="I8" s="40"/>
      <c r="J8" s="40"/>
      <c r="K8" s="286"/>
      <c r="L8" s="286"/>
      <c r="M8" s="40"/>
      <c r="N8" s="4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287">
        <v>34782.0</v>
      </c>
      <c r="B9" s="287" t="s">
        <v>265</v>
      </c>
      <c r="C9" s="287" t="s">
        <v>42</v>
      </c>
      <c r="D9" s="287" t="s">
        <v>249</v>
      </c>
      <c r="E9" s="287" t="b">
        <v>1</v>
      </c>
      <c r="F9" s="287" t="b">
        <v>1</v>
      </c>
      <c r="G9" s="287" t="s">
        <v>250</v>
      </c>
      <c r="H9" s="40"/>
      <c r="I9" s="40"/>
      <c r="J9" s="40"/>
      <c r="K9" s="286"/>
      <c r="L9" s="286"/>
      <c r="M9" s="40"/>
      <c r="N9" s="40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287">
        <v>14369.0</v>
      </c>
      <c r="B10" s="287" t="s">
        <v>266</v>
      </c>
      <c r="C10" s="287" t="s">
        <v>42</v>
      </c>
      <c r="D10" s="287" t="s">
        <v>249</v>
      </c>
      <c r="E10" s="287" t="b">
        <v>1</v>
      </c>
      <c r="F10" s="287" t="b">
        <v>1</v>
      </c>
      <c r="G10" s="287" t="s">
        <v>250</v>
      </c>
      <c r="H10" s="40"/>
      <c r="I10" s="40"/>
      <c r="J10" s="40"/>
      <c r="K10" s="286"/>
      <c r="L10" s="286"/>
      <c r="M10" s="40"/>
      <c r="N10" s="4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287">
        <v>112880.0</v>
      </c>
      <c r="B11" s="287" t="s">
        <v>267</v>
      </c>
      <c r="C11" s="287" t="s">
        <v>42</v>
      </c>
      <c r="D11" s="287" t="s">
        <v>249</v>
      </c>
      <c r="E11" s="287" t="b">
        <v>1</v>
      </c>
      <c r="F11" s="287" t="b">
        <v>1</v>
      </c>
      <c r="G11" s="287" t="s">
        <v>250</v>
      </c>
      <c r="H11" s="40"/>
      <c r="I11" s="40"/>
      <c r="J11" s="40"/>
      <c r="K11" s="286"/>
      <c r="L11" s="286"/>
      <c r="M11" s="40"/>
      <c r="N11" s="40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287">
        <v>14389.0</v>
      </c>
      <c r="B12" s="287" t="s">
        <v>270</v>
      </c>
      <c r="C12" s="287" t="s">
        <v>42</v>
      </c>
      <c r="D12" s="287" t="s">
        <v>249</v>
      </c>
      <c r="E12" s="287" t="b">
        <v>1</v>
      </c>
      <c r="F12" s="287" t="b">
        <v>1</v>
      </c>
      <c r="G12" s="287" t="s">
        <v>272</v>
      </c>
      <c r="H12" s="40"/>
      <c r="I12" s="40"/>
      <c r="J12" s="40"/>
      <c r="K12" s="286"/>
      <c r="L12" s="286"/>
      <c r="M12" s="40"/>
      <c r="N12" s="40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287">
        <v>102748.0</v>
      </c>
      <c r="B13" s="287" t="s">
        <v>273</v>
      </c>
      <c r="C13" s="287" t="s">
        <v>42</v>
      </c>
      <c r="D13" s="287" t="s">
        <v>249</v>
      </c>
      <c r="E13" s="287" t="b">
        <v>1</v>
      </c>
      <c r="F13" s="287" t="b">
        <v>1</v>
      </c>
      <c r="G13" s="287" t="s">
        <v>2536</v>
      </c>
      <c r="H13" s="40"/>
      <c r="I13" s="40"/>
      <c r="J13" s="40"/>
      <c r="K13" s="286"/>
      <c r="L13" s="286"/>
      <c r="M13" s="40"/>
      <c r="N13" s="40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287">
        <v>108513.0</v>
      </c>
      <c r="B14" s="287" t="s">
        <v>274</v>
      </c>
      <c r="C14" s="287" t="s">
        <v>42</v>
      </c>
      <c r="D14" s="287" t="s">
        <v>249</v>
      </c>
      <c r="E14" s="287" t="b">
        <v>1</v>
      </c>
      <c r="F14" s="287" t="b">
        <v>1</v>
      </c>
      <c r="G14" s="287" t="s">
        <v>250</v>
      </c>
      <c r="H14" s="40"/>
      <c r="I14" s="40"/>
      <c r="J14" s="40"/>
      <c r="K14" s="286"/>
      <c r="L14" s="286"/>
      <c r="M14" s="40"/>
      <c r="N14" s="40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287">
        <v>108511.0</v>
      </c>
      <c r="B15" s="287" t="s">
        <v>277</v>
      </c>
      <c r="C15" s="287" t="s">
        <v>42</v>
      </c>
      <c r="D15" s="287" t="s">
        <v>249</v>
      </c>
      <c r="E15" s="287" t="b">
        <v>1</v>
      </c>
      <c r="F15" s="287" t="b">
        <v>1</v>
      </c>
      <c r="G15" s="287" t="s">
        <v>279</v>
      </c>
      <c r="H15" s="40"/>
      <c r="I15" s="40"/>
      <c r="J15" s="40"/>
      <c r="K15" s="286"/>
      <c r="L15" s="286"/>
      <c r="M15" s="40"/>
      <c r="N15" s="40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287">
        <v>110970.0</v>
      </c>
      <c r="B16" s="287" t="s">
        <v>280</v>
      </c>
      <c r="C16" s="287" t="s">
        <v>42</v>
      </c>
      <c r="D16" s="287" t="s">
        <v>249</v>
      </c>
      <c r="E16" s="287" t="b">
        <v>1</v>
      </c>
      <c r="F16" s="287" t="b">
        <v>1</v>
      </c>
      <c r="G16" s="287" t="s">
        <v>281</v>
      </c>
      <c r="H16" s="40"/>
      <c r="I16" s="40"/>
      <c r="J16" s="40"/>
      <c r="K16" s="286"/>
      <c r="L16" s="286"/>
      <c r="M16" s="40"/>
      <c r="N16" s="40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287">
        <v>148887.0</v>
      </c>
      <c r="B17" s="287" t="s">
        <v>282</v>
      </c>
      <c r="C17" s="287" t="s">
        <v>42</v>
      </c>
      <c r="D17" s="287" t="s">
        <v>249</v>
      </c>
      <c r="E17" s="287" t="b">
        <v>1</v>
      </c>
      <c r="F17" s="287" t="b">
        <v>1</v>
      </c>
      <c r="G17" s="287" t="s">
        <v>2537</v>
      </c>
      <c r="H17" s="40"/>
      <c r="I17" s="40"/>
      <c r="J17" s="40"/>
      <c r="K17" s="286"/>
      <c r="L17" s="286"/>
      <c r="M17" s="40"/>
      <c r="N17" s="40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287">
        <v>34728.0</v>
      </c>
      <c r="B18" s="287" t="s">
        <v>285</v>
      </c>
      <c r="C18" s="287" t="s">
        <v>42</v>
      </c>
      <c r="D18" s="287" t="s">
        <v>249</v>
      </c>
      <c r="E18" s="287" t="b">
        <v>1</v>
      </c>
      <c r="F18" s="287" t="b">
        <v>1</v>
      </c>
      <c r="G18" s="287" t="s">
        <v>250</v>
      </c>
      <c r="H18" s="40"/>
      <c r="I18" s="40"/>
      <c r="J18" s="40"/>
      <c r="K18" s="286"/>
      <c r="L18" s="286"/>
      <c r="M18" s="40"/>
      <c r="N18" s="40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287">
        <v>38308.0</v>
      </c>
      <c r="B19" s="287" t="s">
        <v>287</v>
      </c>
      <c r="C19" s="287" t="s">
        <v>42</v>
      </c>
      <c r="D19" s="287" t="s">
        <v>249</v>
      </c>
      <c r="E19" s="287" t="b">
        <v>1</v>
      </c>
      <c r="F19" s="287" t="b">
        <v>1</v>
      </c>
      <c r="G19" s="287" t="s">
        <v>250</v>
      </c>
      <c r="H19" s="40"/>
      <c r="I19" s="40"/>
      <c r="J19" s="40"/>
      <c r="K19" s="286"/>
      <c r="L19" s="286"/>
      <c r="M19" s="40"/>
      <c r="N19" s="40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287">
        <v>14386.0</v>
      </c>
      <c r="B20" s="287" t="s">
        <v>288</v>
      </c>
      <c r="C20" s="287" t="s">
        <v>289</v>
      </c>
      <c r="D20" s="287" t="s">
        <v>249</v>
      </c>
      <c r="E20" s="287" t="b">
        <v>1</v>
      </c>
      <c r="F20" s="287" t="b">
        <v>1</v>
      </c>
      <c r="G20" s="287" t="s">
        <v>250</v>
      </c>
      <c r="H20" s="40"/>
      <c r="I20" s="40"/>
      <c r="J20" s="40"/>
      <c r="K20" s="286"/>
      <c r="L20" s="286"/>
      <c r="M20" s="40"/>
      <c r="N20" s="40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287">
        <v>20844.0</v>
      </c>
      <c r="B21" s="287" t="s">
        <v>292</v>
      </c>
      <c r="C21" s="287" t="s">
        <v>42</v>
      </c>
      <c r="D21" s="287" t="s">
        <v>249</v>
      </c>
      <c r="E21" s="287" t="b">
        <v>1</v>
      </c>
      <c r="F21" s="287" t="b">
        <v>1</v>
      </c>
      <c r="G21" s="287" t="s">
        <v>250</v>
      </c>
      <c r="H21" s="40"/>
      <c r="I21" s="40"/>
      <c r="J21" s="40"/>
      <c r="K21" s="286"/>
      <c r="L21" s="286"/>
      <c r="M21" s="40"/>
      <c r="N21" s="40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287">
        <v>14506.0</v>
      </c>
      <c r="B22" s="287" t="s">
        <v>2538</v>
      </c>
      <c r="C22" s="287" t="s">
        <v>42</v>
      </c>
      <c r="D22" s="287" t="s">
        <v>249</v>
      </c>
      <c r="E22" s="287" t="b">
        <v>1</v>
      </c>
      <c r="F22" s="287" t="b">
        <v>0</v>
      </c>
      <c r="G22" s="287" t="s">
        <v>2539</v>
      </c>
      <c r="H22" s="40"/>
      <c r="I22" s="40"/>
      <c r="J22" s="40"/>
      <c r="K22" s="286"/>
      <c r="L22" s="286"/>
      <c r="M22" s="40"/>
      <c r="N22" s="40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287">
        <v>39609.0</v>
      </c>
      <c r="B23" s="287" t="s">
        <v>2540</v>
      </c>
      <c r="C23" s="287" t="s">
        <v>42</v>
      </c>
      <c r="D23" s="287" t="s">
        <v>249</v>
      </c>
      <c r="E23" s="287" t="b">
        <v>1</v>
      </c>
      <c r="F23" s="287" t="b">
        <v>1</v>
      </c>
      <c r="G23" s="287" t="s">
        <v>2541</v>
      </c>
      <c r="H23" s="40"/>
      <c r="I23" s="40"/>
      <c r="J23" s="40"/>
      <c r="K23" s="286"/>
      <c r="L23" s="286"/>
      <c r="M23" s="40"/>
      <c r="N23" s="40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288">
        <v>24773.0</v>
      </c>
      <c r="B24" s="288" t="s">
        <v>297</v>
      </c>
      <c r="C24" s="288" t="s">
        <v>42</v>
      </c>
      <c r="D24" s="287" t="s">
        <v>249</v>
      </c>
      <c r="E24" s="287" t="b">
        <v>1</v>
      </c>
      <c r="F24" s="287" t="b">
        <v>1</v>
      </c>
      <c r="G24" s="287" t="s">
        <v>298</v>
      </c>
      <c r="H24" s="40"/>
      <c r="I24" s="40"/>
      <c r="J24" s="40"/>
      <c r="K24" s="286"/>
      <c r="L24" s="286"/>
      <c r="M24" s="40"/>
      <c r="N24" s="40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287">
        <v>14514.0</v>
      </c>
      <c r="B25" s="287" t="s">
        <v>2542</v>
      </c>
      <c r="C25" s="287" t="s">
        <v>42</v>
      </c>
      <c r="D25" s="287" t="s">
        <v>249</v>
      </c>
      <c r="E25" s="287" t="b">
        <v>1</v>
      </c>
      <c r="F25" s="287" t="b">
        <v>0</v>
      </c>
      <c r="G25" s="287" t="s">
        <v>2543</v>
      </c>
      <c r="H25" s="40"/>
      <c r="I25" s="40"/>
      <c r="J25" s="40"/>
      <c r="K25" s="286"/>
      <c r="L25" s="286"/>
      <c r="M25" s="40"/>
      <c r="N25" s="40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287">
        <v>112199.0</v>
      </c>
      <c r="B26" s="287" t="s">
        <v>299</v>
      </c>
      <c r="C26" s="287" t="s">
        <v>42</v>
      </c>
      <c r="D26" s="287" t="s">
        <v>249</v>
      </c>
      <c r="E26" s="287" t="b">
        <v>1</v>
      </c>
      <c r="F26" s="287" t="b">
        <v>1</v>
      </c>
      <c r="G26" s="287" t="s">
        <v>296</v>
      </c>
      <c r="H26" s="40"/>
      <c r="I26" s="40"/>
      <c r="J26" s="40"/>
      <c r="K26" s="286"/>
      <c r="L26" s="286"/>
      <c r="M26" s="40"/>
      <c r="N26" s="40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287">
        <v>18997.0</v>
      </c>
      <c r="B27" s="287" t="s">
        <v>302</v>
      </c>
      <c r="C27" s="287" t="s">
        <v>42</v>
      </c>
      <c r="D27" s="287" t="s">
        <v>249</v>
      </c>
      <c r="E27" s="287" t="b">
        <v>1</v>
      </c>
      <c r="F27" s="287" t="b">
        <v>1</v>
      </c>
      <c r="G27" s="287" t="s">
        <v>296</v>
      </c>
      <c r="H27" s="40"/>
      <c r="I27" s="40"/>
      <c r="J27" s="40"/>
      <c r="K27" s="286"/>
      <c r="L27" s="286"/>
      <c r="M27" s="40"/>
      <c r="N27" s="40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287">
        <v>37392.0</v>
      </c>
      <c r="B28" s="287" t="s">
        <v>304</v>
      </c>
      <c r="C28" s="287" t="s">
        <v>42</v>
      </c>
      <c r="D28" s="287" t="s">
        <v>249</v>
      </c>
      <c r="E28" s="287" t="b">
        <v>1</v>
      </c>
      <c r="F28" s="287" t="b">
        <v>1</v>
      </c>
      <c r="G28" s="287" t="s">
        <v>296</v>
      </c>
      <c r="H28" s="40"/>
      <c r="I28" s="40"/>
      <c r="J28" s="40"/>
      <c r="K28" s="286"/>
      <c r="L28" s="286"/>
      <c r="M28" s="40"/>
      <c r="N28" s="40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287">
        <v>14443.0</v>
      </c>
      <c r="B29" s="287" t="s">
        <v>295</v>
      </c>
      <c r="C29" s="287" t="s">
        <v>42</v>
      </c>
      <c r="D29" s="287" t="s">
        <v>249</v>
      </c>
      <c r="E29" s="287" t="b">
        <v>1</v>
      </c>
      <c r="F29" s="287" t="b">
        <v>1</v>
      </c>
      <c r="G29" s="287" t="s">
        <v>296</v>
      </c>
      <c r="H29" s="40"/>
      <c r="I29" s="40"/>
      <c r="J29" s="40"/>
      <c r="K29" s="286"/>
      <c r="L29" s="286"/>
      <c r="M29" s="40"/>
      <c r="N29" s="40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287">
        <v>11681.0</v>
      </c>
      <c r="B30" s="287" t="s">
        <v>306</v>
      </c>
      <c r="C30" s="287" t="s">
        <v>42</v>
      </c>
      <c r="D30" s="287" t="s">
        <v>249</v>
      </c>
      <c r="E30" s="287" t="b">
        <v>1</v>
      </c>
      <c r="F30" s="287" t="b">
        <v>1</v>
      </c>
      <c r="G30" s="287" t="s">
        <v>307</v>
      </c>
      <c r="H30" s="40"/>
      <c r="I30" s="40"/>
      <c r="J30" s="40"/>
      <c r="K30" s="286"/>
      <c r="L30" s="286"/>
      <c r="M30" s="40"/>
      <c r="N30" s="40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287">
        <v>14399.0</v>
      </c>
      <c r="B31" s="287" t="s">
        <v>308</v>
      </c>
      <c r="C31" s="287" t="s">
        <v>42</v>
      </c>
      <c r="D31" s="287" t="s">
        <v>249</v>
      </c>
      <c r="E31" s="287" t="b">
        <v>1</v>
      </c>
      <c r="F31" s="287" t="b">
        <v>1</v>
      </c>
      <c r="G31" s="287" t="s">
        <v>296</v>
      </c>
      <c r="H31" s="40"/>
      <c r="I31" s="40"/>
      <c r="J31" s="40"/>
      <c r="K31" s="286"/>
      <c r="L31" s="286"/>
      <c r="M31" s="40"/>
      <c r="N31" s="40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287">
        <v>10533.0</v>
      </c>
      <c r="B32" s="287" t="s">
        <v>2544</v>
      </c>
      <c r="C32" s="287" t="s">
        <v>42</v>
      </c>
      <c r="D32" s="287" t="s">
        <v>249</v>
      </c>
      <c r="E32" s="287" t="b">
        <v>1</v>
      </c>
      <c r="F32" s="287" t="b">
        <v>1</v>
      </c>
      <c r="G32" s="287" t="s">
        <v>310</v>
      </c>
      <c r="H32" s="40"/>
      <c r="I32" s="40"/>
      <c r="J32" s="40"/>
      <c r="K32" s="286"/>
      <c r="L32" s="286"/>
      <c r="M32" s="40"/>
      <c r="N32" s="40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287">
        <v>14397.0</v>
      </c>
      <c r="B33" s="287" t="s">
        <v>311</v>
      </c>
      <c r="C33" s="287" t="s">
        <v>42</v>
      </c>
      <c r="D33" s="287" t="s">
        <v>249</v>
      </c>
      <c r="E33" s="287" t="b">
        <v>1</v>
      </c>
      <c r="F33" s="287" t="b">
        <v>1</v>
      </c>
      <c r="G33" s="287" t="s">
        <v>296</v>
      </c>
      <c r="H33" s="40"/>
      <c r="I33" s="40"/>
      <c r="J33" s="40"/>
      <c r="K33" s="286"/>
      <c r="L33" s="286"/>
      <c r="M33" s="40"/>
      <c r="N33" s="40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287">
        <v>14400.0</v>
      </c>
      <c r="B34" s="287" t="s">
        <v>313</v>
      </c>
      <c r="C34" s="287" t="s">
        <v>42</v>
      </c>
      <c r="D34" s="287" t="s">
        <v>249</v>
      </c>
      <c r="E34" s="287" t="b">
        <v>1</v>
      </c>
      <c r="F34" s="287" t="b">
        <v>1</v>
      </c>
      <c r="G34" s="287" t="s">
        <v>296</v>
      </c>
      <c r="H34" s="40"/>
      <c r="I34" s="40"/>
      <c r="J34" s="40"/>
      <c r="K34" s="286"/>
      <c r="L34" s="286"/>
      <c r="M34" s="40"/>
      <c r="N34" s="40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287">
        <v>10051.0</v>
      </c>
      <c r="B35" s="287" t="s">
        <v>317</v>
      </c>
      <c r="C35" s="287" t="s">
        <v>42</v>
      </c>
      <c r="D35" s="287" t="s">
        <v>249</v>
      </c>
      <c r="E35" s="287" t="b">
        <v>1</v>
      </c>
      <c r="F35" s="287" t="b">
        <v>1</v>
      </c>
      <c r="G35" s="287" t="s">
        <v>319</v>
      </c>
      <c r="H35" s="40"/>
      <c r="I35" s="40"/>
      <c r="J35" s="40"/>
      <c r="K35" s="286"/>
      <c r="L35" s="286"/>
      <c r="M35" s="40"/>
      <c r="N35" s="40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287">
        <v>14407.0</v>
      </c>
      <c r="B36" s="287" t="s">
        <v>315</v>
      </c>
      <c r="C36" s="287" t="s">
        <v>42</v>
      </c>
      <c r="D36" s="287" t="s">
        <v>249</v>
      </c>
      <c r="E36" s="287" t="b">
        <v>1</v>
      </c>
      <c r="F36" s="287" t="b">
        <v>1</v>
      </c>
      <c r="G36" s="287" t="s">
        <v>316</v>
      </c>
      <c r="H36" s="40"/>
      <c r="I36" s="40"/>
      <c r="J36" s="40"/>
      <c r="K36" s="286"/>
      <c r="L36" s="286"/>
      <c r="M36" s="40"/>
      <c r="N36" s="40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287">
        <v>27414.0</v>
      </c>
      <c r="B37" s="287" t="s">
        <v>320</v>
      </c>
      <c r="C37" s="287" t="s">
        <v>42</v>
      </c>
      <c r="D37" s="287" t="s">
        <v>249</v>
      </c>
      <c r="E37" s="287" t="b">
        <v>1</v>
      </c>
      <c r="F37" s="287" t="b">
        <v>1</v>
      </c>
      <c r="G37" s="287" t="s">
        <v>250</v>
      </c>
      <c r="H37" s="40"/>
      <c r="I37" s="40"/>
      <c r="J37" s="40"/>
      <c r="K37" s="286"/>
      <c r="L37" s="286"/>
      <c r="M37" s="40"/>
      <c r="N37" s="40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287">
        <v>14424.0</v>
      </c>
      <c r="B38" s="287" t="s">
        <v>321</v>
      </c>
      <c r="C38" s="287" t="s">
        <v>42</v>
      </c>
      <c r="D38" s="287" t="s">
        <v>249</v>
      </c>
      <c r="E38" s="287" t="b">
        <v>1</v>
      </c>
      <c r="F38" s="287" t="b">
        <v>1</v>
      </c>
      <c r="G38" s="287" t="s">
        <v>316</v>
      </c>
      <c r="H38" s="40"/>
      <c r="I38" s="40"/>
      <c r="J38" s="40"/>
      <c r="K38" s="286"/>
      <c r="L38" s="286"/>
      <c r="M38" s="40"/>
      <c r="N38" s="40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287">
        <v>45649.0</v>
      </c>
      <c r="B39" s="287" t="s">
        <v>326</v>
      </c>
      <c r="C39" s="287" t="s">
        <v>42</v>
      </c>
      <c r="D39" s="287" t="s">
        <v>249</v>
      </c>
      <c r="E39" s="287" t="b">
        <v>1</v>
      </c>
      <c r="F39" s="287" t="b">
        <v>1</v>
      </c>
      <c r="G39" s="287" t="s">
        <v>328</v>
      </c>
      <c r="H39" s="40"/>
      <c r="I39" s="40"/>
      <c r="J39" s="40"/>
      <c r="K39" s="286"/>
      <c r="L39" s="286"/>
      <c r="M39" s="40"/>
      <c r="N39" s="40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287">
        <v>11690.0</v>
      </c>
      <c r="B40" s="287" t="s">
        <v>329</v>
      </c>
      <c r="C40" s="287" t="s">
        <v>42</v>
      </c>
      <c r="D40" s="287" t="s">
        <v>249</v>
      </c>
      <c r="E40" s="287" t="b">
        <v>1</v>
      </c>
      <c r="F40" s="287" t="b">
        <v>1</v>
      </c>
      <c r="G40" s="287" t="s">
        <v>250</v>
      </c>
      <c r="H40" s="40"/>
      <c r="I40" s="40"/>
      <c r="J40" s="40"/>
      <c r="K40" s="286"/>
      <c r="L40" s="286"/>
      <c r="M40" s="40"/>
      <c r="N40" s="40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287">
        <v>14581.0</v>
      </c>
      <c r="B41" s="287" t="s">
        <v>330</v>
      </c>
      <c r="C41" s="287" t="s">
        <v>42</v>
      </c>
      <c r="D41" s="287" t="s">
        <v>249</v>
      </c>
      <c r="E41" s="287" t="b">
        <v>1</v>
      </c>
      <c r="F41" s="287" t="b">
        <v>1</v>
      </c>
      <c r="G41" s="287" t="s">
        <v>250</v>
      </c>
      <c r="H41" s="40"/>
      <c r="I41" s="40"/>
      <c r="J41" s="40"/>
      <c r="K41" s="286"/>
      <c r="L41" s="286"/>
      <c r="M41" s="40"/>
      <c r="N41" s="40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287">
        <v>11695.0</v>
      </c>
      <c r="B42" s="287" t="s">
        <v>331</v>
      </c>
      <c r="C42" s="287" t="s">
        <v>42</v>
      </c>
      <c r="D42" s="287" t="s">
        <v>249</v>
      </c>
      <c r="E42" s="287" t="b">
        <v>1</v>
      </c>
      <c r="F42" s="287" t="b">
        <v>1</v>
      </c>
      <c r="G42" s="287" t="s">
        <v>250</v>
      </c>
      <c r="H42" s="40"/>
      <c r="I42" s="40"/>
      <c r="J42" s="40"/>
      <c r="K42" s="286"/>
      <c r="L42" s="286"/>
      <c r="M42" s="40"/>
      <c r="N42" s="40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287">
        <v>14580.0</v>
      </c>
      <c r="B43" s="287" t="s">
        <v>332</v>
      </c>
      <c r="C43" s="287" t="s">
        <v>42</v>
      </c>
      <c r="D43" s="287" t="s">
        <v>249</v>
      </c>
      <c r="E43" s="287" t="b">
        <v>1</v>
      </c>
      <c r="F43" s="287" t="b">
        <v>1</v>
      </c>
      <c r="G43" s="287" t="s">
        <v>250</v>
      </c>
      <c r="H43" s="40"/>
      <c r="I43" s="40"/>
      <c r="J43" s="40"/>
      <c r="K43" s="286"/>
      <c r="L43" s="286"/>
      <c r="M43" s="40"/>
      <c r="N43" s="40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287">
        <v>14502.0</v>
      </c>
      <c r="B44" s="287" t="s">
        <v>333</v>
      </c>
      <c r="C44" s="287" t="s">
        <v>42</v>
      </c>
      <c r="D44" s="287" t="s">
        <v>249</v>
      </c>
      <c r="E44" s="287" t="b">
        <v>1</v>
      </c>
      <c r="F44" s="287" t="b">
        <v>1</v>
      </c>
      <c r="G44" s="287" t="s">
        <v>250</v>
      </c>
      <c r="H44" s="40"/>
      <c r="I44" s="40"/>
      <c r="J44" s="40"/>
      <c r="K44" s="286"/>
      <c r="L44" s="286"/>
      <c r="M44" s="40"/>
      <c r="N44" s="40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287">
        <v>108520.0</v>
      </c>
      <c r="B45" s="287" t="s">
        <v>335</v>
      </c>
      <c r="C45" s="287" t="s">
        <v>42</v>
      </c>
      <c r="D45" s="287" t="s">
        <v>249</v>
      </c>
      <c r="E45" s="287" t="b">
        <v>1</v>
      </c>
      <c r="F45" s="287" t="b">
        <v>1</v>
      </c>
      <c r="G45" s="287" t="s">
        <v>2545</v>
      </c>
      <c r="H45" s="40"/>
      <c r="I45" s="40"/>
      <c r="J45" s="40"/>
      <c r="K45" s="286"/>
      <c r="L45" s="286"/>
      <c r="M45" s="40"/>
      <c r="N45" s="40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287">
        <v>14523.0</v>
      </c>
      <c r="B46" s="287" t="s">
        <v>337</v>
      </c>
      <c r="C46" s="287" t="s">
        <v>42</v>
      </c>
      <c r="D46" s="287" t="s">
        <v>249</v>
      </c>
      <c r="E46" s="287" t="b">
        <v>1</v>
      </c>
      <c r="F46" s="287" t="b">
        <v>1</v>
      </c>
      <c r="G46" s="287" t="s">
        <v>250</v>
      </c>
      <c r="H46" s="40"/>
      <c r="I46" s="40"/>
      <c r="J46" s="40"/>
      <c r="K46" s="286"/>
      <c r="L46" s="286"/>
      <c r="M46" s="40"/>
      <c r="N46" s="40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287">
        <v>62645.0</v>
      </c>
      <c r="B47" s="287" t="s">
        <v>338</v>
      </c>
      <c r="C47" s="287" t="s">
        <v>42</v>
      </c>
      <c r="D47" s="287" t="s">
        <v>249</v>
      </c>
      <c r="E47" s="287" t="b">
        <v>1</v>
      </c>
      <c r="F47" s="287" t="b">
        <v>1</v>
      </c>
      <c r="G47" s="287" t="s">
        <v>250</v>
      </c>
      <c r="H47" s="40"/>
      <c r="I47" s="40"/>
      <c r="J47" s="40"/>
      <c r="K47" s="286"/>
      <c r="L47" s="286"/>
      <c r="M47" s="40"/>
      <c r="N47" s="40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287">
        <v>14576.0</v>
      </c>
      <c r="B48" s="287" t="s">
        <v>341</v>
      </c>
      <c r="C48" s="287" t="s">
        <v>42</v>
      </c>
      <c r="D48" s="287" t="s">
        <v>249</v>
      </c>
      <c r="E48" s="287" t="b">
        <v>1</v>
      </c>
      <c r="F48" s="287" t="b">
        <v>1</v>
      </c>
      <c r="G48" s="287" t="s">
        <v>250</v>
      </c>
      <c r="H48" s="40"/>
      <c r="I48" s="40"/>
      <c r="J48" s="40"/>
      <c r="K48" s="286"/>
      <c r="L48" s="286"/>
      <c r="M48" s="40"/>
      <c r="N48" s="40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287">
        <v>14579.0</v>
      </c>
      <c r="B49" s="287" t="s">
        <v>324</v>
      </c>
      <c r="C49" s="287" t="s">
        <v>42</v>
      </c>
      <c r="D49" s="287" t="s">
        <v>249</v>
      </c>
      <c r="E49" s="287" t="b">
        <v>1</v>
      </c>
      <c r="F49" s="287" t="b">
        <v>1</v>
      </c>
      <c r="G49" s="287" t="s">
        <v>250</v>
      </c>
      <c r="H49" s="40"/>
      <c r="I49" s="40"/>
      <c r="J49" s="40"/>
      <c r="K49" s="286"/>
      <c r="L49" s="286"/>
      <c r="M49" s="40"/>
      <c r="N49" s="40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287">
        <v>107107.0</v>
      </c>
      <c r="B50" s="287" t="s">
        <v>342</v>
      </c>
      <c r="C50" s="287" t="s">
        <v>42</v>
      </c>
      <c r="D50" s="287" t="s">
        <v>249</v>
      </c>
      <c r="E50" s="287" t="b">
        <v>1</v>
      </c>
      <c r="F50" s="287" t="b">
        <v>1</v>
      </c>
      <c r="G50" s="287" t="s">
        <v>250</v>
      </c>
      <c r="H50" s="40"/>
      <c r="I50" s="40"/>
      <c r="J50" s="40"/>
      <c r="K50" s="286"/>
      <c r="L50" s="286"/>
      <c r="M50" s="40"/>
      <c r="N50" s="40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287">
        <v>14573.0</v>
      </c>
      <c r="B51" s="287" t="s">
        <v>343</v>
      </c>
      <c r="C51" s="287" t="s">
        <v>42</v>
      </c>
      <c r="D51" s="287" t="s">
        <v>249</v>
      </c>
      <c r="E51" s="287" t="b">
        <v>1</v>
      </c>
      <c r="F51" s="287" t="b">
        <v>1</v>
      </c>
      <c r="G51" s="287" t="s">
        <v>250</v>
      </c>
      <c r="H51" s="40"/>
      <c r="I51" s="40"/>
      <c r="J51" s="40"/>
      <c r="K51" s="286"/>
      <c r="L51" s="286"/>
      <c r="M51" s="40"/>
      <c r="N51" s="40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287">
        <v>61152.0</v>
      </c>
      <c r="B52" s="287" t="s">
        <v>2546</v>
      </c>
      <c r="C52" s="287" t="s">
        <v>389</v>
      </c>
      <c r="D52" s="287" t="s">
        <v>249</v>
      </c>
      <c r="E52" s="287" t="b">
        <v>1</v>
      </c>
      <c r="F52" s="287" t="b">
        <v>0</v>
      </c>
      <c r="G52" s="287" t="s">
        <v>250</v>
      </c>
      <c r="H52" s="40"/>
      <c r="I52" s="40"/>
      <c r="J52" s="40"/>
      <c r="K52" s="286"/>
      <c r="L52" s="286"/>
      <c r="M52" s="40"/>
      <c r="N52" s="40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287">
        <v>14524.0</v>
      </c>
      <c r="B53" s="287" t="s">
        <v>344</v>
      </c>
      <c r="C53" s="287" t="s">
        <v>42</v>
      </c>
      <c r="D53" s="287" t="s">
        <v>249</v>
      </c>
      <c r="E53" s="287" t="b">
        <v>1</v>
      </c>
      <c r="F53" s="287" t="b">
        <v>1</v>
      </c>
      <c r="G53" s="287" t="s">
        <v>345</v>
      </c>
      <c r="H53" s="40"/>
      <c r="I53" s="40"/>
      <c r="J53" s="40"/>
      <c r="K53" s="286"/>
      <c r="L53" s="286"/>
      <c r="M53" s="40"/>
      <c r="N53" s="40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287">
        <v>14577.0</v>
      </c>
      <c r="B54" s="287" t="s">
        <v>346</v>
      </c>
      <c r="C54" s="287" t="s">
        <v>42</v>
      </c>
      <c r="D54" s="287" t="s">
        <v>249</v>
      </c>
      <c r="E54" s="287" t="b">
        <v>1</v>
      </c>
      <c r="F54" s="287" t="b">
        <v>1</v>
      </c>
      <c r="G54" s="287" t="s">
        <v>345</v>
      </c>
      <c r="H54" s="40"/>
      <c r="I54" s="40"/>
      <c r="J54" s="40"/>
      <c r="K54" s="286"/>
      <c r="L54" s="286"/>
      <c r="M54" s="40"/>
      <c r="N54" s="40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287">
        <v>42345.0</v>
      </c>
      <c r="B55" s="287" t="s">
        <v>347</v>
      </c>
      <c r="C55" s="287" t="s">
        <v>42</v>
      </c>
      <c r="D55" s="287" t="s">
        <v>249</v>
      </c>
      <c r="E55" s="287" t="b">
        <v>1</v>
      </c>
      <c r="F55" s="287" t="b">
        <v>1</v>
      </c>
      <c r="G55" s="287" t="s">
        <v>250</v>
      </c>
      <c r="H55" s="40"/>
      <c r="I55" s="40"/>
      <c r="J55" s="40"/>
      <c r="K55" s="286"/>
      <c r="L55" s="286"/>
      <c r="M55" s="40"/>
      <c r="N55" s="40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287">
        <v>14498.0</v>
      </c>
      <c r="B56" s="287" t="s">
        <v>352</v>
      </c>
      <c r="C56" s="287" t="s">
        <v>42</v>
      </c>
      <c r="D56" s="287" t="s">
        <v>249</v>
      </c>
      <c r="E56" s="287" t="b">
        <v>1</v>
      </c>
      <c r="F56" s="287" t="b">
        <v>1</v>
      </c>
      <c r="G56" s="287" t="s">
        <v>250</v>
      </c>
      <c r="H56" s="40"/>
      <c r="I56" s="40"/>
      <c r="J56" s="40"/>
      <c r="K56" s="286"/>
      <c r="L56" s="286"/>
      <c r="M56" s="40"/>
      <c r="N56" s="40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287">
        <v>14603.0</v>
      </c>
      <c r="B57" s="287" t="s">
        <v>354</v>
      </c>
      <c r="C57" s="287" t="s">
        <v>42</v>
      </c>
      <c r="D57" s="287" t="s">
        <v>249</v>
      </c>
      <c r="E57" s="287" t="b">
        <v>1</v>
      </c>
      <c r="F57" s="287" t="b">
        <v>1</v>
      </c>
      <c r="G57" s="287" t="s">
        <v>357</v>
      </c>
      <c r="H57" s="40"/>
      <c r="I57" s="40"/>
      <c r="J57" s="40"/>
      <c r="K57" s="286"/>
      <c r="L57" s="286"/>
      <c r="M57" s="40"/>
      <c r="N57" s="40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287">
        <v>155914.0</v>
      </c>
      <c r="B58" s="287" t="s">
        <v>2547</v>
      </c>
      <c r="C58" s="287" t="s">
        <v>42</v>
      </c>
      <c r="D58" s="287" t="s">
        <v>249</v>
      </c>
      <c r="E58" s="287" t="b">
        <v>1</v>
      </c>
      <c r="F58" s="287" t="b">
        <v>1</v>
      </c>
      <c r="G58" s="287" t="s">
        <v>250</v>
      </c>
      <c r="H58" s="40"/>
      <c r="I58" s="40"/>
      <c r="J58" s="40"/>
      <c r="K58" s="286"/>
      <c r="L58" s="286"/>
      <c r="M58" s="40"/>
      <c r="N58" s="40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287">
        <v>14609.0</v>
      </c>
      <c r="B59" s="287" t="s">
        <v>358</v>
      </c>
      <c r="C59" s="287" t="s">
        <v>42</v>
      </c>
      <c r="D59" s="287" t="s">
        <v>249</v>
      </c>
      <c r="E59" s="287" t="b">
        <v>1</v>
      </c>
      <c r="F59" s="287" t="b">
        <v>1</v>
      </c>
      <c r="G59" s="287" t="s">
        <v>296</v>
      </c>
      <c r="H59" s="40"/>
      <c r="I59" s="40"/>
      <c r="J59" s="40"/>
      <c r="K59" s="286"/>
      <c r="L59" s="286"/>
      <c r="M59" s="40"/>
      <c r="N59" s="40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287">
        <v>14501.0</v>
      </c>
      <c r="B60" s="287" t="s">
        <v>359</v>
      </c>
      <c r="C60" s="287" t="s">
        <v>42</v>
      </c>
      <c r="D60" s="287" t="s">
        <v>249</v>
      </c>
      <c r="E60" s="287" t="b">
        <v>1</v>
      </c>
      <c r="F60" s="287" t="b">
        <v>1</v>
      </c>
      <c r="G60" s="287" t="s">
        <v>250</v>
      </c>
      <c r="H60" s="40"/>
      <c r="I60" s="40"/>
      <c r="J60" s="40"/>
      <c r="K60" s="286"/>
      <c r="L60" s="286"/>
      <c r="M60" s="40"/>
      <c r="N60" s="40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287">
        <v>147889.0</v>
      </c>
      <c r="B61" s="287" t="s">
        <v>360</v>
      </c>
      <c r="C61" s="287" t="s">
        <v>42</v>
      </c>
      <c r="D61" s="287" t="s">
        <v>249</v>
      </c>
      <c r="E61" s="287" t="b">
        <v>1</v>
      </c>
      <c r="F61" s="287" t="b">
        <v>1</v>
      </c>
      <c r="G61" s="287" t="s">
        <v>250</v>
      </c>
      <c r="H61" s="40"/>
      <c r="I61" s="40"/>
      <c r="J61" s="40"/>
      <c r="K61" s="286"/>
      <c r="L61" s="286"/>
      <c r="M61" s="40"/>
      <c r="N61" s="40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287">
        <v>148236.0</v>
      </c>
      <c r="B62" s="287" t="s">
        <v>2548</v>
      </c>
      <c r="C62" s="287" t="s">
        <v>42</v>
      </c>
      <c r="D62" s="287" t="s">
        <v>249</v>
      </c>
      <c r="E62" s="287" t="b">
        <v>1</v>
      </c>
      <c r="F62" s="287" t="b">
        <v>0</v>
      </c>
      <c r="G62" s="287" t="s">
        <v>250</v>
      </c>
      <c r="H62" s="40"/>
      <c r="I62" s="40"/>
      <c r="J62" s="40"/>
      <c r="K62" s="286"/>
      <c r="L62" s="286"/>
      <c r="M62" s="40"/>
      <c r="N62" s="40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287">
        <v>14565.0</v>
      </c>
      <c r="B63" s="287" t="s">
        <v>362</v>
      </c>
      <c r="C63" s="287" t="s">
        <v>42</v>
      </c>
      <c r="D63" s="287" t="s">
        <v>249</v>
      </c>
      <c r="E63" s="287" t="b">
        <v>1</v>
      </c>
      <c r="F63" s="287" t="b">
        <v>1</v>
      </c>
      <c r="G63" s="287" t="s">
        <v>2549</v>
      </c>
      <c r="H63" s="40"/>
      <c r="I63" s="40"/>
      <c r="J63" s="40"/>
      <c r="K63" s="286"/>
      <c r="L63" s="286"/>
      <c r="M63" s="40"/>
      <c r="N63" s="40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287">
        <v>14560.0</v>
      </c>
      <c r="B64" s="287" t="s">
        <v>365</v>
      </c>
      <c r="C64" s="287" t="s">
        <v>42</v>
      </c>
      <c r="D64" s="287" t="s">
        <v>249</v>
      </c>
      <c r="E64" s="287" t="b">
        <v>1</v>
      </c>
      <c r="F64" s="287" t="b">
        <v>1</v>
      </c>
      <c r="G64" s="287" t="s">
        <v>2550</v>
      </c>
      <c r="H64" s="40"/>
      <c r="I64" s="40"/>
      <c r="J64" s="40"/>
      <c r="K64" s="286"/>
      <c r="L64" s="286"/>
      <c r="M64" s="40"/>
      <c r="N64" s="40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287">
        <v>14555.0</v>
      </c>
      <c r="B65" s="287" t="s">
        <v>368</v>
      </c>
      <c r="C65" s="287" t="s">
        <v>42</v>
      </c>
      <c r="D65" s="287" t="s">
        <v>369</v>
      </c>
      <c r="E65" s="287" t="b">
        <v>1</v>
      </c>
      <c r="F65" s="287" t="b">
        <v>1</v>
      </c>
      <c r="G65" s="287" t="s">
        <v>296</v>
      </c>
      <c r="H65" s="40"/>
      <c r="I65" s="40"/>
      <c r="J65" s="40"/>
      <c r="K65" s="286"/>
      <c r="L65" s="286"/>
      <c r="M65" s="40"/>
      <c r="N65" s="40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287">
        <v>101542.0</v>
      </c>
      <c r="B66" s="287" t="s">
        <v>374</v>
      </c>
      <c r="C66" s="287" t="s">
        <v>42</v>
      </c>
      <c r="D66" s="287" t="s">
        <v>369</v>
      </c>
      <c r="E66" s="287" t="b">
        <v>1</v>
      </c>
      <c r="F66" s="287" t="b">
        <v>1</v>
      </c>
      <c r="G66" s="287" t="s">
        <v>250</v>
      </c>
      <c r="H66" s="40"/>
      <c r="I66" s="40"/>
      <c r="J66" s="40"/>
      <c r="K66" s="286"/>
      <c r="L66" s="286"/>
      <c r="M66" s="40"/>
      <c r="N66" s="40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287">
        <v>106535.0</v>
      </c>
      <c r="B67" s="287" t="s">
        <v>2551</v>
      </c>
      <c r="C67" s="287" t="s">
        <v>42</v>
      </c>
      <c r="D67" s="287" t="s">
        <v>369</v>
      </c>
      <c r="E67" s="287" t="b">
        <v>1</v>
      </c>
      <c r="F67" s="287" t="b">
        <v>1</v>
      </c>
      <c r="G67" s="287" t="s">
        <v>379</v>
      </c>
      <c r="H67" s="40"/>
      <c r="I67" s="40"/>
      <c r="J67" s="40"/>
      <c r="K67" s="286"/>
      <c r="L67" s="286"/>
      <c r="M67" s="40"/>
      <c r="N67" s="40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287">
        <v>42945.0</v>
      </c>
      <c r="B68" s="287" t="s">
        <v>375</v>
      </c>
      <c r="C68" s="287" t="s">
        <v>42</v>
      </c>
      <c r="D68" s="287" t="s">
        <v>369</v>
      </c>
      <c r="E68" s="287" t="b">
        <v>1</v>
      </c>
      <c r="F68" s="287" t="b">
        <v>1</v>
      </c>
      <c r="G68" s="287" t="s">
        <v>296</v>
      </c>
      <c r="H68" s="40"/>
      <c r="I68" s="40"/>
      <c r="J68" s="40"/>
      <c r="K68" s="286"/>
      <c r="L68" s="286"/>
      <c r="M68" s="40"/>
      <c r="N68" s="40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287">
        <v>23373.0</v>
      </c>
      <c r="B69" s="287" t="s">
        <v>380</v>
      </c>
      <c r="C69" s="287" t="s">
        <v>42</v>
      </c>
      <c r="D69" s="287" t="s">
        <v>249</v>
      </c>
      <c r="E69" s="287" t="b">
        <v>1</v>
      </c>
      <c r="F69" s="287" t="b">
        <v>1</v>
      </c>
      <c r="G69" s="287" t="s">
        <v>250</v>
      </c>
      <c r="H69" s="40"/>
      <c r="I69" s="40"/>
      <c r="J69" s="40"/>
      <c r="K69" s="286"/>
      <c r="L69" s="286"/>
      <c r="M69" s="40"/>
      <c r="N69" s="40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287">
        <v>142852.0</v>
      </c>
      <c r="B70" s="287" t="s">
        <v>382</v>
      </c>
      <c r="C70" s="287" t="s">
        <v>42</v>
      </c>
      <c r="D70" s="287" t="s">
        <v>249</v>
      </c>
      <c r="E70" s="287" t="b">
        <v>1</v>
      </c>
      <c r="F70" s="287" t="b">
        <v>1</v>
      </c>
      <c r="G70" s="287" t="s">
        <v>384</v>
      </c>
      <c r="H70" s="40"/>
      <c r="I70" s="40"/>
      <c r="J70" s="40"/>
      <c r="K70" s="286"/>
      <c r="L70" s="286"/>
      <c r="M70" s="40"/>
      <c r="N70" s="40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287">
        <v>42209.0</v>
      </c>
      <c r="B71" s="287" t="s">
        <v>388</v>
      </c>
      <c r="C71" s="287" t="s">
        <v>42</v>
      </c>
      <c r="D71" s="287" t="s">
        <v>249</v>
      </c>
      <c r="E71" s="287" t="b">
        <v>1</v>
      </c>
      <c r="F71" s="287" t="b">
        <v>1</v>
      </c>
      <c r="G71" s="287" t="s">
        <v>250</v>
      </c>
      <c r="H71" s="40"/>
      <c r="I71" s="40"/>
      <c r="J71" s="40"/>
      <c r="K71" s="286"/>
      <c r="L71" s="286"/>
      <c r="M71" s="40"/>
      <c r="N71" s="40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287">
        <v>145187.0</v>
      </c>
      <c r="B72" s="287" t="s">
        <v>2552</v>
      </c>
      <c r="C72" s="287" t="s">
        <v>42</v>
      </c>
      <c r="D72" s="287" t="s">
        <v>249</v>
      </c>
      <c r="E72" s="287" t="b">
        <v>1</v>
      </c>
      <c r="F72" s="287" t="b">
        <v>1</v>
      </c>
      <c r="G72" s="287" t="s">
        <v>2553</v>
      </c>
      <c r="H72" s="40"/>
      <c r="I72" s="40"/>
      <c r="J72" s="40"/>
      <c r="K72" s="286"/>
      <c r="L72" s="286"/>
      <c r="M72" s="40"/>
      <c r="N72" s="40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287">
        <v>38172.0</v>
      </c>
      <c r="B73" s="287" t="s">
        <v>393</v>
      </c>
      <c r="C73" s="287" t="s">
        <v>42</v>
      </c>
      <c r="D73" s="287" t="s">
        <v>249</v>
      </c>
      <c r="E73" s="287" t="b">
        <v>1</v>
      </c>
      <c r="F73" s="287" t="b">
        <v>1</v>
      </c>
      <c r="G73" s="287" t="s">
        <v>2554</v>
      </c>
      <c r="H73" s="40"/>
      <c r="I73" s="40"/>
      <c r="J73" s="40"/>
      <c r="K73" s="286"/>
      <c r="L73" s="286"/>
      <c r="M73" s="40"/>
      <c r="N73" s="40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287">
        <v>14570.0</v>
      </c>
      <c r="B74" s="287" t="s">
        <v>396</v>
      </c>
      <c r="C74" s="287" t="s">
        <v>42</v>
      </c>
      <c r="D74" s="287" t="s">
        <v>249</v>
      </c>
      <c r="E74" s="287" t="b">
        <v>1</v>
      </c>
      <c r="F74" s="287" t="b">
        <v>1</v>
      </c>
      <c r="G74" s="287" t="s">
        <v>310</v>
      </c>
      <c r="H74" s="40"/>
      <c r="I74" s="40"/>
      <c r="J74" s="40"/>
      <c r="K74" s="286"/>
      <c r="L74" s="286"/>
      <c r="M74" s="40"/>
      <c r="N74" s="40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287">
        <v>109686.0</v>
      </c>
      <c r="B75" s="287" t="s">
        <v>398</v>
      </c>
      <c r="C75" s="287" t="s">
        <v>42</v>
      </c>
      <c r="D75" s="287" t="s">
        <v>249</v>
      </c>
      <c r="E75" s="287" t="b">
        <v>1</v>
      </c>
      <c r="F75" s="287" t="b">
        <v>1</v>
      </c>
      <c r="G75" s="287" t="s">
        <v>250</v>
      </c>
      <c r="H75" s="40"/>
      <c r="I75" s="40"/>
      <c r="J75" s="40"/>
      <c r="K75" s="286"/>
      <c r="L75" s="286"/>
      <c r="M75" s="40"/>
      <c r="N75" s="40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287">
        <v>14546.0</v>
      </c>
      <c r="B76" s="287" t="s">
        <v>400</v>
      </c>
      <c r="C76" s="287" t="s">
        <v>42</v>
      </c>
      <c r="D76" s="287" t="s">
        <v>369</v>
      </c>
      <c r="E76" s="287" t="b">
        <v>1</v>
      </c>
      <c r="F76" s="287" t="b">
        <v>1</v>
      </c>
      <c r="G76" s="287" t="s">
        <v>296</v>
      </c>
      <c r="H76" s="40"/>
      <c r="I76" s="40"/>
      <c r="J76" s="40"/>
      <c r="K76" s="286"/>
      <c r="L76" s="286"/>
      <c r="M76" s="40"/>
      <c r="N76" s="40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287">
        <v>111055.0</v>
      </c>
      <c r="B77" s="287" t="s">
        <v>401</v>
      </c>
      <c r="C77" s="287" t="s">
        <v>42</v>
      </c>
      <c r="D77" s="287" t="s">
        <v>249</v>
      </c>
      <c r="E77" s="287" t="b">
        <v>1</v>
      </c>
      <c r="F77" s="287" t="b">
        <v>1</v>
      </c>
      <c r="G77" s="287" t="s">
        <v>296</v>
      </c>
      <c r="H77" s="40"/>
      <c r="I77" s="40"/>
      <c r="J77" s="40"/>
      <c r="K77" s="286"/>
      <c r="L77" s="286"/>
      <c r="M77" s="40"/>
      <c r="N77" s="40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287">
        <v>27410.0</v>
      </c>
      <c r="B78" s="287" t="s">
        <v>403</v>
      </c>
      <c r="C78" s="287" t="s">
        <v>42</v>
      </c>
      <c r="D78" s="287" t="s">
        <v>369</v>
      </c>
      <c r="E78" s="287" t="b">
        <v>1</v>
      </c>
      <c r="F78" s="287" t="b">
        <v>1</v>
      </c>
      <c r="G78" s="287" t="s">
        <v>405</v>
      </c>
      <c r="H78" s="40"/>
      <c r="I78" s="40"/>
      <c r="J78" s="40"/>
      <c r="K78" s="286"/>
      <c r="L78" s="286"/>
      <c r="M78" s="40"/>
      <c r="N78" s="40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287">
        <v>14543.0</v>
      </c>
      <c r="B79" s="287" t="s">
        <v>406</v>
      </c>
      <c r="C79" s="287" t="s">
        <v>42</v>
      </c>
      <c r="D79" s="287" t="s">
        <v>249</v>
      </c>
      <c r="E79" s="287" t="b">
        <v>1</v>
      </c>
      <c r="F79" s="287" t="b">
        <v>1</v>
      </c>
      <c r="G79" s="287" t="s">
        <v>2555</v>
      </c>
      <c r="H79" s="40"/>
      <c r="I79" s="40"/>
      <c r="J79" s="40"/>
      <c r="K79" s="286"/>
      <c r="L79" s="286"/>
      <c r="M79" s="40"/>
      <c r="N79" s="40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287">
        <v>42948.0</v>
      </c>
      <c r="B80" s="287" t="s">
        <v>408</v>
      </c>
      <c r="C80" s="287" t="s">
        <v>42</v>
      </c>
      <c r="D80" s="287" t="s">
        <v>369</v>
      </c>
      <c r="E80" s="287" t="b">
        <v>1</v>
      </c>
      <c r="F80" s="287" t="b">
        <v>1</v>
      </c>
      <c r="G80" s="287" t="s">
        <v>409</v>
      </c>
      <c r="H80" s="40"/>
      <c r="I80" s="40"/>
      <c r="J80" s="40"/>
      <c r="K80" s="286"/>
      <c r="L80" s="286"/>
      <c r="M80" s="40"/>
      <c r="N80" s="40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287">
        <v>14557.0</v>
      </c>
      <c r="B81" s="287" t="s">
        <v>410</v>
      </c>
      <c r="C81" s="287" t="s">
        <v>42</v>
      </c>
      <c r="D81" s="287" t="s">
        <v>249</v>
      </c>
      <c r="E81" s="287" t="b">
        <v>1</v>
      </c>
      <c r="F81" s="287" t="b">
        <v>1</v>
      </c>
      <c r="G81" s="287" t="s">
        <v>296</v>
      </c>
      <c r="H81" s="40"/>
      <c r="I81" s="40"/>
      <c r="J81" s="40"/>
      <c r="K81" s="286"/>
      <c r="L81" s="286"/>
      <c r="M81" s="40"/>
      <c r="N81" s="40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287">
        <v>14541.0</v>
      </c>
      <c r="B82" s="287" t="s">
        <v>412</v>
      </c>
      <c r="C82" s="287" t="s">
        <v>42</v>
      </c>
      <c r="D82" s="287" t="s">
        <v>249</v>
      </c>
      <c r="E82" s="287" t="b">
        <v>1</v>
      </c>
      <c r="F82" s="287" t="b">
        <v>1</v>
      </c>
      <c r="G82" s="287" t="s">
        <v>413</v>
      </c>
      <c r="H82" s="40"/>
      <c r="I82" s="40"/>
      <c r="J82" s="40"/>
      <c r="K82" s="286"/>
      <c r="L82" s="286"/>
      <c r="M82" s="40"/>
      <c r="N82" s="40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287">
        <v>101442.0</v>
      </c>
      <c r="B83" s="287" t="s">
        <v>414</v>
      </c>
      <c r="C83" s="287" t="s">
        <v>42</v>
      </c>
      <c r="D83" s="287" t="s">
        <v>369</v>
      </c>
      <c r="E83" s="287" t="b">
        <v>1</v>
      </c>
      <c r="F83" s="287" t="b">
        <v>1</v>
      </c>
      <c r="G83" s="287" t="s">
        <v>415</v>
      </c>
      <c r="H83" s="40"/>
      <c r="I83" s="40"/>
      <c r="J83" s="40"/>
      <c r="K83" s="286"/>
      <c r="L83" s="286"/>
      <c r="M83" s="40"/>
      <c r="N83" s="40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287">
        <v>14482.0</v>
      </c>
      <c r="B84" s="287" t="s">
        <v>419</v>
      </c>
      <c r="C84" s="287" t="s">
        <v>42</v>
      </c>
      <c r="D84" s="287" t="s">
        <v>369</v>
      </c>
      <c r="E84" s="287" t="b">
        <v>1</v>
      </c>
      <c r="F84" s="287" t="b">
        <v>1</v>
      </c>
      <c r="G84" s="287" t="s">
        <v>421</v>
      </c>
      <c r="H84" s="40"/>
      <c r="I84" s="40"/>
      <c r="J84" s="40"/>
      <c r="K84" s="286"/>
      <c r="L84" s="286"/>
      <c r="M84" s="40"/>
      <c r="N84" s="40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287">
        <v>19396.0</v>
      </c>
      <c r="B85" s="287" t="s">
        <v>428</v>
      </c>
      <c r="C85" s="287" t="s">
        <v>42</v>
      </c>
      <c r="D85" s="287" t="s">
        <v>249</v>
      </c>
      <c r="E85" s="287" t="b">
        <v>1</v>
      </c>
      <c r="F85" s="287" t="b">
        <v>1</v>
      </c>
      <c r="G85" s="287" t="s">
        <v>250</v>
      </c>
      <c r="H85" s="40"/>
      <c r="I85" s="40"/>
      <c r="J85" s="40"/>
      <c r="K85" s="286"/>
      <c r="L85" s="286"/>
      <c r="M85" s="40"/>
      <c r="N85" s="40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287">
        <v>10052.0</v>
      </c>
      <c r="B86" s="287" t="s">
        <v>431</v>
      </c>
      <c r="C86" s="287" t="s">
        <v>42</v>
      </c>
      <c r="D86" s="287" t="s">
        <v>249</v>
      </c>
      <c r="E86" s="287" t="b">
        <v>1</v>
      </c>
      <c r="F86" s="287" t="b">
        <v>1</v>
      </c>
      <c r="G86" s="287" t="s">
        <v>250</v>
      </c>
      <c r="H86" s="40"/>
      <c r="I86" s="40"/>
      <c r="J86" s="40"/>
      <c r="K86" s="286"/>
      <c r="L86" s="286"/>
      <c r="M86" s="40"/>
      <c r="N86" s="40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287">
        <v>14804.0</v>
      </c>
      <c r="B87" s="287" t="s">
        <v>433</v>
      </c>
      <c r="C87" s="287" t="s">
        <v>42</v>
      </c>
      <c r="D87" s="287" t="s">
        <v>249</v>
      </c>
      <c r="E87" s="287" t="b">
        <v>1</v>
      </c>
      <c r="F87" s="287" t="b">
        <v>1</v>
      </c>
      <c r="G87" s="287" t="s">
        <v>250</v>
      </c>
      <c r="H87" s="40"/>
      <c r="I87" s="40"/>
      <c r="J87" s="40"/>
      <c r="K87" s="286"/>
      <c r="L87" s="286"/>
      <c r="M87" s="40"/>
      <c r="N87" s="40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287">
        <v>11757.0</v>
      </c>
      <c r="B88" s="287" t="s">
        <v>434</v>
      </c>
      <c r="C88" s="287" t="s">
        <v>42</v>
      </c>
      <c r="D88" s="287" t="s">
        <v>249</v>
      </c>
      <c r="E88" s="287" t="b">
        <v>1</v>
      </c>
      <c r="F88" s="287" t="b">
        <v>1</v>
      </c>
      <c r="G88" s="287" t="s">
        <v>436</v>
      </c>
      <c r="H88" s="40"/>
      <c r="I88" s="40"/>
      <c r="J88" s="40"/>
      <c r="K88" s="286"/>
      <c r="L88" s="286"/>
      <c r="M88" s="40"/>
      <c r="N88" s="40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287">
        <v>35163.0</v>
      </c>
      <c r="B89" s="287" t="s">
        <v>437</v>
      </c>
      <c r="C89" s="287" t="s">
        <v>42</v>
      </c>
      <c r="D89" s="287" t="s">
        <v>249</v>
      </c>
      <c r="E89" s="287" t="b">
        <v>1</v>
      </c>
      <c r="F89" s="287" t="b">
        <v>1</v>
      </c>
      <c r="G89" s="287" t="s">
        <v>250</v>
      </c>
      <c r="H89" s="40"/>
      <c r="I89" s="40"/>
      <c r="J89" s="40"/>
      <c r="K89" s="286"/>
      <c r="L89" s="286"/>
      <c r="M89" s="40"/>
      <c r="N89" s="40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287">
        <v>14630.0</v>
      </c>
      <c r="B90" s="287" t="s">
        <v>439</v>
      </c>
      <c r="C90" s="287" t="s">
        <v>42</v>
      </c>
      <c r="D90" s="287" t="s">
        <v>249</v>
      </c>
      <c r="E90" s="287" t="b">
        <v>1</v>
      </c>
      <c r="F90" s="287" t="b">
        <v>1</v>
      </c>
      <c r="G90" s="287" t="s">
        <v>250</v>
      </c>
      <c r="H90" s="40"/>
      <c r="I90" s="40"/>
      <c r="J90" s="40"/>
      <c r="K90" s="286"/>
      <c r="L90" s="286"/>
      <c r="M90" s="40"/>
      <c r="N90" s="40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287">
        <v>14752.0</v>
      </c>
      <c r="B91" s="287" t="s">
        <v>441</v>
      </c>
      <c r="C91" s="287" t="s">
        <v>42</v>
      </c>
      <c r="D91" s="287" t="s">
        <v>249</v>
      </c>
      <c r="E91" s="287" t="b">
        <v>1</v>
      </c>
      <c r="F91" s="287" t="b">
        <v>1</v>
      </c>
      <c r="G91" s="287" t="s">
        <v>250</v>
      </c>
      <c r="H91" s="40"/>
      <c r="I91" s="40"/>
      <c r="J91" s="40"/>
      <c r="K91" s="286"/>
      <c r="L91" s="286"/>
      <c r="M91" s="40"/>
      <c r="N91" s="40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287">
        <v>112635.0</v>
      </c>
      <c r="B92" s="287" t="s">
        <v>442</v>
      </c>
      <c r="C92" s="287" t="s">
        <v>42</v>
      </c>
      <c r="D92" s="287" t="s">
        <v>249</v>
      </c>
      <c r="E92" s="287" t="b">
        <v>1</v>
      </c>
      <c r="F92" s="287" t="b">
        <v>1</v>
      </c>
      <c r="G92" s="287" t="s">
        <v>250</v>
      </c>
      <c r="H92" s="40"/>
      <c r="I92" s="40"/>
      <c r="J92" s="40"/>
      <c r="K92" s="286"/>
      <c r="L92" s="286"/>
      <c r="M92" s="40"/>
      <c r="N92" s="40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287">
        <v>11826.0</v>
      </c>
      <c r="B93" s="287" t="s">
        <v>445</v>
      </c>
      <c r="C93" s="287" t="s">
        <v>42</v>
      </c>
      <c r="D93" s="287" t="s">
        <v>249</v>
      </c>
      <c r="E93" s="287" t="b">
        <v>1</v>
      </c>
      <c r="F93" s="287" t="b">
        <v>1</v>
      </c>
      <c r="G93" s="287" t="s">
        <v>250</v>
      </c>
      <c r="H93" s="40"/>
      <c r="I93" s="40"/>
      <c r="J93" s="40"/>
      <c r="K93" s="286"/>
      <c r="L93" s="286"/>
      <c r="M93" s="40"/>
      <c r="N93" s="40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287">
        <v>150122.0</v>
      </c>
      <c r="B94" s="287" t="s">
        <v>446</v>
      </c>
      <c r="C94" s="287" t="s">
        <v>42</v>
      </c>
      <c r="D94" s="287" t="s">
        <v>249</v>
      </c>
      <c r="E94" s="287" t="b">
        <v>1</v>
      </c>
      <c r="F94" s="287" t="b">
        <v>1</v>
      </c>
      <c r="G94" s="287" t="s">
        <v>250</v>
      </c>
      <c r="H94" s="40"/>
      <c r="I94" s="40"/>
      <c r="J94" s="40"/>
      <c r="K94" s="286"/>
      <c r="L94" s="286"/>
      <c r="M94" s="40"/>
      <c r="N94" s="40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287">
        <v>49645.0</v>
      </c>
      <c r="B95" s="287" t="s">
        <v>448</v>
      </c>
      <c r="C95" s="287" t="s">
        <v>42</v>
      </c>
      <c r="D95" s="287" t="s">
        <v>249</v>
      </c>
      <c r="E95" s="287" t="b">
        <v>1</v>
      </c>
      <c r="F95" s="287" t="b">
        <v>1</v>
      </c>
      <c r="G95" s="287" t="s">
        <v>250</v>
      </c>
      <c r="H95" s="40"/>
      <c r="I95" s="40"/>
      <c r="J95" s="40"/>
      <c r="K95" s="286"/>
      <c r="L95" s="286"/>
      <c r="M95" s="40"/>
      <c r="N95" s="40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287">
        <v>14670.0</v>
      </c>
      <c r="B96" s="287" t="s">
        <v>449</v>
      </c>
      <c r="C96" s="287" t="s">
        <v>42</v>
      </c>
      <c r="D96" s="287" t="s">
        <v>249</v>
      </c>
      <c r="E96" s="287" t="b">
        <v>1</v>
      </c>
      <c r="F96" s="287" t="b">
        <v>1</v>
      </c>
      <c r="G96" s="287" t="s">
        <v>250</v>
      </c>
      <c r="H96" s="40"/>
      <c r="I96" s="40"/>
      <c r="J96" s="40"/>
      <c r="K96" s="286"/>
      <c r="L96" s="286"/>
      <c r="M96" s="40"/>
      <c r="N96" s="40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287">
        <v>53625.0</v>
      </c>
      <c r="B97" s="287" t="s">
        <v>450</v>
      </c>
      <c r="C97" s="287" t="s">
        <v>42</v>
      </c>
      <c r="D97" s="287" t="s">
        <v>249</v>
      </c>
      <c r="E97" s="287" t="b">
        <v>1</v>
      </c>
      <c r="F97" s="287" t="b">
        <v>1</v>
      </c>
      <c r="G97" s="287" t="s">
        <v>250</v>
      </c>
      <c r="H97" s="40"/>
      <c r="I97" s="40"/>
      <c r="J97" s="40"/>
      <c r="K97" s="286"/>
      <c r="L97" s="286"/>
      <c r="M97" s="40"/>
      <c r="N97" s="40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287">
        <v>23371.0</v>
      </c>
      <c r="B98" s="287" t="s">
        <v>452</v>
      </c>
      <c r="C98" s="287" t="s">
        <v>42</v>
      </c>
      <c r="D98" s="287" t="s">
        <v>249</v>
      </c>
      <c r="E98" s="287" t="b">
        <v>1</v>
      </c>
      <c r="F98" s="287" t="b">
        <v>1</v>
      </c>
      <c r="G98" s="287" t="s">
        <v>250</v>
      </c>
      <c r="H98" s="40"/>
      <c r="I98" s="40"/>
      <c r="J98" s="40"/>
      <c r="K98" s="286"/>
      <c r="L98" s="286"/>
      <c r="M98" s="40"/>
      <c r="N98" s="40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287">
        <v>45475.0</v>
      </c>
      <c r="B99" s="287" t="s">
        <v>453</v>
      </c>
      <c r="C99" s="287" t="s">
        <v>42</v>
      </c>
      <c r="D99" s="287" t="s">
        <v>249</v>
      </c>
      <c r="E99" s="287" t="b">
        <v>1</v>
      </c>
      <c r="F99" s="287" t="b">
        <v>1</v>
      </c>
      <c r="G99" s="287" t="s">
        <v>250</v>
      </c>
      <c r="H99" s="40"/>
      <c r="I99" s="40"/>
      <c r="J99" s="40"/>
      <c r="K99" s="286"/>
      <c r="L99" s="286"/>
      <c r="M99" s="40"/>
      <c r="N99" s="40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287">
        <v>102829.0</v>
      </c>
      <c r="B100" s="287" t="s">
        <v>2556</v>
      </c>
      <c r="C100" s="287" t="s">
        <v>42</v>
      </c>
      <c r="D100" s="287" t="s">
        <v>249</v>
      </c>
      <c r="E100" s="287" t="b">
        <v>1</v>
      </c>
      <c r="F100" s="287" t="b">
        <v>1</v>
      </c>
      <c r="G100" s="287" t="s">
        <v>250</v>
      </c>
      <c r="H100" s="40"/>
      <c r="I100" s="40"/>
      <c r="J100" s="40"/>
      <c r="K100" s="286"/>
      <c r="L100" s="286"/>
      <c r="M100" s="40"/>
      <c r="N100" s="40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287">
        <v>14852.0</v>
      </c>
      <c r="B101" s="287" t="s">
        <v>454</v>
      </c>
      <c r="C101" s="287" t="s">
        <v>42</v>
      </c>
      <c r="D101" s="287" t="s">
        <v>249</v>
      </c>
      <c r="E101" s="287" t="b">
        <v>1</v>
      </c>
      <c r="F101" s="287" t="b">
        <v>1</v>
      </c>
      <c r="G101" s="287" t="s">
        <v>250</v>
      </c>
      <c r="H101" s="40"/>
      <c r="I101" s="40"/>
      <c r="J101" s="40"/>
      <c r="K101" s="286"/>
      <c r="L101" s="286"/>
      <c r="M101" s="40"/>
      <c r="N101" s="40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287">
        <v>33209.0</v>
      </c>
      <c r="B102" s="287" t="s">
        <v>456</v>
      </c>
      <c r="C102" s="287" t="s">
        <v>42</v>
      </c>
      <c r="D102" s="287" t="s">
        <v>249</v>
      </c>
      <c r="E102" s="287" t="b">
        <v>1</v>
      </c>
      <c r="F102" s="287" t="b">
        <v>1</v>
      </c>
      <c r="G102" s="287" t="s">
        <v>250</v>
      </c>
      <c r="H102" s="40"/>
      <c r="I102" s="40"/>
      <c r="J102" s="40"/>
      <c r="K102" s="286"/>
      <c r="L102" s="286"/>
      <c r="M102" s="40"/>
      <c r="N102" s="40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287">
        <v>14714.0</v>
      </c>
      <c r="B103" s="287" t="s">
        <v>457</v>
      </c>
      <c r="C103" s="287" t="s">
        <v>42</v>
      </c>
      <c r="D103" s="287" t="s">
        <v>249</v>
      </c>
      <c r="E103" s="287" t="b">
        <v>1</v>
      </c>
      <c r="F103" s="287" t="b">
        <v>1</v>
      </c>
      <c r="G103" s="287" t="s">
        <v>250</v>
      </c>
      <c r="H103" s="40"/>
      <c r="I103" s="40"/>
      <c r="J103" s="40"/>
      <c r="K103" s="286"/>
      <c r="L103" s="286"/>
      <c r="M103" s="40"/>
      <c r="N103" s="40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287">
        <v>53677.0</v>
      </c>
      <c r="B104" s="287" t="s">
        <v>458</v>
      </c>
      <c r="C104" s="287" t="s">
        <v>42</v>
      </c>
      <c r="D104" s="287" t="s">
        <v>249</v>
      </c>
      <c r="E104" s="287" t="b">
        <v>1</v>
      </c>
      <c r="F104" s="287" t="b">
        <v>1</v>
      </c>
      <c r="G104" s="287" t="s">
        <v>250</v>
      </c>
      <c r="H104" s="40"/>
      <c r="I104" s="40"/>
      <c r="J104" s="40"/>
      <c r="K104" s="286"/>
      <c r="L104" s="286"/>
      <c r="M104" s="40"/>
      <c r="N104" s="40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287">
        <v>111079.0</v>
      </c>
      <c r="B105" s="287" t="s">
        <v>462</v>
      </c>
      <c r="C105" s="287" t="s">
        <v>2557</v>
      </c>
      <c r="D105" s="287" t="s">
        <v>369</v>
      </c>
      <c r="E105" s="287" t="b">
        <v>1</v>
      </c>
      <c r="F105" s="287" t="b">
        <v>1</v>
      </c>
      <c r="G105" s="287" t="s">
        <v>250</v>
      </c>
      <c r="H105" s="40"/>
      <c r="I105" s="40"/>
      <c r="J105" s="40"/>
      <c r="K105" s="286"/>
      <c r="L105" s="286"/>
      <c r="M105" s="40"/>
      <c r="N105" s="40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287">
        <v>112204.0</v>
      </c>
      <c r="B106" s="287" t="s">
        <v>465</v>
      </c>
      <c r="C106" s="287" t="s">
        <v>42</v>
      </c>
      <c r="D106" s="287" t="s">
        <v>249</v>
      </c>
      <c r="E106" s="287" t="b">
        <v>1</v>
      </c>
      <c r="F106" s="287" t="b">
        <v>1</v>
      </c>
      <c r="G106" s="287" t="s">
        <v>250</v>
      </c>
      <c r="H106" s="40"/>
      <c r="I106" s="40"/>
      <c r="J106" s="40"/>
      <c r="K106" s="286"/>
      <c r="L106" s="286"/>
      <c r="M106" s="40"/>
      <c r="N106" s="40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287">
        <v>14651.0</v>
      </c>
      <c r="B107" s="287" t="s">
        <v>467</v>
      </c>
      <c r="C107" s="287" t="s">
        <v>42</v>
      </c>
      <c r="D107" s="287" t="s">
        <v>249</v>
      </c>
      <c r="E107" s="287" t="b">
        <v>1</v>
      </c>
      <c r="F107" s="287" t="b">
        <v>1</v>
      </c>
      <c r="G107" s="287" t="s">
        <v>250</v>
      </c>
      <c r="H107" s="40"/>
      <c r="I107" s="40"/>
      <c r="J107" s="40"/>
      <c r="K107" s="286"/>
      <c r="L107" s="286"/>
      <c r="M107" s="40"/>
      <c r="N107" s="40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287">
        <v>14721.0</v>
      </c>
      <c r="B108" s="287" t="s">
        <v>468</v>
      </c>
      <c r="C108" s="287" t="s">
        <v>42</v>
      </c>
      <c r="D108" s="287" t="s">
        <v>249</v>
      </c>
      <c r="E108" s="287" t="b">
        <v>1</v>
      </c>
      <c r="F108" s="287" t="b">
        <v>1</v>
      </c>
      <c r="G108" s="287" t="s">
        <v>250</v>
      </c>
      <c r="H108" s="40"/>
      <c r="I108" s="40"/>
      <c r="J108" s="40"/>
      <c r="K108" s="286"/>
      <c r="L108" s="286"/>
      <c r="M108" s="40"/>
      <c r="N108" s="40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287">
        <v>20913.0</v>
      </c>
      <c r="B109" s="287" t="s">
        <v>471</v>
      </c>
      <c r="C109" s="287" t="s">
        <v>42</v>
      </c>
      <c r="D109" s="287" t="s">
        <v>249</v>
      </c>
      <c r="E109" s="287" t="b">
        <v>1</v>
      </c>
      <c r="F109" s="287" t="b">
        <v>1</v>
      </c>
      <c r="G109" s="287" t="s">
        <v>250</v>
      </c>
      <c r="H109" s="40"/>
      <c r="I109" s="40"/>
      <c r="J109" s="40"/>
      <c r="K109" s="286"/>
      <c r="L109" s="286"/>
      <c r="M109" s="40"/>
      <c r="N109" s="40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287">
        <v>41100.0</v>
      </c>
      <c r="B110" s="287" t="s">
        <v>474</v>
      </c>
      <c r="C110" s="287" t="s">
        <v>42</v>
      </c>
      <c r="D110" s="287" t="s">
        <v>249</v>
      </c>
      <c r="E110" s="287" t="b">
        <v>1</v>
      </c>
      <c r="F110" s="287" t="b">
        <v>1</v>
      </c>
      <c r="G110" s="287" t="s">
        <v>477</v>
      </c>
      <c r="H110" s="40"/>
      <c r="I110" s="40"/>
      <c r="J110" s="40"/>
      <c r="K110" s="286"/>
      <c r="L110" s="286"/>
      <c r="M110" s="40"/>
      <c r="N110" s="40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287">
        <v>11171.0</v>
      </c>
      <c r="B111" s="287" t="s">
        <v>478</v>
      </c>
      <c r="C111" s="287" t="s">
        <v>42</v>
      </c>
      <c r="D111" s="287" t="s">
        <v>249</v>
      </c>
      <c r="E111" s="287" t="b">
        <v>1</v>
      </c>
      <c r="F111" s="287" t="b">
        <v>1</v>
      </c>
      <c r="G111" s="287" t="s">
        <v>250</v>
      </c>
      <c r="H111" s="40"/>
      <c r="I111" s="40"/>
      <c r="J111" s="40"/>
      <c r="K111" s="286"/>
      <c r="L111" s="286"/>
      <c r="M111" s="40"/>
      <c r="N111" s="40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287">
        <v>11172.0</v>
      </c>
      <c r="B112" s="287" t="s">
        <v>482</v>
      </c>
      <c r="C112" s="287" t="s">
        <v>42</v>
      </c>
      <c r="D112" s="287" t="s">
        <v>249</v>
      </c>
      <c r="E112" s="287" t="b">
        <v>1</v>
      </c>
      <c r="F112" s="287" t="b">
        <v>1</v>
      </c>
      <c r="G112" s="287" t="s">
        <v>250</v>
      </c>
      <c r="H112" s="40"/>
      <c r="I112" s="40"/>
      <c r="J112" s="40"/>
      <c r="K112" s="286"/>
      <c r="L112" s="286"/>
      <c r="M112" s="40"/>
      <c r="N112" s="40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287">
        <v>11773.0</v>
      </c>
      <c r="B113" s="287" t="s">
        <v>484</v>
      </c>
      <c r="C113" s="287" t="s">
        <v>485</v>
      </c>
      <c r="D113" s="287" t="s">
        <v>249</v>
      </c>
      <c r="E113" s="287" t="b">
        <v>1</v>
      </c>
      <c r="F113" s="287" t="b">
        <v>1</v>
      </c>
      <c r="G113" s="287" t="s">
        <v>250</v>
      </c>
      <c r="H113" s="40"/>
      <c r="I113" s="40"/>
      <c r="J113" s="40"/>
      <c r="K113" s="286"/>
      <c r="L113" s="286"/>
      <c r="M113" s="40"/>
      <c r="N113" s="40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287">
        <v>86609.0</v>
      </c>
      <c r="B114" s="287" t="s">
        <v>486</v>
      </c>
      <c r="C114" s="287" t="s">
        <v>42</v>
      </c>
      <c r="D114" s="287" t="s">
        <v>249</v>
      </c>
      <c r="E114" s="287" t="b">
        <v>1</v>
      </c>
      <c r="F114" s="287" t="b">
        <v>1</v>
      </c>
      <c r="G114" s="287" t="s">
        <v>250</v>
      </c>
      <c r="H114" s="40"/>
      <c r="I114" s="40"/>
      <c r="J114" s="40"/>
      <c r="K114" s="286"/>
      <c r="L114" s="286"/>
      <c r="M114" s="40"/>
      <c r="N114" s="40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287">
        <v>148490.0</v>
      </c>
      <c r="B115" s="287" t="s">
        <v>487</v>
      </c>
      <c r="C115" s="287" t="s">
        <v>42</v>
      </c>
      <c r="D115" s="287" t="s">
        <v>249</v>
      </c>
      <c r="E115" s="287" t="b">
        <v>1</v>
      </c>
      <c r="F115" s="287" t="b">
        <v>1</v>
      </c>
      <c r="G115" s="287" t="s">
        <v>250</v>
      </c>
      <c r="H115" s="40"/>
      <c r="I115" s="40"/>
      <c r="J115" s="40"/>
      <c r="K115" s="286"/>
      <c r="L115" s="286"/>
      <c r="M115" s="40"/>
      <c r="N115" s="40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287">
        <v>19121.0</v>
      </c>
      <c r="B116" s="287" t="s">
        <v>489</v>
      </c>
      <c r="C116" s="287" t="s">
        <v>42</v>
      </c>
      <c r="D116" s="287" t="s">
        <v>249</v>
      </c>
      <c r="E116" s="287" t="b">
        <v>1</v>
      </c>
      <c r="F116" s="287" t="b">
        <v>1</v>
      </c>
      <c r="G116" s="287" t="s">
        <v>250</v>
      </c>
      <c r="H116" s="40"/>
      <c r="I116" s="40"/>
      <c r="J116" s="40"/>
      <c r="K116" s="286"/>
      <c r="L116" s="286"/>
      <c r="M116" s="40"/>
      <c r="N116" s="40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287">
        <v>14793.0</v>
      </c>
      <c r="B117" s="287" t="s">
        <v>491</v>
      </c>
      <c r="C117" s="287" t="s">
        <v>42</v>
      </c>
      <c r="D117" s="287" t="s">
        <v>249</v>
      </c>
      <c r="E117" s="287" t="b">
        <v>1</v>
      </c>
      <c r="F117" s="287" t="b">
        <v>1</v>
      </c>
      <c r="G117" s="287" t="s">
        <v>250</v>
      </c>
      <c r="H117" s="40"/>
      <c r="I117" s="40"/>
      <c r="J117" s="40"/>
      <c r="K117" s="286"/>
      <c r="L117" s="286"/>
      <c r="M117" s="40"/>
      <c r="N117" s="40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287">
        <v>53699.0</v>
      </c>
      <c r="B118" s="287" t="s">
        <v>492</v>
      </c>
      <c r="C118" s="287" t="s">
        <v>42</v>
      </c>
      <c r="D118" s="287" t="s">
        <v>249</v>
      </c>
      <c r="E118" s="287" t="b">
        <v>1</v>
      </c>
      <c r="F118" s="287" t="b">
        <v>1</v>
      </c>
      <c r="G118" s="287" t="s">
        <v>250</v>
      </c>
      <c r="H118" s="40"/>
      <c r="I118" s="40"/>
      <c r="J118" s="40"/>
      <c r="K118" s="286"/>
      <c r="L118" s="286"/>
      <c r="M118" s="40"/>
      <c r="N118" s="40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287">
        <v>42269.0</v>
      </c>
      <c r="B119" s="287" t="s">
        <v>493</v>
      </c>
      <c r="C119" s="287" t="s">
        <v>42</v>
      </c>
      <c r="D119" s="287" t="s">
        <v>249</v>
      </c>
      <c r="E119" s="287" t="b">
        <v>1</v>
      </c>
      <c r="F119" s="287" t="b">
        <v>1</v>
      </c>
      <c r="G119" s="287" t="s">
        <v>250</v>
      </c>
      <c r="H119" s="40"/>
      <c r="I119" s="40"/>
      <c r="J119" s="40"/>
      <c r="K119" s="286"/>
      <c r="L119" s="286"/>
      <c r="M119" s="40"/>
      <c r="N119" s="40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287">
        <v>14686.0</v>
      </c>
      <c r="B120" s="287" t="s">
        <v>498</v>
      </c>
      <c r="C120" s="287" t="s">
        <v>42</v>
      </c>
      <c r="D120" s="287" t="s">
        <v>249</v>
      </c>
      <c r="E120" s="287" t="b">
        <v>1</v>
      </c>
      <c r="F120" s="287" t="b">
        <v>1</v>
      </c>
      <c r="G120" s="287" t="s">
        <v>250</v>
      </c>
      <c r="H120" s="40"/>
      <c r="I120" s="40"/>
      <c r="J120" s="40"/>
      <c r="K120" s="286"/>
      <c r="L120" s="286"/>
      <c r="M120" s="40"/>
      <c r="N120" s="40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287">
        <v>112205.0</v>
      </c>
      <c r="B121" s="287" t="s">
        <v>499</v>
      </c>
      <c r="C121" s="287" t="s">
        <v>2558</v>
      </c>
      <c r="D121" s="287" t="s">
        <v>249</v>
      </c>
      <c r="E121" s="287" t="b">
        <v>1</v>
      </c>
      <c r="F121" s="287" t="b">
        <v>1</v>
      </c>
      <c r="G121" s="287" t="s">
        <v>250</v>
      </c>
      <c r="H121" s="40"/>
      <c r="I121" s="40"/>
      <c r="J121" s="40"/>
      <c r="K121" s="286"/>
      <c r="L121" s="286"/>
      <c r="M121" s="40"/>
      <c r="N121" s="40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287">
        <v>27275.0</v>
      </c>
      <c r="B122" s="287" t="s">
        <v>502</v>
      </c>
      <c r="C122" s="287" t="s">
        <v>42</v>
      </c>
      <c r="D122" s="287" t="s">
        <v>249</v>
      </c>
      <c r="E122" s="287" t="b">
        <v>1</v>
      </c>
      <c r="F122" s="287" t="b">
        <v>1</v>
      </c>
      <c r="G122" s="287" t="s">
        <v>250</v>
      </c>
      <c r="H122" s="40"/>
      <c r="I122" s="40"/>
      <c r="J122" s="40"/>
      <c r="K122" s="286"/>
      <c r="L122" s="286"/>
      <c r="M122" s="40"/>
      <c r="N122" s="40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287">
        <v>14830.0</v>
      </c>
      <c r="B123" s="287" t="s">
        <v>503</v>
      </c>
      <c r="C123" s="287" t="s">
        <v>42</v>
      </c>
      <c r="D123" s="287" t="s">
        <v>249</v>
      </c>
      <c r="E123" s="287" t="b">
        <v>1</v>
      </c>
      <c r="F123" s="287" t="b">
        <v>1</v>
      </c>
      <c r="G123" s="287" t="s">
        <v>505</v>
      </c>
      <c r="H123" s="40"/>
      <c r="I123" s="40"/>
      <c r="J123" s="40"/>
      <c r="K123" s="286"/>
      <c r="L123" s="286"/>
      <c r="M123" s="40"/>
      <c r="N123" s="40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288">
        <v>20115.0</v>
      </c>
      <c r="B124" s="288" t="s">
        <v>506</v>
      </c>
      <c r="C124" s="288" t="s">
        <v>42</v>
      </c>
      <c r="D124" s="287" t="s">
        <v>249</v>
      </c>
      <c r="E124" s="287" t="b">
        <v>1</v>
      </c>
      <c r="F124" s="287" t="b">
        <v>1</v>
      </c>
      <c r="G124" s="287" t="s">
        <v>250</v>
      </c>
      <c r="H124" s="40"/>
      <c r="I124" s="40"/>
      <c r="J124" s="40"/>
      <c r="K124" s="286"/>
      <c r="L124" s="286"/>
      <c r="M124" s="40"/>
      <c r="N124" s="40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287">
        <v>103536.0</v>
      </c>
      <c r="B125" s="287" t="s">
        <v>2559</v>
      </c>
      <c r="C125" s="287" t="s">
        <v>389</v>
      </c>
      <c r="D125" s="287" t="s">
        <v>369</v>
      </c>
      <c r="E125" s="287" t="b">
        <v>1</v>
      </c>
      <c r="F125" s="287" t="b">
        <v>1</v>
      </c>
      <c r="G125" s="287" t="s">
        <v>250</v>
      </c>
      <c r="H125" s="40"/>
      <c r="I125" s="40"/>
      <c r="J125" s="40"/>
      <c r="K125" s="286"/>
      <c r="L125" s="286"/>
      <c r="M125" s="40"/>
      <c r="N125" s="40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287">
        <v>111054.0</v>
      </c>
      <c r="B126" s="287" t="s">
        <v>514</v>
      </c>
      <c r="C126" s="287" t="s">
        <v>42</v>
      </c>
      <c r="D126" s="287" t="s">
        <v>369</v>
      </c>
      <c r="E126" s="287" t="b">
        <v>1</v>
      </c>
      <c r="F126" s="287" t="b">
        <v>1</v>
      </c>
      <c r="G126" s="287" t="s">
        <v>250</v>
      </c>
      <c r="H126" s="40"/>
      <c r="I126" s="40"/>
      <c r="J126" s="40"/>
      <c r="K126" s="286"/>
      <c r="L126" s="286"/>
      <c r="M126" s="40"/>
      <c r="N126" s="40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287">
        <v>112703.0</v>
      </c>
      <c r="B127" s="287" t="s">
        <v>511</v>
      </c>
      <c r="C127" s="287" t="s">
        <v>42</v>
      </c>
      <c r="D127" s="287" t="s">
        <v>369</v>
      </c>
      <c r="E127" s="287" t="b">
        <v>1</v>
      </c>
      <c r="F127" s="287" t="b">
        <v>1</v>
      </c>
      <c r="G127" s="287" t="s">
        <v>250</v>
      </c>
      <c r="H127" s="40"/>
      <c r="I127" s="40"/>
      <c r="J127" s="40"/>
      <c r="K127" s="286"/>
      <c r="L127" s="286"/>
      <c r="M127" s="40"/>
      <c r="N127" s="40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287">
        <v>17340.0</v>
      </c>
      <c r="B128" s="287" t="s">
        <v>513</v>
      </c>
      <c r="C128" s="287" t="s">
        <v>42</v>
      </c>
      <c r="D128" s="287" t="s">
        <v>369</v>
      </c>
      <c r="E128" s="287" t="b">
        <v>1</v>
      </c>
      <c r="F128" s="287" t="b">
        <v>1</v>
      </c>
      <c r="G128" s="287" t="s">
        <v>250</v>
      </c>
      <c r="H128" s="40"/>
      <c r="I128" s="40"/>
      <c r="J128" s="40"/>
      <c r="K128" s="286"/>
      <c r="L128" s="286"/>
      <c r="M128" s="40"/>
      <c r="N128" s="40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287">
        <v>22642.0</v>
      </c>
      <c r="B129" s="287" t="s">
        <v>515</v>
      </c>
      <c r="C129" s="287" t="s">
        <v>289</v>
      </c>
      <c r="D129" s="287" t="s">
        <v>369</v>
      </c>
      <c r="E129" s="287" t="b">
        <v>1</v>
      </c>
      <c r="F129" s="287" t="b">
        <v>1</v>
      </c>
      <c r="G129" s="287" t="s">
        <v>250</v>
      </c>
      <c r="H129" s="40"/>
      <c r="I129" s="40"/>
      <c r="J129" s="40"/>
      <c r="K129" s="286"/>
      <c r="L129" s="286"/>
      <c r="M129" s="40"/>
      <c r="N129" s="40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287">
        <v>11455.0</v>
      </c>
      <c r="B130" s="287" t="s">
        <v>1799</v>
      </c>
      <c r="C130" s="287" t="s">
        <v>42</v>
      </c>
      <c r="D130" s="287" t="s">
        <v>369</v>
      </c>
      <c r="E130" s="287" t="b">
        <v>1</v>
      </c>
      <c r="F130" s="287" t="b">
        <v>1</v>
      </c>
      <c r="G130" s="287" t="s">
        <v>2560</v>
      </c>
      <c r="H130" s="40"/>
      <c r="I130" s="40"/>
      <c r="J130" s="40"/>
      <c r="K130" s="286"/>
      <c r="L130" s="286"/>
      <c r="M130" s="40"/>
      <c r="N130" s="40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287">
        <v>111194.0</v>
      </c>
      <c r="B131" s="287" t="s">
        <v>517</v>
      </c>
      <c r="C131" s="287" t="s">
        <v>42</v>
      </c>
      <c r="D131" s="287" t="s">
        <v>518</v>
      </c>
      <c r="E131" s="287" t="b">
        <v>1</v>
      </c>
      <c r="F131" s="287" t="b">
        <v>1</v>
      </c>
      <c r="G131" s="287" t="s">
        <v>250</v>
      </c>
      <c r="H131" s="40"/>
      <c r="I131" s="40"/>
      <c r="J131" s="40"/>
      <c r="K131" s="286"/>
      <c r="L131" s="286"/>
      <c r="M131" s="40"/>
      <c r="N131" s="40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287">
        <v>15032.0</v>
      </c>
      <c r="B132" s="287" t="s">
        <v>522</v>
      </c>
      <c r="C132" s="287" t="s">
        <v>42</v>
      </c>
      <c r="D132" s="287" t="s">
        <v>369</v>
      </c>
      <c r="E132" s="287" t="b">
        <v>1</v>
      </c>
      <c r="F132" s="287" t="b">
        <v>1</v>
      </c>
      <c r="G132" s="287" t="s">
        <v>525</v>
      </c>
      <c r="H132" s="40"/>
      <c r="I132" s="40"/>
      <c r="J132" s="40"/>
      <c r="K132" s="286"/>
      <c r="L132" s="286"/>
      <c r="M132" s="40"/>
      <c r="N132" s="40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287">
        <v>15022.0</v>
      </c>
      <c r="B133" s="287" t="s">
        <v>527</v>
      </c>
      <c r="C133" s="287" t="s">
        <v>289</v>
      </c>
      <c r="D133" s="287" t="s">
        <v>369</v>
      </c>
      <c r="E133" s="287" t="b">
        <v>1</v>
      </c>
      <c r="F133" s="287" t="b">
        <v>1</v>
      </c>
      <c r="G133" s="287" t="s">
        <v>250</v>
      </c>
      <c r="H133" s="40"/>
      <c r="I133" s="40"/>
      <c r="J133" s="40"/>
      <c r="K133" s="286"/>
      <c r="L133" s="286"/>
      <c r="M133" s="40"/>
      <c r="N133" s="40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287">
        <v>15025.0</v>
      </c>
      <c r="B134" s="287" t="s">
        <v>533</v>
      </c>
      <c r="C134" s="287" t="s">
        <v>42</v>
      </c>
      <c r="D134" s="287" t="s">
        <v>249</v>
      </c>
      <c r="E134" s="287" t="b">
        <v>1</v>
      </c>
      <c r="F134" s="287" t="b">
        <v>1</v>
      </c>
      <c r="G134" s="287" t="s">
        <v>250</v>
      </c>
      <c r="H134" s="40"/>
      <c r="I134" s="40"/>
      <c r="J134" s="40"/>
      <c r="K134" s="286"/>
      <c r="L134" s="286"/>
      <c r="M134" s="40"/>
      <c r="N134" s="40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287">
        <v>15027.0</v>
      </c>
      <c r="B135" s="287" t="s">
        <v>536</v>
      </c>
      <c r="C135" s="287" t="s">
        <v>42</v>
      </c>
      <c r="D135" s="287" t="s">
        <v>249</v>
      </c>
      <c r="E135" s="287" t="b">
        <v>1</v>
      </c>
      <c r="F135" s="287" t="b">
        <v>1</v>
      </c>
      <c r="G135" s="287" t="s">
        <v>250</v>
      </c>
      <c r="H135" s="40"/>
      <c r="I135" s="40"/>
      <c r="J135" s="40"/>
      <c r="K135" s="286"/>
      <c r="L135" s="286"/>
      <c r="M135" s="40"/>
      <c r="N135" s="40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287">
        <v>15026.0</v>
      </c>
      <c r="B136" s="287" t="s">
        <v>538</v>
      </c>
      <c r="C136" s="287" t="s">
        <v>42</v>
      </c>
      <c r="D136" s="287" t="s">
        <v>249</v>
      </c>
      <c r="E136" s="287" t="b">
        <v>1</v>
      </c>
      <c r="F136" s="287" t="b">
        <v>1</v>
      </c>
      <c r="G136" s="287" t="s">
        <v>250</v>
      </c>
      <c r="H136" s="40"/>
      <c r="I136" s="40"/>
      <c r="J136" s="40"/>
      <c r="K136" s="286"/>
      <c r="L136" s="286"/>
      <c r="M136" s="40"/>
      <c r="N136" s="40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287">
        <v>54020.0</v>
      </c>
      <c r="B137" s="287" t="s">
        <v>540</v>
      </c>
      <c r="C137" s="287" t="s">
        <v>946</v>
      </c>
      <c r="D137" s="287" t="s">
        <v>518</v>
      </c>
      <c r="E137" s="287" t="b">
        <v>1</v>
      </c>
      <c r="F137" s="287" t="b">
        <v>1</v>
      </c>
      <c r="G137" s="287" t="s">
        <v>250</v>
      </c>
      <c r="H137" s="40"/>
      <c r="I137" s="40"/>
      <c r="J137" s="40"/>
      <c r="K137" s="286"/>
      <c r="L137" s="286"/>
      <c r="M137" s="40"/>
      <c r="N137" s="40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287">
        <v>14893.0</v>
      </c>
      <c r="B138" s="287" t="s">
        <v>544</v>
      </c>
      <c r="C138" s="287" t="s">
        <v>547</v>
      </c>
      <c r="D138" s="287" t="s">
        <v>369</v>
      </c>
      <c r="E138" s="287" t="b">
        <v>1</v>
      </c>
      <c r="F138" s="287" t="b">
        <v>1</v>
      </c>
      <c r="G138" s="287" t="s">
        <v>525</v>
      </c>
      <c r="H138" s="40"/>
      <c r="I138" s="40"/>
      <c r="J138" s="40"/>
      <c r="K138" s="286"/>
      <c r="L138" s="286"/>
      <c r="M138" s="40"/>
      <c r="N138" s="40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287">
        <v>11882.0</v>
      </c>
      <c r="B139" s="287" t="s">
        <v>546</v>
      </c>
      <c r="C139" s="287" t="s">
        <v>547</v>
      </c>
      <c r="D139" s="287" t="s">
        <v>369</v>
      </c>
      <c r="E139" s="287" t="b">
        <v>1</v>
      </c>
      <c r="F139" s="287" t="b">
        <v>1</v>
      </c>
      <c r="G139" s="287" t="s">
        <v>250</v>
      </c>
      <c r="H139" s="40"/>
      <c r="I139" s="40"/>
      <c r="J139" s="40"/>
      <c r="K139" s="286"/>
      <c r="L139" s="286"/>
      <c r="M139" s="40"/>
      <c r="N139" s="40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287">
        <v>14922.0</v>
      </c>
      <c r="B140" s="287" t="s">
        <v>548</v>
      </c>
      <c r="C140" s="287" t="s">
        <v>946</v>
      </c>
      <c r="D140" s="287" t="s">
        <v>518</v>
      </c>
      <c r="E140" s="287" t="b">
        <v>1</v>
      </c>
      <c r="F140" s="287" t="b">
        <v>1</v>
      </c>
      <c r="G140" s="287" t="s">
        <v>250</v>
      </c>
      <c r="H140" s="40"/>
      <c r="I140" s="40"/>
      <c r="J140" s="40"/>
      <c r="K140" s="286"/>
      <c r="L140" s="286"/>
      <c r="M140" s="40"/>
      <c r="N140" s="40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287">
        <v>110948.0</v>
      </c>
      <c r="B141" s="287" t="s">
        <v>551</v>
      </c>
      <c r="C141" s="287" t="s">
        <v>2561</v>
      </c>
      <c r="D141" s="287" t="s">
        <v>518</v>
      </c>
      <c r="E141" s="287" t="b">
        <v>1</v>
      </c>
      <c r="F141" s="287" t="b">
        <v>1</v>
      </c>
      <c r="G141" s="287" t="s">
        <v>250</v>
      </c>
      <c r="H141" s="40"/>
      <c r="I141" s="40"/>
      <c r="J141" s="40"/>
      <c r="K141" s="286"/>
      <c r="L141" s="286"/>
      <c r="M141" s="40"/>
      <c r="N141" s="40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287">
        <v>111984.0</v>
      </c>
      <c r="B142" s="287" t="s">
        <v>555</v>
      </c>
      <c r="C142" s="287" t="s">
        <v>2561</v>
      </c>
      <c r="D142" s="287" t="s">
        <v>518</v>
      </c>
      <c r="E142" s="287" t="b">
        <v>1</v>
      </c>
      <c r="F142" s="287" t="b">
        <v>1</v>
      </c>
      <c r="G142" s="287" t="s">
        <v>250</v>
      </c>
      <c r="H142" s="40"/>
      <c r="I142" s="40"/>
      <c r="J142" s="40"/>
      <c r="K142" s="286"/>
      <c r="L142" s="286"/>
      <c r="M142" s="40"/>
      <c r="N142" s="40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287">
        <v>110947.0</v>
      </c>
      <c r="B143" s="287" t="s">
        <v>556</v>
      </c>
      <c r="C143" s="287" t="s">
        <v>2561</v>
      </c>
      <c r="D143" s="287" t="s">
        <v>518</v>
      </c>
      <c r="E143" s="287" t="b">
        <v>1</v>
      </c>
      <c r="F143" s="287" t="b">
        <v>1</v>
      </c>
      <c r="G143" s="287" t="s">
        <v>250</v>
      </c>
      <c r="H143" s="40"/>
      <c r="I143" s="40"/>
      <c r="J143" s="40"/>
      <c r="K143" s="286"/>
      <c r="L143" s="286"/>
      <c r="M143" s="40"/>
      <c r="N143" s="40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287">
        <v>110932.0</v>
      </c>
      <c r="B144" s="287" t="s">
        <v>558</v>
      </c>
      <c r="C144" s="287" t="s">
        <v>42</v>
      </c>
      <c r="D144" s="287" t="s">
        <v>518</v>
      </c>
      <c r="E144" s="287" t="b">
        <v>1</v>
      </c>
      <c r="F144" s="287" t="b">
        <v>1</v>
      </c>
      <c r="G144" s="287" t="s">
        <v>250</v>
      </c>
      <c r="H144" s="40"/>
      <c r="I144" s="40"/>
      <c r="J144" s="40"/>
      <c r="K144" s="286"/>
      <c r="L144" s="286"/>
      <c r="M144" s="40"/>
      <c r="N144" s="40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287">
        <v>14871.0</v>
      </c>
      <c r="B145" s="287" t="s">
        <v>560</v>
      </c>
      <c r="C145" s="287" t="s">
        <v>946</v>
      </c>
      <c r="D145" s="287" t="s">
        <v>518</v>
      </c>
      <c r="E145" s="287" t="b">
        <v>1</v>
      </c>
      <c r="F145" s="287" t="b">
        <v>1</v>
      </c>
      <c r="G145" s="287" t="s">
        <v>250</v>
      </c>
      <c r="H145" s="40"/>
      <c r="I145" s="40"/>
      <c r="J145" s="40"/>
      <c r="K145" s="286"/>
      <c r="L145" s="286"/>
      <c r="M145" s="40"/>
      <c r="N145" s="40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287">
        <v>14869.0</v>
      </c>
      <c r="B146" s="287" t="s">
        <v>563</v>
      </c>
      <c r="C146" s="287" t="s">
        <v>946</v>
      </c>
      <c r="D146" s="287" t="s">
        <v>518</v>
      </c>
      <c r="E146" s="287" t="b">
        <v>1</v>
      </c>
      <c r="F146" s="287" t="b">
        <v>1</v>
      </c>
      <c r="G146" s="287" t="s">
        <v>250</v>
      </c>
      <c r="H146" s="40"/>
      <c r="I146" s="40"/>
      <c r="J146" s="40"/>
      <c r="K146" s="286"/>
      <c r="L146" s="286"/>
      <c r="M146" s="40"/>
      <c r="N146" s="40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287">
        <v>16945.0</v>
      </c>
      <c r="B147" s="287" t="s">
        <v>564</v>
      </c>
      <c r="C147" s="287" t="s">
        <v>946</v>
      </c>
      <c r="D147" s="287" t="s">
        <v>518</v>
      </c>
      <c r="E147" s="287" t="b">
        <v>1</v>
      </c>
      <c r="F147" s="287" t="b">
        <v>1</v>
      </c>
      <c r="G147" s="287" t="s">
        <v>250</v>
      </c>
      <c r="H147" s="40"/>
      <c r="I147" s="40"/>
      <c r="J147" s="40"/>
      <c r="K147" s="286"/>
      <c r="L147" s="286"/>
      <c r="M147" s="40"/>
      <c r="N147" s="40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287">
        <v>109846.0</v>
      </c>
      <c r="B148" s="287" t="s">
        <v>2562</v>
      </c>
      <c r="C148" s="287" t="s">
        <v>42</v>
      </c>
      <c r="D148" s="287" t="s">
        <v>369</v>
      </c>
      <c r="E148" s="287" t="b">
        <v>1</v>
      </c>
      <c r="F148" s="287" t="b">
        <v>1</v>
      </c>
      <c r="G148" s="287" t="s">
        <v>250</v>
      </c>
      <c r="H148" s="40"/>
      <c r="I148" s="40"/>
      <c r="J148" s="40"/>
      <c r="K148" s="286"/>
      <c r="L148" s="286"/>
      <c r="M148" s="40"/>
      <c r="N148" s="40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287">
        <v>14906.0</v>
      </c>
      <c r="B149" s="287" t="s">
        <v>568</v>
      </c>
      <c r="C149" s="287" t="s">
        <v>42</v>
      </c>
      <c r="D149" s="287" t="s">
        <v>369</v>
      </c>
      <c r="E149" s="287" t="b">
        <v>1</v>
      </c>
      <c r="F149" s="287" t="b">
        <v>1</v>
      </c>
      <c r="G149" s="287" t="s">
        <v>250</v>
      </c>
      <c r="H149" s="40"/>
      <c r="I149" s="40"/>
      <c r="J149" s="40"/>
      <c r="K149" s="286"/>
      <c r="L149" s="286"/>
      <c r="M149" s="40"/>
      <c r="N149" s="40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287">
        <v>30011.0</v>
      </c>
      <c r="B150" s="287" t="s">
        <v>572</v>
      </c>
      <c r="C150" s="287" t="s">
        <v>574</v>
      </c>
      <c r="D150" s="287" t="s">
        <v>369</v>
      </c>
      <c r="E150" s="287" t="b">
        <v>1</v>
      </c>
      <c r="F150" s="287" t="b">
        <v>1</v>
      </c>
      <c r="G150" s="287" t="s">
        <v>250</v>
      </c>
      <c r="H150" s="40"/>
      <c r="I150" s="40"/>
      <c r="J150" s="40"/>
      <c r="K150" s="286"/>
      <c r="L150" s="286"/>
      <c r="M150" s="40"/>
      <c r="N150" s="40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287">
        <v>14907.0</v>
      </c>
      <c r="B151" s="287" t="s">
        <v>576</v>
      </c>
      <c r="C151" s="287" t="s">
        <v>946</v>
      </c>
      <c r="D151" s="287" t="s">
        <v>369</v>
      </c>
      <c r="E151" s="287" t="b">
        <v>1</v>
      </c>
      <c r="F151" s="287" t="b">
        <v>1</v>
      </c>
      <c r="G151" s="287" t="s">
        <v>250</v>
      </c>
      <c r="H151" s="40"/>
      <c r="I151" s="40"/>
      <c r="J151" s="40"/>
      <c r="K151" s="286"/>
      <c r="L151" s="286"/>
      <c r="M151" s="40"/>
      <c r="N151" s="40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287">
        <v>14883.0</v>
      </c>
      <c r="B152" s="287" t="s">
        <v>577</v>
      </c>
      <c r="C152" s="287" t="s">
        <v>42</v>
      </c>
      <c r="D152" s="287" t="s">
        <v>369</v>
      </c>
      <c r="E152" s="287" t="b">
        <v>1</v>
      </c>
      <c r="F152" s="287" t="b">
        <v>1</v>
      </c>
      <c r="G152" s="287" t="s">
        <v>250</v>
      </c>
      <c r="H152" s="40"/>
      <c r="I152" s="40"/>
      <c r="J152" s="40"/>
      <c r="K152" s="286"/>
      <c r="L152" s="286"/>
      <c r="M152" s="40"/>
      <c r="N152" s="40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287">
        <v>49450.0</v>
      </c>
      <c r="B153" s="287" t="s">
        <v>578</v>
      </c>
      <c r="C153" s="287" t="s">
        <v>547</v>
      </c>
      <c r="D153" s="287" t="s">
        <v>369</v>
      </c>
      <c r="E153" s="287" t="b">
        <v>1</v>
      </c>
      <c r="F153" s="287" t="b">
        <v>1</v>
      </c>
      <c r="G153" s="287" t="s">
        <v>250</v>
      </c>
      <c r="H153" s="40"/>
      <c r="I153" s="40"/>
      <c r="J153" s="40"/>
      <c r="K153" s="286"/>
      <c r="L153" s="286"/>
      <c r="M153" s="40"/>
      <c r="N153" s="40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287">
        <v>15016.0</v>
      </c>
      <c r="B154" s="287" t="s">
        <v>2563</v>
      </c>
      <c r="C154" s="287" t="s">
        <v>42</v>
      </c>
      <c r="D154" s="287" t="s">
        <v>249</v>
      </c>
      <c r="E154" s="287" t="b">
        <v>1</v>
      </c>
      <c r="F154" s="287" t="b">
        <v>1</v>
      </c>
      <c r="G154" s="287" t="s">
        <v>582</v>
      </c>
      <c r="H154" s="40"/>
      <c r="I154" s="40"/>
      <c r="J154" s="40"/>
      <c r="K154" s="286"/>
      <c r="L154" s="286"/>
      <c r="M154" s="40"/>
      <c r="N154" s="40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287">
        <v>43176.0</v>
      </c>
      <c r="B155" s="287" t="s">
        <v>583</v>
      </c>
      <c r="C155" s="287" t="s">
        <v>389</v>
      </c>
      <c r="D155" s="287" t="s">
        <v>249</v>
      </c>
      <c r="E155" s="287" t="b">
        <v>1</v>
      </c>
      <c r="F155" s="287" t="b">
        <v>1</v>
      </c>
      <c r="G155" s="287" t="s">
        <v>250</v>
      </c>
      <c r="H155" s="40"/>
      <c r="I155" s="40"/>
      <c r="J155" s="40"/>
      <c r="K155" s="286"/>
      <c r="L155" s="286"/>
      <c r="M155" s="40"/>
      <c r="N155" s="40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287">
        <v>15020.0</v>
      </c>
      <c r="B156" s="287" t="s">
        <v>586</v>
      </c>
      <c r="C156" s="287" t="s">
        <v>42</v>
      </c>
      <c r="D156" s="287" t="s">
        <v>369</v>
      </c>
      <c r="E156" s="287" t="b">
        <v>1</v>
      </c>
      <c r="F156" s="287" t="b">
        <v>1</v>
      </c>
      <c r="G156" s="287" t="s">
        <v>250</v>
      </c>
      <c r="H156" s="40"/>
      <c r="I156" s="40"/>
      <c r="J156" s="40"/>
      <c r="K156" s="286"/>
      <c r="L156" s="286"/>
      <c r="M156" s="40"/>
      <c r="N156" s="40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287">
        <v>14978.0</v>
      </c>
      <c r="B157" s="287" t="s">
        <v>593</v>
      </c>
      <c r="C157" s="287" t="s">
        <v>42</v>
      </c>
      <c r="D157" s="287" t="s">
        <v>369</v>
      </c>
      <c r="E157" s="287" t="b">
        <v>1</v>
      </c>
      <c r="F157" s="287" t="b">
        <v>1</v>
      </c>
      <c r="G157" s="287" t="s">
        <v>250</v>
      </c>
      <c r="H157" s="40"/>
      <c r="I157" s="40"/>
      <c r="J157" s="40"/>
      <c r="K157" s="286"/>
      <c r="L157" s="286"/>
      <c r="M157" s="40"/>
      <c r="N157" s="40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287">
        <v>14984.0</v>
      </c>
      <c r="B158" s="287" t="s">
        <v>597</v>
      </c>
      <c r="C158" s="287" t="s">
        <v>42</v>
      </c>
      <c r="D158" s="287" t="s">
        <v>369</v>
      </c>
      <c r="E158" s="287" t="b">
        <v>1</v>
      </c>
      <c r="F158" s="287" t="b">
        <v>1</v>
      </c>
      <c r="G158" s="287" t="s">
        <v>250</v>
      </c>
      <c r="H158" s="40"/>
      <c r="I158" s="40"/>
      <c r="J158" s="40"/>
      <c r="K158" s="286"/>
      <c r="L158" s="286"/>
      <c r="M158" s="40"/>
      <c r="N158" s="40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287">
        <v>110974.0</v>
      </c>
      <c r="B159" s="287" t="s">
        <v>2564</v>
      </c>
      <c r="C159" s="287" t="s">
        <v>42</v>
      </c>
      <c r="D159" s="287" t="s">
        <v>369</v>
      </c>
      <c r="E159" s="287" t="b">
        <v>1</v>
      </c>
      <c r="F159" s="287" t="b">
        <v>1</v>
      </c>
      <c r="G159" s="287" t="s">
        <v>601</v>
      </c>
      <c r="H159" s="40"/>
      <c r="I159" s="40"/>
      <c r="J159" s="40"/>
      <c r="K159" s="286"/>
      <c r="L159" s="286"/>
      <c r="M159" s="40"/>
      <c r="N159" s="40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287">
        <v>111144.0</v>
      </c>
      <c r="B160" s="287" t="s">
        <v>602</v>
      </c>
      <c r="C160" s="287" t="s">
        <v>42</v>
      </c>
      <c r="D160" s="287" t="s">
        <v>369</v>
      </c>
      <c r="E160" s="287" t="b">
        <v>1</v>
      </c>
      <c r="F160" s="287" t="b">
        <v>1</v>
      </c>
      <c r="G160" s="287" t="s">
        <v>250</v>
      </c>
      <c r="H160" s="40"/>
      <c r="I160" s="40"/>
      <c r="J160" s="40"/>
      <c r="K160" s="286"/>
      <c r="L160" s="286"/>
      <c r="M160" s="40"/>
      <c r="N160" s="40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287">
        <v>111964.0</v>
      </c>
      <c r="B161" s="287" t="s">
        <v>604</v>
      </c>
      <c r="C161" s="287" t="s">
        <v>42</v>
      </c>
      <c r="D161" s="287" t="s">
        <v>369</v>
      </c>
      <c r="E161" s="287" t="b">
        <v>1</v>
      </c>
      <c r="F161" s="287" t="b">
        <v>1</v>
      </c>
      <c r="G161" s="287" t="s">
        <v>250</v>
      </c>
      <c r="H161" s="40"/>
      <c r="I161" s="40"/>
      <c r="J161" s="40"/>
      <c r="K161" s="286"/>
      <c r="L161" s="286"/>
      <c r="M161" s="40"/>
      <c r="N161" s="40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287">
        <v>111930.0</v>
      </c>
      <c r="B162" s="287" t="s">
        <v>606</v>
      </c>
      <c r="C162" s="287" t="s">
        <v>42</v>
      </c>
      <c r="D162" s="287" t="s">
        <v>369</v>
      </c>
      <c r="E162" s="287" t="b">
        <v>1</v>
      </c>
      <c r="F162" s="287" t="b">
        <v>1</v>
      </c>
      <c r="G162" s="287" t="s">
        <v>2565</v>
      </c>
      <c r="H162" s="40"/>
      <c r="I162" s="40"/>
      <c r="J162" s="40"/>
      <c r="K162" s="286"/>
      <c r="L162" s="286"/>
      <c r="M162" s="40"/>
      <c r="N162" s="40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287">
        <v>15035.0</v>
      </c>
      <c r="B163" s="287" t="s">
        <v>607</v>
      </c>
      <c r="C163" s="287" t="s">
        <v>42</v>
      </c>
      <c r="D163" s="287" t="s">
        <v>369</v>
      </c>
      <c r="E163" s="287" t="b">
        <v>1</v>
      </c>
      <c r="F163" s="287" t="b">
        <v>1</v>
      </c>
      <c r="G163" s="287" t="s">
        <v>250</v>
      </c>
      <c r="H163" s="40"/>
      <c r="I163" s="40"/>
      <c r="J163" s="40"/>
      <c r="K163" s="286"/>
      <c r="L163" s="286"/>
      <c r="M163" s="40"/>
      <c r="N163" s="40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287">
        <v>14890.0</v>
      </c>
      <c r="B164" s="287" t="s">
        <v>608</v>
      </c>
      <c r="C164" s="287" t="s">
        <v>42</v>
      </c>
      <c r="D164" s="287" t="s">
        <v>369</v>
      </c>
      <c r="E164" s="287" t="b">
        <v>1</v>
      </c>
      <c r="F164" s="287" t="b">
        <v>1</v>
      </c>
      <c r="G164" s="287" t="s">
        <v>250</v>
      </c>
      <c r="H164" s="40"/>
      <c r="I164" s="40"/>
      <c r="J164" s="40"/>
      <c r="K164" s="286"/>
      <c r="L164" s="286"/>
      <c r="M164" s="40"/>
      <c r="N164" s="40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287">
        <v>14987.0</v>
      </c>
      <c r="B165" s="287" t="s">
        <v>609</v>
      </c>
      <c r="C165" s="287" t="s">
        <v>42</v>
      </c>
      <c r="D165" s="287" t="s">
        <v>369</v>
      </c>
      <c r="E165" s="287" t="b">
        <v>1</v>
      </c>
      <c r="F165" s="287" t="b">
        <v>1</v>
      </c>
      <c r="G165" s="287" t="s">
        <v>2566</v>
      </c>
      <c r="H165" s="40"/>
      <c r="I165" s="40"/>
      <c r="J165" s="40"/>
      <c r="K165" s="286"/>
      <c r="L165" s="286"/>
      <c r="M165" s="40"/>
      <c r="N165" s="40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287">
        <v>11158.0</v>
      </c>
      <c r="B166" s="287" t="s">
        <v>2567</v>
      </c>
      <c r="C166" s="287" t="s">
        <v>42</v>
      </c>
      <c r="D166" s="287" t="s">
        <v>369</v>
      </c>
      <c r="E166" s="287" t="b">
        <v>1</v>
      </c>
      <c r="F166" s="287" t="b">
        <v>1</v>
      </c>
      <c r="G166" s="287" t="s">
        <v>2568</v>
      </c>
      <c r="H166" s="40"/>
      <c r="I166" s="40"/>
      <c r="J166" s="40"/>
      <c r="K166" s="286"/>
      <c r="L166" s="286"/>
      <c r="M166" s="40"/>
      <c r="N166" s="40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287">
        <v>14990.0</v>
      </c>
      <c r="B167" s="287" t="s">
        <v>615</v>
      </c>
      <c r="C167" s="287" t="s">
        <v>42</v>
      </c>
      <c r="D167" s="287" t="s">
        <v>369</v>
      </c>
      <c r="E167" s="287" t="b">
        <v>1</v>
      </c>
      <c r="F167" s="287" t="b">
        <v>1</v>
      </c>
      <c r="G167" s="287" t="s">
        <v>617</v>
      </c>
      <c r="H167" s="40"/>
      <c r="I167" s="40"/>
      <c r="J167" s="40"/>
      <c r="K167" s="286"/>
      <c r="L167" s="286"/>
      <c r="M167" s="40"/>
      <c r="N167" s="40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287">
        <v>112068.0</v>
      </c>
      <c r="B168" s="287" t="s">
        <v>618</v>
      </c>
      <c r="C168" s="287" t="s">
        <v>42</v>
      </c>
      <c r="D168" s="287" t="s">
        <v>369</v>
      </c>
      <c r="E168" s="287" t="b">
        <v>1</v>
      </c>
      <c r="F168" s="287" t="b">
        <v>1</v>
      </c>
      <c r="G168" s="287" t="s">
        <v>250</v>
      </c>
      <c r="H168" s="40"/>
      <c r="I168" s="40"/>
      <c r="J168" s="40"/>
      <c r="K168" s="286"/>
      <c r="L168" s="286"/>
      <c r="M168" s="40"/>
      <c r="N168" s="40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287">
        <v>15010.0</v>
      </c>
      <c r="B169" s="287" t="s">
        <v>626</v>
      </c>
      <c r="C169" s="287" t="s">
        <v>42</v>
      </c>
      <c r="D169" s="287" t="s">
        <v>369</v>
      </c>
      <c r="E169" s="287" t="b">
        <v>1</v>
      </c>
      <c r="F169" s="287" t="b">
        <v>1</v>
      </c>
      <c r="G169" s="287" t="s">
        <v>250</v>
      </c>
      <c r="H169" s="40"/>
      <c r="I169" s="40"/>
      <c r="J169" s="40"/>
      <c r="K169" s="286"/>
      <c r="L169" s="286"/>
      <c r="M169" s="40"/>
      <c r="N169" s="40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287">
        <v>141988.0</v>
      </c>
      <c r="B170" s="287" t="s">
        <v>627</v>
      </c>
      <c r="C170" s="287" t="s">
        <v>42</v>
      </c>
      <c r="D170" s="287" t="s">
        <v>369</v>
      </c>
      <c r="E170" s="287" t="b">
        <v>1</v>
      </c>
      <c r="F170" s="287" t="b">
        <v>1</v>
      </c>
      <c r="G170" s="287" t="s">
        <v>250</v>
      </c>
      <c r="H170" s="40"/>
      <c r="I170" s="40"/>
      <c r="J170" s="40"/>
      <c r="K170" s="286"/>
      <c r="L170" s="286"/>
      <c r="M170" s="40"/>
      <c r="N170" s="40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287">
        <v>15051.0</v>
      </c>
      <c r="B171" s="287" t="s">
        <v>2569</v>
      </c>
      <c r="C171" s="287" t="s">
        <v>2570</v>
      </c>
      <c r="D171" s="287" t="s">
        <v>369</v>
      </c>
      <c r="E171" s="287" t="b">
        <v>1</v>
      </c>
      <c r="F171" s="287" t="b">
        <v>1</v>
      </c>
      <c r="G171" s="287" t="s">
        <v>2571</v>
      </c>
      <c r="H171" s="40"/>
      <c r="I171" s="40"/>
      <c r="J171" s="40"/>
      <c r="K171" s="286"/>
      <c r="L171" s="286"/>
      <c r="M171" s="40"/>
      <c r="N171" s="40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287">
        <v>14995.0</v>
      </c>
      <c r="B172" s="287" t="s">
        <v>635</v>
      </c>
      <c r="C172" s="287" t="s">
        <v>42</v>
      </c>
      <c r="D172" s="287" t="s">
        <v>369</v>
      </c>
      <c r="E172" s="287" t="b">
        <v>1</v>
      </c>
      <c r="F172" s="287" t="b">
        <v>1</v>
      </c>
      <c r="G172" s="287" t="s">
        <v>638</v>
      </c>
      <c r="H172" s="40"/>
      <c r="I172" s="40"/>
      <c r="J172" s="40"/>
      <c r="K172" s="286"/>
      <c r="L172" s="286"/>
      <c r="M172" s="40"/>
      <c r="N172" s="40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287">
        <v>14994.0</v>
      </c>
      <c r="B173" s="287" t="s">
        <v>639</v>
      </c>
      <c r="C173" s="287" t="s">
        <v>42</v>
      </c>
      <c r="D173" s="287" t="s">
        <v>369</v>
      </c>
      <c r="E173" s="287" t="b">
        <v>1</v>
      </c>
      <c r="F173" s="287" t="b">
        <v>1</v>
      </c>
      <c r="G173" s="287" t="s">
        <v>250</v>
      </c>
      <c r="H173" s="40"/>
      <c r="I173" s="40"/>
      <c r="J173" s="40"/>
      <c r="K173" s="286"/>
      <c r="L173" s="286"/>
      <c r="M173" s="40"/>
      <c r="N173" s="40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287">
        <v>112823.0</v>
      </c>
      <c r="B174" s="287" t="s">
        <v>2572</v>
      </c>
      <c r="C174" s="287" t="s">
        <v>389</v>
      </c>
      <c r="D174" s="287" t="s">
        <v>369</v>
      </c>
      <c r="E174" s="287" t="b">
        <v>1</v>
      </c>
      <c r="F174" s="287" t="b">
        <v>1</v>
      </c>
      <c r="G174" s="287" t="s">
        <v>250</v>
      </c>
      <c r="H174" s="40"/>
      <c r="I174" s="40"/>
      <c r="J174" s="40"/>
      <c r="K174" s="286"/>
      <c r="L174" s="286"/>
      <c r="M174" s="40"/>
      <c r="N174" s="40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287">
        <v>14993.0</v>
      </c>
      <c r="B175" s="287" t="s">
        <v>640</v>
      </c>
      <c r="C175" s="287" t="s">
        <v>42</v>
      </c>
      <c r="D175" s="287" t="s">
        <v>369</v>
      </c>
      <c r="E175" s="287" t="b">
        <v>1</v>
      </c>
      <c r="F175" s="287" t="b">
        <v>1</v>
      </c>
      <c r="G175" s="287" t="s">
        <v>641</v>
      </c>
      <c r="H175" s="40"/>
      <c r="I175" s="40"/>
      <c r="J175" s="40"/>
      <c r="K175" s="286"/>
      <c r="L175" s="286"/>
      <c r="M175" s="40"/>
      <c r="N175" s="40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287">
        <v>15047.0</v>
      </c>
      <c r="B176" s="287" t="s">
        <v>642</v>
      </c>
      <c r="C176" s="287" t="s">
        <v>42</v>
      </c>
      <c r="D176" s="287" t="s">
        <v>369</v>
      </c>
      <c r="E176" s="287" t="b">
        <v>1</v>
      </c>
      <c r="F176" s="287" t="b">
        <v>1</v>
      </c>
      <c r="G176" s="287" t="s">
        <v>250</v>
      </c>
      <c r="H176" s="40"/>
      <c r="I176" s="40"/>
      <c r="J176" s="40"/>
      <c r="K176" s="286"/>
      <c r="L176" s="286"/>
      <c r="M176" s="40"/>
      <c r="N176" s="40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287">
        <v>109653.0</v>
      </c>
      <c r="B177" s="287" t="s">
        <v>644</v>
      </c>
      <c r="C177" s="287" t="s">
        <v>42</v>
      </c>
      <c r="D177" s="287" t="s">
        <v>369</v>
      </c>
      <c r="E177" s="287" t="b">
        <v>1</v>
      </c>
      <c r="F177" s="287" t="b">
        <v>1</v>
      </c>
      <c r="G177" s="287" t="s">
        <v>250</v>
      </c>
      <c r="H177" s="40"/>
      <c r="I177" s="40"/>
      <c r="J177" s="40"/>
      <c r="K177" s="286"/>
      <c r="L177" s="286"/>
      <c r="M177" s="40"/>
      <c r="N177" s="40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287">
        <v>12748.0</v>
      </c>
      <c r="B178" s="287" t="s">
        <v>650</v>
      </c>
      <c r="C178" s="287" t="s">
        <v>42</v>
      </c>
      <c r="D178" s="287" t="s">
        <v>369</v>
      </c>
      <c r="E178" s="287" t="b">
        <v>1</v>
      </c>
      <c r="F178" s="287" t="b">
        <v>1</v>
      </c>
      <c r="G178" s="287" t="s">
        <v>250</v>
      </c>
      <c r="H178" s="40"/>
      <c r="I178" s="40"/>
      <c r="J178" s="40"/>
      <c r="K178" s="286"/>
      <c r="L178" s="286"/>
      <c r="M178" s="40"/>
      <c r="N178" s="40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287">
        <v>27418.0</v>
      </c>
      <c r="B179" s="287" t="s">
        <v>652</v>
      </c>
      <c r="C179" s="287" t="s">
        <v>42</v>
      </c>
      <c r="D179" s="287" t="s">
        <v>369</v>
      </c>
      <c r="E179" s="287" t="b">
        <v>1</v>
      </c>
      <c r="F179" s="287" t="b">
        <v>1</v>
      </c>
      <c r="G179" s="287" t="s">
        <v>250</v>
      </c>
      <c r="H179" s="40"/>
      <c r="I179" s="40"/>
      <c r="J179" s="40"/>
      <c r="K179" s="286"/>
      <c r="L179" s="286"/>
      <c r="M179" s="40"/>
      <c r="N179" s="40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287">
        <v>47179.0</v>
      </c>
      <c r="B180" s="287" t="s">
        <v>653</v>
      </c>
      <c r="C180" s="287" t="s">
        <v>42</v>
      </c>
      <c r="D180" s="287" t="s">
        <v>369</v>
      </c>
      <c r="E180" s="287" t="b">
        <v>1</v>
      </c>
      <c r="F180" s="287" t="b">
        <v>1</v>
      </c>
      <c r="G180" s="287" t="s">
        <v>250</v>
      </c>
      <c r="H180" s="40"/>
      <c r="I180" s="40"/>
      <c r="J180" s="40"/>
      <c r="K180" s="286"/>
      <c r="L180" s="286"/>
      <c r="M180" s="40"/>
      <c r="N180" s="40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287">
        <v>43853.0</v>
      </c>
      <c r="B181" s="287" t="s">
        <v>654</v>
      </c>
      <c r="C181" s="287" t="s">
        <v>42</v>
      </c>
      <c r="D181" s="287" t="s">
        <v>369</v>
      </c>
      <c r="E181" s="287" t="b">
        <v>1</v>
      </c>
      <c r="F181" s="287" t="b">
        <v>1</v>
      </c>
      <c r="G181" s="287" t="s">
        <v>250</v>
      </c>
      <c r="H181" s="40"/>
      <c r="I181" s="40"/>
      <c r="J181" s="40"/>
      <c r="K181" s="286"/>
      <c r="L181" s="286"/>
      <c r="M181" s="40"/>
      <c r="N181" s="40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287">
        <v>27417.0</v>
      </c>
      <c r="B182" s="287" t="s">
        <v>2573</v>
      </c>
      <c r="C182" s="287" t="s">
        <v>42</v>
      </c>
      <c r="D182" s="287" t="s">
        <v>369</v>
      </c>
      <c r="E182" s="287" t="b">
        <v>1</v>
      </c>
      <c r="F182" s="287" t="b">
        <v>1</v>
      </c>
      <c r="G182" s="287" t="s">
        <v>250</v>
      </c>
      <c r="H182" s="40"/>
      <c r="I182" s="40"/>
      <c r="J182" s="40"/>
      <c r="K182" s="286"/>
      <c r="L182" s="286"/>
      <c r="M182" s="40"/>
      <c r="N182" s="40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287">
        <v>14991.0</v>
      </c>
      <c r="B183" s="287" t="s">
        <v>621</v>
      </c>
      <c r="C183" s="287" t="s">
        <v>42</v>
      </c>
      <c r="D183" s="287" t="s">
        <v>369</v>
      </c>
      <c r="E183" s="287" t="b">
        <v>1</v>
      </c>
      <c r="F183" s="287" t="b">
        <v>1</v>
      </c>
      <c r="G183" s="287" t="s">
        <v>250</v>
      </c>
      <c r="H183" s="40"/>
      <c r="I183" s="40"/>
      <c r="J183" s="40"/>
      <c r="K183" s="286"/>
      <c r="L183" s="286"/>
      <c r="M183" s="40"/>
      <c r="N183" s="40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287">
        <v>15057.0</v>
      </c>
      <c r="B184" s="287" t="s">
        <v>657</v>
      </c>
      <c r="C184" s="287" t="s">
        <v>42</v>
      </c>
      <c r="D184" s="287" t="s">
        <v>369</v>
      </c>
      <c r="E184" s="287" t="b">
        <v>1</v>
      </c>
      <c r="F184" s="287" t="b">
        <v>1</v>
      </c>
      <c r="G184" s="287" t="s">
        <v>660</v>
      </c>
      <c r="H184" s="40"/>
      <c r="I184" s="40"/>
      <c r="J184" s="40"/>
      <c r="K184" s="286"/>
      <c r="L184" s="286"/>
      <c r="M184" s="40"/>
      <c r="N184" s="40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287">
        <v>15081.0</v>
      </c>
      <c r="B185" s="287" t="s">
        <v>661</v>
      </c>
      <c r="C185" s="287" t="s">
        <v>42</v>
      </c>
      <c r="D185" s="287" t="s">
        <v>369</v>
      </c>
      <c r="E185" s="287" t="b">
        <v>1</v>
      </c>
      <c r="F185" s="287" t="b">
        <v>1</v>
      </c>
      <c r="G185" s="287" t="s">
        <v>250</v>
      </c>
      <c r="H185" s="40"/>
      <c r="I185" s="40"/>
      <c r="J185" s="40"/>
      <c r="K185" s="286"/>
      <c r="L185" s="286"/>
      <c r="M185" s="40"/>
      <c r="N185" s="40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287">
        <v>11745.0</v>
      </c>
      <c r="B186" s="287" t="s">
        <v>663</v>
      </c>
      <c r="C186" s="287" t="s">
        <v>42</v>
      </c>
      <c r="D186" s="287" t="s">
        <v>369</v>
      </c>
      <c r="E186" s="287" t="b">
        <v>1</v>
      </c>
      <c r="F186" s="287" t="b">
        <v>1</v>
      </c>
      <c r="G186" s="287" t="s">
        <v>250</v>
      </c>
      <c r="H186" s="40"/>
      <c r="I186" s="40"/>
      <c r="J186" s="40"/>
      <c r="K186" s="286"/>
      <c r="L186" s="286"/>
      <c r="M186" s="40"/>
      <c r="N186" s="40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287">
        <v>18536.0</v>
      </c>
      <c r="B187" s="287" t="s">
        <v>666</v>
      </c>
      <c r="C187" s="287" t="s">
        <v>42</v>
      </c>
      <c r="D187" s="287" t="s">
        <v>369</v>
      </c>
      <c r="E187" s="287" t="b">
        <v>1</v>
      </c>
      <c r="F187" s="287" t="b">
        <v>1</v>
      </c>
      <c r="G187" s="287" t="s">
        <v>250</v>
      </c>
      <c r="H187" s="40"/>
      <c r="I187" s="40"/>
      <c r="J187" s="40"/>
      <c r="K187" s="286"/>
      <c r="L187" s="286"/>
      <c r="M187" s="40"/>
      <c r="N187" s="40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287">
        <v>30013.0</v>
      </c>
      <c r="B188" s="287" t="s">
        <v>2574</v>
      </c>
      <c r="C188" s="287" t="s">
        <v>42</v>
      </c>
      <c r="D188" s="287" t="s">
        <v>369</v>
      </c>
      <c r="E188" s="287" t="b">
        <v>1</v>
      </c>
      <c r="F188" s="287" t="b">
        <v>1</v>
      </c>
      <c r="G188" s="287" t="s">
        <v>250</v>
      </c>
      <c r="H188" s="40"/>
      <c r="I188" s="40"/>
      <c r="J188" s="40"/>
      <c r="K188" s="286"/>
      <c r="L188" s="286"/>
      <c r="M188" s="40"/>
      <c r="N188" s="40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287">
        <v>16981.0</v>
      </c>
      <c r="B189" s="287" t="s">
        <v>648</v>
      </c>
      <c r="C189" s="287" t="s">
        <v>42</v>
      </c>
      <c r="D189" s="287" t="s">
        <v>369</v>
      </c>
      <c r="E189" s="287" t="b">
        <v>1</v>
      </c>
      <c r="F189" s="287" t="b">
        <v>1</v>
      </c>
      <c r="G189" s="287" t="s">
        <v>250</v>
      </c>
      <c r="H189" s="40"/>
      <c r="I189" s="40"/>
      <c r="J189" s="40"/>
      <c r="K189" s="286"/>
      <c r="L189" s="286"/>
      <c r="M189" s="40"/>
      <c r="N189" s="40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287">
        <v>14997.0</v>
      </c>
      <c r="B190" s="287" t="s">
        <v>612</v>
      </c>
      <c r="C190" s="287" t="s">
        <v>42</v>
      </c>
      <c r="D190" s="287" t="s">
        <v>369</v>
      </c>
      <c r="E190" s="287" t="b">
        <v>1</v>
      </c>
      <c r="F190" s="287" t="b">
        <v>1</v>
      </c>
      <c r="G190" s="287" t="s">
        <v>614</v>
      </c>
      <c r="H190" s="40"/>
      <c r="I190" s="40"/>
      <c r="J190" s="40"/>
      <c r="K190" s="286"/>
      <c r="L190" s="286"/>
      <c r="M190" s="40"/>
      <c r="N190" s="40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287">
        <v>15058.0</v>
      </c>
      <c r="B191" s="287" t="s">
        <v>623</v>
      </c>
      <c r="C191" s="287" t="s">
        <v>42</v>
      </c>
      <c r="D191" s="287" t="s">
        <v>369</v>
      </c>
      <c r="E191" s="287" t="b">
        <v>1</v>
      </c>
      <c r="F191" s="287" t="b">
        <v>1</v>
      </c>
      <c r="G191" s="287" t="s">
        <v>250</v>
      </c>
      <c r="H191" s="40"/>
      <c r="I191" s="40"/>
      <c r="J191" s="40"/>
      <c r="K191" s="286"/>
      <c r="L191" s="286"/>
      <c r="M191" s="40"/>
      <c r="N191" s="40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287">
        <v>15231.0</v>
      </c>
      <c r="B192" s="287" t="s">
        <v>671</v>
      </c>
      <c r="C192" s="287" t="s">
        <v>42</v>
      </c>
      <c r="D192" s="287" t="s">
        <v>249</v>
      </c>
      <c r="E192" s="287" t="b">
        <v>1</v>
      </c>
      <c r="F192" s="287" t="b">
        <v>1</v>
      </c>
      <c r="G192" s="287" t="s">
        <v>672</v>
      </c>
      <c r="H192" s="40"/>
      <c r="I192" s="40"/>
      <c r="J192" s="40"/>
      <c r="K192" s="286"/>
      <c r="L192" s="286"/>
      <c r="M192" s="40"/>
      <c r="N192" s="40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287">
        <v>43759.0</v>
      </c>
      <c r="B193" s="287" t="s">
        <v>673</v>
      </c>
      <c r="C193" s="287" t="s">
        <v>42</v>
      </c>
      <c r="D193" s="287" t="s">
        <v>249</v>
      </c>
      <c r="E193" s="287" t="b">
        <v>1</v>
      </c>
      <c r="F193" s="287" t="b">
        <v>1</v>
      </c>
      <c r="G193" s="287" t="s">
        <v>674</v>
      </c>
      <c r="H193" s="40"/>
      <c r="I193" s="40"/>
      <c r="J193" s="40"/>
      <c r="K193" s="286"/>
      <c r="L193" s="286"/>
      <c r="M193" s="40"/>
      <c r="N193" s="40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287">
        <v>15182.0</v>
      </c>
      <c r="B194" s="287" t="s">
        <v>675</v>
      </c>
      <c r="C194" s="287" t="s">
        <v>42</v>
      </c>
      <c r="D194" s="287" t="s">
        <v>249</v>
      </c>
      <c r="E194" s="287" t="b">
        <v>1</v>
      </c>
      <c r="F194" s="287" t="b">
        <v>1</v>
      </c>
      <c r="G194" s="287" t="s">
        <v>250</v>
      </c>
      <c r="H194" s="40"/>
      <c r="I194" s="40"/>
      <c r="J194" s="40"/>
      <c r="K194" s="286"/>
      <c r="L194" s="286"/>
      <c r="M194" s="40"/>
      <c r="N194" s="40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287">
        <v>19448.0</v>
      </c>
      <c r="B195" s="287" t="s">
        <v>677</v>
      </c>
      <c r="C195" s="287" t="s">
        <v>42</v>
      </c>
      <c r="D195" s="287" t="s">
        <v>249</v>
      </c>
      <c r="E195" s="287" t="b">
        <v>1</v>
      </c>
      <c r="F195" s="287" t="b">
        <v>1</v>
      </c>
      <c r="G195" s="287" t="s">
        <v>678</v>
      </c>
      <c r="H195" s="40"/>
      <c r="I195" s="40"/>
      <c r="J195" s="40"/>
      <c r="K195" s="286"/>
      <c r="L195" s="286"/>
      <c r="M195" s="40"/>
      <c r="N195" s="40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287">
        <v>141634.0</v>
      </c>
      <c r="B196" s="287" t="s">
        <v>2575</v>
      </c>
      <c r="C196" s="287" t="s">
        <v>42</v>
      </c>
      <c r="D196" s="287" t="s">
        <v>249</v>
      </c>
      <c r="E196" s="287" t="b">
        <v>1</v>
      </c>
      <c r="F196" s="287" t="b">
        <v>1</v>
      </c>
      <c r="G196" s="287" t="s">
        <v>2576</v>
      </c>
      <c r="H196" s="40"/>
      <c r="I196" s="40"/>
      <c r="J196" s="40"/>
      <c r="K196" s="286"/>
      <c r="L196" s="286"/>
      <c r="M196" s="40"/>
      <c r="N196" s="40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287">
        <v>10325.0</v>
      </c>
      <c r="B197" s="287" t="s">
        <v>681</v>
      </c>
      <c r="C197" s="287" t="s">
        <v>42</v>
      </c>
      <c r="D197" s="287" t="s">
        <v>249</v>
      </c>
      <c r="E197" s="287" t="b">
        <v>1</v>
      </c>
      <c r="F197" s="287" t="b">
        <v>1</v>
      </c>
      <c r="G197" s="287" t="s">
        <v>684</v>
      </c>
      <c r="H197" s="40"/>
      <c r="I197" s="40"/>
      <c r="J197" s="40"/>
      <c r="K197" s="286"/>
      <c r="L197" s="286"/>
      <c r="M197" s="40"/>
      <c r="N197" s="40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287">
        <v>148766.0</v>
      </c>
      <c r="B198" s="287" t="s">
        <v>685</v>
      </c>
      <c r="C198" s="287" t="s">
        <v>42</v>
      </c>
      <c r="D198" s="287" t="s">
        <v>249</v>
      </c>
      <c r="E198" s="287" t="b">
        <v>1</v>
      </c>
      <c r="F198" s="287" t="b">
        <v>1</v>
      </c>
      <c r="G198" s="287" t="s">
        <v>250</v>
      </c>
      <c r="H198" s="40"/>
      <c r="I198" s="40"/>
      <c r="J198" s="40"/>
      <c r="K198" s="286"/>
      <c r="L198" s="286"/>
      <c r="M198" s="40"/>
      <c r="N198" s="40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287">
        <v>15133.0</v>
      </c>
      <c r="B199" s="287" t="s">
        <v>686</v>
      </c>
      <c r="C199" s="287" t="s">
        <v>42</v>
      </c>
      <c r="D199" s="287" t="s">
        <v>249</v>
      </c>
      <c r="E199" s="287" t="b">
        <v>1</v>
      </c>
      <c r="F199" s="287" t="b">
        <v>1</v>
      </c>
      <c r="G199" s="287" t="s">
        <v>687</v>
      </c>
      <c r="H199" s="40"/>
      <c r="I199" s="40"/>
      <c r="J199" s="40"/>
      <c r="K199" s="286"/>
      <c r="L199" s="286"/>
      <c r="M199" s="40"/>
      <c r="N199" s="40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287">
        <v>102460.0</v>
      </c>
      <c r="B200" s="287" t="s">
        <v>688</v>
      </c>
      <c r="C200" s="287" t="s">
        <v>42</v>
      </c>
      <c r="D200" s="287" t="s">
        <v>249</v>
      </c>
      <c r="E200" s="287" t="b">
        <v>1</v>
      </c>
      <c r="F200" s="287" t="b">
        <v>1</v>
      </c>
      <c r="G200" s="287" t="s">
        <v>250</v>
      </c>
      <c r="H200" s="40"/>
      <c r="I200" s="40"/>
      <c r="J200" s="40"/>
      <c r="K200" s="286"/>
      <c r="L200" s="286"/>
      <c r="M200" s="40"/>
      <c r="N200" s="40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287">
        <v>111794.0</v>
      </c>
      <c r="B201" s="287" t="s">
        <v>689</v>
      </c>
      <c r="C201" s="287" t="s">
        <v>42</v>
      </c>
      <c r="D201" s="287" t="s">
        <v>249</v>
      </c>
      <c r="E201" s="287" t="b">
        <v>1</v>
      </c>
      <c r="F201" s="287" t="b">
        <v>1</v>
      </c>
      <c r="G201" s="287" t="s">
        <v>250</v>
      </c>
      <c r="H201" s="40"/>
      <c r="I201" s="40"/>
      <c r="J201" s="40"/>
      <c r="K201" s="286"/>
      <c r="L201" s="286"/>
      <c r="M201" s="40"/>
      <c r="N201" s="40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287">
        <v>38193.0</v>
      </c>
      <c r="B202" s="287" t="s">
        <v>692</v>
      </c>
      <c r="C202" s="287" t="s">
        <v>42</v>
      </c>
      <c r="D202" s="287" t="s">
        <v>249</v>
      </c>
      <c r="E202" s="287" t="b">
        <v>1</v>
      </c>
      <c r="F202" s="287" t="b">
        <v>1</v>
      </c>
      <c r="G202" s="287" t="s">
        <v>694</v>
      </c>
      <c r="H202" s="40"/>
      <c r="I202" s="40"/>
      <c r="J202" s="40"/>
      <c r="K202" s="286"/>
      <c r="L202" s="286"/>
      <c r="M202" s="40"/>
      <c r="N202" s="40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287">
        <v>30022.0</v>
      </c>
      <c r="B203" s="287" t="s">
        <v>695</v>
      </c>
      <c r="C203" s="287" t="s">
        <v>42</v>
      </c>
      <c r="D203" s="287" t="s">
        <v>249</v>
      </c>
      <c r="E203" s="287" t="b">
        <v>1</v>
      </c>
      <c r="F203" s="287" t="b">
        <v>1</v>
      </c>
      <c r="G203" s="287" t="s">
        <v>698</v>
      </c>
      <c r="H203" s="40"/>
      <c r="I203" s="40"/>
      <c r="J203" s="40"/>
      <c r="K203" s="286"/>
      <c r="L203" s="286"/>
      <c r="M203" s="40"/>
      <c r="N203" s="40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287">
        <v>102749.0</v>
      </c>
      <c r="B204" s="287" t="s">
        <v>699</v>
      </c>
      <c r="C204" s="287" t="s">
        <v>42</v>
      </c>
      <c r="D204" s="287" t="s">
        <v>249</v>
      </c>
      <c r="E204" s="287" t="b">
        <v>1</v>
      </c>
      <c r="F204" s="287" t="b">
        <v>1</v>
      </c>
      <c r="G204" s="287" t="s">
        <v>250</v>
      </c>
      <c r="H204" s="40"/>
      <c r="I204" s="40"/>
      <c r="J204" s="40"/>
      <c r="K204" s="286"/>
      <c r="L204" s="286"/>
      <c r="M204" s="40"/>
      <c r="N204" s="40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287">
        <v>38770.0</v>
      </c>
      <c r="B205" s="287" t="s">
        <v>702</v>
      </c>
      <c r="C205" s="287" t="s">
        <v>42</v>
      </c>
      <c r="D205" s="287" t="s">
        <v>249</v>
      </c>
      <c r="E205" s="287" t="b">
        <v>1</v>
      </c>
      <c r="F205" s="287" t="b">
        <v>1</v>
      </c>
      <c r="G205" s="287" t="s">
        <v>703</v>
      </c>
      <c r="H205" s="40"/>
      <c r="I205" s="40"/>
      <c r="J205" s="40"/>
      <c r="K205" s="286"/>
      <c r="L205" s="286"/>
      <c r="M205" s="40"/>
      <c r="N205" s="40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287">
        <v>43426.0</v>
      </c>
      <c r="B206" s="287" t="s">
        <v>704</v>
      </c>
      <c r="C206" s="287" t="s">
        <v>42</v>
      </c>
      <c r="D206" s="287" t="s">
        <v>249</v>
      </c>
      <c r="E206" s="287" t="b">
        <v>1</v>
      </c>
      <c r="F206" s="287" t="b">
        <v>1</v>
      </c>
      <c r="G206" s="287" t="s">
        <v>706</v>
      </c>
      <c r="H206" s="40"/>
      <c r="I206" s="40"/>
      <c r="J206" s="40"/>
      <c r="K206" s="286"/>
      <c r="L206" s="286"/>
      <c r="M206" s="40"/>
      <c r="N206" s="40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287">
        <v>15230.0</v>
      </c>
      <c r="B207" s="287" t="s">
        <v>707</v>
      </c>
      <c r="C207" s="287" t="s">
        <v>42</v>
      </c>
      <c r="D207" s="287" t="s">
        <v>249</v>
      </c>
      <c r="E207" s="287" t="b">
        <v>1</v>
      </c>
      <c r="F207" s="287" t="b">
        <v>1</v>
      </c>
      <c r="G207" s="287" t="s">
        <v>708</v>
      </c>
      <c r="H207" s="40"/>
      <c r="I207" s="40"/>
      <c r="J207" s="40"/>
      <c r="K207" s="286"/>
      <c r="L207" s="286"/>
      <c r="M207" s="40"/>
      <c r="N207" s="40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287">
        <v>15213.0</v>
      </c>
      <c r="B208" s="287" t="s">
        <v>709</v>
      </c>
      <c r="C208" s="287" t="s">
        <v>42</v>
      </c>
      <c r="D208" s="287" t="s">
        <v>249</v>
      </c>
      <c r="E208" s="287" t="b">
        <v>1</v>
      </c>
      <c r="F208" s="287" t="b">
        <v>1</v>
      </c>
      <c r="G208" s="287" t="s">
        <v>710</v>
      </c>
      <c r="H208" s="40"/>
      <c r="I208" s="40"/>
      <c r="J208" s="40"/>
      <c r="K208" s="286"/>
      <c r="L208" s="286"/>
      <c r="M208" s="40"/>
      <c r="N208" s="40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287">
        <v>15192.0</v>
      </c>
      <c r="B209" s="287" t="s">
        <v>711</v>
      </c>
      <c r="C209" s="287" t="s">
        <v>42</v>
      </c>
      <c r="D209" s="287" t="s">
        <v>249</v>
      </c>
      <c r="E209" s="287" t="b">
        <v>1</v>
      </c>
      <c r="F209" s="287" t="b">
        <v>1</v>
      </c>
      <c r="G209" s="287" t="s">
        <v>713</v>
      </c>
      <c r="H209" s="40"/>
      <c r="I209" s="40"/>
      <c r="J209" s="40"/>
      <c r="K209" s="286"/>
      <c r="L209" s="286"/>
      <c r="M209" s="40"/>
      <c r="N209" s="40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287">
        <v>15235.0</v>
      </c>
      <c r="B210" s="287" t="s">
        <v>714</v>
      </c>
      <c r="C210" s="287" t="s">
        <v>42</v>
      </c>
      <c r="D210" s="287" t="s">
        <v>249</v>
      </c>
      <c r="E210" s="287" t="b">
        <v>1</v>
      </c>
      <c r="F210" s="287" t="b">
        <v>1</v>
      </c>
      <c r="G210" s="287" t="s">
        <v>717</v>
      </c>
      <c r="H210" s="40"/>
      <c r="I210" s="40"/>
      <c r="J210" s="40"/>
      <c r="K210" s="286"/>
      <c r="L210" s="286"/>
      <c r="M210" s="40"/>
      <c r="N210" s="40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287">
        <v>106306.0</v>
      </c>
      <c r="B211" s="287" t="s">
        <v>718</v>
      </c>
      <c r="C211" s="287" t="s">
        <v>42</v>
      </c>
      <c r="D211" s="287" t="s">
        <v>249</v>
      </c>
      <c r="E211" s="287" t="b">
        <v>1</v>
      </c>
      <c r="F211" s="287" t="b">
        <v>0</v>
      </c>
      <c r="G211" s="287" t="s">
        <v>2577</v>
      </c>
      <c r="H211" s="40"/>
      <c r="I211" s="40"/>
      <c r="J211" s="40"/>
      <c r="K211" s="286"/>
      <c r="L211" s="286"/>
      <c r="M211" s="40"/>
      <c r="N211" s="40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287">
        <v>15202.0</v>
      </c>
      <c r="B212" s="287" t="s">
        <v>721</v>
      </c>
      <c r="C212" s="287" t="s">
        <v>42</v>
      </c>
      <c r="D212" s="287" t="s">
        <v>249</v>
      </c>
      <c r="E212" s="287" t="b">
        <v>1</v>
      </c>
      <c r="F212" s="287" t="b">
        <v>1</v>
      </c>
      <c r="G212" s="287" t="s">
        <v>723</v>
      </c>
      <c r="H212" s="40"/>
      <c r="I212" s="40"/>
      <c r="J212" s="40"/>
      <c r="K212" s="286"/>
      <c r="L212" s="286"/>
      <c r="M212" s="40"/>
      <c r="N212" s="40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287">
        <v>20670.0</v>
      </c>
      <c r="B213" s="287" t="s">
        <v>725</v>
      </c>
      <c r="C213" s="287" t="s">
        <v>42</v>
      </c>
      <c r="D213" s="287" t="s">
        <v>249</v>
      </c>
      <c r="E213" s="287" t="b">
        <v>1</v>
      </c>
      <c r="F213" s="287" t="b">
        <v>1</v>
      </c>
      <c r="G213" s="287" t="s">
        <v>250</v>
      </c>
      <c r="H213" s="40"/>
      <c r="I213" s="40"/>
      <c r="J213" s="40"/>
      <c r="K213" s="286"/>
      <c r="L213" s="286"/>
      <c r="M213" s="40"/>
      <c r="N213" s="40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287">
        <v>15204.0</v>
      </c>
      <c r="B214" s="287" t="s">
        <v>728</v>
      </c>
      <c r="C214" s="287" t="s">
        <v>42</v>
      </c>
      <c r="D214" s="287" t="s">
        <v>249</v>
      </c>
      <c r="E214" s="287" t="b">
        <v>1</v>
      </c>
      <c r="F214" s="287" t="b">
        <v>1</v>
      </c>
      <c r="G214" s="287" t="s">
        <v>730</v>
      </c>
      <c r="H214" s="40"/>
      <c r="I214" s="40"/>
      <c r="J214" s="40"/>
      <c r="K214" s="286"/>
      <c r="L214" s="286"/>
      <c r="M214" s="40"/>
      <c r="N214" s="40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287">
        <v>110017.0</v>
      </c>
      <c r="B215" s="287" t="s">
        <v>733</v>
      </c>
      <c r="C215" s="287" t="s">
        <v>42</v>
      </c>
      <c r="D215" s="287" t="s">
        <v>249</v>
      </c>
      <c r="E215" s="287" t="b">
        <v>1</v>
      </c>
      <c r="F215" s="287" t="b">
        <v>1</v>
      </c>
      <c r="G215" s="287" t="s">
        <v>250</v>
      </c>
      <c r="H215" s="40"/>
      <c r="I215" s="40"/>
      <c r="J215" s="40"/>
      <c r="K215" s="286"/>
      <c r="L215" s="286"/>
      <c r="M215" s="40"/>
      <c r="N215" s="40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287">
        <v>30023.0</v>
      </c>
      <c r="B216" s="287" t="s">
        <v>2578</v>
      </c>
      <c r="C216" s="287" t="s">
        <v>42</v>
      </c>
      <c r="D216" s="287" t="s">
        <v>249</v>
      </c>
      <c r="E216" s="287" t="b">
        <v>1</v>
      </c>
      <c r="F216" s="287" t="b">
        <v>1</v>
      </c>
      <c r="G216" s="287" t="s">
        <v>250</v>
      </c>
      <c r="H216" s="40"/>
      <c r="I216" s="40"/>
      <c r="J216" s="40"/>
      <c r="K216" s="286"/>
      <c r="L216" s="286"/>
      <c r="M216" s="40"/>
      <c r="N216" s="40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287">
        <v>111849.0</v>
      </c>
      <c r="B217" s="287" t="s">
        <v>738</v>
      </c>
      <c r="C217" s="287" t="s">
        <v>42</v>
      </c>
      <c r="D217" s="287" t="s">
        <v>249</v>
      </c>
      <c r="E217" s="287" t="b">
        <v>1</v>
      </c>
      <c r="F217" s="287" t="b">
        <v>1</v>
      </c>
      <c r="G217" s="287" t="s">
        <v>740</v>
      </c>
      <c r="H217" s="40"/>
      <c r="I217" s="40"/>
      <c r="J217" s="40"/>
      <c r="K217" s="286"/>
      <c r="L217" s="286"/>
      <c r="M217" s="40"/>
      <c r="N217" s="40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287">
        <v>15178.0</v>
      </c>
      <c r="B218" s="287" t="s">
        <v>741</v>
      </c>
      <c r="C218" s="287" t="s">
        <v>42</v>
      </c>
      <c r="D218" s="287" t="s">
        <v>249</v>
      </c>
      <c r="E218" s="287" t="b">
        <v>1</v>
      </c>
      <c r="F218" s="287" t="b">
        <v>1</v>
      </c>
      <c r="G218" s="287" t="s">
        <v>742</v>
      </c>
      <c r="H218" s="40"/>
      <c r="I218" s="40"/>
      <c r="J218" s="40"/>
      <c r="K218" s="286"/>
      <c r="L218" s="286"/>
      <c r="M218" s="40"/>
      <c r="N218" s="40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287">
        <v>15158.0</v>
      </c>
      <c r="B219" s="287" t="s">
        <v>2579</v>
      </c>
      <c r="C219" s="287" t="s">
        <v>42</v>
      </c>
      <c r="D219" s="287" t="s">
        <v>249</v>
      </c>
      <c r="E219" s="287" t="b">
        <v>1</v>
      </c>
      <c r="F219" s="287" t="b">
        <v>1</v>
      </c>
      <c r="G219" s="287" t="s">
        <v>744</v>
      </c>
      <c r="H219" s="40"/>
      <c r="I219" s="40"/>
      <c r="J219" s="40"/>
      <c r="K219" s="286"/>
      <c r="L219" s="286"/>
      <c r="M219" s="40"/>
      <c r="N219" s="40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287">
        <v>15203.0</v>
      </c>
      <c r="B220" s="287" t="s">
        <v>745</v>
      </c>
      <c r="C220" s="287" t="s">
        <v>42</v>
      </c>
      <c r="D220" s="287" t="s">
        <v>249</v>
      </c>
      <c r="E220" s="287" t="b">
        <v>1</v>
      </c>
      <c r="F220" s="287" t="b">
        <v>1</v>
      </c>
      <c r="G220" s="287" t="s">
        <v>746</v>
      </c>
      <c r="H220" s="40"/>
      <c r="I220" s="40"/>
      <c r="J220" s="40"/>
      <c r="K220" s="286"/>
      <c r="L220" s="286"/>
      <c r="M220" s="40"/>
      <c r="N220" s="40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287">
        <v>15201.0</v>
      </c>
      <c r="B221" s="287" t="s">
        <v>2580</v>
      </c>
      <c r="C221" s="287" t="s">
        <v>42</v>
      </c>
      <c r="D221" s="287" t="s">
        <v>249</v>
      </c>
      <c r="E221" s="287" t="b">
        <v>1</v>
      </c>
      <c r="F221" s="287" t="b">
        <v>0</v>
      </c>
      <c r="G221" s="287" t="s">
        <v>2581</v>
      </c>
      <c r="H221" s="40"/>
      <c r="I221" s="40"/>
      <c r="J221" s="40"/>
      <c r="K221" s="286"/>
      <c r="L221" s="286"/>
      <c r="M221" s="40"/>
      <c r="N221" s="40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287">
        <v>148495.0</v>
      </c>
      <c r="B222" s="287" t="s">
        <v>753</v>
      </c>
      <c r="C222" s="287" t="s">
        <v>42</v>
      </c>
      <c r="D222" s="287" t="s">
        <v>249</v>
      </c>
      <c r="E222" s="287" t="b">
        <v>1</v>
      </c>
      <c r="F222" s="287" t="b">
        <v>1</v>
      </c>
      <c r="G222" s="287" t="s">
        <v>250</v>
      </c>
      <c r="H222" s="40"/>
      <c r="I222" s="40"/>
      <c r="J222" s="40"/>
      <c r="K222" s="286"/>
      <c r="L222" s="286"/>
      <c r="M222" s="40"/>
      <c r="N222" s="40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287">
        <v>40193.0</v>
      </c>
      <c r="B223" s="287" t="s">
        <v>756</v>
      </c>
      <c r="C223" s="287" t="s">
        <v>722</v>
      </c>
      <c r="D223" s="287" t="s">
        <v>249</v>
      </c>
      <c r="E223" s="287" t="b">
        <v>1</v>
      </c>
      <c r="F223" s="287" t="b">
        <v>1</v>
      </c>
      <c r="G223" s="287" t="s">
        <v>250</v>
      </c>
      <c r="H223" s="40"/>
      <c r="I223" s="40"/>
      <c r="J223" s="40"/>
      <c r="K223" s="286"/>
      <c r="L223" s="286"/>
      <c r="M223" s="40"/>
      <c r="N223" s="40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287">
        <v>110062.0</v>
      </c>
      <c r="B224" s="287" t="s">
        <v>761</v>
      </c>
      <c r="C224" s="287" t="s">
        <v>42</v>
      </c>
      <c r="D224" s="287" t="s">
        <v>249</v>
      </c>
      <c r="E224" s="287" t="b">
        <v>1</v>
      </c>
      <c r="F224" s="287" t="b">
        <v>1</v>
      </c>
      <c r="G224" s="287" t="s">
        <v>250</v>
      </c>
      <c r="H224" s="40"/>
      <c r="I224" s="40"/>
      <c r="J224" s="40"/>
      <c r="K224" s="286"/>
      <c r="L224" s="286"/>
      <c r="M224" s="40"/>
      <c r="N224" s="40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287">
        <v>110046.0</v>
      </c>
      <c r="B225" s="287" t="s">
        <v>766</v>
      </c>
      <c r="C225" s="287" t="s">
        <v>42</v>
      </c>
      <c r="D225" s="287" t="s">
        <v>249</v>
      </c>
      <c r="E225" s="287" t="b">
        <v>1</v>
      </c>
      <c r="F225" s="287" t="b">
        <v>1</v>
      </c>
      <c r="G225" s="287" t="s">
        <v>250</v>
      </c>
      <c r="H225" s="40"/>
      <c r="I225" s="40"/>
      <c r="J225" s="40"/>
      <c r="K225" s="286"/>
      <c r="L225" s="286"/>
      <c r="M225" s="40"/>
      <c r="N225" s="40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287">
        <v>146187.0</v>
      </c>
      <c r="B226" s="287" t="s">
        <v>767</v>
      </c>
      <c r="C226" s="287" t="s">
        <v>389</v>
      </c>
      <c r="D226" s="287" t="s">
        <v>249</v>
      </c>
      <c r="E226" s="287" t="b">
        <v>1</v>
      </c>
      <c r="F226" s="287" t="b">
        <v>1</v>
      </c>
      <c r="G226" s="287" t="s">
        <v>250</v>
      </c>
      <c r="H226" s="40"/>
      <c r="I226" s="40"/>
      <c r="J226" s="40"/>
      <c r="K226" s="286"/>
      <c r="L226" s="286"/>
      <c r="M226" s="40"/>
      <c r="N226" s="40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287">
        <v>111937.0</v>
      </c>
      <c r="B227" s="287" t="s">
        <v>2582</v>
      </c>
      <c r="C227" s="287" t="s">
        <v>389</v>
      </c>
      <c r="D227" s="287" t="s">
        <v>249</v>
      </c>
      <c r="E227" s="287" t="b">
        <v>1</v>
      </c>
      <c r="F227" s="287" t="b">
        <v>1</v>
      </c>
      <c r="G227" s="287" t="s">
        <v>2583</v>
      </c>
      <c r="H227" s="40"/>
      <c r="I227" s="40"/>
      <c r="J227" s="40"/>
      <c r="K227" s="286"/>
      <c r="L227" s="286"/>
      <c r="M227" s="40"/>
      <c r="N227" s="40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287">
        <v>108804.0</v>
      </c>
      <c r="B228" s="287" t="s">
        <v>771</v>
      </c>
      <c r="C228" s="287" t="s">
        <v>389</v>
      </c>
      <c r="D228" s="287" t="s">
        <v>249</v>
      </c>
      <c r="E228" s="287" t="b">
        <v>1</v>
      </c>
      <c r="F228" s="287" t="b">
        <v>1</v>
      </c>
      <c r="G228" s="287" t="s">
        <v>772</v>
      </c>
      <c r="H228" s="40"/>
      <c r="I228" s="40"/>
      <c r="J228" s="40"/>
      <c r="K228" s="286"/>
      <c r="L228" s="286"/>
      <c r="M228" s="40"/>
      <c r="N228" s="40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287">
        <v>141706.0</v>
      </c>
      <c r="B229" s="287" t="s">
        <v>2584</v>
      </c>
      <c r="C229" s="287" t="s">
        <v>2585</v>
      </c>
      <c r="D229" s="287" t="s">
        <v>249</v>
      </c>
      <c r="E229" s="287" t="b">
        <v>1</v>
      </c>
      <c r="F229" s="287" t="b">
        <v>0</v>
      </c>
      <c r="G229" s="287" t="s">
        <v>2586</v>
      </c>
      <c r="H229" s="40"/>
      <c r="I229" s="40"/>
      <c r="J229" s="40"/>
      <c r="K229" s="286"/>
      <c r="L229" s="286"/>
      <c r="M229" s="40"/>
      <c r="N229" s="40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287">
        <v>108803.0</v>
      </c>
      <c r="B230" s="287" t="s">
        <v>2587</v>
      </c>
      <c r="C230" s="287" t="s">
        <v>389</v>
      </c>
      <c r="D230" s="287" t="s">
        <v>249</v>
      </c>
      <c r="E230" s="287" t="b">
        <v>1</v>
      </c>
      <c r="F230" s="287" t="b">
        <v>1</v>
      </c>
      <c r="G230" s="287" t="s">
        <v>752</v>
      </c>
      <c r="H230" s="40"/>
      <c r="I230" s="40"/>
      <c r="J230" s="40"/>
      <c r="K230" s="286"/>
      <c r="L230" s="286"/>
      <c r="M230" s="40"/>
      <c r="N230" s="40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287">
        <v>27397.0</v>
      </c>
      <c r="B231" s="287" t="s">
        <v>2588</v>
      </c>
      <c r="C231" s="287" t="s">
        <v>42</v>
      </c>
      <c r="D231" s="287" t="s">
        <v>249</v>
      </c>
      <c r="E231" s="287" t="b">
        <v>1</v>
      </c>
      <c r="F231" s="287" t="b">
        <v>1</v>
      </c>
      <c r="G231" s="287" t="s">
        <v>775</v>
      </c>
      <c r="H231" s="40"/>
      <c r="I231" s="40"/>
      <c r="J231" s="40"/>
      <c r="K231" s="286"/>
      <c r="L231" s="286"/>
      <c r="M231" s="40"/>
      <c r="N231" s="40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287">
        <v>114311.0</v>
      </c>
      <c r="B232" s="287" t="s">
        <v>776</v>
      </c>
      <c r="C232" s="287" t="s">
        <v>389</v>
      </c>
      <c r="D232" s="287" t="s">
        <v>249</v>
      </c>
      <c r="E232" s="287" t="b">
        <v>1</v>
      </c>
      <c r="F232" s="287" t="b">
        <v>1</v>
      </c>
      <c r="G232" s="287" t="s">
        <v>250</v>
      </c>
      <c r="H232" s="40"/>
      <c r="I232" s="40"/>
      <c r="J232" s="40"/>
      <c r="K232" s="286"/>
      <c r="L232" s="286"/>
      <c r="M232" s="40"/>
      <c r="N232" s="40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287">
        <v>108802.0</v>
      </c>
      <c r="B233" s="287" t="s">
        <v>779</v>
      </c>
      <c r="C233" s="287" t="s">
        <v>769</v>
      </c>
      <c r="D233" s="287" t="s">
        <v>249</v>
      </c>
      <c r="E233" s="287" t="b">
        <v>1</v>
      </c>
      <c r="F233" s="287" t="b">
        <v>1</v>
      </c>
      <c r="G233" s="287" t="s">
        <v>250</v>
      </c>
      <c r="H233" s="40"/>
      <c r="I233" s="40"/>
      <c r="J233" s="40"/>
      <c r="K233" s="286"/>
      <c r="L233" s="286"/>
      <c r="M233" s="40"/>
      <c r="N233" s="40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287">
        <v>141638.0</v>
      </c>
      <c r="B234" s="287" t="s">
        <v>758</v>
      </c>
      <c r="C234" s="287" t="s">
        <v>389</v>
      </c>
      <c r="D234" s="287" t="s">
        <v>249</v>
      </c>
      <c r="E234" s="287" t="b">
        <v>1</v>
      </c>
      <c r="F234" s="287" t="b">
        <v>1</v>
      </c>
      <c r="G234" s="287" t="s">
        <v>760</v>
      </c>
      <c r="H234" s="40"/>
      <c r="I234" s="40"/>
      <c r="J234" s="40"/>
      <c r="K234" s="286"/>
      <c r="L234" s="286"/>
      <c r="M234" s="40"/>
      <c r="N234" s="40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287">
        <v>45163.0</v>
      </c>
      <c r="B235" s="287" t="s">
        <v>764</v>
      </c>
      <c r="C235" s="287" t="s">
        <v>389</v>
      </c>
      <c r="D235" s="287" t="s">
        <v>249</v>
      </c>
      <c r="E235" s="287" t="b">
        <v>1</v>
      </c>
      <c r="F235" s="287" t="b">
        <v>1</v>
      </c>
      <c r="G235" s="287" t="s">
        <v>765</v>
      </c>
      <c r="H235" s="40"/>
      <c r="I235" s="40"/>
      <c r="J235" s="40"/>
      <c r="K235" s="286"/>
      <c r="L235" s="286"/>
      <c r="M235" s="40"/>
      <c r="N235" s="40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287">
        <v>141639.0</v>
      </c>
      <c r="B236" s="287" t="s">
        <v>781</v>
      </c>
      <c r="C236" s="287" t="s">
        <v>389</v>
      </c>
      <c r="D236" s="287" t="s">
        <v>249</v>
      </c>
      <c r="E236" s="287" t="b">
        <v>1</v>
      </c>
      <c r="F236" s="287" t="b">
        <v>1</v>
      </c>
      <c r="G236" s="287" t="s">
        <v>782</v>
      </c>
      <c r="H236" s="40"/>
      <c r="I236" s="40"/>
      <c r="J236" s="40"/>
      <c r="K236" s="286"/>
      <c r="L236" s="286"/>
      <c r="M236" s="40"/>
      <c r="N236" s="40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287">
        <v>141640.0</v>
      </c>
      <c r="B237" s="287" t="s">
        <v>785</v>
      </c>
      <c r="C237" s="287" t="s">
        <v>389</v>
      </c>
      <c r="D237" s="287" t="s">
        <v>249</v>
      </c>
      <c r="E237" s="287" t="b">
        <v>1</v>
      </c>
      <c r="F237" s="287" t="b">
        <v>1</v>
      </c>
      <c r="G237" s="287" t="s">
        <v>786</v>
      </c>
      <c r="H237" s="40"/>
      <c r="I237" s="40"/>
      <c r="J237" s="40"/>
      <c r="K237" s="286"/>
      <c r="L237" s="286"/>
      <c r="M237" s="40"/>
      <c r="N237" s="40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287">
        <v>111998.0</v>
      </c>
      <c r="B238" s="287" t="s">
        <v>780</v>
      </c>
      <c r="C238" s="287" t="s">
        <v>42</v>
      </c>
      <c r="D238" s="287" t="s">
        <v>249</v>
      </c>
      <c r="E238" s="287" t="b">
        <v>1</v>
      </c>
      <c r="F238" s="287" t="b">
        <v>1</v>
      </c>
      <c r="G238" s="287" t="s">
        <v>250</v>
      </c>
      <c r="H238" s="40"/>
      <c r="I238" s="40"/>
      <c r="J238" s="40"/>
      <c r="K238" s="286"/>
      <c r="L238" s="286"/>
      <c r="M238" s="40"/>
      <c r="N238" s="40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287">
        <v>114312.0</v>
      </c>
      <c r="B239" s="287" t="s">
        <v>777</v>
      </c>
      <c r="C239" s="287" t="s">
        <v>389</v>
      </c>
      <c r="D239" s="287" t="s">
        <v>249</v>
      </c>
      <c r="E239" s="287" t="b">
        <v>1</v>
      </c>
      <c r="F239" s="287" t="b">
        <v>1</v>
      </c>
      <c r="G239" s="287" t="s">
        <v>778</v>
      </c>
      <c r="H239" s="40"/>
      <c r="I239" s="40"/>
      <c r="J239" s="40"/>
      <c r="K239" s="286"/>
      <c r="L239" s="286"/>
      <c r="M239" s="40"/>
      <c r="N239" s="40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287">
        <v>15157.0</v>
      </c>
      <c r="B240" s="287" t="s">
        <v>783</v>
      </c>
      <c r="C240" s="287" t="s">
        <v>42</v>
      </c>
      <c r="D240" s="287" t="s">
        <v>249</v>
      </c>
      <c r="E240" s="287" t="b">
        <v>1</v>
      </c>
      <c r="F240" s="287" t="b">
        <v>1</v>
      </c>
      <c r="G240" s="287" t="s">
        <v>784</v>
      </c>
      <c r="H240" s="40"/>
      <c r="I240" s="40"/>
      <c r="J240" s="40"/>
      <c r="K240" s="286"/>
      <c r="L240" s="286"/>
      <c r="M240" s="40"/>
      <c r="N240" s="40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287">
        <v>53694.0</v>
      </c>
      <c r="B241" s="287" t="s">
        <v>788</v>
      </c>
      <c r="C241" s="287" t="s">
        <v>2589</v>
      </c>
      <c r="D241" s="287" t="s">
        <v>249</v>
      </c>
      <c r="E241" s="287" t="b">
        <v>1</v>
      </c>
      <c r="F241" s="287" t="b">
        <v>1</v>
      </c>
      <c r="G241" s="287" t="s">
        <v>791</v>
      </c>
      <c r="H241" s="40"/>
      <c r="I241" s="40"/>
      <c r="J241" s="40"/>
      <c r="K241" s="286"/>
      <c r="L241" s="286"/>
      <c r="M241" s="40"/>
      <c r="N241" s="40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287">
        <v>15271.0</v>
      </c>
      <c r="B242" s="287" t="s">
        <v>792</v>
      </c>
      <c r="C242" s="287" t="s">
        <v>2589</v>
      </c>
      <c r="D242" s="287" t="s">
        <v>249</v>
      </c>
      <c r="E242" s="287" t="b">
        <v>1</v>
      </c>
      <c r="F242" s="287" t="b">
        <v>1</v>
      </c>
      <c r="G242" s="287" t="s">
        <v>794</v>
      </c>
      <c r="H242" s="40"/>
      <c r="I242" s="40"/>
      <c r="J242" s="40"/>
      <c r="K242" s="286"/>
      <c r="L242" s="286"/>
      <c r="M242" s="40"/>
      <c r="N242" s="40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287">
        <v>15270.0</v>
      </c>
      <c r="B243" s="287" t="s">
        <v>795</v>
      </c>
      <c r="C243" s="287" t="s">
        <v>2589</v>
      </c>
      <c r="D243" s="287" t="s">
        <v>249</v>
      </c>
      <c r="E243" s="287" t="b">
        <v>1</v>
      </c>
      <c r="F243" s="287" t="b">
        <v>1</v>
      </c>
      <c r="G243" s="287" t="s">
        <v>796</v>
      </c>
      <c r="H243" s="40"/>
      <c r="I243" s="40"/>
      <c r="J243" s="40"/>
      <c r="K243" s="286"/>
      <c r="L243" s="286"/>
      <c r="M243" s="40"/>
      <c r="N243" s="40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287">
        <v>53695.0</v>
      </c>
      <c r="B244" s="287" t="s">
        <v>797</v>
      </c>
      <c r="C244" s="287" t="s">
        <v>2589</v>
      </c>
      <c r="D244" s="287" t="s">
        <v>249</v>
      </c>
      <c r="E244" s="287" t="b">
        <v>1</v>
      </c>
      <c r="F244" s="287" t="b">
        <v>1</v>
      </c>
      <c r="G244" s="287" t="s">
        <v>798</v>
      </c>
      <c r="H244" s="40"/>
      <c r="I244" s="40"/>
      <c r="J244" s="40"/>
      <c r="K244" s="286"/>
      <c r="L244" s="286"/>
      <c r="M244" s="40"/>
      <c r="N244" s="40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287">
        <v>34638.0</v>
      </c>
      <c r="B245" s="287" t="s">
        <v>799</v>
      </c>
      <c r="C245" s="287" t="s">
        <v>2589</v>
      </c>
      <c r="D245" s="287" t="s">
        <v>249</v>
      </c>
      <c r="E245" s="287" t="b">
        <v>1</v>
      </c>
      <c r="F245" s="287" t="b">
        <v>1</v>
      </c>
      <c r="G245" s="287" t="s">
        <v>250</v>
      </c>
      <c r="H245" s="40"/>
      <c r="I245" s="40"/>
      <c r="J245" s="40"/>
      <c r="K245" s="286"/>
      <c r="L245" s="286"/>
      <c r="M245" s="40"/>
      <c r="N245" s="40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287">
        <v>15265.0</v>
      </c>
      <c r="B246" s="287" t="s">
        <v>800</v>
      </c>
      <c r="C246" s="287" t="s">
        <v>2589</v>
      </c>
      <c r="D246" s="287" t="s">
        <v>249</v>
      </c>
      <c r="E246" s="287" t="b">
        <v>1</v>
      </c>
      <c r="F246" s="287" t="b">
        <v>1</v>
      </c>
      <c r="G246" s="287" t="s">
        <v>801</v>
      </c>
      <c r="H246" s="40"/>
      <c r="I246" s="40"/>
      <c r="J246" s="40"/>
      <c r="K246" s="286"/>
      <c r="L246" s="286"/>
      <c r="M246" s="40"/>
      <c r="N246" s="40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287">
        <v>43803.0</v>
      </c>
      <c r="B247" s="287" t="s">
        <v>803</v>
      </c>
      <c r="C247" s="287" t="s">
        <v>42</v>
      </c>
      <c r="D247" s="287" t="s">
        <v>249</v>
      </c>
      <c r="E247" s="287" t="b">
        <v>1</v>
      </c>
      <c r="F247" s="287" t="b">
        <v>1</v>
      </c>
      <c r="G247" s="287" t="s">
        <v>250</v>
      </c>
      <c r="H247" s="40"/>
      <c r="I247" s="40"/>
      <c r="J247" s="40"/>
      <c r="K247" s="286"/>
      <c r="L247" s="286"/>
      <c r="M247" s="40"/>
      <c r="N247" s="40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287">
        <v>43806.0</v>
      </c>
      <c r="B248" s="287" t="s">
        <v>804</v>
      </c>
      <c r="C248" s="287" t="s">
        <v>42</v>
      </c>
      <c r="D248" s="287" t="s">
        <v>249</v>
      </c>
      <c r="E248" s="287" t="b">
        <v>1</v>
      </c>
      <c r="F248" s="287" t="b">
        <v>1</v>
      </c>
      <c r="G248" s="287" t="s">
        <v>806</v>
      </c>
      <c r="H248" s="40"/>
      <c r="I248" s="40"/>
      <c r="J248" s="40"/>
      <c r="K248" s="286"/>
      <c r="L248" s="286"/>
      <c r="M248" s="40"/>
      <c r="N248" s="40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287">
        <v>43809.0</v>
      </c>
      <c r="B249" s="287" t="s">
        <v>807</v>
      </c>
      <c r="C249" s="287" t="s">
        <v>42</v>
      </c>
      <c r="D249" s="287" t="s">
        <v>249</v>
      </c>
      <c r="E249" s="287" t="b">
        <v>1</v>
      </c>
      <c r="F249" s="287" t="b">
        <v>1</v>
      </c>
      <c r="G249" s="287" t="s">
        <v>250</v>
      </c>
      <c r="H249" s="40"/>
      <c r="I249" s="40"/>
      <c r="J249" s="40"/>
      <c r="K249" s="286"/>
      <c r="L249" s="286"/>
      <c r="M249" s="40"/>
      <c r="N249" s="40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287">
        <v>43801.0</v>
      </c>
      <c r="B250" s="287" t="s">
        <v>808</v>
      </c>
      <c r="C250" s="287" t="s">
        <v>42</v>
      </c>
      <c r="D250" s="287" t="s">
        <v>249</v>
      </c>
      <c r="E250" s="287" t="b">
        <v>1</v>
      </c>
      <c r="F250" s="287" t="b">
        <v>1</v>
      </c>
      <c r="G250" s="287" t="s">
        <v>809</v>
      </c>
      <c r="H250" s="40"/>
      <c r="I250" s="40"/>
      <c r="J250" s="40"/>
      <c r="K250" s="286"/>
      <c r="L250" s="286"/>
      <c r="M250" s="40"/>
      <c r="N250" s="40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287">
        <v>43802.0</v>
      </c>
      <c r="B251" s="287" t="s">
        <v>810</v>
      </c>
      <c r="C251" s="287" t="s">
        <v>42</v>
      </c>
      <c r="D251" s="287" t="s">
        <v>249</v>
      </c>
      <c r="E251" s="287" t="b">
        <v>1</v>
      </c>
      <c r="F251" s="287" t="b">
        <v>1</v>
      </c>
      <c r="G251" s="287" t="s">
        <v>250</v>
      </c>
      <c r="H251" s="40"/>
      <c r="I251" s="40"/>
      <c r="J251" s="40"/>
      <c r="K251" s="286"/>
      <c r="L251" s="286"/>
      <c r="M251" s="40"/>
      <c r="N251" s="40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287">
        <v>43805.0</v>
      </c>
      <c r="B252" s="287" t="s">
        <v>811</v>
      </c>
      <c r="C252" s="287" t="s">
        <v>42</v>
      </c>
      <c r="D252" s="287" t="s">
        <v>249</v>
      </c>
      <c r="E252" s="287" t="b">
        <v>1</v>
      </c>
      <c r="F252" s="287" t="b">
        <v>1</v>
      </c>
      <c r="G252" s="287" t="s">
        <v>250</v>
      </c>
      <c r="H252" s="40"/>
      <c r="I252" s="40"/>
      <c r="J252" s="40"/>
      <c r="K252" s="286"/>
      <c r="L252" s="286"/>
      <c r="M252" s="40"/>
      <c r="N252" s="40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287">
        <v>110020.0</v>
      </c>
      <c r="B253" s="287" t="s">
        <v>2152</v>
      </c>
      <c r="C253" s="287" t="s">
        <v>42</v>
      </c>
      <c r="D253" s="287" t="s">
        <v>518</v>
      </c>
      <c r="E253" s="287" t="b">
        <v>1</v>
      </c>
      <c r="F253" s="287" t="b">
        <v>1</v>
      </c>
      <c r="G253" s="287" t="s">
        <v>250</v>
      </c>
      <c r="H253" s="40"/>
      <c r="I253" s="40"/>
      <c r="J253" s="40"/>
      <c r="K253" s="286"/>
      <c r="L253" s="286"/>
      <c r="M253" s="40"/>
      <c r="N253" s="40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287">
        <v>109223.0</v>
      </c>
      <c r="B254" s="287" t="s">
        <v>814</v>
      </c>
      <c r="C254" s="287" t="s">
        <v>42</v>
      </c>
      <c r="D254" s="287" t="s">
        <v>518</v>
      </c>
      <c r="E254" s="287" t="b">
        <v>1</v>
      </c>
      <c r="F254" s="287" t="b">
        <v>1</v>
      </c>
      <c r="G254" s="287" t="s">
        <v>250</v>
      </c>
      <c r="H254" s="40"/>
      <c r="I254" s="40"/>
      <c r="J254" s="40"/>
      <c r="K254" s="286"/>
      <c r="L254" s="286"/>
      <c r="M254" s="40"/>
      <c r="N254" s="40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287">
        <v>40427.0</v>
      </c>
      <c r="B255" s="287" t="s">
        <v>816</v>
      </c>
      <c r="C255" s="287" t="s">
        <v>389</v>
      </c>
      <c r="D255" s="287" t="s">
        <v>518</v>
      </c>
      <c r="E255" s="287" t="b">
        <v>1</v>
      </c>
      <c r="F255" s="287" t="b">
        <v>1</v>
      </c>
      <c r="G255" s="287" t="s">
        <v>250</v>
      </c>
      <c r="H255" s="40"/>
      <c r="I255" s="40"/>
      <c r="J255" s="40"/>
      <c r="K255" s="286"/>
      <c r="L255" s="286"/>
      <c r="M255" s="40"/>
      <c r="N255" s="40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287">
        <v>109633.0</v>
      </c>
      <c r="B256" s="287" t="s">
        <v>820</v>
      </c>
      <c r="C256" s="287" t="s">
        <v>389</v>
      </c>
      <c r="D256" s="287" t="s">
        <v>518</v>
      </c>
      <c r="E256" s="287" t="b">
        <v>1</v>
      </c>
      <c r="F256" s="287" t="b">
        <v>1</v>
      </c>
      <c r="G256" s="287" t="s">
        <v>250</v>
      </c>
      <c r="H256" s="40"/>
      <c r="I256" s="40"/>
      <c r="J256" s="40"/>
      <c r="K256" s="286"/>
      <c r="L256" s="286"/>
      <c r="M256" s="40"/>
      <c r="N256" s="40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287">
        <v>16184.0</v>
      </c>
      <c r="B257" s="287" t="s">
        <v>822</v>
      </c>
      <c r="C257" s="287" t="s">
        <v>42</v>
      </c>
      <c r="D257" s="287" t="s">
        <v>518</v>
      </c>
      <c r="E257" s="287" t="b">
        <v>1</v>
      </c>
      <c r="F257" s="287" t="b">
        <v>1</v>
      </c>
      <c r="G257" s="287" t="s">
        <v>250</v>
      </c>
      <c r="H257" s="40"/>
      <c r="I257" s="40"/>
      <c r="J257" s="40"/>
      <c r="K257" s="286"/>
      <c r="L257" s="286"/>
      <c r="M257" s="40"/>
      <c r="N257" s="40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287">
        <v>109640.0</v>
      </c>
      <c r="B258" s="287" t="s">
        <v>824</v>
      </c>
      <c r="C258" s="287" t="s">
        <v>389</v>
      </c>
      <c r="D258" s="287" t="s">
        <v>518</v>
      </c>
      <c r="E258" s="287" t="b">
        <v>1</v>
      </c>
      <c r="F258" s="287" t="b">
        <v>1</v>
      </c>
      <c r="G258" s="287" t="s">
        <v>826</v>
      </c>
      <c r="H258" s="40"/>
      <c r="I258" s="40"/>
      <c r="J258" s="40"/>
      <c r="K258" s="286"/>
      <c r="L258" s="286"/>
      <c r="M258" s="40"/>
      <c r="N258" s="40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287">
        <v>111865.0</v>
      </c>
      <c r="B259" s="287" t="s">
        <v>827</v>
      </c>
      <c r="C259" s="287" t="s">
        <v>42</v>
      </c>
      <c r="D259" s="287" t="s">
        <v>518</v>
      </c>
      <c r="E259" s="287" t="b">
        <v>1</v>
      </c>
      <c r="F259" s="287" t="b">
        <v>1</v>
      </c>
      <c r="G259" s="287" t="s">
        <v>829</v>
      </c>
      <c r="H259" s="40"/>
      <c r="I259" s="40"/>
      <c r="J259" s="40"/>
      <c r="K259" s="286"/>
      <c r="L259" s="286"/>
      <c r="M259" s="40"/>
      <c r="N259" s="40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287">
        <v>37963.0</v>
      </c>
      <c r="B260" s="287" t="s">
        <v>2590</v>
      </c>
      <c r="C260" s="287" t="s">
        <v>389</v>
      </c>
      <c r="D260" s="287" t="s">
        <v>518</v>
      </c>
      <c r="E260" s="287" t="b">
        <v>1</v>
      </c>
      <c r="F260" s="287" t="b">
        <v>1</v>
      </c>
      <c r="G260" s="287" t="s">
        <v>2591</v>
      </c>
      <c r="H260" s="40"/>
      <c r="I260" s="40"/>
      <c r="J260" s="40"/>
      <c r="K260" s="286"/>
      <c r="L260" s="286"/>
      <c r="M260" s="40"/>
      <c r="N260" s="40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287">
        <v>109641.0</v>
      </c>
      <c r="B261" s="287" t="s">
        <v>830</v>
      </c>
      <c r="C261" s="287" t="s">
        <v>389</v>
      </c>
      <c r="D261" s="287" t="s">
        <v>518</v>
      </c>
      <c r="E261" s="287" t="b">
        <v>1</v>
      </c>
      <c r="F261" s="287" t="b">
        <v>1</v>
      </c>
      <c r="G261" s="287" t="s">
        <v>831</v>
      </c>
      <c r="H261" s="40"/>
      <c r="I261" s="40"/>
      <c r="J261" s="40"/>
      <c r="K261" s="286"/>
      <c r="L261" s="286"/>
      <c r="M261" s="40"/>
      <c r="N261" s="40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287">
        <v>16332.0</v>
      </c>
      <c r="B262" s="287" t="s">
        <v>832</v>
      </c>
      <c r="C262" s="287" t="s">
        <v>42</v>
      </c>
      <c r="D262" s="287" t="s">
        <v>518</v>
      </c>
      <c r="E262" s="287" t="b">
        <v>1</v>
      </c>
      <c r="F262" s="287" t="b">
        <v>1</v>
      </c>
      <c r="G262" s="287" t="s">
        <v>834</v>
      </c>
      <c r="H262" s="40"/>
      <c r="I262" s="40"/>
      <c r="J262" s="40"/>
      <c r="K262" s="286"/>
      <c r="L262" s="286"/>
      <c r="M262" s="40"/>
      <c r="N262" s="40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287">
        <v>47943.0</v>
      </c>
      <c r="B263" s="287" t="s">
        <v>2592</v>
      </c>
      <c r="C263" s="287" t="s">
        <v>42</v>
      </c>
      <c r="D263" s="287" t="s">
        <v>369</v>
      </c>
      <c r="E263" s="287" t="b">
        <v>1</v>
      </c>
      <c r="F263" s="287" t="b">
        <v>1</v>
      </c>
      <c r="G263" s="287" t="s">
        <v>2593</v>
      </c>
      <c r="H263" s="40"/>
      <c r="I263" s="40"/>
      <c r="J263" s="40"/>
      <c r="K263" s="286"/>
      <c r="L263" s="286"/>
      <c r="M263" s="40"/>
      <c r="N263" s="40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287">
        <v>47945.0</v>
      </c>
      <c r="B264" s="287" t="s">
        <v>2594</v>
      </c>
      <c r="C264" s="287" t="s">
        <v>42</v>
      </c>
      <c r="D264" s="287" t="s">
        <v>369</v>
      </c>
      <c r="E264" s="287" t="b">
        <v>1</v>
      </c>
      <c r="F264" s="287" t="b">
        <v>1</v>
      </c>
      <c r="G264" s="287" t="s">
        <v>250</v>
      </c>
      <c r="H264" s="40"/>
      <c r="I264" s="40"/>
      <c r="J264" s="40"/>
      <c r="K264" s="286"/>
      <c r="L264" s="286"/>
      <c r="M264" s="40"/>
      <c r="N264" s="40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287">
        <v>15741.0</v>
      </c>
      <c r="B265" s="287" t="s">
        <v>835</v>
      </c>
      <c r="C265" s="287" t="s">
        <v>42</v>
      </c>
      <c r="D265" s="287" t="s">
        <v>518</v>
      </c>
      <c r="E265" s="287" t="b">
        <v>1</v>
      </c>
      <c r="F265" s="287" t="b">
        <v>1</v>
      </c>
      <c r="G265" s="287" t="s">
        <v>250</v>
      </c>
      <c r="H265" s="40"/>
      <c r="I265" s="40"/>
      <c r="J265" s="40"/>
      <c r="K265" s="286"/>
      <c r="L265" s="286"/>
      <c r="M265" s="40"/>
      <c r="N265" s="40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287">
        <v>109639.0</v>
      </c>
      <c r="B266" s="287" t="s">
        <v>837</v>
      </c>
      <c r="C266" s="287" t="s">
        <v>389</v>
      </c>
      <c r="D266" s="287" t="s">
        <v>518</v>
      </c>
      <c r="E266" s="287" t="b">
        <v>1</v>
      </c>
      <c r="F266" s="287" t="b">
        <v>1</v>
      </c>
      <c r="G266" s="287" t="s">
        <v>838</v>
      </c>
      <c r="H266" s="40"/>
      <c r="I266" s="40"/>
      <c r="J266" s="40"/>
      <c r="K266" s="286"/>
      <c r="L266" s="286"/>
      <c r="M266" s="40"/>
      <c r="N266" s="40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287">
        <v>39714.0</v>
      </c>
      <c r="B267" s="287" t="s">
        <v>839</v>
      </c>
      <c r="C267" s="287" t="s">
        <v>42</v>
      </c>
      <c r="D267" s="287" t="s">
        <v>518</v>
      </c>
      <c r="E267" s="287" t="b">
        <v>1</v>
      </c>
      <c r="F267" s="287" t="b">
        <v>1</v>
      </c>
      <c r="G267" s="287" t="s">
        <v>250</v>
      </c>
      <c r="H267" s="40"/>
      <c r="I267" s="40"/>
      <c r="J267" s="40"/>
      <c r="K267" s="286"/>
      <c r="L267" s="286"/>
      <c r="M267" s="40"/>
      <c r="N267" s="40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287">
        <v>111697.0</v>
      </c>
      <c r="B268" s="287" t="s">
        <v>841</v>
      </c>
      <c r="C268" s="287" t="s">
        <v>389</v>
      </c>
      <c r="D268" s="287" t="s">
        <v>369</v>
      </c>
      <c r="E268" s="287" t="b">
        <v>1</v>
      </c>
      <c r="F268" s="287" t="b">
        <v>1</v>
      </c>
      <c r="G268" s="287" t="s">
        <v>842</v>
      </c>
      <c r="H268" s="40"/>
      <c r="I268" s="40"/>
      <c r="J268" s="40"/>
      <c r="K268" s="286"/>
      <c r="L268" s="286"/>
      <c r="M268" s="40"/>
      <c r="N268" s="40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287">
        <v>23976.0</v>
      </c>
      <c r="B269" s="287" t="s">
        <v>2595</v>
      </c>
      <c r="C269" s="287" t="s">
        <v>389</v>
      </c>
      <c r="D269" s="287" t="s">
        <v>518</v>
      </c>
      <c r="E269" s="287" t="b">
        <v>1</v>
      </c>
      <c r="F269" s="287" t="b">
        <v>1</v>
      </c>
      <c r="G269" s="287" t="s">
        <v>250</v>
      </c>
      <c r="H269" s="40"/>
      <c r="I269" s="40"/>
      <c r="J269" s="40"/>
      <c r="K269" s="286"/>
      <c r="L269" s="286"/>
      <c r="M269" s="40"/>
      <c r="N269" s="40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287">
        <v>30050.0</v>
      </c>
      <c r="B270" s="287" t="s">
        <v>843</v>
      </c>
      <c r="C270" s="287" t="s">
        <v>42</v>
      </c>
      <c r="D270" s="287" t="s">
        <v>518</v>
      </c>
      <c r="E270" s="287" t="b">
        <v>1</v>
      </c>
      <c r="F270" s="287" t="b">
        <v>1</v>
      </c>
      <c r="G270" s="287" t="s">
        <v>250</v>
      </c>
      <c r="H270" s="40"/>
      <c r="I270" s="40"/>
      <c r="J270" s="40"/>
      <c r="K270" s="286"/>
      <c r="L270" s="286"/>
      <c r="M270" s="40"/>
      <c r="N270" s="40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287">
        <v>47946.0</v>
      </c>
      <c r="B271" s="287" t="s">
        <v>2596</v>
      </c>
      <c r="C271" s="287" t="s">
        <v>42</v>
      </c>
      <c r="D271" s="287" t="s">
        <v>369</v>
      </c>
      <c r="E271" s="287" t="b">
        <v>1</v>
      </c>
      <c r="F271" s="287" t="b">
        <v>1</v>
      </c>
      <c r="G271" s="287" t="s">
        <v>250</v>
      </c>
      <c r="H271" s="40"/>
      <c r="I271" s="40"/>
      <c r="J271" s="40"/>
      <c r="K271" s="286"/>
      <c r="L271" s="286"/>
      <c r="M271" s="40"/>
      <c r="N271" s="40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287">
        <v>47944.0</v>
      </c>
      <c r="B272" s="287" t="s">
        <v>2597</v>
      </c>
      <c r="C272" s="287" t="s">
        <v>42</v>
      </c>
      <c r="D272" s="287" t="s">
        <v>369</v>
      </c>
      <c r="E272" s="287" t="b">
        <v>1</v>
      </c>
      <c r="F272" s="287" t="b">
        <v>1</v>
      </c>
      <c r="G272" s="287" t="s">
        <v>2598</v>
      </c>
      <c r="H272" s="40"/>
      <c r="I272" s="40"/>
      <c r="J272" s="40"/>
      <c r="K272" s="286"/>
      <c r="L272" s="286"/>
      <c r="M272" s="40"/>
      <c r="N272" s="40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287">
        <v>48712.0</v>
      </c>
      <c r="B273" s="287" t="s">
        <v>845</v>
      </c>
      <c r="C273" s="287" t="s">
        <v>847</v>
      </c>
      <c r="D273" s="287" t="s">
        <v>518</v>
      </c>
      <c r="E273" s="287" t="b">
        <v>1</v>
      </c>
      <c r="F273" s="287" t="b">
        <v>1</v>
      </c>
      <c r="G273" s="287" t="s">
        <v>250</v>
      </c>
      <c r="H273" s="40"/>
      <c r="I273" s="40"/>
      <c r="J273" s="40"/>
      <c r="K273" s="286"/>
      <c r="L273" s="286"/>
      <c r="M273" s="40"/>
      <c r="N273" s="40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287">
        <v>111820.0</v>
      </c>
      <c r="B274" s="287" t="s">
        <v>848</v>
      </c>
      <c r="C274" s="287" t="s">
        <v>42</v>
      </c>
      <c r="D274" s="287" t="s">
        <v>518</v>
      </c>
      <c r="E274" s="287" t="b">
        <v>1</v>
      </c>
      <c r="F274" s="287" t="b">
        <v>1</v>
      </c>
      <c r="G274" s="287" t="s">
        <v>250</v>
      </c>
      <c r="H274" s="40"/>
      <c r="I274" s="40"/>
      <c r="J274" s="40"/>
      <c r="K274" s="286"/>
      <c r="L274" s="286"/>
      <c r="M274" s="40"/>
      <c r="N274" s="40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287">
        <v>109636.0</v>
      </c>
      <c r="B275" s="287" t="s">
        <v>850</v>
      </c>
      <c r="C275" s="287" t="s">
        <v>389</v>
      </c>
      <c r="D275" s="287" t="s">
        <v>518</v>
      </c>
      <c r="E275" s="287" t="b">
        <v>1</v>
      </c>
      <c r="F275" s="287" t="b">
        <v>1</v>
      </c>
      <c r="G275" s="287" t="s">
        <v>851</v>
      </c>
      <c r="H275" s="40"/>
      <c r="I275" s="40"/>
      <c r="J275" s="40"/>
      <c r="K275" s="286"/>
      <c r="L275" s="286"/>
      <c r="M275" s="40"/>
      <c r="N275" s="40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287">
        <v>111132.0</v>
      </c>
      <c r="B276" s="287" t="s">
        <v>852</v>
      </c>
      <c r="C276" s="287" t="s">
        <v>42</v>
      </c>
      <c r="D276" s="287" t="s">
        <v>518</v>
      </c>
      <c r="E276" s="287" t="b">
        <v>1</v>
      </c>
      <c r="F276" s="287" t="b">
        <v>1</v>
      </c>
      <c r="G276" s="287" t="s">
        <v>250</v>
      </c>
      <c r="H276" s="40"/>
      <c r="I276" s="40"/>
      <c r="J276" s="40"/>
      <c r="K276" s="286"/>
      <c r="L276" s="286"/>
      <c r="M276" s="40"/>
      <c r="N276" s="40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287">
        <v>20890.0</v>
      </c>
      <c r="B277" s="287" t="s">
        <v>853</v>
      </c>
      <c r="C277" s="287" t="s">
        <v>42</v>
      </c>
      <c r="D277" s="287" t="s">
        <v>518</v>
      </c>
      <c r="E277" s="287" t="b">
        <v>1</v>
      </c>
      <c r="F277" s="287" t="b">
        <v>1</v>
      </c>
      <c r="G277" s="287" t="s">
        <v>250</v>
      </c>
      <c r="H277" s="40"/>
      <c r="I277" s="40"/>
      <c r="J277" s="40"/>
      <c r="K277" s="286"/>
      <c r="L277" s="286"/>
      <c r="M277" s="40"/>
      <c r="N277" s="40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287">
        <v>148486.0</v>
      </c>
      <c r="B278" s="287" t="s">
        <v>854</v>
      </c>
      <c r="C278" s="287" t="s">
        <v>42</v>
      </c>
      <c r="D278" s="287" t="s">
        <v>518</v>
      </c>
      <c r="E278" s="287" t="b">
        <v>1</v>
      </c>
      <c r="F278" s="287" t="b">
        <v>1</v>
      </c>
      <c r="G278" s="287" t="s">
        <v>250</v>
      </c>
      <c r="H278" s="40"/>
      <c r="I278" s="40"/>
      <c r="J278" s="40"/>
      <c r="K278" s="286"/>
      <c r="L278" s="286"/>
      <c r="M278" s="40"/>
      <c r="N278" s="40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287">
        <v>111016.0</v>
      </c>
      <c r="B279" s="287" t="s">
        <v>855</v>
      </c>
      <c r="C279" s="287" t="s">
        <v>2599</v>
      </c>
      <c r="D279" s="287" t="s">
        <v>518</v>
      </c>
      <c r="E279" s="287" t="b">
        <v>1</v>
      </c>
      <c r="F279" s="287" t="b">
        <v>1</v>
      </c>
      <c r="G279" s="287" t="s">
        <v>250</v>
      </c>
      <c r="H279" s="40"/>
      <c r="I279" s="40"/>
      <c r="J279" s="40"/>
      <c r="K279" s="286"/>
      <c r="L279" s="286"/>
      <c r="M279" s="40"/>
      <c r="N279" s="40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287">
        <v>109632.0</v>
      </c>
      <c r="B280" s="287" t="s">
        <v>858</v>
      </c>
      <c r="C280" s="287" t="s">
        <v>389</v>
      </c>
      <c r="D280" s="287" t="s">
        <v>518</v>
      </c>
      <c r="E280" s="287" t="b">
        <v>1</v>
      </c>
      <c r="F280" s="287" t="b">
        <v>1</v>
      </c>
      <c r="G280" s="287" t="s">
        <v>250</v>
      </c>
      <c r="H280" s="40"/>
      <c r="I280" s="40"/>
      <c r="J280" s="40"/>
      <c r="K280" s="286"/>
      <c r="L280" s="286"/>
      <c r="M280" s="40"/>
      <c r="N280" s="40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287">
        <v>15732.0</v>
      </c>
      <c r="B281" s="287" t="s">
        <v>859</v>
      </c>
      <c r="C281" s="287" t="s">
        <v>42</v>
      </c>
      <c r="D281" s="287" t="s">
        <v>518</v>
      </c>
      <c r="E281" s="287" t="b">
        <v>1</v>
      </c>
      <c r="F281" s="287" t="b">
        <v>1</v>
      </c>
      <c r="G281" s="287" t="s">
        <v>250</v>
      </c>
      <c r="H281" s="40"/>
      <c r="I281" s="40"/>
      <c r="J281" s="40"/>
      <c r="K281" s="286"/>
      <c r="L281" s="286"/>
      <c r="M281" s="40"/>
      <c r="N281" s="40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287">
        <v>111135.0</v>
      </c>
      <c r="B282" s="287" t="s">
        <v>862</v>
      </c>
      <c r="C282" s="287" t="s">
        <v>42</v>
      </c>
      <c r="D282" s="287" t="s">
        <v>518</v>
      </c>
      <c r="E282" s="287" t="b">
        <v>1</v>
      </c>
      <c r="F282" s="287" t="b">
        <v>1</v>
      </c>
      <c r="G282" s="287" t="s">
        <v>250</v>
      </c>
      <c r="H282" s="40"/>
      <c r="I282" s="40"/>
      <c r="J282" s="40"/>
      <c r="K282" s="286"/>
      <c r="L282" s="286"/>
      <c r="M282" s="40"/>
      <c r="N282" s="40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287">
        <v>15832.0</v>
      </c>
      <c r="B283" s="287" t="s">
        <v>864</v>
      </c>
      <c r="C283" s="287" t="s">
        <v>389</v>
      </c>
      <c r="D283" s="287" t="s">
        <v>518</v>
      </c>
      <c r="E283" s="287" t="b">
        <v>1</v>
      </c>
      <c r="F283" s="287" t="b">
        <v>1</v>
      </c>
      <c r="G283" s="287" t="s">
        <v>2600</v>
      </c>
      <c r="H283" s="40"/>
      <c r="I283" s="40"/>
      <c r="J283" s="40"/>
      <c r="K283" s="286"/>
      <c r="L283" s="286"/>
      <c r="M283" s="40"/>
      <c r="N283" s="40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287">
        <v>11263.0</v>
      </c>
      <c r="B284" s="287" t="s">
        <v>867</v>
      </c>
      <c r="C284" s="287" t="s">
        <v>42</v>
      </c>
      <c r="D284" s="287" t="s">
        <v>518</v>
      </c>
      <c r="E284" s="287" t="b">
        <v>1</v>
      </c>
      <c r="F284" s="287" t="b">
        <v>1</v>
      </c>
      <c r="G284" s="287" t="s">
        <v>250</v>
      </c>
      <c r="H284" s="40"/>
      <c r="I284" s="40"/>
      <c r="J284" s="40"/>
      <c r="K284" s="286"/>
      <c r="L284" s="286"/>
      <c r="M284" s="40"/>
      <c r="N284" s="40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287">
        <v>111821.0</v>
      </c>
      <c r="B285" s="287" t="s">
        <v>869</v>
      </c>
      <c r="C285" s="287" t="s">
        <v>42</v>
      </c>
      <c r="D285" s="287" t="s">
        <v>518</v>
      </c>
      <c r="E285" s="287" t="b">
        <v>1</v>
      </c>
      <c r="F285" s="287" t="b">
        <v>1</v>
      </c>
      <c r="G285" s="287" t="s">
        <v>250</v>
      </c>
      <c r="H285" s="40"/>
      <c r="I285" s="40"/>
      <c r="J285" s="40"/>
      <c r="K285" s="286"/>
      <c r="L285" s="286"/>
      <c r="M285" s="40"/>
      <c r="N285" s="40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287">
        <v>51162.0</v>
      </c>
      <c r="B286" s="287" t="s">
        <v>872</v>
      </c>
      <c r="C286" s="287" t="s">
        <v>42</v>
      </c>
      <c r="D286" s="287" t="s">
        <v>518</v>
      </c>
      <c r="E286" s="287" t="b">
        <v>1</v>
      </c>
      <c r="F286" s="287" t="b">
        <v>1</v>
      </c>
      <c r="G286" s="287" t="s">
        <v>250</v>
      </c>
      <c r="H286" s="40"/>
      <c r="I286" s="40"/>
      <c r="J286" s="40"/>
      <c r="K286" s="286"/>
      <c r="L286" s="286"/>
      <c r="M286" s="40"/>
      <c r="N286" s="40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287">
        <v>111110.0</v>
      </c>
      <c r="B287" s="287" t="s">
        <v>874</v>
      </c>
      <c r="C287" s="287" t="s">
        <v>42</v>
      </c>
      <c r="D287" s="287" t="s">
        <v>518</v>
      </c>
      <c r="E287" s="287" t="b">
        <v>1</v>
      </c>
      <c r="F287" s="287" t="b">
        <v>1</v>
      </c>
      <c r="G287" s="287" t="s">
        <v>250</v>
      </c>
      <c r="H287" s="40"/>
      <c r="I287" s="40"/>
      <c r="J287" s="40"/>
      <c r="K287" s="286"/>
      <c r="L287" s="286"/>
      <c r="M287" s="40"/>
      <c r="N287" s="40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287">
        <v>15646.0</v>
      </c>
      <c r="B288" s="287" t="s">
        <v>876</v>
      </c>
      <c r="C288" s="287" t="s">
        <v>42</v>
      </c>
      <c r="D288" s="287" t="s">
        <v>518</v>
      </c>
      <c r="E288" s="287" t="b">
        <v>1</v>
      </c>
      <c r="F288" s="287" t="b">
        <v>1</v>
      </c>
      <c r="G288" s="287" t="s">
        <v>250</v>
      </c>
      <c r="H288" s="40"/>
      <c r="I288" s="40"/>
      <c r="J288" s="40"/>
      <c r="K288" s="286"/>
      <c r="L288" s="286"/>
      <c r="M288" s="40"/>
      <c r="N288" s="40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287">
        <v>100872.0</v>
      </c>
      <c r="B289" s="287" t="s">
        <v>878</v>
      </c>
      <c r="C289" s="287" t="s">
        <v>42</v>
      </c>
      <c r="D289" s="287" t="s">
        <v>518</v>
      </c>
      <c r="E289" s="287" t="b">
        <v>1</v>
      </c>
      <c r="F289" s="287" t="b">
        <v>1</v>
      </c>
      <c r="G289" s="287" t="s">
        <v>250</v>
      </c>
      <c r="H289" s="40"/>
      <c r="I289" s="40"/>
      <c r="J289" s="40"/>
      <c r="K289" s="286"/>
      <c r="L289" s="286"/>
      <c r="M289" s="40"/>
      <c r="N289" s="40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287">
        <v>16216.0</v>
      </c>
      <c r="B290" s="287" t="s">
        <v>2601</v>
      </c>
      <c r="C290" s="287" t="s">
        <v>42</v>
      </c>
      <c r="D290" s="287" t="s">
        <v>518</v>
      </c>
      <c r="E290" s="287" t="b">
        <v>1</v>
      </c>
      <c r="F290" s="287" t="b">
        <v>1</v>
      </c>
      <c r="G290" s="287" t="s">
        <v>250</v>
      </c>
      <c r="H290" s="40"/>
      <c r="I290" s="40"/>
      <c r="J290" s="40"/>
      <c r="K290" s="286"/>
      <c r="L290" s="286"/>
      <c r="M290" s="40"/>
      <c r="N290" s="40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287">
        <v>104031.0</v>
      </c>
      <c r="B291" s="287" t="s">
        <v>881</v>
      </c>
      <c r="C291" s="287" t="s">
        <v>389</v>
      </c>
      <c r="D291" s="287" t="s">
        <v>518</v>
      </c>
      <c r="E291" s="287" t="b">
        <v>1</v>
      </c>
      <c r="F291" s="287" t="b">
        <v>1</v>
      </c>
      <c r="G291" s="287" t="s">
        <v>250</v>
      </c>
      <c r="H291" s="40"/>
      <c r="I291" s="40"/>
      <c r="J291" s="40"/>
      <c r="K291" s="286"/>
      <c r="L291" s="286"/>
      <c r="M291" s="40"/>
      <c r="N291" s="40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287">
        <v>45443.0</v>
      </c>
      <c r="B292" s="287" t="s">
        <v>882</v>
      </c>
      <c r="C292" s="287" t="s">
        <v>289</v>
      </c>
      <c r="D292" s="287" t="s">
        <v>518</v>
      </c>
      <c r="E292" s="287" t="b">
        <v>1</v>
      </c>
      <c r="F292" s="287" t="b">
        <v>1</v>
      </c>
      <c r="G292" s="287" t="s">
        <v>250</v>
      </c>
      <c r="H292" s="40"/>
      <c r="I292" s="40"/>
      <c r="J292" s="40"/>
      <c r="K292" s="286"/>
      <c r="L292" s="286"/>
      <c r="M292" s="40"/>
      <c r="N292" s="40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287">
        <v>109843.0</v>
      </c>
      <c r="B293" s="287" t="s">
        <v>885</v>
      </c>
      <c r="C293" s="287" t="s">
        <v>389</v>
      </c>
      <c r="D293" s="287" t="s">
        <v>518</v>
      </c>
      <c r="E293" s="287" t="b">
        <v>1</v>
      </c>
      <c r="F293" s="287" t="b">
        <v>1</v>
      </c>
      <c r="G293" s="287" t="s">
        <v>250</v>
      </c>
      <c r="H293" s="40"/>
      <c r="I293" s="40"/>
      <c r="J293" s="40"/>
      <c r="K293" s="286"/>
      <c r="L293" s="286"/>
      <c r="M293" s="40"/>
      <c r="N293" s="40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287">
        <v>111178.0</v>
      </c>
      <c r="B294" s="287" t="s">
        <v>886</v>
      </c>
      <c r="C294" s="287" t="s">
        <v>42</v>
      </c>
      <c r="D294" s="287" t="s">
        <v>518</v>
      </c>
      <c r="E294" s="287" t="b">
        <v>1</v>
      </c>
      <c r="F294" s="287" t="b">
        <v>1</v>
      </c>
      <c r="G294" s="287" t="s">
        <v>250</v>
      </c>
      <c r="H294" s="40"/>
      <c r="I294" s="40"/>
      <c r="J294" s="40"/>
      <c r="K294" s="286"/>
      <c r="L294" s="286"/>
      <c r="M294" s="40"/>
      <c r="N294" s="40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287">
        <v>84368.0</v>
      </c>
      <c r="B295" s="287" t="s">
        <v>889</v>
      </c>
      <c r="C295" s="287" t="s">
        <v>2602</v>
      </c>
      <c r="D295" s="287" t="s">
        <v>518</v>
      </c>
      <c r="E295" s="287" t="b">
        <v>1</v>
      </c>
      <c r="F295" s="287" t="b">
        <v>1</v>
      </c>
      <c r="G295" s="287" t="s">
        <v>250</v>
      </c>
      <c r="H295" s="40"/>
      <c r="I295" s="40"/>
      <c r="J295" s="40"/>
      <c r="K295" s="286"/>
      <c r="L295" s="286"/>
      <c r="M295" s="40"/>
      <c r="N295" s="40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287">
        <v>108818.0</v>
      </c>
      <c r="B296" s="287" t="s">
        <v>891</v>
      </c>
      <c r="C296" s="287" t="s">
        <v>42</v>
      </c>
      <c r="D296" s="287" t="s">
        <v>518</v>
      </c>
      <c r="E296" s="287" t="b">
        <v>1</v>
      </c>
      <c r="F296" s="287" t="b">
        <v>1</v>
      </c>
      <c r="G296" s="287" t="s">
        <v>250</v>
      </c>
      <c r="H296" s="40"/>
      <c r="I296" s="40"/>
      <c r="J296" s="40"/>
      <c r="K296" s="286"/>
      <c r="L296" s="286"/>
      <c r="M296" s="40"/>
      <c r="N296" s="40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287">
        <v>111152.0</v>
      </c>
      <c r="B297" s="287" t="s">
        <v>893</v>
      </c>
      <c r="C297" s="287" t="s">
        <v>42</v>
      </c>
      <c r="D297" s="287" t="s">
        <v>518</v>
      </c>
      <c r="E297" s="287" t="b">
        <v>1</v>
      </c>
      <c r="F297" s="287" t="b">
        <v>1</v>
      </c>
      <c r="G297" s="287" t="s">
        <v>250</v>
      </c>
      <c r="H297" s="40"/>
      <c r="I297" s="40"/>
      <c r="J297" s="40"/>
      <c r="K297" s="286"/>
      <c r="L297" s="286"/>
      <c r="M297" s="40"/>
      <c r="N297" s="40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287">
        <v>111154.0</v>
      </c>
      <c r="B298" s="287" t="s">
        <v>896</v>
      </c>
      <c r="C298" s="287" t="s">
        <v>42</v>
      </c>
      <c r="D298" s="287" t="s">
        <v>518</v>
      </c>
      <c r="E298" s="287" t="b">
        <v>1</v>
      </c>
      <c r="F298" s="287" t="b">
        <v>1</v>
      </c>
      <c r="G298" s="287" t="s">
        <v>250</v>
      </c>
      <c r="H298" s="40"/>
      <c r="I298" s="40"/>
      <c r="J298" s="40"/>
      <c r="K298" s="286"/>
      <c r="L298" s="286"/>
      <c r="M298" s="40"/>
      <c r="N298" s="40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287">
        <v>111853.0</v>
      </c>
      <c r="B299" s="287" t="s">
        <v>897</v>
      </c>
      <c r="C299" s="287" t="s">
        <v>42</v>
      </c>
      <c r="D299" s="287" t="s">
        <v>518</v>
      </c>
      <c r="E299" s="287" t="b">
        <v>1</v>
      </c>
      <c r="F299" s="287" t="b">
        <v>1</v>
      </c>
      <c r="G299" s="287" t="s">
        <v>250</v>
      </c>
      <c r="H299" s="40"/>
      <c r="I299" s="40"/>
      <c r="J299" s="40"/>
      <c r="K299" s="286"/>
      <c r="L299" s="286"/>
      <c r="M299" s="40"/>
      <c r="N299" s="40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287">
        <v>111854.0</v>
      </c>
      <c r="B300" s="287" t="s">
        <v>899</v>
      </c>
      <c r="C300" s="287" t="s">
        <v>42</v>
      </c>
      <c r="D300" s="287" t="s">
        <v>518</v>
      </c>
      <c r="E300" s="287" t="b">
        <v>1</v>
      </c>
      <c r="F300" s="287" t="b">
        <v>1</v>
      </c>
      <c r="G300" s="287" t="s">
        <v>250</v>
      </c>
      <c r="H300" s="40"/>
      <c r="I300" s="40"/>
      <c r="J300" s="40"/>
      <c r="K300" s="286"/>
      <c r="L300" s="286"/>
      <c r="M300" s="40"/>
      <c r="N300" s="40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287">
        <v>15642.0</v>
      </c>
      <c r="B301" s="287" t="s">
        <v>900</v>
      </c>
      <c r="C301" s="287" t="s">
        <v>42</v>
      </c>
      <c r="D301" s="287" t="s">
        <v>518</v>
      </c>
      <c r="E301" s="287" t="b">
        <v>1</v>
      </c>
      <c r="F301" s="287" t="b">
        <v>1</v>
      </c>
      <c r="G301" s="287" t="s">
        <v>250</v>
      </c>
      <c r="H301" s="40"/>
      <c r="I301" s="40"/>
      <c r="J301" s="40"/>
      <c r="K301" s="286"/>
      <c r="L301" s="286"/>
      <c r="M301" s="40"/>
      <c r="N301" s="40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287">
        <v>15644.0</v>
      </c>
      <c r="B302" s="287" t="s">
        <v>2603</v>
      </c>
      <c r="C302" s="287" t="s">
        <v>42</v>
      </c>
      <c r="D302" s="287" t="s">
        <v>518</v>
      </c>
      <c r="E302" s="287" t="b">
        <v>1</v>
      </c>
      <c r="F302" s="287" t="b">
        <v>1</v>
      </c>
      <c r="G302" s="287" t="s">
        <v>250</v>
      </c>
      <c r="H302" s="40"/>
      <c r="I302" s="40"/>
      <c r="J302" s="40"/>
      <c r="K302" s="286"/>
      <c r="L302" s="286"/>
      <c r="M302" s="40"/>
      <c r="N302" s="40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287">
        <v>36399.0</v>
      </c>
      <c r="B303" s="287" t="s">
        <v>902</v>
      </c>
      <c r="C303" s="287" t="s">
        <v>289</v>
      </c>
      <c r="D303" s="287" t="s">
        <v>518</v>
      </c>
      <c r="E303" s="287" t="b">
        <v>1</v>
      </c>
      <c r="F303" s="287" t="b">
        <v>1</v>
      </c>
      <c r="G303" s="287" t="s">
        <v>250</v>
      </c>
      <c r="H303" s="40"/>
      <c r="I303" s="40"/>
      <c r="J303" s="40"/>
      <c r="K303" s="286"/>
      <c r="L303" s="286"/>
      <c r="M303" s="40"/>
      <c r="N303" s="40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287">
        <v>16162.0</v>
      </c>
      <c r="B304" s="287" t="s">
        <v>905</v>
      </c>
      <c r="C304" s="287" t="s">
        <v>289</v>
      </c>
      <c r="D304" s="287" t="s">
        <v>518</v>
      </c>
      <c r="E304" s="287" t="b">
        <v>1</v>
      </c>
      <c r="F304" s="287" t="b">
        <v>1</v>
      </c>
      <c r="G304" s="287" t="s">
        <v>250</v>
      </c>
      <c r="H304" s="40"/>
      <c r="I304" s="40"/>
      <c r="J304" s="40"/>
      <c r="K304" s="286"/>
      <c r="L304" s="286"/>
      <c r="M304" s="40"/>
      <c r="N304" s="40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287">
        <v>17454.0</v>
      </c>
      <c r="B305" s="287" t="s">
        <v>907</v>
      </c>
      <c r="C305" s="287" t="s">
        <v>909</v>
      </c>
      <c r="D305" s="287" t="s">
        <v>518</v>
      </c>
      <c r="E305" s="287" t="b">
        <v>1</v>
      </c>
      <c r="F305" s="287" t="b">
        <v>1</v>
      </c>
      <c r="G305" s="287" t="s">
        <v>250</v>
      </c>
      <c r="H305" s="40"/>
      <c r="I305" s="40"/>
      <c r="J305" s="40"/>
      <c r="K305" s="286"/>
      <c r="L305" s="286"/>
      <c r="M305" s="40"/>
      <c r="N305" s="40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287">
        <v>108531.0</v>
      </c>
      <c r="B306" s="287" t="s">
        <v>912</v>
      </c>
      <c r="C306" s="287" t="s">
        <v>42</v>
      </c>
      <c r="D306" s="287" t="s">
        <v>369</v>
      </c>
      <c r="E306" s="287" t="b">
        <v>1</v>
      </c>
      <c r="F306" s="287" t="b">
        <v>1</v>
      </c>
      <c r="G306" s="287" t="s">
        <v>250</v>
      </c>
      <c r="H306" s="40"/>
      <c r="I306" s="40"/>
      <c r="J306" s="40"/>
      <c r="K306" s="286"/>
      <c r="L306" s="286"/>
      <c r="M306" s="40"/>
      <c r="N306" s="40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287">
        <v>15688.0</v>
      </c>
      <c r="B307" s="287" t="s">
        <v>915</v>
      </c>
      <c r="C307" s="287" t="s">
        <v>42</v>
      </c>
      <c r="D307" s="287" t="s">
        <v>369</v>
      </c>
      <c r="E307" s="287" t="b">
        <v>1</v>
      </c>
      <c r="F307" s="287" t="b">
        <v>1</v>
      </c>
      <c r="G307" s="287" t="s">
        <v>250</v>
      </c>
      <c r="H307" s="40"/>
      <c r="I307" s="40"/>
      <c r="J307" s="40"/>
      <c r="K307" s="286"/>
      <c r="L307" s="286"/>
      <c r="M307" s="40"/>
      <c r="N307" s="40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287">
        <v>35443.0</v>
      </c>
      <c r="B308" s="287" t="s">
        <v>917</v>
      </c>
      <c r="C308" s="287" t="s">
        <v>42</v>
      </c>
      <c r="D308" s="287" t="s">
        <v>369</v>
      </c>
      <c r="E308" s="287" t="b">
        <v>1</v>
      </c>
      <c r="F308" s="287" t="b">
        <v>1</v>
      </c>
      <c r="G308" s="287" t="s">
        <v>250</v>
      </c>
      <c r="H308" s="40"/>
      <c r="I308" s="40"/>
      <c r="J308" s="40"/>
      <c r="K308" s="286"/>
      <c r="L308" s="286"/>
      <c r="M308" s="40"/>
      <c r="N308" s="40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287">
        <v>110010.0</v>
      </c>
      <c r="B309" s="287" t="s">
        <v>920</v>
      </c>
      <c r="C309" s="287" t="s">
        <v>389</v>
      </c>
      <c r="D309" s="287" t="s">
        <v>369</v>
      </c>
      <c r="E309" s="287" t="b">
        <v>1</v>
      </c>
      <c r="F309" s="287" t="b">
        <v>1</v>
      </c>
      <c r="G309" s="287" t="s">
        <v>250</v>
      </c>
      <c r="H309" s="40"/>
      <c r="I309" s="40"/>
      <c r="J309" s="40"/>
      <c r="K309" s="286"/>
      <c r="L309" s="286"/>
      <c r="M309" s="40"/>
      <c r="N309" s="40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287">
        <v>35441.0</v>
      </c>
      <c r="B310" s="287" t="s">
        <v>922</v>
      </c>
      <c r="C310" s="287" t="s">
        <v>42</v>
      </c>
      <c r="D310" s="287" t="s">
        <v>369</v>
      </c>
      <c r="E310" s="287" t="b">
        <v>1</v>
      </c>
      <c r="F310" s="287" t="b">
        <v>1</v>
      </c>
      <c r="G310" s="287" t="s">
        <v>250</v>
      </c>
      <c r="H310" s="40"/>
      <c r="I310" s="40"/>
      <c r="J310" s="40"/>
      <c r="K310" s="286"/>
      <c r="L310" s="286"/>
      <c r="M310" s="40"/>
      <c r="N310" s="40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287">
        <v>111963.0</v>
      </c>
      <c r="B311" s="287" t="s">
        <v>923</v>
      </c>
      <c r="C311" s="287" t="s">
        <v>42</v>
      </c>
      <c r="D311" s="287" t="s">
        <v>369</v>
      </c>
      <c r="E311" s="287" t="b">
        <v>1</v>
      </c>
      <c r="F311" s="287" t="b">
        <v>1</v>
      </c>
      <c r="G311" s="287" t="s">
        <v>250</v>
      </c>
      <c r="H311" s="40"/>
      <c r="I311" s="40"/>
      <c r="J311" s="40"/>
      <c r="K311" s="286"/>
      <c r="L311" s="286"/>
      <c r="M311" s="40"/>
      <c r="N311" s="40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287">
        <v>108532.0</v>
      </c>
      <c r="B312" s="287" t="s">
        <v>926</v>
      </c>
      <c r="C312" s="287" t="s">
        <v>42</v>
      </c>
      <c r="D312" s="287" t="s">
        <v>369</v>
      </c>
      <c r="E312" s="287" t="b">
        <v>1</v>
      </c>
      <c r="F312" s="287" t="b">
        <v>1</v>
      </c>
      <c r="G312" s="287" t="s">
        <v>250</v>
      </c>
      <c r="H312" s="40"/>
      <c r="I312" s="40"/>
      <c r="J312" s="40"/>
      <c r="K312" s="286"/>
      <c r="L312" s="286"/>
      <c r="M312" s="40"/>
      <c r="N312" s="40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287">
        <v>108523.0</v>
      </c>
      <c r="B313" s="287" t="s">
        <v>928</v>
      </c>
      <c r="C313" s="287" t="s">
        <v>42</v>
      </c>
      <c r="D313" s="287" t="s">
        <v>518</v>
      </c>
      <c r="E313" s="287" t="b">
        <v>1</v>
      </c>
      <c r="F313" s="287" t="b">
        <v>1</v>
      </c>
      <c r="G313" s="287" t="s">
        <v>250</v>
      </c>
      <c r="H313" s="40"/>
      <c r="I313" s="40"/>
      <c r="J313" s="40"/>
      <c r="K313" s="286"/>
      <c r="L313" s="286"/>
      <c r="M313" s="40"/>
      <c r="N313" s="40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287">
        <v>15829.0</v>
      </c>
      <c r="B314" s="287" t="s">
        <v>930</v>
      </c>
      <c r="C314" s="287" t="s">
        <v>931</v>
      </c>
      <c r="D314" s="287" t="s">
        <v>369</v>
      </c>
      <c r="E314" s="287" t="b">
        <v>1</v>
      </c>
      <c r="F314" s="287" t="b">
        <v>1</v>
      </c>
      <c r="G314" s="287" t="s">
        <v>250</v>
      </c>
      <c r="H314" s="40"/>
      <c r="I314" s="40"/>
      <c r="J314" s="40"/>
      <c r="K314" s="286"/>
      <c r="L314" s="286"/>
      <c r="M314" s="40"/>
      <c r="N314" s="40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287">
        <v>35445.0</v>
      </c>
      <c r="B315" s="287" t="s">
        <v>932</v>
      </c>
      <c r="C315" s="287" t="s">
        <v>42</v>
      </c>
      <c r="D315" s="287" t="s">
        <v>369</v>
      </c>
      <c r="E315" s="287" t="b">
        <v>1</v>
      </c>
      <c r="F315" s="287" t="b">
        <v>1</v>
      </c>
      <c r="G315" s="287" t="s">
        <v>250</v>
      </c>
      <c r="H315" s="40"/>
      <c r="I315" s="40"/>
      <c r="J315" s="40"/>
      <c r="K315" s="286"/>
      <c r="L315" s="286"/>
      <c r="M315" s="40"/>
      <c r="N315" s="40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287">
        <v>35444.0</v>
      </c>
      <c r="B316" s="287" t="s">
        <v>934</v>
      </c>
      <c r="C316" s="287" t="s">
        <v>42</v>
      </c>
      <c r="D316" s="287" t="s">
        <v>369</v>
      </c>
      <c r="E316" s="287" t="b">
        <v>1</v>
      </c>
      <c r="F316" s="287" t="b">
        <v>1</v>
      </c>
      <c r="G316" s="287" t="s">
        <v>250</v>
      </c>
      <c r="H316" s="40"/>
      <c r="I316" s="40"/>
      <c r="J316" s="40"/>
      <c r="K316" s="286"/>
      <c r="L316" s="286"/>
      <c r="M316" s="40"/>
      <c r="N316" s="40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287">
        <v>51253.0</v>
      </c>
      <c r="B317" s="287" t="s">
        <v>935</v>
      </c>
      <c r="C317" s="287" t="s">
        <v>42</v>
      </c>
      <c r="D317" s="287" t="s">
        <v>518</v>
      </c>
      <c r="E317" s="287" t="b">
        <v>1</v>
      </c>
      <c r="F317" s="287" t="b">
        <v>1</v>
      </c>
      <c r="G317" s="287" t="s">
        <v>250</v>
      </c>
      <c r="H317" s="40"/>
      <c r="I317" s="40"/>
      <c r="J317" s="40"/>
      <c r="K317" s="286"/>
      <c r="L317" s="286"/>
      <c r="M317" s="40"/>
      <c r="N317" s="40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287">
        <v>35447.0</v>
      </c>
      <c r="B318" s="287" t="s">
        <v>937</v>
      </c>
      <c r="C318" s="287" t="s">
        <v>42</v>
      </c>
      <c r="D318" s="287" t="s">
        <v>369</v>
      </c>
      <c r="E318" s="287" t="b">
        <v>1</v>
      </c>
      <c r="F318" s="287" t="b">
        <v>1</v>
      </c>
      <c r="G318" s="287" t="s">
        <v>250</v>
      </c>
      <c r="H318" s="40"/>
      <c r="I318" s="40"/>
      <c r="J318" s="40"/>
      <c r="K318" s="286"/>
      <c r="L318" s="286"/>
      <c r="M318" s="40"/>
      <c r="N318" s="40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287">
        <v>15697.0</v>
      </c>
      <c r="B319" s="287" t="s">
        <v>938</v>
      </c>
      <c r="C319" s="287" t="s">
        <v>42</v>
      </c>
      <c r="D319" s="287" t="s">
        <v>369</v>
      </c>
      <c r="E319" s="287" t="b">
        <v>1</v>
      </c>
      <c r="F319" s="287" t="b">
        <v>1</v>
      </c>
      <c r="G319" s="287" t="s">
        <v>250</v>
      </c>
      <c r="H319" s="40"/>
      <c r="I319" s="40"/>
      <c r="J319" s="40"/>
      <c r="K319" s="286"/>
      <c r="L319" s="286"/>
      <c r="M319" s="40"/>
      <c r="N319" s="40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287">
        <v>109627.0</v>
      </c>
      <c r="B320" s="287" t="s">
        <v>939</v>
      </c>
      <c r="C320" s="287" t="s">
        <v>389</v>
      </c>
      <c r="D320" s="287" t="s">
        <v>518</v>
      </c>
      <c r="E320" s="287" t="b">
        <v>1</v>
      </c>
      <c r="F320" s="287" t="b">
        <v>1</v>
      </c>
      <c r="G320" s="287" t="s">
        <v>250</v>
      </c>
      <c r="H320" s="40"/>
      <c r="I320" s="40"/>
      <c r="J320" s="40"/>
      <c r="K320" s="286"/>
      <c r="L320" s="286"/>
      <c r="M320" s="40"/>
      <c r="N320" s="40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287">
        <v>113927.0</v>
      </c>
      <c r="B321" s="287" t="s">
        <v>941</v>
      </c>
      <c r="C321" s="287" t="s">
        <v>42</v>
      </c>
      <c r="D321" s="287" t="s">
        <v>518</v>
      </c>
      <c r="E321" s="287" t="b">
        <v>1</v>
      </c>
      <c r="F321" s="287" t="b">
        <v>1</v>
      </c>
      <c r="G321" s="287" t="s">
        <v>250</v>
      </c>
      <c r="H321" s="40"/>
      <c r="I321" s="40"/>
      <c r="J321" s="40"/>
      <c r="K321" s="286"/>
      <c r="L321" s="286"/>
      <c r="M321" s="40"/>
      <c r="N321" s="40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287">
        <v>101380.0</v>
      </c>
      <c r="B322" s="287" t="s">
        <v>942</v>
      </c>
      <c r="C322" s="287" t="s">
        <v>42</v>
      </c>
      <c r="D322" s="287" t="s">
        <v>518</v>
      </c>
      <c r="E322" s="287" t="b">
        <v>1</v>
      </c>
      <c r="F322" s="287" t="b">
        <v>1</v>
      </c>
      <c r="G322" s="287" t="s">
        <v>250</v>
      </c>
      <c r="H322" s="40"/>
      <c r="I322" s="40"/>
      <c r="J322" s="40"/>
      <c r="K322" s="286"/>
      <c r="L322" s="286"/>
      <c r="M322" s="40"/>
      <c r="N322" s="40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287">
        <v>51236.0</v>
      </c>
      <c r="B323" s="287" t="s">
        <v>949</v>
      </c>
      <c r="C323" s="287" t="s">
        <v>42</v>
      </c>
      <c r="D323" s="287" t="s">
        <v>518</v>
      </c>
      <c r="E323" s="287" t="b">
        <v>1</v>
      </c>
      <c r="F323" s="287" t="b">
        <v>1</v>
      </c>
      <c r="G323" s="287" t="s">
        <v>250</v>
      </c>
      <c r="H323" s="40"/>
      <c r="I323" s="40"/>
      <c r="J323" s="40"/>
      <c r="K323" s="286"/>
      <c r="L323" s="286"/>
      <c r="M323" s="40"/>
      <c r="N323" s="40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287">
        <v>16211.0</v>
      </c>
      <c r="B324" s="287" t="s">
        <v>950</v>
      </c>
      <c r="C324" s="287" t="s">
        <v>42</v>
      </c>
      <c r="D324" s="287" t="s">
        <v>518</v>
      </c>
      <c r="E324" s="287" t="b">
        <v>1</v>
      </c>
      <c r="F324" s="287" t="b">
        <v>1</v>
      </c>
      <c r="G324" s="287" t="s">
        <v>250</v>
      </c>
      <c r="H324" s="40"/>
      <c r="I324" s="40"/>
      <c r="J324" s="40"/>
      <c r="K324" s="286"/>
      <c r="L324" s="286"/>
      <c r="M324" s="40"/>
      <c r="N324" s="40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287">
        <v>51159.0</v>
      </c>
      <c r="B325" s="287" t="s">
        <v>955</v>
      </c>
      <c r="C325" s="287" t="s">
        <v>42</v>
      </c>
      <c r="D325" s="287" t="s">
        <v>518</v>
      </c>
      <c r="E325" s="287" t="b">
        <v>1</v>
      </c>
      <c r="F325" s="287" t="b">
        <v>1</v>
      </c>
      <c r="G325" s="287" t="s">
        <v>250</v>
      </c>
      <c r="H325" s="40"/>
      <c r="I325" s="40"/>
      <c r="J325" s="40"/>
      <c r="K325" s="286"/>
      <c r="L325" s="286"/>
      <c r="M325" s="40"/>
      <c r="N325" s="40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287">
        <v>102498.0</v>
      </c>
      <c r="B326" s="287" t="s">
        <v>957</v>
      </c>
      <c r="C326" s="287" t="s">
        <v>42</v>
      </c>
      <c r="D326" s="287" t="s">
        <v>518</v>
      </c>
      <c r="E326" s="287" t="b">
        <v>1</v>
      </c>
      <c r="F326" s="287" t="b">
        <v>1</v>
      </c>
      <c r="G326" s="287" t="s">
        <v>250</v>
      </c>
      <c r="H326" s="40"/>
      <c r="I326" s="40"/>
      <c r="J326" s="40"/>
      <c r="K326" s="286"/>
      <c r="L326" s="286"/>
      <c r="M326" s="40"/>
      <c r="N326" s="40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287">
        <v>15651.0</v>
      </c>
      <c r="B327" s="287" t="s">
        <v>958</v>
      </c>
      <c r="C327" s="287" t="s">
        <v>42</v>
      </c>
      <c r="D327" s="287" t="s">
        <v>518</v>
      </c>
      <c r="E327" s="287" t="b">
        <v>1</v>
      </c>
      <c r="F327" s="287" t="b">
        <v>1</v>
      </c>
      <c r="G327" s="287" t="s">
        <v>250</v>
      </c>
      <c r="H327" s="40"/>
      <c r="I327" s="40"/>
      <c r="J327" s="40"/>
      <c r="K327" s="286"/>
      <c r="L327" s="286"/>
      <c r="M327" s="40"/>
      <c r="N327" s="40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287">
        <v>15652.0</v>
      </c>
      <c r="B328" s="287" t="s">
        <v>2604</v>
      </c>
      <c r="C328" s="287" t="s">
        <v>42</v>
      </c>
      <c r="D328" s="287" t="s">
        <v>518</v>
      </c>
      <c r="E328" s="287" t="b">
        <v>1</v>
      </c>
      <c r="F328" s="287" t="b">
        <v>1</v>
      </c>
      <c r="G328" s="287" t="s">
        <v>2605</v>
      </c>
      <c r="H328" s="40"/>
      <c r="I328" s="40"/>
      <c r="J328" s="40"/>
      <c r="K328" s="286"/>
      <c r="L328" s="286"/>
      <c r="M328" s="40"/>
      <c r="N328" s="40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287">
        <v>148641.0</v>
      </c>
      <c r="B329" s="287" t="s">
        <v>2606</v>
      </c>
      <c r="C329" s="287" t="s">
        <v>1471</v>
      </c>
      <c r="D329" s="287" t="s">
        <v>518</v>
      </c>
      <c r="E329" s="287" t="b">
        <v>1</v>
      </c>
      <c r="F329" s="287" t="b">
        <v>0</v>
      </c>
      <c r="G329" s="287" t="s">
        <v>2607</v>
      </c>
      <c r="H329" s="40"/>
      <c r="I329" s="40"/>
      <c r="J329" s="40"/>
      <c r="K329" s="286"/>
      <c r="L329" s="286"/>
      <c r="M329" s="40"/>
      <c r="N329" s="40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287">
        <v>111134.0</v>
      </c>
      <c r="B330" s="287" t="s">
        <v>963</v>
      </c>
      <c r="C330" s="287" t="s">
        <v>42</v>
      </c>
      <c r="D330" s="287" t="s">
        <v>518</v>
      </c>
      <c r="E330" s="287" t="b">
        <v>1</v>
      </c>
      <c r="F330" s="287" t="b">
        <v>1</v>
      </c>
      <c r="G330" s="287" t="s">
        <v>250</v>
      </c>
      <c r="H330" s="40"/>
      <c r="I330" s="40"/>
      <c r="J330" s="40"/>
      <c r="K330" s="286"/>
      <c r="L330" s="286"/>
      <c r="M330" s="40"/>
      <c r="N330" s="40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287">
        <v>30722.0</v>
      </c>
      <c r="B331" s="287" t="s">
        <v>966</v>
      </c>
      <c r="C331" s="287" t="s">
        <v>42</v>
      </c>
      <c r="D331" s="287" t="s">
        <v>369</v>
      </c>
      <c r="E331" s="287" t="b">
        <v>1</v>
      </c>
      <c r="F331" s="287" t="b">
        <v>1</v>
      </c>
      <c r="G331" s="287" t="s">
        <v>250</v>
      </c>
      <c r="H331" s="40"/>
      <c r="I331" s="40"/>
      <c r="J331" s="40"/>
      <c r="K331" s="286"/>
      <c r="L331" s="286"/>
      <c r="M331" s="40"/>
      <c r="N331" s="40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287">
        <v>62920.0</v>
      </c>
      <c r="B332" s="287" t="s">
        <v>967</v>
      </c>
      <c r="C332" s="287" t="s">
        <v>968</v>
      </c>
      <c r="D332" s="287" t="s">
        <v>518</v>
      </c>
      <c r="E332" s="287" t="b">
        <v>1</v>
      </c>
      <c r="F332" s="287" t="b">
        <v>1</v>
      </c>
      <c r="G332" s="287" t="s">
        <v>250</v>
      </c>
      <c r="H332" s="40"/>
      <c r="I332" s="40"/>
      <c r="J332" s="40"/>
      <c r="K332" s="286"/>
      <c r="L332" s="286"/>
      <c r="M332" s="40"/>
      <c r="N332" s="40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287">
        <v>15792.0</v>
      </c>
      <c r="B333" s="287" t="s">
        <v>969</v>
      </c>
      <c r="C333" s="287" t="s">
        <v>42</v>
      </c>
      <c r="D333" s="287" t="s">
        <v>518</v>
      </c>
      <c r="E333" s="287" t="b">
        <v>1</v>
      </c>
      <c r="F333" s="287" t="b">
        <v>1</v>
      </c>
      <c r="G333" s="287" t="s">
        <v>2608</v>
      </c>
      <c r="H333" s="40"/>
      <c r="I333" s="40"/>
      <c r="J333" s="40"/>
      <c r="K333" s="286"/>
      <c r="L333" s="286"/>
      <c r="M333" s="40"/>
      <c r="N333" s="40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287">
        <v>112726.0</v>
      </c>
      <c r="B334" s="287" t="s">
        <v>970</v>
      </c>
      <c r="C334" s="287" t="s">
        <v>972</v>
      </c>
      <c r="D334" s="287" t="s">
        <v>518</v>
      </c>
      <c r="E334" s="287" t="b">
        <v>1</v>
      </c>
      <c r="F334" s="287" t="b">
        <v>1</v>
      </c>
      <c r="G334" s="287" t="s">
        <v>250</v>
      </c>
      <c r="H334" s="40"/>
      <c r="I334" s="40"/>
      <c r="J334" s="40"/>
      <c r="K334" s="286"/>
      <c r="L334" s="286"/>
      <c r="M334" s="40"/>
      <c r="N334" s="40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287">
        <v>51164.0</v>
      </c>
      <c r="B335" s="287" t="s">
        <v>973</v>
      </c>
      <c r="C335" s="287" t="s">
        <v>975</v>
      </c>
      <c r="D335" s="287" t="s">
        <v>518</v>
      </c>
      <c r="E335" s="287" t="b">
        <v>1</v>
      </c>
      <c r="F335" s="287" t="b">
        <v>1</v>
      </c>
      <c r="G335" s="287" t="s">
        <v>250</v>
      </c>
      <c r="H335" s="40"/>
      <c r="I335" s="40"/>
      <c r="J335" s="40"/>
      <c r="K335" s="286"/>
      <c r="L335" s="286"/>
      <c r="M335" s="40"/>
      <c r="N335" s="40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287">
        <v>148492.0</v>
      </c>
      <c r="B336" s="287" t="s">
        <v>2609</v>
      </c>
      <c r="C336" s="287" t="s">
        <v>42</v>
      </c>
      <c r="D336" s="287" t="s">
        <v>518</v>
      </c>
      <c r="E336" s="287" t="b">
        <v>1</v>
      </c>
      <c r="F336" s="287" t="b">
        <v>1</v>
      </c>
      <c r="G336" s="287" t="s">
        <v>250</v>
      </c>
      <c r="H336" s="40"/>
      <c r="I336" s="40"/>
      <c r="J336" s="40"/>
      <c r="K336" s="286"/>
      <c r="L336" s="286"/>
      <c r="M336" s="40"/>
      <c r="N336" s="40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287">
        <v>148494.0</v>
      </c>
      <c r="B337" s="287" t="s">
        <v>976</v>
      </c>
      <c r="C337" s="287" t="s">
        <v>42</v>
      </c>
      <c r="D337" s="287" t="s">
        <v>518</v>
      </c>
      <c r="E337" s="287" t="b">
        <v>1</v>
      </c>
      <c r="F337" s="287" t="b">
        <v>1</v>
      </c>
      <c r="G337" s="287" t="s">
        <v>250</v>
      </c>
      <c r="H337" s="40"/>
      <c r="I337" s="40"/>
      <c r="J337" s="40"/>
      <c r="K337" s="286"/>
      <c r="L337" s="286"/>
      <c r="M337" s="40"/>
      <c r="N337" s="40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287">
        <v>20889.0</v>
      </c>
      <c r="B338" s="287" t="s">
        <v>979</v>
      </c>
      <c r="C338" s="287" t="s">
        <v>42</v>
      </c>
      <c r="D338" s="287" t="s">
        <v>518</v>
      </c>
      <c r="E338" s="287" t="b">
        <v>1</v>
      </c>
      <c r="F338" s="287" t="b">
        <v>1</v>
      </c>
      <c r="G338" s="287" t="s">
        <v>250</v>
      </c>
      <c r="H338" s="40"/>
      <c r="I338" s="40"/>
      <c r="J338" s="40"/>
      <c r="K338" s="286"/>
      <c r="L338" s="286"/>
      <c r="M338" s="40"/>
      <c r="N338" s="40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287">
        <v>102496.0</v>
      </c>
      <c r="B339" s="287" t="s">
        <v>980</v>
      </c>
      <c r="C339" s="287" t="s">
        <v>42</v>
      </c>
      <c r="D339" s="287" t="s">
        <v>518</v>
      </c>
      <c r="E339" s="287" t="b">
        <v>1</v>
      </c>
      <c r="F339" s="287" t="b">
        <v>1</v>
      </c>
      <c r="G339" s="287" t="s">
        <v>250</v>
      </c>
      <c r="H339" s="40"/>
      <c r="I339" s="40"/>
      <c r="J339" s="40"/>
      <c r="K339" s="286"/>
      <c r="L339" s="286"/>
      <c r="M339" s="40"/>
      <c r="N339" s="40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287">
        <v>51249.0</v>
      </c>
      <c r="B340" s="287" t="s">
        <v>982</v>
      </c>
      <c r="C340" s="287" t="s">
        <v>42</v>
      </c>
      <c r="D340" s="287" t="s">
        <v>518</v>
      </c>
      <c r="E340" s="287" t="b">
        <v>1</v>
      </c>
      <c r="F340" s="287" t="b">
        <v>1</v>
      </c>
      <c r="G340" s="287" t="s">
        <v>250</v>
      </c>
      <c r="H340" s="40"/>
      <c r="I340" s="40"/>
      <c r="J340" s="40"/>
      <c r="K340" s="286"/>
      <c r="L340" s="286"/>
      <c r="M340" s="40"/>
      <c r="N340" s="40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287">
        <v>15658.0</v>
      </c>
      <c r="B341" s="287" t="s">
        <v>983</v>
      </c>
      <c r="C341" s="287" t="s">
        <v>389</v>
      </c>
      <c r="D341" s="287" t="s">
        <v>518</v>
      </c>
      <c r="E341" s="287" t="b">
        <v>1</v>
      </c>
      <c r="F341" s="287" t="b">
        <v>1</v>
      </c>
      <c r="G341" s="287" t="s">
        <v>250</v>
      </c>
      <c r="H341" s="40"/>
      <c r="I341" s="40"/>
      <c r="J341" s="40"/>
      <c r="K341" s="286"/>
      <c r="L341" s="286"/>
      <c r="M341" s="40"/>
      <c r="N341" s="40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287">
        <v>151480.0</v>
      </c>
      <c r="B342" s="287" t="s">
        <v>1031</v>
      </c>
      <c r="C342" s="287" t="s">
        <v>42</v>
      </c>
      <c r="D342" s="287" t="s">
        <v>518</v>
      </c>
      <c r="E342" s="287" t="b">
        <v>1</v>
      </c>
      <c r="F342" s="287" t="b">
        <v>1</v>
      </c>
      <c r="G342" s="287" t="s">
        <v>2610</v>
      </c>
      <c r="H342" s="40"/>
      <c r="I342" s="40"/>
      <c r="J342" s="40"/>
      <c r="K342" s="286"/>
      <c r="L342" s="286"/>
      <c r="M342" s="40"/>
      <c r="N342" s="40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287">
        <v>151479.0</v>
      </c>
      <c r="B343" s="287" t="s">
        <v>985</v>
      </c>
      <c r="C343" s="287" t="s">
        <v>42</v>
      </c>
      <c r="D343" s="287" t="s">
        <v>518</v>
      </c>
      <c r="E343" s="287" t="b">
        <v>1</v>
      </c>
      <c r="F343" s="287" t="b">
        <v>1</v>
      </c>
      <c r="G343" s="287" t="s">
        <v>2611</v>
      </c>
      <c r="H343" s="40"/>
      <c r="I343" s="40"/>
      <c r="J343" s="40"/>
      <c r="K343" s="286"/>
      <c r="L343" s="286"/>
      <c r="M343" s="40"/>
      <c r="N343" s="40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287">
        <v>37989.0</v>
      </c>
      <c r="B344" s="287" t="s">
        <v>987</v>
      </c>
      <c r="C344" s="287" t="s">
        <v>42</v>
      </c>
      <c r="D344" s="287" t="s">
        <v>518</v>
      </c>
      <c r="E344" s="287" t="b">
        <v>1</v>
      </c>
      <c r="F344" s="287" t="b">
        <v>1</v>
      </c>
      <c r="G344" s="287" t="s">
        <v>250</v>
      </c>
      <c r="H344" s="40"/>
      <c r="I344" s="40"/>
      <c r="J344" s="40"/>
      <c r="K344" s="286"/>
      <c r="L344" s="286"/>
      <c r="M344" s="40"/>
      <c r="N344" s="40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287">
        <v>109624.0</v>
      </c>
      <c r="B345" s="287" t="s">
        <v>990</v>
      </c>
      <c r="C345" s="287" t="s">
        <v>389</v>
      </c>
      <c r="D345" s="287" t="s">
        <v>518</v>
      </c>
      <c r="E345" s="287" t="b">
        <v>1</v>
      </c>
      <c r="F345" s="287" t="b">
        <v>1</v>
      </c>
      <c r="G345" s="287" t="s">
        <v>2612</v>
      </c>
      <c r="H345" s="40"/>
      <c r="I345" s="40"/>
      <c r="J345" s="40"/>
      <c r="K345" s="286"/>
      <c r="L345" s="286"/>
      <c r="M345" s="40"/>
      <c r="N345" s="40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287">
        <v>44297.0</v>
      </c>
      <c r="B346" s="287" t="s">
        <v>991</v>
      </c>
      <c r="C346" s="287" t="s">
        <v>42</v>
      </c>
      <c r="D346" s="287" t="s">
        <v>518</v>
      </c>
      <c r="E346" s="287" t="b">
        <v>1</v>
      </c>
      <c r="F346" s="287" t="b">
        <v>1</v>
      </c>
      <c r="G346" s="287" t="s">
        <v>2612</v>
      </c>
      <c r="H346" s="40"/>
      <c r="I346" s="40"/>
      <c r="J346" s="40"/>
      <c r="K346" s="286"/>
      <c r="L346" s="286"/>
      <c r="M346" s="40"/>
      <c r="N346" s="40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287">
        <v>110969.0</v>
      </c>
      <c r="B347" s="287" t="s">
        <v>995</v>
      </c>
      <c r="C347" s="287" t="s">
        <v>42</v>
      </c>
      <c r="D347" s="287" t="s">
        <v>518</v>
      </c>
      <c r="E347" s="287" t="b">
        <v>1</v>
      </c>
      <c r="F347" s="287" t="b">
        <v>1</v>
      </c>
      <c r="G347" s="287" t="s">
        <v>250</v>
      </c>
      <c r="H347" s="40"/>
      <c r="I347" s="40"/>
      <c r="J347" s="40"/>
      <c r="K347" s="286"/>
      <c r="L347" s="286"/>
      <c r="M347" s="40"/>
      <c r="N347" s="40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287">
        <v>40127.0</v>
      </c>
      <c r="B348" s="287" t="s">
        <v>996</v>
      </c>
      <c r="C348" s="287" t="s">
        <v>997</v>
      </c>
      <c r="D348" s="287" t="s">
        <v>518</v>
      </c>
      <c r="E348" s="287" t="b">
        <v>1</v>
      </c>
      <c r="F348" s="287" t="b">
        <v>1</v>
      </c>
      <c r="G348" s="287" t="s">
        <v>2613</v>
      </c>
      <c r="H348" s="40"/>
      <c r="I348" s="40"/>
      <c r="J348" s="40"/>
      <c r="K348" s="286"/>
      <c r="L348" s="286"/>
      <c r="M348" s="40"/>
      <c r="N348" s="40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287">
        <v>15711.0</v>
      </c>
      <c r="B349" s="287" t="s">
        <v>999</v>
      </c>
      <c r="C349" s="287" t="s">
        <v>64</v>
      </c>
      <c r="D349" s="287" t="s">
        <v>518</v>
      </c>
      <c r="E349" s="287" t="b">
        <v>1</v>
      </c>
      <c r="F349" s="287" t="b">
        <v>1</v>
      </c>
      <c r="G349" s="287" t="s">
        <v>250</v>
      </c>
      <c r="H349" s="40"/>
      <c r="I349" s="40"/>
      <c r="J349" s="40"/>
      <c r="K349" s="286"/>
      <c r="L349" s="286"/>
      <c r="M349" s="40"/>
      <c r="N349" s="40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287">
        <v>111702.0</v>
      </c>
      <c r="B350" s="287" t="s">
        <v>1002</v>
      </c>
      <c r="C350" s="287" t="s">
        <v>42</v>
      </c>
      <c r="D350" s="287" t="s">
        <v>518</v>
      </c>
      <c r="E350" s="287" t="b">
        <v>1</v>
      </c>
      <c r="F350" s="287" t="b">
        <v>1</v>
      </c>
      <c r="G350" s="287" t="s">
        <v>250</v>
      </c>
      <c r="H350" s="40"/>
      <c r="I350" s="40"/>
      <c r="J350" s="40"/>
      <c r="K350" s="286"/>
      <c r="L350" s="286"/>
      <c r="M350" s="40"/>
      <c r="N350" s="40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287">
        <v>15808.0</v>
      </c>
      <c r="B351" s="287" t="s">
        <v>1005</v>
      </c>
      <c r="C351" s="287" t="s">
        <v>42</v>
      </c>
      <c r="D351" s="287" t="s">
        <v>518</v>
      </c>
      <c r="E351" s="287" t="b">
        <v>1</v>
      </c>
      <c r="F351" s="287" t="b">
        <v>1</v>
      </c>
      <c r="G351" s="287" t="s">
        <v>250</v>
      </c>
      <c r="H351" s="40"/>
      <c r="I351" s="40"/>
      <c r="J351" s="40"/>
      <c r="K351" s="286"/>
      <c r="L351" s="286"/>
      <c r="M351" s="40"/>
      <c r="N351" s="40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287">
        <v>15726.0</v>
      </c>
      <c r="B352" s="287" t="s">
        <v>1007</v>
      </c>
      <c r="C352" s="287" t="s">
        <v>42</v>
      </c>
      <c r="D352" s="287" t="s">
        <v>518</v>
      </c>
      <c r="E352" s="287" t="b">
        <v>1</v>
      </c>
      <c r="F352" s="287" t="b">
        <v>1</v>
      </c>
      <c r="G352" s="287" t="s">
        <v>250</v>
      </c>
      <c r="H352" s="40"/>
      <c r="I352" s="40"/>
      <c r="J352" s="40"/>
      <c r="K352" s="286"/>
      <c r="L352" s="286"/>
      <c r="M352" s="40"/>
      <c r="N352" s="40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287">
        <v>15810.0</v>
      </c>
      <c r="B353" s="287" t="s">
        <v>1008</v>
      </c>
      <c r="C353" s="287" t="s">
        <v>389</v>
      </c>
      <c r="D353" s="287" t="s">
        <v>518</v>
      </c>
      <c r="E353" s="287" t="b">
        <v>1</v>
      </c>
      <c r="F353" s="287" t="b">
        <v>1</v>
      </c>
      <c r="G353" s="287" t="s">
        <v>250</v>
      </c>
      <c r="H353" s="40"/>
      <c r="I353" s="40"/>
      <c r="J353" s="40"/>
      <c r="K353" s="286"/>
      <c r="L353" s="286"/>
      <c r="M353" s="40"/>
      <c r="N353" s="40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287">
        <v>110941.0</v>
      </c>
      <c r="B354" s="287" t="s">
        <v>1010</v>
      </c>
      <c r="C354" s="287" t="s">
        <v>42</v>
      </c>
      <c r="D354" s="287" t="s">
        <v>518</v>
      </c>
      <c r="E354" s="287" t="b">
        <v>1</v>
      </c>
      <c r="F354" s="287" t="b">
        <v>1</v>
      </c>
      <c r="G354" s="287" t="s">
        <v>250</v>
      </c>
      <c r="H354" s="40"/>
      <c r="I354" s="40"/>
      <c r="J354" s="40"/>
      <c r="K354" s="286"/>
      <c r="L354" s="286"/>
      <c r="M354" s="40"/>
      <c r="N354" s="40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287">
        <v>42061.0</v>
      </c>
      <c r="B355" s="287" t="s">
        <v>2614</v>
      </c>
      <c r="C355" s="287" t="s">
        <v>1617</v>
      </c>
      <c r="D355" s="287" t="s">
        <v>518</v>
      </c>
      <c r="E355" s="287" t="b">
        <v>1</v>
      </c>
      <c r="F355" s="287" t="b">
        <v>0</v>
      </c>
      <c r="G355" s="287" t="s">
        <v>2615</v>
      </c>
      <c r="H355" s="40"/>
      <c r="I355" s="40"/>
      <c r="J355" s="40"/>
      <c r="K355" s="286"/>
      <c r="L355" s="286"/>
      <c r="M355" s="40"/>
      <c r="N355" s="40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287">
        <v>109622.0</v>
      </c>
      <c r="B356" s="287" t="s">
        <v>1012</v>
      </c>
      <c r="C356" s="287" t="s">
        <v>389</v>
      </c>
      <c r="D356" s="287" t="s">
        <v>518</v>
      </c>
      <c r="E356" s="287" t="b">
        <v>1</v>
      </c>
      <c r="F356" s="287" t="b">
        <v>1</v>
      </c>
      <c r="G356" s="287" t="s">
        <v>250</v>
      </c>
      <c r="H356" s="40"/>
      <c r="I356" s="40"/>
      <c r="J356" s="40"/>
      <c r="K356" s="286"/>
      <c r="L356" s="286"/>
      <c r="M356" s="40"/>
      <c r="N356" s="40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287">
        <v>24809.0</v>
      </c>
      <c r="B357" s="287" t="s">
        <v>2616</v>
      </c>
      <c r="C357" s="287" t="s">
        <v>946</v>
      </c>
      <c r="D357" s="287" t="s">
        <v>518</v>
      </c>
      <c r="E357" s="287" t="b">
        <v>1</v>
      </c>
      <c r="F357" s="287" t="b">
        <v>1</v>
      </c>
      <c r="G357" s="287" t="s">
        <v>250</v>
      </c>
      <c r="H357" s="40"/>
      <c r="I357" s="40"/>
      <c r="J357" s="40"/>
      <c r="K357" s="286"/>
      <c r="L357" s="286"/>
      <c r="M357" s="40"/>
      <c r="N357" s="40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287">
        <v>109626.0</v>
      </c>
      <c r="B358" s="287" t="s">
        <v>1014</v>
      </c>
      <c r="C358" s="287" t="s">
        <v>389</v>
      </c>
      <c r="D358" s="287" t="s">
        <v>518</v>
      </c>
      <c r="E358" s="287" t="b">
        <v>1</v>
      </c>
      <c r="F358" s="287" t="b">
        <v>1</v>
      </c>
      <c r="G358" s="287" t="s">
        <v>250</v>
      </c>
      <c r="H358" s="40"/>
      <c r="I358" s="40"/>
      <c r="J358" s="40"/>
      <c r="K358" s="286"/>
      <c r="L358" s="286"/>
      <c r="M358" s="40"/>
      <c r="N358" s="40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287">
        <v>110929.0</v>
      </c>
      <c r="B359" s="287" t="s">
        <v>1015</v>
      </c>
      <c r="C359" s="287" t="s">
        <v>42</v>
      </c>
      <c r="D359" s="287" t="s">
        <v>518</v>
      </c>
      <c r="E359" s="287" t="b">
        <v>1</v>
      </c>
      <c r="F359" s="287" t="b">
        <v>1</v>
      </c>
      <c r="G359" s="287" t="s">
        <v>250</v>
      </c>
      <c r="H359" s="40"/>
      <c r="I359" s="40"/>
      <c r="J359" s="40"/>
      <c r="K359" s="286"/>
      <c r="L359" s="286"/>
      <c r="M359" s="40"/>
      <c r="N359" s="40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287">
        <v>17361.0</v>
      </c>
      <c r="B360" s="287" t="s">
        <v>1018</v>
      </c>
      <c r="C360" s="287" t="s">
        <v>42</v>
      </c>
      <c r="D360" s="287" t="s">
        <v>518</v>
      </c>
      <c r="E360" s="287" t="b">
        <v>1</v>
      </c>
      <c r="F360" s="287" t="b">
        <v>1</v>
      </c>
      <c r="G360" s="287" t="s">
        <v>250</v>
      </c>
      <c r="H360" s="40"/>
      <c r="I360" s="40"/>
      <c r="J360" s="40"/>
      <c r="K360" s="286"/>
      <c r="L360" s="286"/>
      <c r="M360" s="40"/>
      <c r="N360" s="40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287">
        <v>49593.0</v>
      </c>
      <c r="B361" s="287" t="s">
        <v>1019</v>
      </c>
      <c r="C361" s="287" t="s">
        <v>42</v>
      </c>
      <c r="D361" s="287" t="s">
        <v>518</v>
      </c>
      <c r="E361" s="287" t="b">
        <v>1</v>
      </c>
      <c r="F361" s="287" t="b">
        <v>1</v>
      </c>
      <c r="G361" s="287" t="s">
        <v>250</v>
      </c>
      <c r="H361" s="40"/>
      <c r="I361" s="40"/>
      <c r="J361" s="40"/>
      <c r="K361" s="286"/>
      <c r="L361" s="286"/>
      <c r="M361" s="40"/>
      <c r="N361" s="40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287">
        <v>19508.0</v>
      </c>
      <c r="B362" s="287" t="s">
        <v>1022</v>
      </c>
      <c r="C362" s="287" t="s">
        <v>64</v>
      </c>
      <c r="D362" s="287" t="s">
        <v>518</v>
      </c>
      <c r="E362" s="287" t="b">
        <v>1</v>
      </c>
      <c r="F362" s="287" t="b">
        <v>1</v>
      </c>
      <c r="G362" s="287" t="s">
        <v>250</v>
      </c>
      <c r="H362" s="40"/>
      <c r="I362" s="40"/>
      <c r="J362" s="40"/>
      <c r="K362" s="286"/>
      <c r="L362" s="286"/>
      <c r="M362" s="40"/>
      <c r="N362" s="40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287">
        <v>111674.0</v>
      </c>
      <c r="B363" s="287" t="s">
        <v>1024</v>
      </c>
      <c r="C363" s="287" t="s">
        <v>42</v>
      </c>
      <c r="D363" s="287" t="s">
        <v>518</v>
      </c>
      <c r="E363" s="287" t="b">
        <v>1</v>
      </c>
      <c r="F363" s="287" t="b">
        <v>1</v>
      </c>
      <c r="G363" s="287" t="s">
        <v>250</v>
      </c>
      <c r="H363" s="40"/>
      <c r="I363" s="40"/>
      <c r="J363" s="40"/>
      <c r="K363" s="286"/>
      <c r="L363" s="286"/>
      <c r="M363" s="40"/>
      <c r="N363" s="40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287">
        <v>30699.0</v>
      </c>
      <c r="B364" s="287" t="s">
        <v>2021</v>
      </c>
      <c r="C364" s="287" t="s">
        <v>289</v>
      </c>
      <c r="D364" s="287" t="s">
        <v>518</v>
      </c>
      <c r="E364" s="287" t="b">
        <v>1</v>
      </c>
      <c r="F364" s="287" t="b">
        <v>1</v>
      </c>
      <c r="G364" s="287" t="s">
        <v>2023</v>
      </c>
      <c r="H364" s="40"/>
      <c r="I364" s="40"/>
      <c r="J364" s="40"/>
      <c r="K364" s="286"/>
      <c r="L364" s="286"/>
      <c r="M364" s="40"/>
      <c r="N364" s="40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287">
        <v>148645.0</v>
      </c>
      <c r="B365" s="287" t="s">
        <v>2617</v>
      </c>
      <c r="C365" s="287" t="s">
        <v>62</v>
      </c>
      <c r="D365" s="287" t="s">
        <v>518</v>
      </c>
      <c r="E365" s="287" t="b">
        <v>1</v>
      </c>
      <c r="F365" s="287" t="b">
        <v>1</v>
      </c>
      <c r="G365" s="287" t="s">
        <v>2618</v>
      </c>
      <c r="H365" s="40"/>
      <c r="I365" s="40"/>
      <c r="J365" s="40"/>
      <c r="K365" s="286"/>
      <c r="L365" s="286"/>
      <c r="M365" s="40"/>
      <c r="N365" s="40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287">
        <v>109621.0</v>
      </c>
      <c r="B366" s="287" t="s">
        <v>1028</v>
      </c>
      <c r="C366" s="287" t="s">
        <v>389</v>
      </c>
      <c r="D366" s="287" t="s">
        <v>518</v>
      </c>
      <c r="E366" s="287" t="b">
        <v>1</v>
      </c>
      <c r="F366" s="287" t="b">
        <v>1</v>
      </c>
      <c r="G366" s="287" t="s">
        <v>250</v>
      </c>
      <c r="H366" s="40"/>
      <c r="I366" s="40"/>
      <c r="J366" s="40"/>
      <c r="K366" s="286"/>
      <c r="L366" s="286"/>
      <c r="M366" s="40"/>
      <c r="N366" s="40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287">
        <v>102288.0</v>
      </c>
      <c r="B367" s="287" t="s">
        <v>1029</v>
      </c>
      <c r="C367" s="287" t="s">
        <v>42</v>
      </c>
      <c r="D367" s="287" t="s">
        <v>518</v>
      </c>
      <c r="E367" s="287" t="b">
        <v>1</v>
      </c>
      <c r="F367" s="287" t="b">
        <v>1</v>
      </c>
      <c r="G367" s="287" t="s">
        <v>250</v>
      </c>
      <c r="H367" s="40"/>
      <c r="I367" s="40"/>
      <c r="J367" s="40"/>
      <c r="K367" s="286"/>
      <c r="L367" s="286"/>
      <c r="M367" s="40"/>
      <c r="N367" s="40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287">
        <v>40445.0</v>
      </c>
      <c r="B368" s="287" t="s">
        <v>953</v>
      </c>
      <c r="C368" s="287" t="s">
        <v>42</v>
      </c>
      <c r="D368" s="287" t="s">
        <v>369</v>
      </c>
      <c r="E368" s="287" t="b">
        <v>1</v>
      </c>
      <c r="F368" s="287" t="b">
        <v>1</v>
      </c>
      <c r="G368" s="287" t="s">
        <v>250</v>
      </c>
      <c r="H368" s="40"/>
      <c r="I368" s="40"/>
      <c r="J368" s="40"/>
      <c r="K368" s="286"/>
      <c r="L368" s="286"/>
      <c r="M368" s="40"/>
      <c r="N368" s="40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287">
        <v>15798.0</v>
      </c>
      <c r="B369" s="287" t="s">
        <v>1033</v>
      </c>
      <c r="C369" s="287" t="s">
        <v>42</v>
      </c>
      <c r="D369" s="287" t="s">
        <v>518</v>
      </c>
      <c r="E369" s="287" t="b">
        <v>1</v>
      </c>
      <c r="F369" s="287" t="b">
        <v>1</v>
      </c>
      <c r="G369" s="287" t="s">
        <v>250</v>
      </c>
      <c r="H369" s="40"/>
      <c r="I369" s="40"/>
      <c r="J369" s="40"/>
      <c r="K369" s="286"/>
      <c r="L369" s="286"/>
      <c r="M369" s="40"/>
      <c r="N369" s="40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287">
        <v>110967.0</v>
      </c>
      <c r="B370" s="287" t="s">
        <v>1034</v>
      </c>
      <c r="C370" s="287" t="s">
        <v>42</v>
      </c>
      <c r="D370" s="287" t="s">
        <v>518</v>
      </c>
      <c r="E370" s="287" t="b">
        <v>1</v>
      </c>
      <c r="F370" s="287" t="b">
        <v>1</v>
      </c>
      <c r="G370" s="287" t="s">
        <v>250</v>
      </c>
      <c r="H370" s="40"/>
      <c r="I370" s="40"/>
      <c r="J370" s="40"/>
      <c r="K370" s="286"/>
      <c r="L370" s="286"/>
      <c r="M370" s="40"/>
      <c r="N370" s="40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287">
        <v>15799.0</v>
      </c>
      <c r="B371" s="287" t="s">
        <v>1037</v>
      </c>
      <c r="C371" s="287" t="s">
        <v>42</v>
      </c>
      <c r="D371" s="287" t="s">
        <v>518</v>
      </c>
      <c r="E371" s="287" t="b">
        <v>1</v>
      </c>
      <c r="F371" s="287" t="b">
        <v>1</v>
      </c>
      <c r="G371" s="287" t="s">
        <v>250</v>
      </c>
      <c r="H371" s="40"/>
      <c r="I371" s="40"/>
      <c r="J371" s="40"/>
      <c r="K371" s="286"/>
      <c r="L371" s="286"/>
      <c r="M371" s="40"/>
      <c r="N371" s="40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287">
        <v>40136.0</v>
      </c>
      <c r="B372" s="287" t="s">
        <v>1038</v>
      </c>
      <c r="C372" s="287" t="s">
        <v>42</v>
      </c>
      <c r="D372" s="287" t="s">
        <v>518</v>
      </c>
      <c r="E372" s="287" t="b">
        <v>1</v>
      </c>
      <c r="F372" s="287" t="b">
        <v>1</v>
      </c>
      <c r="G372" s="287" t="s">
        <v>250</v>
      </c>
      <c r="H372" s="40"/>
      <c r="I372" s="40"/>
      <c r="J372" s="40"/>
      <c r="K372" s="286"/>
      <c r="L372" s="286"/>
      <c r="M372" s="40"/>
      <c r="N372" s="40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287">
        <v>110934.0</v>
      </c>
      <c r="B373" s="287" t="s">
        <v>1039</v>
      </c>
      <c r="C373" s="287" t="s">
        <v>42</v>
      </c>
      <c r="D373" s="287" t="s">
        <v>518</v>
      </c>
      <c r="E373" s="287" t="b">
        <v>1</v>
      </c>
      <c r="F373" s="287" t="b">
        <v>1</v>
      </c>
      <c r="G373" s="287" t="s">
        <v>250</v>
      </c>
      <c r="H373" s="40"/>
      <c r="I373" s="40"/>
      <c r="J373" s="40"/>
      <c r="K373" s="286"/>
      <c r="L373" s="286"/>
      <c r="M373" s="40"/>
      <c r="N373" s="40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287">
        <v>15816.0</v>
      </c>
      <c r="B374" s="287" t="s">
        <v>1041</v>
      </c>
      <c r="C374" s="287" t="s">
        <v>42</v>
      </c>
      <c r="D374" s="287" t="s">
        <v>518</v>
      </c>
      <c r="E374" s="287" t="b">
        <v>1</v>
      </c>
      <c r="F374" s="287" t="b">
        <v>1</v>
      </c>
      <c r="G374" s="287" t="s">
        <v>250</v>
      </c>
      <c r="H374" s="40"/>
      <c r="I374" s="40"/>
      <c r="J374" s="40"/>
      <c r="K374" s="286"/>
      <c r="L374" s="286"/>
      <c r="M374" s="40"/>
      <c r="N374" s="40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287">
        <v>15893.0</v>
      </c>
      <c r="B375" s="287" t="s">
        <v>1042</v>
      </c>
      <c r="C375" s="287" t="s">
        <v>42</v>
      </c>
      <c r="D375" s="287" t="s">
        <v>518</v>
      </c>
      <c r="E375" s="287" t="b">
        <v>1</v>
      </c>
      <c r="F375" s="287" t="b">
        <v>1</v>
      </c>
      <c r="G375" s="287" t="s">
        <v>250</v>
      </c>
      <c r="H375" s="40"/>
      <c r="I375" s="40"/>
      <c r="J375" s="40"/>
      <c r="K375" s="286"/>
      <c r="L375" s="286"/>
      <c r="M375" s="40"/>
      <c r="N375" s="40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287">
        <v>102792.0</v>
      </c>
      <c r="B376" s="287" t="s">
        <v>1044</v>
      </c>
      <c r="C376" s="287" t="s">
        <v>1046</v>
      </c>
      <c r="D376" s="287" t="s">
        <v>518</v>
      </c>
      <c r="E376" s="287" t="b">
        <v>1</v>
      </c>
      <c r="F376" s="287" t="b">
        <v>1</v>
      </c>
      <c r="G376" s="287" t="s">
        <v>250</v>
      </c>
      <c r="H376" s="40"/>
      <c r="I376" s="40"/>
      <c r="J376" s="40"/>
      <c r="K376" s="286"/>
      <c r="L376" s="286"/>
      <c r="M376" s="40"/>
      <c r="N376" s="40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287">
        <v>109647.0</v>
      </c>
      <c r="B377" s="287" t="s">
        <v>1047</v>
      </c>
      <c r="C377" s="287" t="s">
        <v>389</v>
      </c>
      <c r="D377" s="287" t="s">
        <v>518</v>
      </c>
      <c r="E377" s="287" t="b">
        <v>1</v>
      </c>
      <c r="F377" s="287" t="b">
        <v>1</v>
      </c>
      <c r="G377" s="287" t="s">
        <v>250</v>
      </c>
      <c r="H377" s="40"/>
      <c r="I377" s="40"/>
      <c r="J377" s="40"/>
      <c r="K377" s="286"/>
      <c r="L377" s="286"/>
      <c r="M377" s="40"/>
      <c r="N377" s="40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287">
        <v>15746.0</v>
      </c>
      <c r="B378" s="287" t="s">
        <v>2619</v>
      </c>
      <c r="C378" s="287" t="s">
        <v>42</v>
      </c>
      <c r="D378" s="287" t="s">
        <v>518</v>
      </c>
      <c r="E378" s="287" t="b">
        <v>1</v>
      </c>
      <c r="F378" s="287" t="b">
        <v>1</v>
      </c>
      <c r="G378" s="287" t="s">
        <v>250</v>
      </c>
      <c r="H378" s="40"/>
      <c r="I378" s="40"/>
      <c r="J378" s="40"/>
      <c r="K378" s="286"/>
      <c r="L378" s="286"/>
      <c r="M378" s="40"/>
      <c r="N378" s="40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287">
        <v>101778.0</v>
      </c>
      <c r="B379" s="287" t="s">
        <v>1050</v>
      </c>
      <c r="C379" s="287" t="s">
        <v>42</v>
      </c>
      <c r="D379" s="287" t="s">
        <v>518</v>
      </c>
      <c r="E379" s="287" t="b">
        <v>1</v>
      </c>
      <c r="F379" s="287" t="b">
        <v>1</v>
      </c>
      <c r="G379" s="287" t="s">
        <v>250</v>
      </c>
      <c r="H379" s="40"/>
      <c r="I379" s="40"/>
      <c r="J379" s="40"/>
      <c r="K379" s="286"/>
      <c r="L379" s="286"/>
      <c r="M379" s="40"/>
      <c r="N379" s="40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287">
        <v>141699.0</v>
      </c>
      <c r="B380" s="287" t="s">
        <v>2620</v>
      </c>
      <c r="C380" s="287" t="s">
        <v>42</v>
      </c>
      <c r="D380" s="287" t="s">
        <v>518</v>
      </c>
      <c r="E380" s="287" t="b">
        <v>1</v>
      </c>
      <c r="F380" s="287" t="b">
        <v>1</v>
      </c>
      <c r="G380" s="287" t="s">
        <v>250</v>
      </c>
      <c r="H380" s="40"/>
      <c r="I380" s="40"/>
      <c r="J380" s="40"/>
      <c r="K380" s="286"/>
      <c r="L380" s="286"/>
      <c r="M380" s="40"/>
      <c r="N380" s="40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287">
        <v>15896.0</v>
      </c>
      <c r="B381" s="287" t="s">
        <v>1052</v>
      </c>
      <c r="C381" s="287" t="s">
        <v>42</v>
      </c>
      <c r="D381" s="287" t="s">
        <v>518</v>
      </c>
      <c r="E381" s="287" t="b">
        <v>1</v>
      </c>
      <c r="F381" s="287" t="b">
        <v>1</v>
      </c>
      <c r="G381" s="287" t="s">
        <v>250</v>
      </c>
      <c r="H381" s="40"/>
      <c r="I381" s="40"/>
      <c r="J381" s="40"/>
      <c r="K381" s="286"/>
      <c r="L381" s="286"/>
      <c r="M381" s="40"/>
      <c r="N381" s="40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287">
        <v>145206.0</v>
      </c>
      <c r="B382" s="287" t="s">
        <v>1053</v>
      </c>
      <c r="C382" s="287" t="s">
        <v>42</v>
      </c>
      <c r="D382" s="287" t="s">
        <v>518</v>
      </c>
      <c r="E382" s="287" t="b">
        <v>1</v>
      </c>
      <c r="F382" s="287" t="b">
        <v>1</v>
      </c>
      <c r="G382" s="287" t="s">
        <v>250</v>
      </c>
      <c r="H382" s="40"/>
      <c r="I382" s="40"/>
      <c r="J382" s="40"/>
      <c r="K382" s="286"/>
      <c r="L382" s="286"/>
      <c r="M382" s="40"/>
      <c r="N382" s="40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287">
        <v>15819.0</v>
      </c>
      <c r="B383" s="287" t="s">
        <v>1054</v>
      </c>
      <c r="C383" s="287" t="s">
        <v>42</v>
      </c>
      <c r="D383" s="287" t="s">
        <v>518</v>
      </c>
      <c r="E383" s="287" t="b">
        <v>1</v>
      </c>
      <c r="F383" s="287" t="b">
        <v>1</v>
      </c>
      <c r="G383" s="287" t="s">
        <v>250</v>
      </c>
      <c r="H383" s="40"/>
      <c r="I383" s="40"/>
      <c r="J383" s="40"/>
      <c r="K383" s="286"/>
      <c r="L383" s="286"/>
      <c r="M383" s="40"/>
      <c r="N383" s="40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287">
        <v>16422.0</v>
      </c>
      <c r="B384" s="287" t="s">
        <v>1055</v>
      </c>
      <c r="C384" s="287" t="s">
        <v>42</v>
      </c>
      <c r="D384" s="287" t="s">
        <v>369</v>
      </c>
      <c r="E384" s="287" t="b">
        <v>1</v>
      </c>
      <c r="F384" s="287" t="b">
        <v>1</v>
      </c>
      <c r="G384" s="287" t="s">
        <v>250</v>
      </c>
      <c r="H384" s="40"/>
      <c r="I384" s="40"/>
      <c r="J384" s="40"/>
      <c r="K384" s="286"/>
      <c r="L384" s="286"/>
      <c r="M384" s="40"/>
      <c r="N384" s="40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287">
        <v>15894.0</v>
      </c>
      <c r="B385" s="287" t="s">
        <v>1057</v>
      </c>
      <c r="C385" s="287" t="s">
        <v>42</v>
      </c>
      <c r="D385" s="287" t="s">
        <v>518</v>
      </c>
      <c r="E385" s="287" t="b">
        <v>1</v>
      </c>
      <c r="F385" s="287" t="b">
        <v>1</v>
      </c>
      <c r="G385" s="287" t="s">
        <v>250</v>
      </c>
      <c r="H385" s="40"/>
      <c r="I385" s="40"/>
      <c r="J385" s="40"/>
      <c r="K385" s="286"/>
      <c r="L385" s="286"/>
      <c r="M385" s="40"/>
      <c r="N385" s="40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287">
        <v>109646.0</v>
      </c>
      <c r="B386" s="287" t="s">
        <v>2621</v>
      </c>
      <c r="C386" s="287" t="s">
        <v>389</v>
      </c>
      <c r="D386" s="287" t="s">
        <v>518</v>
      </c>
      <c r="E386" s="287" t="b">
        <v>1</v>
      </c>
      <c r="F386" s="287" t="b">
        <v>1</v>
      </c>
      <c r="G386" s="287" t="s">
        <v>250</v>
      </c>
      <c r="H386" s="40"/>
      <c r="I386" s="40"/>
      <c r="J386" s="40"/>
      <c r="K386" s="286"/>
      <c r="L386" s="286"/>
      <c r="M386" s="40"/>
      <c r="N386" s="40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287">
        <v>15897.0</v>
      </c>
      <c r="B387" s="287" t="s">
        <v>1060</v>
      </c>
      <c r="C387" s="287" t="s">
        <v>42</v>
      </c>
      <c r="D387" s="287" t="s">
        <v>518</v>
      </c>
      <c r="E387" s="287" t="b">
        <v>1</v>
      </c>
      <c r="F387" s="287" t="b">
        <v>1</v>
      </c>
      <c r="G387" s="287" t="s">
        <v>250</v>
      </c>
      <c r="H387" s="40"/>
      <c r="I387" s="40"/>
      <c r="J387" s="40"/>
      <c r="K387" s="286"/>
      <c r="L387" s="286"/>
      <c r="M387" s="40"/>
      <c r="N387" s="40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287">
        <v>11260.0</v>
      </c>
      <c r="B388" s="287" t="s">
        <v>1062</v>
      </c>
      <c r="C388" s="287" t="s">
        <v>42</v>
      </c>
      <c r="D388" s="287" t="s">
        <v>518</v>
      </c>
      <c r="E388" s="287" t="b">
        <v>1</v>
      </c>
      <c r="F388" s="287" t="b">
        <v>1</v>
      </c>
      <c r="G388" s="287" t="s">
        <v>250</v>
      </c>
      <c r="H388" s="40"/>
      <c r="I388" s="40"/>
      <c r="J388" s="40"/>
      <c r="K388" s="286"/>
      <c r="L388" s="286"/>
      <c r="M388" s="40"/>
      <c r="N388" s="40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287">
        <v>15818.0</v>
      </c>
      <c r="B389" s="287" t="s">
        <v>2622</v>
      </c>
      <c r="C389" s="287" t="s">
        <v>42</v>
      </c>
      <c r="D389" s="287" t="s">
        <v>518</v>
      </c>
      <c r="E389" s="287" t="b">
        <v>1</v>
      </c>
      <c r="F389" s="287" t="b">
        <v>1</v>
      </c>
      <c r="G389" s="287" t="s">
        <v>250</v>
      </c>
      <c r="H389" s="40"/>
      <c r="I389" s="40"/>
      <c r="J389" s="40"/>
      <c r="K389" s="286"/>
      <c r="L389" s="286"/>
      <c r="M389" s="40"/>
      <c r="N389" s="40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287">
        <v>15892.0</v>
      </c>
      <c r="B390" s="287" t="s">
        <v>2623</v>
      </c>
      <c r="C390" s="287" t="s">
        <v>42</v>
      </c>
      <c r="D390" s="287" t="s">
        <v>518</v>
      </c>
      <c r="E390" s="287" t="b">
        <v>1</v>
      </c>
      <c r="F390" s="287" t="b">
        <v>1</v>
      </c>
      <c r="G390" s="287" t="s">
        <v>250</v>
      </c>
      <c r="H390" s="40"/>
      <c r="I390" s="40"/>
      <c r="J390" s="40"/>
      <c r="K390" s="286"/>
      <c r="L390" s="286"/>
      <c r="M390" s="40"/>
      <c r="N390" s="40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287">
        <v>15802.0</v>
      </c>
      <c r="B391" s="287" t="s">
        <v>1067</v>
      </c>
      <c r="C391" s="287" t="s">
        <v>42</v>
      </c>
      <c r="D391" s="287" t="s">
        <v>518</v>
      </c>
      <c r="E391" s="287" t="b">
        <v>1</v>
      </c>
      <c r="F391" s="287" t="b">
        <v>1</v>
      </c>
      <c r="G391" s="287" t="s">
        <v>250</v>
      </c>
      <c r="H391" s="40"/>
      <c r="I391" s="40"/>
      <c r="J391" s="40"/>
      <c r="K391" s="286"/>
      <c r="L391" s="286"/>
      <c r="M391" s="40"/>
      <c r="N391" s="40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287">
        <v>111665.0</v>
      </c>
      <c r="B392" s="287" t="s">
        <v>1069</v>
      </c>
      <c r="C392" s="287" t="s">
        <v>42</v>
      </c>
      <c r="D392" s="287" t="s">
        <v>518</v>
      </c>
      <c r="E392" s="287" t="b">
        <v>1</v>
      </c>
      <c r="F392" s="287" t="b">
        <v>1</v>
      </c>
      <c r="G392" s="287" t="s">
        <v>250</v>
      </c>
      <c r="H392" s="40"/>
      <c r="I392" s="40"/>
      <c r="J392" s="40"/>
      <c r="K392" s="286"/>
      <c r="L392" s="286"/>
      <c r="M392" s="40"/>
      <c r="N392" s="40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287">
        <v>51160.0</v>
      </c>
      <c r="B393" s="287" t="s">
        <v>1072</v>
      </c>
      <c r="C393" s="287" t="s">
        <v>946</v>
      </c>
      <c r="D393" s="287" t="s">
        <v>518</v>
      </c>
      <c r="E393" s="287" t="b">
        <v>1</v>
      </c>
      <c r="F393" s="287" t="b">
        <v>1</v>
      </c>
      <c r="G393" s="287" t="s">
        <v>1074</v>
      </c>
      <c r="H393" s="40"/>
      <c r="I393" s="40"/>
      <c r="J393" s="40"/>
      <c r="K393" s="286"/>
      <c r="L393" s="286"/>
      <c r="M393" s="40"/>
      <c r="N393" s="40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287">
        <v>15662.0</v>
      </c>
      <c r="B394" s="287" t="s">
        <v>1075</v>
      </c>
      <c r="C394" s="287" t="s">
        <v>547</v>
      </c>
      <c r="D394" s="287" t="s">
        <v>518</v>
      </c>
      <c r="E394" s="287" t="b">
        <v>1</v>
      </c>
      <c r="F394" s="287" t="b">
        <v>1</v>
      </c>
      <c r="G394" s="287" t="s">
        <v>250</v>
      </c>
      <c r="H394" s="40"/>
      <c r="I394" s="40"/>
      <c r="J394" s="40"/>
      <c r="K394" s="286"/>
      <c r="L394" s="286"/>
      <c r="M394" s="40"/>
      <c r="N394" s="40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287">
        <v>111670.0</v>
      </c>
      <c r="B395" s="287" t="s">
        <v>1077</v>
      </c>
      <c r="C395" s="287" t="s">
        <v>42</v>
      </c>
      <c r="D395" s="287" t="s">
        <v>518</v>
      </c>
      <c r="E395" s="287" t="b">
        <v>1</v>
      </c>
      <c r="F395" s="287" t="b">
        <v>1</v>
      </c>
      <c r="G395" s="287" t="s">
        <v>250</v>
      </c>
      <c r="H395" s="40"/>
      <c r="I395" s="40"/>
      <c r="J395" s="40"/>
      <c r="K395" s="286"/>
      <c r="L395" s="286"/>
      <c r="M395" s="40"/>
      <c r="N395" s="40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287">
        <v>111659.0</v>
      </c>
      <c r="B396" s="287" t="s">
        <v>1078</v>
      </c>
      <c r="C396" s="287" t="s">
        <v>42</v>
      </c>
      <c r="D396" s="287" t="s">
        <v>518</v>
      </c>
      <c r="E396" s="287" t="b">
        <v>1</v>
      </c>
      <c r="F396" s="287" t="b">
        <v>1</v>
      </c>
      <c r="G396" s="287" t="s">
        <v>250</v>
      </c>
      <c r="H396" s="40"/>
      <c r="I396" s="40"/>
      <c r="J396" s="40"/>
      <c r="K396" s="286"/>
      <c r="L396" s="286"/>
      <c r="M396" s="40"/>
      <c r="N396" s="40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287">
        <v>111661.0</v>
      </c>
      <c r="B397" s="287" t="s">
        <v>1081</v>
      </c>
      <c r="C397" s="287" t="s">
        <v>42</v>
      </c>
      <c r="D397" s="287" t="s">
        <v>518</v>
      </c>
      <c r="E397" s="287" t="b">
        <v>1</v>
      </c>
      <c r="F397" s="287" t="b">
        <v>1</v>
      </c>
      <c r="G397" s="287" t="s">
        <v>250</v>
      </c>
      <c r="H397" s="40"/>
      <c r="I397" s="40"/>
      <c r="J397" s="40"/>
      <c r="K397" s="286"/>
      <c r="L397" s="286"/>
      <c r="M397" s="40"/>
      <c r="N397" s="40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287">
        <v>111660.0</v>
      </c>
      <c r="B398" s="287" t="s">
        <v>1082</v>
      </c>
      <c r="C398" s="287" t="s">
        <v>42</v>
      </c>
      <c r="D398" s="287" t="s">
        <v>518</v>
      </c>
      <c r="E398" s="287" t="b">
        <v>1</v>
      </c>
      <c r="F398" s="287" t="b">
        <v>1</v>
      </c>
      <c r="G398" s="287" t="s">
        <v>250</v>
      </c>
      <c r="H398" s="40"/>
      <c r="I398" s="40"/>
      <c r="J398" s="40"/>
      <c r="K398" s="286"/>
      <c r="L398" s="286"/>
      <c r="M398" s="40"/>
      <c r="N398" s="40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287">
        <v>111663.0</v>
      </c>
      <c r="B399" s="287" t="s">
        <v>1083</v>
      </c>
      <c r="C399" s="287" t="s">
        <v>42</v>
      </c>
      <c r="D399" s="287" t="s">
        <v>518</v>
      </c>
      <c r="E399" s="287" t="b">
        <v>1</v>
      </c>
      <c r="F399" s="287" t="b">
        <v>1</v>
      </c>
      <c r="G399" s="287" t="s">
        <v>250</v>
      </c>
      <c r="H399" s="40"/>
      <c r="I399" s="40"/>
      <c r="J399" s="40"/>
      <c r="K399" s="286"/>
      <c r="L399" s="286"/>
      <c r="M399" s="40"/>
      <c r="N399" s="40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287">
        <v>111664.0</v>
      </c>
      <c r="B400" s="287" t="s">
        <v>1084</v>
      </c>
      <c r="C400" s="287" t="s">
        <v>42</v>
      </c>
      <c r="D400" s="287" t="s">
        <v>518</v>
      </c>
      <c r="E400" s="287" t="b">
        <v>1</v>
      </c>
      <c r="F400" s="287" t="b">
        <v>1</v>
      </c>
      <c r="G400" s="287" t="s">
        <v>250</v>
      </c>
      <c r="H400" s="40"/>
      <c r="I400" s="40"/>
      <c r="J400" s="40"/>
      <c r="K400" s="286"/>
      <c r="L400" s="286"/>
      <c r="M400" s="40"/>
      <c r="N400" s="40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287">
        <v>111668.0</v>
      </c>
      <c r="B401" s="287" t="s">
        <v>1085</v>
      </c>
      <c r="C401" s="287" t="s">
        <v>42</v>
      </c>
      <c r="D401" s="287" t="s">
        <v>518</v>
      </c>
      <c r="E401" s="287" t="b">
        <v>1</v>
      </c>
      <c r="F401" s="287" t="b">
        <v>1</v>
      </c>
      <c r="G401" s="287" t="s">
        <v>250</v>
      </c>
      <c r="H401" s="40"/>
      <c r="I401" s="40"/>
      <c r="J401" s="40"/>
      <c r="K401" s="286"/>
      <c r="L401" s="286"/>
      <c r="M401" s="40"/>
      <c r="N401" s="40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287">
        <v>111662.0</v>
      </c>
      <c r="B402" s="287" t="s">
        <v>1086</v>
      </c>
      <c r="C402" s="287" t="s">
        <v>42</v>
      </c>
      <c r="D402" s="287" t="s">
        <v>518</v>
      </c>
      <c r="E402" s="287" t="b">
        <v>1</v>
      </c>
      <c r="F402" s="287" t="b">
        <v>1</v>
      </c>
      <c r="G402" s="287" t="s">
        <v>250</v>
      </c>
      <c r="H402" s="40"/>
      <c r="I402" s="40"/>
      <c r="J402" s="40"/>
      <c r="K402" s="286"/>
      <c r="L402" s="286"/>
      <c r="M402" s="40"/>
      <c r="N402" s="40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287">
        <v>15716.0</v>
      </c>
      <c r="B403" s="287" t="s">
        <v>1087</v>
      </c>
      <c r="C403" s="287" t="s">
        <v>64</v>
      </c>
      <c r="D403" s="287" t="s">
        <v>518</v>
      </c>
      <c r="E403" s="287" t="b">
        <v>1</v>
      </c>
      <c r="F403" s="287" t="b">
        <v>1</v>
      </c>
      <c r="G403" s="287" t="s">
        <v>250</v>
      </c>
      <c r="H403" s="40"/>
      <c r="I403" s="40"/>
      <c r="J403" s="40"/>
      <c r="K403" s="286"/>
      <c r="L403" s="286"/>
      <c r="M403" s="40"/>
      <c r="N403" s="40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287">
        <v>109714.0</v>
      </c>
      <c r="B404" s="287" t="s">
        <v>1089</v>
      </c>
      <c r="C404" s="287" t="s">
        <v>1091</v>
      </c>
      <c r="D404" s="287" t="s">
        <v>518</v>
      </c>
      <c r="E404" s="287" t="b">
        <v>1</v>
      </c>
      <c r="F404" s="287" t="b">
        <v>1</v>
      </c>
      <c r="G404" s="287" t="s">
        <v>250</v>
      </c>
      <c r="H404" s="40"/>
      <c r="I404" s="40"/>
      <c r="J404" s="40"/>
      <c r="K404" s="286"/>
      <c r="L404" s="286"/>
      <c r="M404" s="40"/>
      <c r="N404" s="40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287">
        <v>15670.0</v>
      </c>
      <c r="B405" s="287" t="s">
        <v>1092</v>
      </c>
      <c r="C405" s="287" t="s">
        <v>547</v>
      </c>
      <c r="D405" s="287" t="s">
        <v>518</v>
      </c>
      <c r="E405" s="287" t="b">
        <v>1</v>
      </c>
      <c r="F405" s="287" t="b">
        <v>1</v>
      </c>
      <c r="G405" s="287" t="s">
        <v>250</v>
      </c>
      <c r="H405" s="40"/>
      <c r="I405" s="40"/>
      <c r="J405" s="40"/>
      <c r="K405" s="286"/>
      <c r="L405" s="286"/>
      <c r="M405" s="40"/>
      <c r="N405" s="40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287">
        <v>15671.0</v>
      </c>
      <c r="B406" s="287" t="s">
        <v>1094</v>
      </c>
      <c r="C406" s="287" t="s">
        <v>1101</v>
      </c>
      <c r="D406" s="287" t="s">
        <v>518</v>
      </c>
      <c r="E406" s="287" t="b">
        <v>1</v>
      </c>
      <c r="F406" s="287" t="b">
        <v>1</v>
      </c>
      <c r="G406" s="287" t="s">
        <v>1096</v>
      </c>
      <c r="H406" s="40"/>
      <c r="I406" s="40"/>
      <c r="J406" s="40"/>
      <c r="K406" s="286"/>
      <c r="L406" s="286"/>
      <c r="M406" s="40"/>
      <c r="N406" s="40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287">
        <v>112860.0</v>
      </c>
      <c r="B407" s="287" t="s">
        <v>1097</v>
      </c>
      <c r="C407" s="287" t="s">
        <v>1098</v>
      </c>
      <c r="D407" s="287" t="s">
        <v>518</v>
      </c>
      <c r="E407" s="287" t="b">
        <v>1</v>
      </c>
      <c r="F407" s="287" t="b">
        <v>1</v>
      </c>
      <c r="G407" s="287" t="s">
        <v>250</v>
      </c>
      <c r="H407" s="40"/>
      <c r="I407" s="40"/>
      <c r="J407" s="40"/>
      <c r="K407" s="286"/>
      <c r="L407" s="286"/>
      <c r="M407" s="40"/>
      <c r="N407" s="40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287">
        <v>112861.0</v>
      </c>
      <c r="B408" s="287" t="s">
        <v>1099</v>
      </c>
      <c r="C408" s="287" t="s">
        <v>1098</v>
      </c>
      <c r="D408" s="287" t="s">
        <v>518</v>
      </c>
      <c r="E408" s="287" t="b">
        <v>1</v>
      </c>
      <c r="F408" s="287" t="b">
        <v>1</v>
      </c>
      <c r="G408" s="287" t="s">
        <v>250</v>
      </c>
      <c r="H408" s="40"/>
      <c r="I408" s="40"/>
      <c r="J408" s="40"/>
      <c r="K408" s="286"/>
      <c r="L408" s="286"/>
      <c r="M408" s="40"/>
      <c r="N408" s="40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287">
        <v>15672.0</v>
      </c>
      <c r="B409" s="287" t="s">
        <v>1100</v>
      </c>
      <c r="C409" s="287" t="s">
        <v>1101</v>
      </c>
      <c r="D409" s="287" t="s">
        <v>518</v>
      </c>
      <c r="E409" s="287" t="b">
        <v>1</v>
      </c>
      <c r="F409" s="287" t="b">
        <v>1</v>
      </c>
      <c r="G409" s="287" t="s">
        <v>250</v>
      </c>
      <c r="H409" s="40"/>
      <c r="I409" s="40"/>
      <c r="J409" s="40"/>
      <c r="K409" s="286"/>
      <c r="L409" s="286"/>
      <c r="M409" s="40"/>
      <c r="N409" s="40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287">
        <v>111810.0</v>
      </c>
      <c r="B410" s="287" t="s">
        <v>1102</v>
      </c>
      <c r="C410" s="287" t="s">
        <v>1103</v>
      </c>
      <c r="D410" s="287" t="s">
        <v>518</v>
      </c>
      <c r="E410" s="287" t="b">
        <v>1</v>
      </c>
      <c r="F410" s="287" t="b">
        <v>1</v>
      </c>
      <c r="G410" s="287" t="s">
        <v>250</v>
      </c>
      <c r="H410" s="40"/>
      <c r="I410" s="40"/>
      <c r="J410" s="40"/>
      <c r="K410" s="286"/>
      <c r="L410" s="286"/>
      <c r="M410" s="40"/>
      <c r="N410" s="40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287">
        <v>15673.0</v>
      </c>
      <c r="B411" s="287" t="s">
        <v>1104</v>
      </c>
      <c r="C411" s="287" t="s">
        <v>1101</v>
      </c>
      <c r="D411" s="287" t="s">
        <v>518</v>
      </c>
      <c r="E411" s="287" t="b">
        <v>1</v>
      </c>
      <c r="F411" s="287" t="b">
        <v>1</v>
      </c>
      <c r="G411" s="287" t="s">
        <v>250</v>
      </c>
      <c r="H411" s="40"/>
      <c r="I411" s="40"/>
      <c r="J411" s="40"/>
      <c r="K411" s="286"/>
      <c r="L411" s="286"/>
      <c r="M411" s="40"/>
      <c r="N411" s="40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287">
        <v>111875.0</v>
      </c>
      <c r="B412" s="287" t="s">
        <v>1105</v>
      </c>
      <c r="C412" s="287" t="s">
        <v>1107</v>
      </c>
      <c r="D412" s="287" t="s">
        <v>518</v>
      </c>
      <c r="E412" s="287" t="b">
        <v>1</v>
      </c>
      <c r="F412" s="287" t="b">
        <v>1</v>
      </c>
      <c r="G412" s="287" t="s">
        <v>250</v>
      </c>
      <c r="H412" s="40"/>
      <c r="I412" s="40"/>
      <c r="J412" s="40"/>
      <c r="K412" s="286"/>
      <c r="L412" s="286"/>
      <c r="M412" s="40"/>
      <c r="N412" s="40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287">
        <v>111994.0</v>
      </c>
      <c r="B413" s="287" t="s">
        <v>1108</v>
      </c>
      <c r="C413" s="287" t="s">
        <v>42</v>
      </c>
      <c r="D413" s="287" t="s">
        <v>518</v>
      </c>
      <c r="E413" s="287" t="b">
        <v>1</v>
      </c>
      <c r="F413" s="287" t="b">
        <v>1</v>
      </c>
      <c r="G413" s="287" t="s">
        <v>250</v>
      </c>
      <c r="H413" s="40"/>
      <c r="I413" s="40"/>
      <c r="J413" s="40"/>
      <c r="K413" s="286"/>
      <c r="L413" s="286"/>
      <c r="M413" s="40"/>
      <c r="N413" s="40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287">
        <v>51211.0</v>
      </c>
      <c r="B414" s="287" t="s">
        <v>1109</v>
      </c>
      <c r="C414" s="287" t="s">
        <v>1110</v>
      </c>
      <c r="D414" s="287" t="s">
        <v>518</v>
      </c>
      <c r="E414" s="287" t="b">
        <v>1</v>
      </c>
      <c r="F414" s="287" t="b">
        <v>1</v>
      </c>
      <c r="G414" s="287" t="s">
        <v>250</v>
      </c>
      <c r="H414" s="40"/>
      <c r="I414" s="40"/>
      <c r="J414" s="40"/>
      <c r="K414" s="286"/>
      <c r="L414" s="286"/>
      <c r="M414" s="40"/>
      <c r="N414" s="40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287">
        <v>112618.0</v>
      </c>
      <c r="B415" s="287" t="s">
        <v>1114</v>
      </c>
      <c r="C415" s="287" t="s">
        <v>2624</v>
      </c>
      <c r="D415" s="287" t="s">
        <v>518</v>
      </c>
      <c r="E415" s="287" t="b">
        <v>1</v>
      </c>
      <c r="F415" s="287" t="b">
        <v>1</v>
      </c>
      <c r="G415" s="287" t="s">
        <v>250</v>
      </c>
      <c r="H415" s="40"/>
      <c r="I415" s="40"/>
      <c r="J415" s="40"/>
      <c r="K415" s="286"/>
      <c r="L415" s="286"/>
      <c r="M415" s="40"/>
      <c r="N415" s="40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287">
        <v>111039.0</v>
      </c>
      <c r="B416" s="287" t="s">
        <v>1117</v>
      </c>
      <c r="C416" s="287" t="s">
        <v>972</v>
      </c>
      <c r="D416" s="287" t="s">
        <v>518</v>
      </c>
      <c r="E416" s="287" t="b">
        <v>1</v>
      </c>
      <c r="F416" s="287" t="b">
        <v>1</v>
      </c>
      <c r="G416" s="287" t="s">
        <v>250</v>
      </c>
      <c r="H416" s="40"/>
      <c r="I416" s="40"/>
      <c r="J416" s="40"/>
      <c r="K416" s="286"/>
      <c r="L416" s="286"/>
      <c r="M416" s="40"/>
      <c r="N416" s="40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287">
        <v>15740.0</v>
      </c>
      <c r="B417" s="287" t="s">
        <v>1120</v>
      </c>
      <c r="C417" s="287" t="s">
        <v>42</v>
      </c>
      <c r="D417" s="287" t="s">
        <v>518</v>
      </c>
      <c r="E417" s="287" t="b">
        <v>1</v>
      </c>
      <c r="F417" s="287" t="b">
        <v>1</v>
      </c>
      <c r="G417" s="287" t="s">
        <v>250</v>
      </c>
      <c r="H417" s="40"/>
      <c r="I417" s="40"/>
      <c r="J417" s="40"/>
      <c r="K417" s="286"/>
      <c r="L417" s="286"/>
      <c r="M417" s="40"/>
      <c r="N417" s="40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287">
        <v>111803.0</v>
      </c>
      <c r="B418" s="287" t="s">
        <v>1122</v>
      </c>
      <c r="C418" s="287" t="s">
        <v>42</v>
      </c>
      <c r="D418" s="287" t="s">
        <v>518</v>
      </c>
      <c r="E418" s="287" t="b">
        <v>1</v>
      </c>
      <c r="F418" s="287" t="b">
        <v>1</v>
      </c>
      <c r="G418" s="287" t="s">
        <v>250</v>
      </c>
      <c r="H418" s="40"/>
      <c r="I418" s="40"/>
      <c r="J418" s="40"/>
      <c r="K418" s="286"/>
      <c r="L418" s="286"/>
      <c r="M418" s="40"/>
      <c r="N418" s="40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287">
        <v>51096.0</v>
      </c>
      <c r="B419" s="287" t="s">
        <v>1123</v>
      </c>
      <c r="C419" s="287" t="s">
        <v>42</v>
      </c>
      <c r="D419" s="287" t="s">
        <v>518</v>
      </c>
      <c r="E419" s="287" t="b">
        <v>1</v>
      </c>
      <c r="F419" s="287" t="b">
        <v>1</v>
      </c>
      <c r="G419" s="287" t="s">
        <v>250</v>
      </c>
      <c r="H419" s="40"/>
      <c r="I419" s="40"/>
      <c r="J419" s="40"/>
      <c r="K419" s="286"/>
      <c r="L419" s="286"/>
      <c r="M419" s="40"/>
      <c r="N419" s="40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287">
        <v>106916.0</v>
      </c>
      <c r="B420" s="287" t="s">
        <v>1124</v>
      </c>
      <c r="C420" s="287" t="s">
        <v>1125</v>
      </c>
      <c r="D420" s="287" t="s">
        <v>518</v>
      </c>
      <c r="E420" s="287" t="b">
        <v>1</v>
      </c>
      <c r="F420" s="287" t="b">
        <v>1</v>
      </c>
      <c r="G420" s="287" t="s">
        <v>250</v>
      </c>
      <c r="H420" s="40"/>
      <c r="I420" s="40"/>
      <c r="J420" s="40"/>
      <c r="K420" s="286"/>
      <c r="L420" s="286"/>
      <c r="M420" s="40"/>
      <c r="N420" s="40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287">
        <v>111649.0</v>
      </c>
      <c r="B421" s="287" t="s">
        <v>1126</v>
      </c>
      <c r="C421" s="287" t="s">
        <v>42</v>
      </c>
      <c r="D421" s="287" t="s">
        <v>518</v>
      </c>
      <c r="E421" s="287" t="b">
        <v>1</v>
      </c>
      <c r="F421" s="287" t="b">
        <v>1</v>
      </c>
      <c r="G421" s="287" t="s">
        <v>250</v>
      </c>
      <c r="H421" s="40"/>
      <c r="I421" s="40"/>
      <c r="J421" s="40"/>
      <c r="K421" s="286"/>
      <c r="L421" s="286"/>
      <c r="M421" s="40"/>
      <c r="N421" s="40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287">
        <v>111651.0</v>
      </c>
      <c r="B422" s="287" t="s">
        <v>1128</v>
      </c>
      <c r="C422" s="287" t="s">
        <v>42</v>
      </c>
      <c r="D422" s="287" t="s">
        <v>518</v>
      </c>
      <c r="E422" s="287" t="b">
        <v>1</v>
      </c>
      <c r="F422" s="287" t="b">
        <v>1</v>
      </c>
      <c r="G422" s="287" t="s">
        <v>250</v>
      </c>
      <c r="H422" s="40"/>
      <c r="I422" s="40"/>
      <c r="J422" s="40"/>
      <c r="K422" s="286"/>
      <c r="L422" s="286"/>
      <c r="M422" s="40"/>
      <c r="N422" s="40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287">
        <v>111650.0</v>
      </c>
      <c r="B423" s="287" t="s">
        <v>1129</v>
      </c>
      <c r="C423" s="287" t="s">
        <v>42</v>
      </c>
      <c r="D423" s="287" t="s">
        <v>518</v>
      </c>
      <c r="E423" s="287" t="b">
        <v>1</v>
      </c>
      <c r="F423" s="287" t="b">
        <v>1</v>
      </c>
      <c r="G423" s="287" t="s">
        <v>250</v>
      </c>
      <c r="H423" s="40"/>
      <c r="I423" s="40"/>
      <c r="J423" s="40"/>
      <c r="K423" s="286"/>
      <c r="L423" s="286"/>
      <c r="M423" s="40"/>
      <c r="N423" s="40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287">
        <v>111655.0</v>
      </c>
      <c r="B424" s="287" t="s">
        <v>1131</v>
      </c>
      <c r="C424" s="287" t="s">
        <v>42</v>
      </c>
      <c r="D424" s="287" t="s">
        <v>518</v>
      </c>
      <c r="E424" s="287" t="b">
        <v>1</v>
      </c>
      <c r="F424" s="287" t="b">
        <v>1</v>
      </c>
      <c r="G424" s="287" t="s">
        <v>250</v>
      </c>
      <c r="H424" s="40"/>
      <c r="I424" s="40"/>
      <c r="J424" s="40"/>
      <c r="K424" s="286"/>
      <c r="L424" s="286"/>
      <c r="M424" s="40"/>
      <c r="N424" s="40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287">
        <v>111656.0</v>
      </c>
      <c r="B425" s="287" t="s">
        <v>1133</v>
      </c>
      <c r="C425" s="287" t="s">
        <v>42</v>
      </c>
      <c r="D425" s="287" t="s">
        <v>518</v>
      </c>
      <c r="E425" s="287" t="b">
        <v>1</v>
      </c>
      <c r="F425" s="287" t="b">
        <v>1</v>
      </c>
      <c r="G425" s="287" t="s">
        <v>250</v>
      </c>
      <c r="H425" s="40"/>
      <c r="I425" s="40"/>
      <c r="J425" s="40"/>
      <c r="K425" s="286"/>
      <c r="L425" s="286"/>
      <c r="M425" s="40"/>
      <c r="N425" s="40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287">
        <v>111653.0</v>
      </c>
      <c r="B426" s="287" t="s">
        <v>1135</v>
      </c>
      <c r="C426" s="287" t="s">
        <v>42</v>
      </c>
      <c r="D426" s="287" t="s">
        <v>518</v>
      </c>
      <c r="E426" s="287" t="b">
        <v>1</v>
      </c>
      <c r="F426" s="287" t="b">
        <v>1</v>
      </c>
      <c r="G426" s="287" t="s">
        <v>250</v>
      </c>
      <c r="H426" s="40"/>
      <c r="I426" s="40"/>
      <c r="J426" s="40"/>
      <c r="K426" s="286"/>
      <c r="L426" s="286"/>
      <c r="M426" s="40"/>
      <c r="N426" s="40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287">
        <v>111654.0</v>
      </c>
      <c r="B427" s="287" t="s">
        <v>1136</v>
      </c>
      <c r="C427" s="287" t="s">
        <v>42</v>
      </c>
      <c r="D427" s="287" t="s">
        <v>518</v>
      </c>
      <c r="E427" s="287" t="b">
        <v>1</v>
      </c>
      <c r="F427" s="287" t="b">
        <v>1</v>
      </c>
      <c r="G427" s="287" t="s">
        <v>250</v>
      </c>
      <c r="H427" s="40"/>
      <c r="I427" s="40"/>
      <c r="J427" s="40"/>
      <c r="K427" s="286"/>
      <c r="L427" s="286"/>
      <c r="M427" s="40"/>
      <c r="N427" s="40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287">
        <v>100411.0</v>
      </c>
      <c r="B428" s="287" t="s">
        <v>1138</v>
      </c>
      <c r="C428" s="287" t="s">
        <v>1021</v>
      </c>
      <c r="D428" s="287" t="s">
        <v>518</v>
      </c>
      <c r="E428" s="287" t="b">
        <v>1</v>
      </c>
      <c r="F428" s="287" t="b">
        <v>1</v>
      </c>
      <c r="G428" s="287" t="s">
        <v>1140</v>
      </c>
      <c r="H428" s="40"/>
      <c r="I428" s="40"/>
      <c r="J428" s="40"/>
      <c r="K428" s="286"/>
      <c r="L428" s="286"/>
      <c r="M428" s="40"/>
      <c r="N428" s="40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287">
        <v>108323.0</v>
      </c>
      <c r="B429" s="287" t="s">
        <v>1111</v>
      </c>
      <c r="C429" s="287" t="s">
        <v>389</v>
      </c>
      <c r="D429" s="287" t="s">
        <v>518</v>
      </c>
      <c r="E429" s="287" t="b">
        <v>1</v>
      </c>
      <c r="F429" s="287" t="b">
        <v>1</v>
      </c>
      <c r="G429" s="287" t="s">
        <v>250</v>
      </c>
      <c r="H429" s="40"/>
      <c r="I429" s="40"/>
      <c r="J429" s="40"/>
      <c r="K429" s="286"/>
      <c r="L429" s="286"/>
      <c r="M429" s="40"/>
      <c r="N429" s="40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287">
        <v>111846.0</v>
      </c>
      <c r="B430" s="287" t="s">
        <v>1141</v>
      </c>
      <c r="C430" s="287" t="s">
        <v>42</v>
      </c>
      <c r="D430" s="287" t="s">
        <v>1142</v>
      </c>
      <c r="E430" s="287" t="b">
        <v>1</v>
      </c>
      <c r="F430" s="287" t="b">
        <v>1</v>
      </c>
      <c r="G430" s="287" t="s">
        <v>250</v>
      </c>
      <c r="H430" s="40"/>
      <c r="I430" s="40"/>
      <c r="J430" s="40"/>
      <c r="K430" s="286"/>
      <c r="L430" s="286"/>
      <c r="M430" s="40"/>
      <c r="N430" s="40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287">
        <v>110933.0</v>
      </c>
      <c r="B431" s="287" t="s">
        <v>1144</v>
      </c>
      <c r="C431" s="287" t="s">
        <v>42</v>
      </c>
      <c r="D431" s="287" t="s">
        <v>518</v>
      </c>
      <c r="E431" s="287" t="b">
        <v>1</v>
      </c>
      <c r="F431" s="287" t="b">
        <v>1</v>
      </c>
      <c r="G431" s="287" t="s">
        <v>250</v>
      </c>
      <c r="H431" s="40"/>
      <c r="I431" s="40"/>
      <c r="J431" s="40"/>
      <c r="K431" s="286"/>
      <c r="L431" s="286"/>
      <c r="M431" s="40"/>
      <c r="N431" s="40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287">
        <v>111657.0</v>
      </c>
      <c r="B432" s="287" t="s">
        <v>1145</v>
      </c>
      <c r="C432" s="287" t="s">
        <v>42</v>
      </c>
      <c r="D432" s="287" t="s">
        <v>518</v>
      </c>
      <c r="E432" s="287" t="b">
        <v>1</v>
      </c>
      <c r="F432" s="287" t="b">
        <v>1</v>
      </c>
      <c r="G432" s="287" t="s">
        <v>250</v>
      </c>
      <c r="H432" s="40"/>
      <c r="I432" s="40"/>
      <c r="J432" s="40"/>
      <c r="K432" s="286"/>
      <c r="L432" s="286"/>
      <c r="M432" s="40"/>
      <c r="N432" s="40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287">
        <v>111017.0</v>
      </c>
      <c r="B433" s="287" t="s">
        <v>1146</v>
      </c>
      <c r="C433" s="287" t="s">
        <v>42</v>
      </c>
      <c r="D433" s="287" t="s">
        <v>518</v>
      </c>
      <c r="E433" s="287" t="b">
        <v>1</v>
      </c>
      <c r="F433" s="287" t="b">
        <v>1</v>
      </c>
      <c r="G433" s="287" t="s">
        <v>250</v>
      </c>
      <c r="H433" s="40"/>
      <c r="I433" s="40"/>
      <c r="J433" s="40"/>
      <c r="K433" s="286"/>
      <c r="L433" s="286"/>
      <c r="M433" s="40"/>
      <c r="N433" s="40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287">
        <v>20884.0</v>
      </c>
      <c r="B434" s="287" t="s">
        <v>1149</v>
      </c>
      <c r="C434" s="287" t="s">
        <v>42</v>
      </c>
      <c r="D434" s="287" t="s">
        <v>518</v>
      </c>
      <c r="E434" s="287" t="b">
        <v>1</v>
      </c>
      <c r="F434" s="287" t="b">
        <v>1</v>
      </c>
      <c r="G434" s="287" t="s">
        <v>250</v>
      </c>
      <c r="H434" s="40"/>
      <c r="I434" s="40"/>
      <c r="J434" s="40"/>
      <c r="K434" s="286"/>
      <c r="L434" s="286"/>
      <c r="M434" s="40"/>
      <c r="N434" s="40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287">
        <v>15863.0</v>
      </c>
      <c r="B435" s="287" t="s">
        <v>1151</v>
      </c>
      <c r="C435" s="287" t="s">
        <v>42</v>
      </c>
      <c r="D435" s="287" t="s">
        <v>518</v>
      </c>
      <c r="E435" s="287" t="b">
        <v>1</v>
      </c>
      <c r="F435" s="287" t="b">
        <v>1</v>
      </c>
      <c r="G435" s="287" t="s">
        <v>250</v>
      </c>
      <c r="H435" s="40"/>
      <c r="I435" s="40"/>
      <c r="J435" s="40"/>
      <c r="K435" s="286"/>
      <c r="L435" s="286"/>
      <c r="M435" s="40"/>
      <c r="N435" s="40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287">
        <v>112800.0</v>
      </c>
      <c r="B436" s="287" t="s">
        <v>1153</v>
      </c>
      <c r="C436" s="287" t="s">
        <v>289</v>
      </c>
      <c r="D436" s="287" t="s">
        <v>518</v>
      </c>
      <c r="E436" s="287" t="b">
        <v>1</v>
      </c>
      <c r="F436" s="287" t="b">
        <v>1</v>
      </c>
      <c r="G436" s="287" t="s">
        <v>250</v>
      </c>
      <c r="H436" s="40"/>
      <c r="I436" s="40"/>
      <c r="J436" s="40"/>
      <c r="K436" s="286"/>
      <c r="L436" s="286"/>
      <c r="M436" s="40"/>
      <c r="N436" s="40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288">
        <v>112798.0</v>
      </c>
      <c r="B437" s="288" t="s">
        <v>1156</v>
      </c>
      <c r="C437" s="288" t="s">
        <v>289</v>
      </c>
      <c r="D437" s="288" t="s">
        <v>518</v>
      </c>
      <c r="E437" s="287" t="b">
        <v>1</v>
      </c>
      <c r="F437" s="287" t="b">
        <v>1</v>
      </c>
      <c r="G437" s="287" t="s">
        <v>250</v>
      </c>
      <c r="H437" s="40"/>
      <c r="I437" s="40"/>
      <c r="J437" s="40"/>
      <c r="K437" s="286"/>
      <c r="L437" s="286"/>
      <c r="M437" s="40"/>
      <c r="N437" s="40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287">
        <v>112802.0</v>
      </c>
      <c r="B438" s="287" t="s">
        <v>1158</v>
      </c>
      <c r="C438" s="287" t="s">
        <v>289</v>
      </c>
      <c r="D438" s="287" t="s">
        <v>518</v>
      </c>
      <c r="E438" s="287" t="b">
        <v>1</v>
      </c>
      <c r="F438" s="287" t="b">
        <v>1</v>
      </c>
      <c r="G438" s="287" t="s">
        <v>250</v>
      </c>
      <c r="H438" s="40"/>
      <c r="I438" s="40"/>
      <c r="J438" s="40"/>
      <c r="K438" s="286"/>
      <c r="L438" s="286"/>
      <c r="M438" s="40"/>
      <c r="N438" s="40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287">
        <v>15700.0</v>
      </c>
      <c r="B439" s="287" t="s">
        <v>1160</v>
      </c>
      <c r="C439" s="287" t="s">
        <v>42</v>
      </c>
      <c r="D439" s="287" t="s">
        <v>369</v>
      </c>
      <c r="E439" s="287" t="b">
        <v>1</v>
      </c>
      <c r="F439" s="287" t="b">
        <v>1</v>
      </c>
      <c r="G439" s="287" t="s">
        <v>250</v>
      </c>
      <c r="H439" s="40"/>
      <c r="I439" s="40"/>
      <c r="J439" s="40"/>
      <c r="K439" s="286"/>
      <c r="L439" s="286"/>
      <c r="M439" s="40"/>
      <c r="N439" s="40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287">
        <v>109631.0</v>
      </c>
      <c r="B440" s="287" t="s">
        <v>1162</v>
      </c>
      <c r="C440" s="287" t="s">
        <v>389</v>
      </c>
      <c r="D440" s="287" t="s">
        <v>518</v>
      </c>
      <c r="E440" s="287" t="b">
        <v>1</v>
      </c>
      <c r="F440" s="287" t="b">
        <v>1</v>
      </c>
      <c r="G440" s="287" t="s">
        <v>250</v>
      </c>
      <c r="H440" s="40"/>
      <c r="I440" s="40"/>
      <c r="J440" s="40"/>
      <c r="K440" s="286"/>
      <c r="L440" s="286"/>
      <c r="M440" s="40"/>
      <c r="N440" s="40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287">
        <v>15701.0</v>
      </c>
      <c r="B441" s="287" t="s">
        <v>1164</v>
      </c>
      <c r="C441" s="287" t="s">
        <v>42</v>
      </c>
      <c r="D441" s="287" t="s">
        <v>518</v>
      </c>
      <c r="E441" s="287" t="b">
        <v>1</v>
      </c>
      <c r="F441" s="287" t="b">
        <v>1</v>
      </c>
      <c r="G441" s="287" t="s">
        <v>250</v>
      </c>
      <c r="H441" s="40"/>
      <c r="I441" s="40"/>
      <c r="J441" s="40"/>
      <c r="K441" s="286"/>
      <c r="L441" s="286"/>
      <c r="M441" s="40"/>
      <c r="N441" s="40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287">
        <v>15707.0</v>
      </c>
      <c r="B442" s="287" t="s">
        <v>1165</v>
      </c>
      <c r="C442" s="287" t="s">
        <v>42</v>
      </c>
      <c r="D442" s="287" t="s">
        <v>518</v>
      </c>
      <c r="E442" s="287" t="b">
        <v>1</v>
      </c>
      <c r="F442" s="287" t="b">
        <v>1</v>
      </c>
      <c r="G442" s="287" t="s">
        <v>250</v>
      </c>
      <c r="H442" s="40"/>
      <c r="I442" s="40"/>
      <c r="J442" s="40"/>
      <c r="K442" s="286"/>
      <c r="L442" s="286"/>
      <c r="M442" s="40"/>
      <c r="N442" s="40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287">
        <v>109630.0</v>
      </c>
      <c r="B443" s="287" t="s">
        <v>1167</v>
      </c>
      <c r="C443" s="287" t="s">
        <v>389</v>
      </c>
      <c r="D443" s="287" t="s">
        <v>518</v>
      </c>
      <c r="E443" s="287" t="b">
        <v>1</v>
      </c>
      <c r="F443" s="287" t="b">
        <v>1</v>
      </c>
      <c r="G443" s="287" t="s">
        <v>250</v>
      </c>
      <c r="H443" s="40"/>
      <c r="I443" s="40"/>
      <c r="J443" s="40"/>
      <c r="K443" s="286"/>
      <c r="L443" s="286"/>
      <c r="M443" s="40"/>
      <c r="N443" s="40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288">
        <v>15814.0</v>
      </c>
      <c r="B444" s="288" t="s">
        <v>1168</v>
      </c>
      <c r="C444" s="288" t="s">
        <v>42</v>
      </c>
      <c r="D444" s="288" t="s">
        <v>369</v>
      </c>
      <c r="E444" s="287" t="b">
        <v>1</v>
      </c>
      <c r="F444" s="287" t="b">
        <v>1</v>
      </c>
      <c r="G444" s="287" t="s">
        <v>250</v>
      </c>
      <c r="H444" s="40"/>
      <c r="I444" s="40"/>
      <c r="J444" s="40"/>
      <c r="K444" s="286"/>
      <c r="L444" s="286"/>
      <c r="M444" s="40"/>
      <c r="N444" s="40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287">
        <v>15703.0</v>
      </c>
      <c r="B445" s="287" t="s">
        <v>1169</v>
      </c>
      <c r="C445" s="287" t="s">
        <v>42</v>
      </c>
      <c r="D445" s="287" t="s">
        <v>518</v>
      </c>
      <c r="E445" s="287" t="b">
        <v>1</v>
      </c>
      <c r="F445" s="287" t="b">
        <v>1</v>
      </c>
      <c r="G445" s="287" t="s">
        <v>250</v>
      </c>
      <c r="H445" s="40"/>
      <c r="I445" s="40"/>
      <c r="J445" s="40"/>
      <c r="K445" s="286"/>
      <c r="L445" s="286"/>
      <c r="M445" s="40"/>
      <c r="N445" s="40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287">
        <v>143571.0</v>
      </c>
      <c r="B446" s="287" t="s">
        <v>1170</v>
      </c>
      <c r="C446" s="287" t="s">
        <v>42</v>
      </c>
      <c r="D446" s="287" t="s">
        <v>518</v>
      </c>
      <c r="E446" s="287" t="b">
        <v>1</v>
      </c>
      <c r="F446" s="287" t="b">
        <v>1</v>
      </c>
      <c r="G446" s="287" t="s">
        <v>250</v>
      </c>
      <c r="H446" s="40"/>
      <c r="I446" s="40"/>
      <c r="J446" s="40"/>
      <c r="K446" s="286"/>
      <c r="L446" s="286"/>
      <c r="M446" s="40"/>
      <c r="N446" s="40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287">
        <v>11949.0</v>
      </c>
      <c r="B447" s="287" t="s">
        <v>1172</v>
      </c>
      <c r="C447" s="287" t="s">
        <v>42</v>
      </c>
      <c r="D447" s="287" t="s">
        <v>369</v>
      </c>
      <c r="E447" s="287" t="b">
        <v>1</v>
      </c>
      <c r="F447" s="287" t="b">
        <v>1</v>
      </c>
      <c r="G447" s="287" t="s">
        <v>250</v>
      </c>
      <c r="H447" s="40"/>
      <c r="I447" s="40"/>
      <c r="J447" s="40"/>
      <c r="K447" s="286"/>
      <c r="L447" s="286"/>
      <c r="M447" s="40"/>
      <c r="N447" s="40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287">
        <v>40107.0</v>
      </c>
      <c r="B448" s="287" t="s">
        <v>1174</v>
      </c>
      <c r="C448" s="287" t="s">
        <v>42</v>
      </c>
      <c r="D448" s="287" t="s">
        <v>518</v>
      </c>
      <c r="E448" s="287" t="b">
        <v>1</v>
      </c>
      <c r="F448" s="287" t="b">
        <v>1</v>
      </c>
      <c r="G448" s="287" t="s">
        <v>250</v>
      </c>
      <c r="H448" s="40"/>
      <c r="I448" s="40"/>
      <c r="J448" s="40"/>
      <c r="K448" s="286"/>
      <c r="L448" s="286"/>
      <c r="M448" s="40"/>
      <c r="N448" s="40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287">
        <v>15805.0</v>
      </c>
      <c r="B449" s="287" t="s">
        <v>1175</v>
      </c>
      <c r="C449" s="287" t="s">
        <v>42</v>
      </c>
      <c r="D449" s="287" t="s">
        <v>369</v>
      </c>
      <c r="E449" s="287" t="b">
        <v>1</v>
      </c>
      <c r="F449" s="287" t="b">
        <v>1</v>
      </c>
      <c r="G449" s="287" t="s">
        <v>1177</v>
      </c>
      <c r="H449" s="40"/>
      <c r="I449" s="40"/>
      <c r="J449" s="40"/>
      <c r="K449" s="286"/>
      <c r="L449" s="286"/>
      <c r="M449" s="40"/>
      <c r="N449" s="40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287">
        <v>15804.0</v>
      </c>
      <c r="B450" s="287" t="s">
        <v>1178</v>
      </c>
      <c r="C450" s="287" t="s">
        <v>42</v>
      </c>
      <c r="D450" s="287" t="s">
        <v>369</v>
      </c>
      <c r="E450" s="287" t="b">
        <v>1</v>
      </c>
      <c r="F450" s="287" t="b">
        <v>1</v>
      </c>
      <c r="G450" s="287" t="s">
        <v>250</v>
      </c>
      <c r="H450" s="40"/>
      <c r="I450" s="40"/>
      <c r="J450" s="40"/>
      <c r="K450" s="286"/>
      <c r="L450" s="286"/>
      <c r="M450" s="40"/>
      <c r="N450" s="40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287">
        <v>102790.0</v>
      </c>
      <c r="B451" s="287" t="s">
        <v>1179</v>
      </c>
      <c r="C451" s="287" t="s">
        <v>42</v>
      </c>
      <c r="D451" s="287" t="s">
        <v>518</v>
      </c>
      <c r="E451" s="287" t="b">
        <v>1</v>
      </c>
      <c r="F451" s="287" t="b">
        <v>1</v>
      </c>
      <c r="G451" s="287" t="s">
        <v>250</v>
      </c>
      <c r="H451" s="40"/>
      <c r="I451" s="40"/>
      <c r="J451" s="40"/>
      <c r="K451" s="286"/>
      <c r="L451" s="286"/>
      <c r="M451" s="40"/>
      <c r="N451" s="40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287">
        <v>51438.0</v>
      </c>
      <c r="B452" s="287" t="s">
        <v>1182</v>
      </c>
      <c r="C452" s="287" t="s">
        <v>1183</v>
      </c>
      <c r="D452" s="287" t="s">
        <v>518</v>
      </c>
      <c r="E452" s="287" t="b">
        <v>1</v>
      </c>
      <c r="F452" s="287" t="b">
        <v>1</v>
      </c>
      <c r="G452" s="287" t="s">
        <v>250</v>
      </c>
      <c r="H452" s="40"/>
      <c r="I452" s="40"/>
      <c r="J452" s="40"/>
      <c r="K452" s="286"/>
      <c r="L452" s="286"/>
      <c r="M452" s="40"/>
      <c r="N452" s="40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287">
        <v>51163.0</v>
      </c>
      <c r="B453" s="287" t="s">
        <v>1184</v>
      </c>
      <c r="C453" s="287" t="s">
        <v>289</v>
      </c>
      <c r="D453" s="287" t="s">
        <v>518</v>
      </c>
      <c r="E453" s="287" t="b">
        <v>1</v>
      </c>
      <c r="F453" s="287" t="b">
        <v>1</v>
      </c>
      <c r="G453" s="287" t="s">
        <v>250</v>
      </c>
      <c r="H453" s="40"/>
      <c r="I453" s="40"/>
      <c r="J453" s="40"/>
      <c r="K453" s="286"/>
      <c r="L453" s="286"/>
      <c r="M453" s="40"/>
      <c r="N453" s="40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287">
        <v>51210.0</v>
      </c>
      <c r="B454" s="287" t="s">
        <v>1185</v>
      </c>
      <c r="C454" s="287" t="s">
        <v>42</v>
      </c>
      <c r="D454" s="287" t="s">
        <v>518</v>
      </c>
      <c r="E454" s="287" t="b">
        <v>1</v>
      </c>
      <c r="F454" s="287" t="b">
        <v>1</v>
      </c>
      <c r="G454" s="287" t="s">
        <v>1186</v>
      </c>
      <c r="H454" s="40"/>
      <c r="I454" s="40"/>
      <c r="J454" s="40"/>
      <c r="K454" s="286"/>
      <c r="L454" s="286"/>
      <c r="M454" s="40"/>
      <c r="N454" s="40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287">
        <v>112826.0</v>
      </c>
      <c r="B455" s="287" t="s">
        <v>1187</v>
      </c>
      <c r="C455" s="287" t="s">
        <v>1190</v>
      </c>
      <c r="D455" s="287" t="s">
        <v>518</v>
      </c>
      <c r="E455" s="287" t="b">
        <v>1</v>
      </c>
      <c r="F455" s="287" t="b">
        <v>1</v>
      </c>
      <c r="G455" s="287" t="s">
        <v>250</v>
      </c>
      <c r="H455" s="40"/>
      <c r="I455" s="40"/>
      <c r="J455" s="40"/>
      <c r="K455" s="286"/>
      <c r="L455" s="286"/>
      <c r="M455" s="40"/>
      <c r="N455" s="40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287">
        <v>101193.0</v>
      </c>
      <c r="B456" s="287" t="s">
        <v>1191</v>
      </c>
      <c r="C456" s="287" t="s">
        <v>389</v>
      </c>
      <c r="D456" s="287" t="s">
        <v>518</v>
      </c>
      <c r="E456" s="287" t="b">
        <v>1</v>
      </c>
      <c r="F456" s="287" t="b">
        <v>1</v>
      </c>
      <c r="G456" s="287" t="s">
        <v>250</v>
      </c>
      <c r="H456" s="40"/>
      <c r="I456" s="40"/>
      <c r="J456" s="40"/>
      <c r="K456" s="286"/>
      <c r="L456" s="286"/>
      <c r="M456" s="40"/>
      <c r="N456" s="40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287">
        <v>101181.0</v>
      </c>
      <c r="B457" s="287" t="s">
        <v>2625</v>
      </c>
      <c r="C457" s="287" t="s">
        <v>1194</v>
      </c>
      <c r="D457" s="287" t="s">
        <v>518</v>
      </c>
      <c r="E457" s="287" t="b">
        <v>1</v>
      </c>
      <c r="F457" s="287" t="b">
        <v>1</v>
      </c>
      <c r="G457" s="287" t="s">
        <v>2600</v>
      </c>
      <c r="H457" s="40"/>
      <c r="I457" s="40"/>
      <c r="J457" s="40"/>
      <c r="K457" s="286"/>
      <c r="L457" s="286"/>
      <c r="M457" s="40"/>
      <c r="N457" s="40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287">
        <v>148639.0</v>
      </c>
      <c r="B458" s="287" t="s">
        <v>1195</v>
      </c>
      <c r="C458" s="287" t="s">
        <v>1196</v>
      </c>
      <c r="D458" s="287" t="s">
        <v>518</v>
      </c>
      <c r="E458" s="287" t="b">
        <v>1</v>
      </c>
      <c r="F458" s="287" t="b">
        <v>1</v>
      </c>
      <c r="G458" s="287" t="s">
        <v>250</v>
      </c>
      <c r="H458" s="40"/>
      <c r="I458" s="40"/>
      <c r="J458" s="40"/>
      <c r="K458" s="286"/>
      <c r="L458" s="286"/>
      <c r="M458" s="40"/>
      <c r="N458" s="40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287">
        <v>110837.0</v>
      </c>
      <c r="B459" s="287" t="s">
        <v>1200</v>
      </c>
      <c r="C459" s="287" t="s">
        <v>2626</v>
      </c>
      <c r="D459" s="287" t="s">
        <v>518</v>
      </c>
      <c r="E459" s="287" t="b">
        <v>1</v>
      </c>
      <c r="F459" s="287" t="b">
        <v>1</v>
      </c>
      <c r="G459" s="287" t="s">
        <v>250</v>
      </c>
      <c r="H459" s="40"/>
      <c r="I459" s="40"/>
      <c r="J459" s="40"/>
      <c r="K459" s="286"/>
      <c r="L459" s="286"/>
      <c r="M459" s="40"/>
      <c r="N459" s="40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287">
        <v>112134.0</v>
      </c>
      <c r="B460" s="287" t="s">
        <v>1203</v>
      </c>
      <c r="C460" s="287" t="s">
        <v>1233</v>
      </c>
      <c r="D460" s="287" t="s">
        <v>518</v>
      </c>
      <c r="E460" s="287" t="b">
        <v>1</v>
      </c>
      <c r="F460" s="287" t="b">
        <v>0</v>
      </c>
      <c r="G460" s="287" t="s">
        <v>250</v>
      </c>
      <c r="H460" s="40"/>
      <c r="I460" s="40"/>
      <c r="J460" s="40"/>
      <c r="K460" s="286"/>
      <c r="L460" s="286"/>
      <c r="M460" s="40"/>
      <c r="N460" s="40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287">
        <v>112133.0</v>
      </c>
      <c r="B461" s="287" t="s">
        <v>1205</v>
      </c>
      <c r="C461" s="287" t="s">
        <v>1237</v>
      </c>
      <c r="D461" s="287" t="s">
        <v>518</v>
      </c>
      <c r="E461" s="287" t="b">
        <v>1</v>
      </c>
      <c r="F461" s="287" t="b">
        <v>1</v>
      </c>
      <c r="G461" s="287" t="s">
        <v>250</v>
      </c>
      <c r="H461" s="40"/>
      <c r="I461" s="40"/>
      <c r="J461" s="40"/>
      <c r="K461" s="286"/>
      <c r="L461" s="286"/>
      <c r="M461" s="40"/>
      <c r="N461" s="40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287">
        <v>78834.0</v>
      </c>
      <c r="B462" s="287" t="s">
        <v>1208</v>
      </c>
      <c r="C462" s="287" t="s">
        <v>566</v>
      </c>
      <c r="D462" s="287" t="s">
        <v>518</v>
      </c>
      <c r="E462" s="287" t="b">
        <v>1</v>
      </c>
      <c r="F462" s="287" t="b">
        <v>1</v>
      </c>
      <c r="G462" s="287" t="s">
        <v>250</v>
      </c>
      <c r="H462" s="40"/>
      <c r="I462" s="40"/>
      <c r="J462" s="40"/>
      <c r="K462" s="286"/>
      <c r="L462" s="286"/>
      <c r="M462" s="40"/>
      <c r="N462" s="40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287">
        <v>78831.0</v>
      </c>
      <c r="B463" s="287" t="s">
        <v>1212</v>
      </c>
      <c r="C463" s="287" t="s">
        <v>2627</v>
      </c>
      <c r="D463" s="287" t="s">
        <v>518</v>
      </c>
      <c r="E463" s="287" t="b">
        <v>1</v>
      </c>
      <c r="F463" s="287" t="b">
        <v>1</v>
      </c>
      <c r="G463" s="287" t="s">
        <v>250</v>
      </c>
      <c r="H463" s="40"/>
      <c r="I463" s="40"/>
      <c r="J463" s="40"/>
      <c r="K463" s="286"/>
      <c r="L463" s="286"/>
      <c r="M463" s="40"/>
      <c r="N463" s="40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287">
        <v>78832.0</v>
      </c>
      <c r="B464" s="287" t="s">
        <v>2628</v>
      </c>
      <c r="C464" s="287" t="s">
        <v>2629</v>
      </c>
      <c r="D464" s="287" t="s">
        <v>518</v>
      </c>
      <c r="E464" s="287" t="b">
        <v>1</v>
      </c>
      <c r="F464" s="287" t="b">
        <v>1</v>
      </c>
      <c r="G464" s="287" t="s">
        <v>250</v>
      </c>
      <c r="H464" s="40"/>
      <c r="I464" s="40"/>
      <c r="J464" s="40"/>
      <c r="K464" s="286"/>
      <c r="L464" s="286"/>
      <c r="M464" s="40"/>
      <c r="N464" s="40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287">
        <v>77864.0</v>
      </c>
      <c r="B465" s="287" t="s">
        <v>1216</v>
      </c>
      <c r="C465" s="287" t="s">
        <v>2630</v>
      </c>
      <c r="D465" s="287" t="s">
        <v>518</v>
      </c>
      <c r="E465" s="287" t="b">
        <v>1</v>
      </c>
      <c r="F465" s="287" t="b">
        <v>1</v>
      </c>
      <c r="G465" s="287" t="s">
        <v>250</v>
      </c>
      <c r="H465" s="40"/>
      <c r="I465" s="40"/>
      <c r="J465" s="40"/>
      <c r="K465" s="286"/>
      <c r="L465" s="286"/>
      <c r="M465" s="40"/>
      <c r="N465" s="40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287">
        <v>78829.0</v>
      </c>
      <c r="B466" s="287" t="s">
        <v>1218</v>
      </c>
      <c r="C466" s="287" t="s">
        <v>2631</v>
      </c>
      <c r="D466" s="287" t="s">
        <v>518</v>
      </c>
      <c r="E466" s="287" t="b">
        <v>1</v>
      </c>
      <c r="F466" s="287" t="b">
        <v>1</v>
      </c>
      <c r="G466" s="287" t="s">
        <v>250</v>
      </c>
      <c r="H466" s="40"/>
      <c r="I466" s="40"/>
      <c r="J466" s="40"/>
      <c r="K466" s="286"/>
      <c r="L466" s="286"/>
      <c r="M466" s="40"/>
      <c r="N466" s="40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287">
        <v>100708.0</v>
      </c>
      <c r="B467" s="287" t="s">
        <v>1221</v>
      </c>
      <c r="C467" s="287" t="s">
        <v>1207</v>
      </c>
      <c r="D467" s="287" t="s">
        <v>518</v>
      </c>
      <c r="E467" s="287" t="b">
        <v>1</v>
      </c>
      <c r="F467" s="287" t="b">
        <v>1</v>
      </c>
      <c r="G467" s="287" t="s">
        <v>250</v>
      </c>
      <c r="H467" s="40"/>
      <c r="I467" s="40"/>
      <c r="J467" s="40"/>
      <c r="K467" s="286"/>
      <c r="L467" s="286"/>
      <c r="M467" s="40"/>
      <c r="N467" s="40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287">
        <v>111684.0</v>
      </c>
      <c r="B468" s="287" t="s">
        <v>1223</v>
      </c>
      <c r="C468" s="287" t="s">
        <v>42</v>
      </c>
      <c r="D468" s="287" t="s">
        <v>518</v>
      </c>
      <c r="E468" s="287" t="b">
        <v>1</v>
      </c>
      <c r="F468" s="287" t="b">
        <v>1</v>
      </c>
      <c r="G468" s="287" t="s">
        <v>250</v>
      </c>
      <c r="H468" s="40"/>
      <c r="I468" s="40"/>
      <c r="J468" s="40"/>
      <c r="K468" s="286"/>
      <c r="L468" s="286"/>
      <c r="M468" s="40"/>
      <c r="N468" s="40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287">
        <v>100513.0</v>
      </c>
      <c r="B469" s="287" t="s">
        <v>1225</v>
      </c>
      <c r="C469" s="287" t="s">
        <v>1214</v>
      </c>
      <c r="D469" s="287" t="s">
        <v>518</v>
      </c>
      <c r="E469" s="287" t="b">
        <v>1</v>
      </c>
      <c r="F469" s="287" t="b">
        <v>1</v>
      </c>
      <c r="G469" s="287" t="s">
        <v>1215</v>
      </c>
      <c r="H469" s="40"/>
      <c r="I469" s="40"/>
      <c r="J469" s="40"/>
      <c r="K469" s="286"/>
      <c r="L469" s="286"/>
      <c r="M469" s="40"/>
      <c r="N469" s="40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287">
        <v>100514.0</v>
      </c>
      <c r="B470" s="287" t="s">
        <v>1227</v>
      </c>
      <c r="C470" s="287" t="s">
        <v>1201</v>
      </c>
      <c r="D470" s="287" t="s">
        <v>518</v>
      </c>
      <c r="E470" s="287" t="b">
        <v>1</v>
      </c>
      <c r="F470" s="287" t="b">
        <v>1</v>
      </c>
      <c r="G470" s="287" t="s">
        <v>2632</v>
      </c>
      <c r="H470" s="40"/>
      <c r="I470" s="40"/>
      <c r="J470" s="40"/>
      <c r="K470" s="286"/>
      <c r="L470" s="286"/>
      <c r="M470" s="40"/>
      <c r="N470" s="40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287">
        <v>107133.0</v>
      </c>
      <c r="B471" s="287" t="s">
        <v>1228</v>
      </c>
      <c r="C471" s="287" t="s">
        <v>389</v>
      </c>
      <c r="D471" s="287" t="s">
        <v>518</v>
      </c>
      <c r="E471" s="287" t="b">
        <v>1</v>
      </c>
      <c r="F471" s="287" t="b">
        <v>1</v>
      </c>
      <c r="G471" s="287" t="s">
        <v>250</v>
      </c>
      <c r="H471" s="40"/>
      <c r="I471" s="40"/>
      <c r="J471" s="40"/>
      <c r="K471" s="286"/>
      <c r="L471" s="286"/>
      <c r="M471" s="40"/>
      <c r="N471" s="40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287">
        <v>100549.0</v>
      </c>
      <c r="B472" s="287" t="s">
        <v>1229</v>
      </c>
      <c r="C472" s="287" t="s">
        <v>1210</v>
      </c>
      <c r="D472" s="287" t="s">
        <v>518</v>
      </c>
      <c r="E472" s="287" t="b">
        <v>1</v>
      </c>
      <c r="F472" s="287" t="b">
        <v>1</v>
      </c>
      <c r="G472" s="287" t="s">
        <v>1211</v>
      </c>
      <c r="H472" s="40"/>
      <c r="I472" s="40"/>
      <c r="J472" s="40"/>
      <c r="K472" s="286"/>
      <c r="L472" s="286"/>
      <c r="M472" s="40"/>
      <c r="N472" s="40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287">
        <v>15923.0</v>
      </c>
      <c r="B473" s="287" t="s">
        <v>1231</v>
      </c>
      <c r="C473" s="287" t="s">
        <v>42</v>
      </c>
      <c r="D473" s="287" t="s">
        <v>518</v>
      </c>
      <c r="E473" s="287" t="b">
        <v>1</v>
      </c>
      <c r="F473" s="287" t="b">
        <v>1</v>
      </c>
      <c r="G473" s="287" t="s">
        <v>250</v>
      </c>
      <c r="H473" s="40"/>
      <c r="I473" s="40"/>
      <c r="J473" s="40"/>
      <c r="K473" s="286"/>
      <c r="L473" s="286"/>
      <c r="M473" s="40"/>
      <c r="N473" s="40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287">
        <v>110955.0</v>
      </c>
      <c r="B474" s="287" t="s">
        <v>1234</v>
      </c>
      <c r="C474" s="287" t="s">
        <v>42</v>
      </c>
      <c r="D474" s="287" t="s">
        <v>518</v>
      </c>
      <c r="E474" s="287" t="b">
        <v>1</v>
      </c>
      <c r="F474" s="287" t="b">
        <v>1</v>
      </c>
      <c r="G474" s="287" t="s">
        <v>250</v>
      </c>
      <c r="H474" s="40"/>
      <c r="I474" s="40"/>
      <c r="J474" s="40"/>
      <c r="K474" s="286"/>
      <c r="L474" s="286"/>
      <c r="M474" s="40"/>
      <c r="N474" s="40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287">
        <v>15935.0</v>
      </c>
      <c r="B475" s="287" t="s">
        <v>1238</v>
      </c>
      <c r="C475" s="287" t="s">
        <v>2633</v>
      </c>
      <c r="D475" s="287" t="s">
        <v>518</v>
      </c>
      <c r="E475" s="287" t="b">
        <v>1</v>
      </c>
      <c r="F475" s="287" t="b">
        <v>1</v>
      </c>
      <c r="G475" s="287" t="s">
        <v>250</v>
      </c>
      <c r="H475" s="40"/>
      <c r="I475" s="40"/>
      <c r="J475" s="40"/>
      <c r="K475" s="286"/>
      <c r="L475" s="286"/>
      <c r="M475" s="40"/>
      <c r="N475" s="40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287">
        <v>110639.0</v>
      </c>
      <c r="B476" s="287" t="s">
        <v>1241</v>
      </c>
      <c r="C476" s="287" t="s">
        <v>42</v>
      </c>
      <c r="D476" s="287" t="s">
        <v>518</v>
      </c>
      <c r="E476" s="287" t="b">
        <v>1</v>
      </c>
      <c r="F476" s="287" t="b">
        <v>1</v>
      </c>
      <c r="G476" s="287" t="s">
        <v>1245</v>
      </c>
      <c r="H476" s="40"/>
      <c r="I476" s="40"/>
      <c r="J476" s="40"/>
      <c r="K476" s="286"/>
      <c r="L476" s="286"/>
      <c r="M476" s="40"/>
      <c r="N476" s="40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287">
        <v>109650.0</v>
      </c>
      <c r="B477" s="287" t="s">
        <v>1244</v>
      </c>
      <c r="C477" s="287" t="s">
        <v>389</v>
      </c>
      <c r="D477" s="287" t="s">
        <v>518</v>
      </c>
      <c r="E477" s="287" t="b">
        <v>1</v>
      </c>
      <c r="F477" s="287" t="b">
        <v>1</v>
      </c>
      <c r="G477" s="287" t="s">
        <v>250</v>
      </c>
      <c r="H477" s="40"/>
      <c r="I477" s="40"/>
      <c r="J477" s="40"/>
      <c r="K477" s="286"/>
      <c r="L477" s="286"/>
      <c r="M477" s="40"/>
      <c r="N477" s="40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287">
        <v>106303.0</v>
      </c>
      <c r="B478" s="287" t="s">
        <v>1247</v>
      </c>
      <c r="C478" s="287" t="s">
        <v>1250</v>
      </c>
      <c r="D478" s="287" t="s">
        <v>518</v>
      </c>
      <c r="E478" s="287" t="b">
        <v>1</v>
      </c>
      <c r="F478" s="287" t="b">
        <v>1</v>
      </c>
      <c r="G478" s="287" t="s">
        <v>1251</v>
      </c>
      <c r="H478" s="40"/>
      <c r="I478" s="40"/>
      <c r="J478" s="40"/>
      <c r="K478" s="286"/>
      <c r="L478" s="286"/>
      <c r="M478" s="40"/>
      <c r="N478" s="40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287">
        <v>23904.0</v>
      </c>
      <c r="B479" s="287" t="s">
        <v>1252</v>
      </c>
      <c r="C479" s="287" t="s">
        <v>1254</v>
      </c>
      <c r="D479" s="287" t="s">
        <v>518</v>
      </c>
      <c r="E479" s="287" t="b">
        <v>1</v>
      </c>
      <c r="F479" s="287" t="b">
        <v>1</v>
      </c>
      <c r="G479" s="287" t="s">
        <v>250</v>
      </c>
      <c r="H479" s="40"/>
      <c r="I479" s="40"/>
      <c r="J479" s="40"/>
      <c r="K479" s="286"/>
      <c r="L479" s="286"/>
      <c r="M479" s="40"/>
      <c r="N479" s="40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287">
        <v>15813.0</v>
      </c>
      <c r="B480" s="287" t="s">
        <v>1255</v>
      </c>
      <c r="C480" s="287" t="s">
        <v>1617</v>
      </c>
      <c r="D480" s="287" t="s">
        <v>518</v>
      </c>
      <c r="E480" s="287" t="b">
        <v>1</v>
      </c>
      <c r="F480" s="287" t="b">
        <v>1</v>
      </c>
      <c r="G480" s="287" t="s">
        <v>1257</v>
      </c>
      <c r="H480" s="40"/>
      <c r="I480" s="40"/>
      <c r="J480" s="40"/>
      <c r="K480" s="286"/>
      <c r="L480" s="286"/>
      <c r="M480" s="40"/>
      <c r="N480" s="40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287">
        <v>17917.0</v>
      </c>
      <c r="B481" s="287" t="s">
        <v>1258</v>
      </c>
      <c r="C481" s="287" t="s">
        <v>269</v>
      </c>
      <c r="D481" s="287" t="s">
        <v>518</v>
      </c>
      <c r="E481" s="287" t="b">
        <v>1</v>
      </c>
      <c r="F481" s="287" t="b">
        <v>1</v>
      </c>
      <c r="G481" s="287" t="s">
        <v>1260</v>
      </c>
      <c r="H481" s="40"/>
      <c r="I481" s="40"/>
      <c r="J481" s="40"/>
      <c r="K481" s="286"/>
      <c r="L481" s="286"/>
      <c r="M481" s="40"/>
      <c r="N481" s="40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287">
        <v>33374.0</v>
      </c>
      <c r="B482" s="287" t="s">
        <v>1261</v>
      </c>
      <c r="C482" s="287" t="s">
        <v>1262</v>
      </c>
      <c r="D482" s="287" t="s">
        <v>518</v>
      </c>
      <c r="E482" s="287" t="b">
        <v>1</v>
      </c>
      <c r="F482" s="287" t="b">
        <v>1</v>
      </c>
      <c r="G482" s="287" t="s">
        <v>1257</v>
      </c>
      <c r="H482" s="40"/>
      <c r="I482" s="40"/>
      <c r="J482" s="40"/>
      <c r="K482" s="286"/>
      <c r="L482" s="286"/>
      <c r="M482" s="40"/>
      <c r="N482" s="40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287">
        <v>33375.0</v>
      </c>
      <c r="B483" s="287" t="s">
        <v>1263</v>
      </c>
      <c r="C483" s="287" t="s">
        <v>269</v>
      </c>
      <c r="D483" s="287" t="s">
        <v>518</v>
      </c>
      <c r="E483" s="287" t="b">
        <v>1</v>
      </c>
      <c r="F483" s="287" t="b">
        <v>1</v>
      </c>
      <c r="G483" s="287" t="s">
        <v>1257</v>
      </c>
      <c r="H483" s="40"/>
      <c r="I483" s="40"/>
      <c r="J483" s="40"/>
      <c r="K483" s="286"/>
      <c r="L483" s="286"/>
      <c r="M483" s="40"/>
      <c r="N483" s="40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287">
        <v>111619.0</v>
      </c>
      <c r="B484" s="287" t="s">
        <v>1266</v>
      </c>
      <c r="C484" s="287" t="s">
        <v>42</v>
      </c>
      <c r="D484" s="287" t="s">
        <v>518</v>
      </c>
      <c r="E484" s="287" t="b">
        <v>1</v>
      </c>
      <c r="F484" s="287" t="b">
        <v>1</v>
      </c>
      <c r="G484" s="287" t="s">
        <v>250</v>
      </c>
      <c r="H484" s="40"/>
      <c r="I484" s="40"/>
      <c r="J484" s="40"/>
      <c r="K484" s="286"/>
      <c r="L484" s="286"/>
      <c r="M484" s="40"/>
      <c r="N484" s="40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287">
        <v>111618.0</v>
      </c>
      <c r="B485" s="287" t="s">
        <v>1269</v>
      </c>
      <c r="C485" s="287" t="s">
        <v>42</v>
      </c>
      <c r="D485" s="287" t="s">
        <v>518</v>
      </c>
      <c r="E485" s="287" t="b">
        <v>1</v>
      </c>
      <c r="F485" s="287" t="b">
        <v>1</v>
      </c>
      <c r="G485" s="287" t="s">
        <v>250</v>
      </c>
      <c r="H485" s="40"/>
      <c r="I485" s="40"/>
      <c r="J485" s="40"/>
      <c r="K485" s="286"/>
      <c r="L485" s="286"/>
      <c r="M485" s="40"/>
      <c r="N485" s="40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287">
        <v>16400.0</v>
      </c>
      <c r="B486" s="287" t="s">
        <v>1270</v>
      </c>
      <c r="C486" s="287" t="s">
        <v>566</v>
      </c>
      <c r="D486" s="287" t="s">
        <v>518</v>
      </c>
      <c r="E486" s="287" t="b">
        <v>1</v>
      </c>
      <c r="F486" s="287" t="b">
        <v>1</v>
      </c>
      <c r="G486" s="287" t="s">
        <v>1272</v>
      </c>
      <c r="H486" s="40"/>
      <c r="I486" s="40"/>
      <c r="J486" s="40"/>
      <c r="K486" s="286"/>
      <c r="L486" s="286"/>
      <c r="M486" s="40"/>
      <c r="N486" s="40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287">
        <v>42554.0</v>
      </c>
      <c r="B487" s="287" t="s">
        <v>1273</v>
      </c>
      <c r="C487" s="287" t="s">
        <v>1275</v>
      </c>
      <c r="D487" s="287" t="s">
        <v>518</v>
      </c>
      <c r="E487" s="287" t="b">
        <v>1</v>
      </c>
      <c r="F487" s="287" t="b">
        <v>1</v>
      </c>
      <c r="G487" s="287" t="s">
        <v>250</v>
      </c>
      <c r="H487" s="40"/>
      <c r="I487" s="40"/>
      <c r="J487" s="40"/>
      <c r="K487" s="286"/>
      <c r="L487" s="286"/>
      <c r="M487" s="40"/>
      <c r="N487" s="40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287">
        <v>103696.0</v>
      </c>
      <c r="B488" s="287" t="s">
        <v>1277</v>
      </c>
      <c r="C488" s="287" t="s">
        <v>2634</v>
      </c>
      <c r="D488" s="287" t="s">
        <v>518</v>
      </c>
      <c r="E488" s="287" t="b">
        <v>1</v>
      </c>
      <c r="F488" s="287" t="b">
        <v>1</v>
      </c>
      <c r="G488" s="287" t="s">
        <v>250</v>
      </c>
      <c r="H488" s="40"/>
      <c r="I488" s="40"/>
      <c r="J488" s="40"/>
      <c r="K488" s="286"/>
      <c r="L488" s="286"/>
      <c r="M488" s="40"/>
      <c r="N488" s="40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287">
        <v>112841.0</v>
      </c>
      <c r="B489" s="287" t="s">
        <v>1280</v>
      </c>
      <c r="C489" s="287" t="s">
        <v>42</v>
      </c>
      <c r="D489" s="287" t="s">
        <v>518</v>
      </c>
      <c r="E489" s="287" t="b">
        <v>1</v>
      </c>
      <c r="F489" s="287" t="b">
        <v>1</v>
      </c>
      <c r="G489" s="287" t="s">
        <v>250</v>
      </c>
      <c r="H489" s="40"/>
      <c r="I489" s="40"/>
      <c r="J489" s="40"/>
      <c r="K489" s="286"/>
      <c r="L489" s="286"/>
      <c r="M489" s="40"/>
      <c r="N489" s="40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287">
        <v>29904.0</v>
      </c>
      <c r="B490" s="287" t="s">
        <v>1285</v>
      </c>
      <c r="C490" s="287" t="s">
        <v>1287</v>
      </c>
      <c r="D490" s="287" t="s">
        <v>518</v>
      </c>
      <c r="E490" s="287" t="b">
        <v>1</v>
      </c>
      <c r="F490" s="287" t="b">
        <v>1</v>
      </c>
      <c r="G490" s="287" t="s">
        <v>250</v>
      </c>
      <c r="H490" s="40"/>
      <c r="I490" s="40"/>
      <c r="J490" s="40"/>
      <c r="K490" s="286"/>
      <c r="L490" s="286"/>
      <c r="M490" s="40"/>
      <c r="N490" s="40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287">
        <v>107554.0</v>
      </c>
      <c r="B491" s="287" t="s">
        <v>1290</v>
      </c>
      <c r="C491" s="287" t="s">
        <v>793</v>
      </c>
      <c r="D491" s="287" t="s">
        <v>518</v>
      </c>
      <c r="E491" s="287" t="b">
        <v>1</v>
      </c>
      <c r="F491" s="287" t="b">
        <v>1</v>
      </c>
      <c r="G491" s="287" t="s">
        <v>250</v>
      </c>
      <c r="H491" s="40"/>
      <c r="I491" s="40"/>
      <c r="J491" s="40"/>
      <c r="K491" s="286"/>
      <c r="L491" s="286"/>
      <c r="M491" s="40"/>
      <c r="N491" s="40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287">
        <v>107555.0</v>
      </c>
      <c r="B492" s="287" t="s">
        <v>1291</v>
      </c>
      <c r="C492" s="287" t="s">
        <v>793</v>
      </c>
      <c r="D492" s="287" t="s">
        <v>518</v>
      </c>
      <c r="E492" s="287" t="b">
        <v>1</v>
      </c>
      <c r="F492" s="287" t="b">
        <v>1</v>
      </c>
      <c r="G492" s="287" t="s">
        <v>250</v>
      </c>
      <c r="H492" s="40"/>
      <c r="I492" s="40"/>
      <c r="J492" s="40"/>
      <c r="K492" s="286"/>
      <c r="L492" s="286"/>
      <c r="M492" s="40"/>
      <c r="N492" s="40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287">
        <v>15272.0</v>
      </c>
      <c r="B493" s="287" t="s">
        <v>1292</v>
      </c>
      <c r="C493" s="287" t="s">
        <v>542</v>
      </c>
      <c r="D493" s="287" t="s">
        <v>518</v>
      </c>
      <c r="E493" s="287" t="b">
        <v>1</v>
      </c>
      <c r="F493" s="287" t="b">
        <v>1</v>
      </c>
      <c r="G493" s="287" t="s">
        <v>2635</v>
      </c>
      <c r="H493" s="40"/>
      <c r="I493" s="40"/>
      <c r="J493" s="40"/>
      <c r="K493" s="286"/>
      <c r="L493" s="286"/>
      <c r="M493" s="40"/>
      <c r="N493" s="40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287">
        <v>12297.0</v>
      </c>
      <c r="B494" s="287" t="s">
        <v>1295</v>
      </c>
      <c r="C494" s="287" t="s">
        <v>2636</v>
      </c>
      <c r="D494" s="287" t="s">
        <v>518</v>
      </c>
      <c r="E494" s="287" t="b">
        <v>1</v>
      </c>
      <c r="F494" s="287" t="b">
        <v>1</v>
      </c>
      <c r="G494" s="287" t="s">
        <v>250</v>
      </c>
      <c r="H494" s="40"/>
      <c r="I494" s="40"/>
      <c r="J494" s="40"/>
      <c r="K494" s="286"/>
      <c r="L494" s="286"/>
      <c r="M494" s="40"/>
      <c r="N494" s="40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287">
        <v>45616.0</v>
      </c>
      <c r="B495" s="287" t="s">
        <v>1298</v>
      </c>
      <c r="C495" s="287" t="s">
        <v>2637</v>
      </c>
      <c r="D495" s="287" t="s">
        <v>518</v>
      </c>
      <c r="E495" s="287" t="b">
        <v>1</v>
      </c>
      <c r="F495" s="287" t="b">
        <v>1</v>
      </c>
      <c r="G495" s="287" t="s">
        <v>250</v>
      </c>
      <c r="H495" s="40"/>
      <c r="I495" s="40"/>
      <c r="J495" s="40"/>
      <c r="K495" s="286"/>
      <c r="L495" s="286"/>
      <c r="M495" s="40"/>
      <c r="N495" s="40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287">
        <v>45619.0</v>
      </c>
      <c r="B496" s="287" t="s">
        <v>1301</v>
      </c>
      <c r="C496" s="287" t="s">
        <v>2637</v>
      </c>
      <c r="D496" s="287" t="s">
        <v>518</v>
      </c>
      <c r="E496" s="287" t="b">
        <v>1</v>
      </c>
      <c r="F496" s="287" t="b">
        <v>1</v>
      </c>
      <c r="G496" s="287" t="s">
        <v>250</v>
      </c>
      <c r="H496" s="40"/>
      <c r="I496" s="40"/>
      <c r="J496" s="40"/>
      <c r="K496" s="286"/>
      <c r="L496" s="286"/>
      <c r="M496" s="40"/>
      <c r="N496" s="40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287">
        <v>49551.0</v>
      </c>
      <c r="B497" s="287" t="s">
        <v>1303</v>
      </c>
      <c r="C497" s="287" t="s">
        <v>2638</v>
      </c>
      <c r="D497" s="287" t="s">
        <v>518</v>
      </c>
      <c r="E497" s="287" t="b">
        <v>1</v>
      </c>
      <c r="F497" s="287" t="b">
        <v>1</v>
      </c>
      <c r="G497" s="287" t="s">
        <v>250</v>
      </c>
      <c r="H497" s="40"/>
      <c r="I497" s="40"/>
      <c r="J497" s="40"/>
      <c r="K497" s="286"/>
      <c r="L497" s="286"/>
      <c r="M497" s="40"/>
      <c r="N497" s="40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287">
        <v>10019.0</v>
      </c>
      <c r="B498" s="287" t="s">
        <v>1304</v>
      </c>
      <c r="C498" s="287" t="s">
        <v>2637</v>
      </c>
      <c r="D498" s="287" t="s">
        <v>518</v>
      </c>
      <c r="E498" s="287" t="b">
        <v>1</v>
      </c>
      <c r="F498" s="287" t="b">
        <v>1</v>
      </c>
      <c r="G498" s="287" t="s">
        <v>250</v>
      </c>
      <c r="H498" s="40"/>
      <c r="I498" s="40"/>
      <c r="J498" s="40"/>
      <c r="K498" s="286"/>
      <c r="L498" s="286"/>
      <c r="M498" s="40"/>
      <c r="N498" s="40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287">
        <v>45622.0</v>
      </c>
      <c r="B499" s="287" t="s">
        <v>1305</v>
      </c>
      <c r="C499" s="287" t="s">
        <v>1306</v>
      </c>
      <c r="D499" s="287" t="s">
        <v>518</v>
      </c>
      <c r="E499" s="287" t="b">
        <v>1</v>
      </c>
      <c r="F499" s="287" t="b">
        <v>1</v>
      </c>
      <c r="G499" s="287" t="s">
        <v>250</v>
      </c>
      <c r="H499" s="40"/>
      <c r="I499" s="40"/>
      <c r="J499" s="40"/>
      <c r="K499" s="286"/>
      <c r="L499" s="286"/>
      <c r="M499" s="40"/>
      <c r="N499" s="40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287">
        <v>45621.0</v>
      </c>
      <c r="B500" s="287" t="s">
        <v>1307</v>
      </c>
      <c r="C500" s="287" t="s">
        <v>2637</v>
      </c>
      <c r="D500" s="287" t="s">
        <v>518</v>
      </c>
      <c r="E500" s="287" t="b">
        <v>1</v>
      </c>
      <c r="F500" s="287" t="b">
        <v>1</v>
      </c>
      <c r="G500" s="287" t="s">
        <v>250</v>
      </c>
      <c r="H500" s="40"/>
      <c r="I500" s="40"/>
      <c r="J500" s="40"/>
      <c r="K500" s="286"/>
      <c r="L500" s="286"/>
      <c r="M500" s="40"/>
      <c r="N500" s="40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287">
        <v>16245.0</v>
      </c>
      <c r="B501" s="287" t="s">
        <v>1994</v>
      </c>
      <c r="C501" s="287" t="s">
        <v>42</v>
      </c>
      <c r="D501" s="287" t="s">
        <v>518</v>
      </c>
      <c r="E501" s="287" t="b">
        <v>1</v>
      </c>
      <c r="F501" s="287" t="b">
        <v>1</v>
      </c>
      <c r="G501" s="287" t="s">
        <v>2639</v>
      </c>
      <c r="H501" s="40"/>
      <c r="I501" s="40"/>
      <c r="J501" s="40"/>
      <c r="K501" s="286"/>
      <c r="L501" s="286"/>
      <c r="M501" s="40"/>
      <c r="N501" s="40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287">
        <v>36357.0</v>
      </c>
      <c r="B502" s="287" t="s">
        <v>1311</v>
      </c>
      <c r="C502" s="287" t="s">
        <v>42</v>
      </c>
      <c r="D502" s="287" t="s">
        <v>518</v>
      </c>
      <c r="E502" s="287" t="b">
        <v>1</v>
      </c>
      <c r="F502" s="287" t="b">
        <v>1</v>
      </c>
      <c r="G502" s="287" t="s">
        <v>250</v>
      </c>
      <c r="H502" s="40"/>
      <c r="I502" s="40"/>
      <c r="J502" s="40"/>
      <c r="K502" s="286"/>
      <c r="L502" s="286"/>
      <c r="M502" s="40"/>
      <c r="N502" s="40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288">
        <v>112139.0</v>
      </c>
      <c r="B503" s="288" t="s">
        <v>1312</v>
      </c>
      <c r="C503" s="288" t="s">
        <v>2640</v>
      </c>
      <c r="D503" s="287" t="s">
        <v>518</v>
      </c>
      <c r="E503" s="287" t="b">
        <v>1</v>
      </c>
      <c r="F503" s="287" t="b">
        <v>1</v>
      </c>
      <c r="G503" s="287" t="s">
        <v>250</v>
      </c>
      <c r="H503" s="40"/>
      <c r="I503" s="40"/>
      <c r="J503" s="40"/>
      <c r="K503" s="286"/>
      <c r="L503" s="286"/>
      <c r="M503" s="40"/>
      <c r="N503" s="40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287">
        <v>16234.0</v>
      </c>
      <c r="B504" s="287" t="s">
        <v>1315</v>
      </c>
      <c r="C504" s="287" t="s">
        <v>42</v>
      </c>
      <c r="D504" s="287" t="s">
        <v>518</v>
      </c>
      <c r="E504" s="287" t="b">
        <v>1</v>
      </c>
      <c r="F504" s="287" t="b">
        <v>1</v>
      </c>
      <c r="G504" s="287" t="s">
        <v>250</v>
      </c>
      <c r="H504" s="40"/>
      <c r="I504" s="40"/>
      <c r="J504" s="40"/>
      <c r="K504" s="286"/>
      <c r="L504" s="286"/>
      <c r="M504" s="40"/>
      <c r="N504" s="40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287">
        <v>40159.0</v>
      </c>
      <c r="B505" s="287" t="s">
        <v>1317</v>
      </c>
      <c r="C505" s="287" t="s">
        <v>42</v>
      </c>
      <c r="D505" s="287" t="s">
        <v>518</v>
      </c>
      <c r="E505" s="287" t="b">
        <v>1</v>
      </c>
      <c r="F505" s="287" t="b">
        <v>1</v>
      </c>
      <c r="G505" s="287" t="s">
        <v>250</v>
      </c>
      <c r="H505" s="40"/>
      <c r="I505" s="40"/>
      <c r="J505" s="40"/>
      <c r="K505" s="286"/>
      <c r="L505" s="286"/>
      <c r="M505" s="40"/>
      <c r="N505" s="40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287">
        <v>24095.0</v>
      </c>
      <c r="B506" s="287" t="s">
        <v>1319</v>
      </c>
      <c r="C506" s="287" t="s">
        <v>42</v>
      </c>
      <c r="D506" s="287" t="s">
        <v>518</v>
      </c>
      <c r="E506" s="287" t="b">
        <v>1</v>
      </c>
      <c r="F506" s="287" t="b">
        <v>1</v>
      </c>
      <c r="G506" s="287" t="s">
        <v>250</v>
      </c>
      <c r="H506" s="40"/>
      <c r="I506" s="40"/>
      <c r="J506" s="40"/>
      <c r="K506" s="286"/>
      <c r="L506" s="286"/>
      <c r="M506" s="40"/>
      <c r="N506" s="40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287">
        <v>20143.0</v>
      </c>
      <c r="B507" s="287" t="s">
        <v>1320</v>
      </c>
      <c r="C507" s="287" t="s">
        <v>42</v>
      </c>
      <c r="D507" s="287" t="s">
        <v>518</v>
      </c>
      <c r="E507" s="287" t="b">
        <v>1</v>
      </c>
      <c r="F507" s="287" t="b">
        <v>1</v>
      </c>
      <c r="G507" s="287" t="s">
        <v>250</v>
      </c>
      <c r="H507" s="40"/>
      <c r="I507" s="40"/>
      <c r="J507" s="40"/>
      <c r="K507" s="286"/>
      <c r="L507" s="286"/>
      <c r="M507" s="40"/>
      <c r="N507" s="40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287">
        <v>38014.0</v>
      </c>
      <c r="B508" s="287" t="s">
        <v>1322</v>
      </c>
      <c r="C508" s="287" t="s">
        <v>42</v>
      </c>
      <c r="D508" s="287" t="s">
        <v>518</v>
      </c>
      <c r="E508" s="287" t="b">
        <v>1</v>
      </c>
      <c r="F508" s="287" t="b">
        <v>1</v>
      </c>
      <c r="G508" s="287" t="s">
        <v>250</v>
      </c>
      <c r="H508" s="40"/>
      <c r="I508" s="40"/>
      <c r="J508" s="40"/>
      <c r="K508" s="286"/>
      <c r="L508" s="286"/>
      <c r="M508" s="40"/>
      <c r="N508" s="40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287">
        <v>40158.0</v>
      </c>
      <c r="B509" s="287" t="s">
        <v>1324</v>
      </c>
      <c r="C509" s="287" t="s">
        <v>42</v>
      </c>
      <c r="D509" s="287" t="s">
        <v>518</v>
      </c>
      <c r="E509" s="287" t="b">
        <v>1</v>
      </c>
      <c r="F509" s="287" t="b">
        <v>1</v>
      </c>
      <c r="G509" s="287" t="s">
        <v>250</v>
      </c>
      <c r="H509" s="40"/>
      <c r="I509" s="40"/>
      <c r="J509" s="40"/>
      <c r="K509" s="286"/>
      <c r="L509" s="286"/>
      <c r="M509" s="40"/>
      <c r="N509" s="40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287">
        <v>38010.0</v>
      </c>
      <c r="B510" s="287" t="s">
        <v>1325</v>
      </c>
      <c r="C510" s="287" t="s">
        <v>42</v>
      </c>
      <c r="D510" s="287" t="s">
        <v>518</v>
      </c>
      <c r="E510" s="287" t="b">
        <v>1</v>
      </c>
      <c r="F510" s="287" t="b">
        <v>1</v>
      </c>
      <c r="G510" s="287" t="s">
        <v>250</v>
      </c>
      <c r="H510" s="40"/>
      <c r="I510" s="40"/>
      <c r="J510" s="40"/>
      <c r="K510" s="286"/>
      <c r="L510" s="286"/>
      <c r="M510" s="40"/>
      <c r="N510" s="40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287">
        <v>111987.0</v>
      </c>
      <c r="B511" s="287" t="s">
        <v>1327</v>
      </c>
      <c r="C511" s="287" t="s">
        <v>42</v>
      </c>
      <c r="D511" s="287" t="s">
        <v>518</v>
      </c>
      <c r="E511" s="287" t="b">
        <v>1</v>
      </c>
      <c r="F511" s="287" t="b">
        <v>1</v>
      </c>
      <c r="G511" s="287" t="s">
        <v>250</v>
      </c>
      <c r="H511" s="40"/>
      <c r="I511" s="40"/>
      <c r="J511" s="40"/>
      <c r="K511" s="286"/>
      <c r="L511" s="286"/>
      <c r="M511" s="40"/>
      <c r="N511" s="40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287">
        <v>16178.0</v>
      </c>
      <c r="B512" s="287" t="s">
        <v>1329</v>
      </c>
      <c r="C512" s="287" t="s">
        <v>42</v>
      </c>
      <c r="D512" s="287" t="s">
        <v>518</v>
      </c>
      <c r="E512" s="287" t="b">
        <v>1</v>
      </c>
      <c r="F512" s="287" t="b">
        <v>1</v>
      </c>
      <c r="G512" s="287" t="s">
        <v>1331</v>
      </c>
      <c r="H512" s="40"/>
      <c r="I512" s="40"/>
      <c r="J512" s="40"/>
      <c r="K512" s="286"/>
      <c r="L512" s="286"/>
      <c r="M512" s="40"/>
      <c r="N512" s="40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287">
        <v>38208.0</v>
      </c>
      <c r="B513" s="287" t="s">
        <v>1332</v>
      </c>
      <c r="C513" s="287" t="s">
        <v>42</v>
      </c>
      <c r="D513" s="287" t="s">
        <v>518</v>
      </c>
      <c r="E513" s="287" t="b">
        <v>1</v>
      </c>
      <c r="F513" s="287" t="b">
        <v>1</v>
      </c>
      <c r="G513" s="287" t="s">
        <v>250</v>
      </c>
      <c r="H513" s="40"/>
      <c r="I513" s="40"/>
      <c r="J513" s="40"/>
      <c r="K513" s="286"/>
      <c r="L513" s="286"/>
      <c r="M513" s="40"/>
      <c r="N513" s="40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287">
        <v>26627.0</v>
      </c>
      <c r="B514" s="287" t="s">
        <v>1333</v>
      </c>
      <c r="C514" s="287" t="s">
        <v>42</v>
      </c>
      <c r="D514" s="287" t="s">
        <v>518</v>
      </c>
      <c r="E514" s="287" t="b">
        <v>1</v>
      </c>
      <c r="F514" s="287" t="b">
        <v>1</v>
      </c>
      <c r="G514" s="287" t="s">
        <v>250</v>
      </c>
      <c r="H514" s="40"/>
      <c r="I514" s="40"/>
      <c r="J514" s="40"/>
      <c r="K514" s="286"/>
      <c r="L514" s="286"/>
      <c r="M514" s="40"/>
      <c r="N514" s="40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287">
        <v>111130.0</v>
      </c>
      <c r="B515" s="287" t="s">
        <v>1335</v>
      </c>
      <c r="C515" s="287" t="s">
        <v>42</v>
      </c>
      <c r="D515" s="287" t="s">
        <v>518</v>
      </c>
      <c r="E515" s="287" t="b">
        <v>1</v>
      </c>
      <c r="F515" s="287" t="b">
        <v>0</v>
      </c>
      <c r="G515" s="287" t="s">
        <v>250</v>
      </c>
      <c r="H515" s="40"/>
      <c r="I515" s="40"/>
      <c r="J515" s="40"/>
      <c r="K515" s="286"/>
      <c r="L515" s="286"/>
      <c r="M515" s="40"/>
      <c r="N515" s="40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287">
        <v>16191.0</v>
      </c>
      <c r="B516" s="287" t="s">
        <v>2641</v>
      </c>
      <c r="C516" s="287" t="s">
        <v>42</v>
      </c>
      <c r="D516" s="287" t="s">
        <v>518</v>
      </c>
      <c r="E516" s="287" t="b">
        <v>1</v>
      </c>
      <c r="F516" s="287" t="b">
        <v>1</v>
      </c>
      <c r="G516" s="287" t="s">
        <v>250</v>
      </c>
      <c r="H516" s="40"/>
      <c r="I516" s="40"/>
      <c r="J516" s="40"/>
      <c r="K516" s="286"/>
      <c r="L516" s="286"/>
      <c r="M516" s="40"/>
      <c r="N516" s="40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287">
        <v>16227.0</v>
      </c>
      <c r="B517" s="287" t="s">
        <v>1337</v>
      </c>
      <c r="C517" s="287" t="s">
        <v>42</v>
      </c>
      <c r="D517" s="287" t="s">
        <v>518</v>
      </c>
      <c r="E517" s="287" t="b">
        <v>1</v>
      </c>
      <c r="F517" s="287" t="b">
        <v>1</v>
      </c>
      <c r="G517" s="287" t="s">
        <v>250</v>
      </c>
      <c r="H517" s="40"/>
      <c r="I517" s="40"/>
      <c r="J517" s="40"/>
      <c r="K517" s="286"/>
      <c r="L517" s="286"/>
      <c r="M517" s="40"/>
      <c r="N517" s="40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287">
        <v>48982.0</v>
      </c>
      <c r="B518" s="287" t="s">
        <v>1339</v>
      </c>
      <c r="C518" s="287" t="s">
        <v>42</v>
      </c>
      <c r="D518" s="287" t="s">
        <v>518</v>
      </c>
      <c r="E518" s="287" t="b">
        <v>1</v>
      </c>
      <c r="F518" s="287" t="b">
        <v>1</v>
      </c>
      <c r="G518" s="287" t="s">
        <v>250</v>
      </c>
      <c r="H518" s="40"/>
      <c r="I518" s="40"/>
      <c r="J518" s="40"/>
      <c r="K518" s="286"/>
      <c r="L518" s="286"/>
      <c r="M518" s="40"/>
      <c r="N518" s="40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287">
        <v>16175.0</v>
      </c>
      <c r="B519" s="287" t="s">
        <v>1341</v>
      </c>
      <c r="C519" s="287" t="s">
        <v>42</v>
      </c>
      <c r="D519" s="287" t="s">
        <v>518</v>
      </c>
      <c r="E519" s="287" t="b">
        <v>1</v>
      </c>
      <c r="F519" s="287" t="b">
        <v>1</v>
      </c>
      <c r="G519" s="287" t="s">
        <v>250</v>
      </c>
      <c r="H519" s="40"/>
      <c r="I519" s="40"/>
      <c r="J519" s="40"/>
      <c r="K519" s="286"/>
      <c r="L519" s="286"/>
      <c r="M519" s="40"/>
      <c r="N519" s="40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287">
        <v>16208.0</v>
      </c>
      <c r="B520" s="287" t="s">
        <v>1343</v>
      </c>
      <c r="C520" s="287" t="s">
        <v>42</v>
      </c>
      <c r="D520" s="287" t="s">
        <v>518</v>
      </c>
      <c r="E520" s="287" t="b">
        <v>1</v>
      </c>
      <c r="F520" s="287" t="b">
        <v>1</v>
      </c>
      <c r="G520" s="287" t="s">
        <v>250</v>
      </c>
      <c r="H520" s="40"/>
      <c r="I520" s="40"/>
      <c r="J520" s="40"/>
      <c r="K520" s="286"/>
      <c r="L520" s="286"/>
      <c r="M520" s="40"/>
      <c r="N520" s="40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287">
        <v>16210.0</v>
      </c>
      <c r="B521" s="287" t="s">
        <v>1344</v>
      </c>
      <c r="C521" s="287" t="s">
        <v>42</v>
      </c>
      <c r="D521" s="287" t="s">
        <v>518</v>
      </c>
      <c r="E521" s="287" t="b">
        <v>1</v>
      </c>
      <c r="F521" s="287" t="b">
        <v>1</v>
      </c>
      <c r="G521" s="287" t="s">
        <v>250</v>
      </c>
      <c r="H521" s="40"/>
      <c r="I521" s="40"/>
      <c r="J521" s="40"/>
      <c r="K521" s="286"/>
      <c r="L521" s="286"/>
      <c r="M521" s="40"/>
      <c r="N521" s="40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287">
        <v>24910.0</v>
      </c>
      <c r="B522" s="287" t="s">
        <v>1345</v>
      </c>
      <c r="C522" s="287" t="s">
        <v>42</v>
      </c>
      <c r="D522" s="287" t="s">
        <v>518</v>
      </c>
      <c r="E522" s="287" t="b">
        <v>1</v>
      </c>
      <c r="F522" s="287" t="b">
        <v>1</v>
      </c>
      <c r="G522" s="287" t="s">
        <v>250</v>
      </c>
      <c r="H522" s="40"/>
      <c r="I522" s="40"/>
      <c r="J522" s="40"/>
      <c r="K522" s="286"/>
      <c r="L522" s="286"/>
      <c r="M522" s="40"/>
      <c r="N522" s="40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287">
        <v>148237.0</v>
      </c>
      <c r="B523" s="287" t="s">
        <v>2642</v>
      </c>
      <c r="C523" s="287" t="s">
        <v>389</v>
      </c>
      <c r="D523" s="287" t="s">
        <v>518</v>
      </c>
      <c r="E523" s="287" t="b">
        <v>1</v>
      </c>
      <c r="F523" s="287" t="b">
        <v>0</v>
      </c>
      <c r="G523" s="287" t="s">
        <v>250</v>
      </c>
      <c r="H523" s="40"/>
      <c r="I523" s="40"/>
      <c r="J523" s="40"/>
      <c r="K523" s="286"/>
      <c r="L523" s="286"/>
      <c r="M523" s="40"/>
      <c r="N523" s="40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287">
        <v>108981.0</v>
      </c>
      <c r="B524" s="287" t="s">
        <v>1346</v>
      </c>
      <c r="C524" s="287" t="s">
        <v>42</v>
      </c>
      <c r="D524" s="287" t="s">
        <v>518</v>
      </c>
      <c r="E524" s="287" t="b">
        <v>1</v>
      </c>
      <c r="F524" s="287" t="b">
        <v>1</v>
      </c>
      <c r="G524" s="287" t="s">
        <v>250</v>
      </c>
      <c r="H524" s="40"/>
      <c r="I524" s="40"/>
      <c r="J524" s="40"/>
      <c r="K524" s="286"/>
      <c r="L524" s="286"/>
      <c r="M524" s="40"/>
      <c r="N524" s="40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287">
        <v>16169.0</v>
      </c>
      <c r="B525" s="287" t="s">
        <v>1347</v>
      </c>
      <c r="C525" s="287" t="s">
        <v>42</v>
      </c>
      <c r="D525" s="287" t="s">
        <v>518</v>
      </c>
      <c r="E525" s="287" t="b">
        <v>1</v>
      </c>
      <c r="F525" s="287" t="b">
        <v>1</v>
      </c>
      <c r="G525" s="287" t="s">
        <v>250</v>
      </c>
      <c r="H525" s="40"/>
      <c r="I525" s="40"/>
      <c r="J525" s="40"/>
      <c r="K525" s="286"/>
      <c r="L525" s="286"/>
      <c r="M525" s="40"/>
      <c r="N525" s="40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287">
        <v>105864.0</v>
      </c>
      <c r="B526" s="287" t="s">
        <v>1348</v>
      </c>
      <c r="C526" s="287" t="s">
        <v>42</v>
      </c>
      <c r="D526" s="287" t="s">
        <v>518</v>
      </c>
      <c r="E526" s="287" t="b">
        <v>1</v>
      </c>
      <c r="F526" s="287" t="b">
        <v>1</v>
      </c>
      <c r="G526" s="287" t="s">
        <v>250</v>
      </c>
      <c r="H526" s="40"/>
      <c r="I526" s="40"/>
      <c r="J526" s="40"/>
      <c r="K526" s="286"/>
      <c r="L526" s="286"/>
      <c r="M526" s="40"/>
      <c r="N526" s="40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287">
        <v>110953.0</v>
      </c>
      <c r="B527" s="287" t="s">
        <v>1350</v>
      </c>
      <c r="C527" s="287" t="s">
        <v>42</v>
      </c>
      <c r="D527" s="287" t="s">
        <v>518</v>
      </c>
      <c r="E527" s="287" t="b">
        <v>1</v>
      </c>
      <c r="F527" s="287" t="b">
        <v>1</v>
      </c>
      <c r="G527" s="287" t="s">
        <v>250</v>
      </c>
      <c r="H527" s="40"/>
      <c r="I527" s="40"/>
      <c r="J527" s="40"/>
      <c r="K527" s="286"/>
      <c r="L527" s="286"/>
      <c r="M527" s="40"/>
      <c r="N527" s="40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287">
        <v>40202.0</v>
      </c>
      <c r="B528" s="287" t="s">
        <v>1352</v>
      </c>
      <c r="C528" s="287" t="s">
        <v>389</v>
      </c>
      <c r="D528" s="287" t="s">
        <v>518</v>
      </c>
      <c r="E528" s="287" t="b">
        <v>1</v>
      </c>
      <c r="F528" s="287" t="b">
        <v>1</v>
      </c>
      <c r="G528" s="287" t="s">
        <v>250</v>
      </c>
      <c r="H528" s="40"/>
      <c r="I528" s="40"/>
      <c r="J528" s="40"/>
      <c r="K528" s="286"/>
      <c r="L528" s="286"/>
      <c r="M528" s="40"/>
      <c r="N528" s="40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287">
        <v>142455.0</v>
      </c>
      <c r="B529" s="287" t="s">
        <v>1354</v>
      </c>
      <c r="C529" s="287" t="s">
        <v>42</v>
      </c>
      <c r="D529" s="287" t="s">
        <v>518</v>
      </c>
      <c r="E529" s="287" t="b">
        <v>1</v>
      </c>
      <c r="F529" s="287" t="b">
        <v>1</v>
      </c>
      <c r="G529" s="287" t="s">
        <v>250</v>
      </c>
      <c r="H529" s="40"/>
      <c r="I529" s="40"/>
      <c r="J529" s="40"/>
      <c r="K529" s="286"/>
      <c r="L529" s="286"/>
      <c r="M529" s="40"/>
      <c r="N529" s="40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287">
        <v>150115.0</v>
      </c>
      <c r="B530" s="287" t="s">
        <v>1355</v>
      </c>
      <c r="C530" s="287" t="s">
        <v>42</v>
      </c>
      <c r="D530" s="287" t="s">
        <v>518</v>
      </c>
      <c r="E530" s="287" t="b">
        <v>1</v>
      </c>
      <c r="F530" s="287" t="b">
        <v>1</v>
      </c>
      <c r="G530" s="287" t="s">
        <v>250</v>
      </c>
      <c r="H530" s="40"/>
      <c r="I530" s="40"/>
      <c r="J530" s="40"/>
      <c r="K530" s="286"/>
      <c r="L530" s="286"/>
      <c r="M530" s="40"/>
      <c r="N530" s="40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287">
        <v>112187.0</v>
      </c>
      <c r="B531" s="287" t="s">
        <v>1360</v>
      </c>
      <c r="C531" s="287" t="s">
        <v>1363</v>
      </c>
      <c r="D531" s="287" t="s">
        <v>249</v>
      </c>
      <c r="E531" s="287" t="b">
        <v>1</v>
      </c>
      <c r="F531" s="287" t="b">
        <v>1</v>
      </c>
      <c r="G531" s="287" t="s">
        <v>250</v>
      </c>
      <c r="H531" s="40"/>
      <c r="I531" s="40"/>
      <c r="J531" s="40"/>
      <c r="K531" s="286"/>
      <c r="L531" s="286"/>
      <c r="M531" s="40"/>
      <c r="N531" s="40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287">
        <v>112186.0</v>
      </c>
      <c r="B532" s="287" t="s">
        <v>1364</v>
      </c>
      <c r="C532" s="287" t="s">
        <v>2643</v>
      </c>
      <c r="D532" s="287" t="s">
        <v>249</v>
      </c>
      <c r="E532" s="287" t="b">
        <v>1</v>
      </c>
      <c r="F532" s="287" t="b">
        <v>1</v>
      </c>
      <c r="G532" s="287" t="s">
        <v>250</v>
      </c>
      <c r="H532" s="40"/>
      <c r="I532" s="40"/>
      <c r="J532" s="40"/>
      <c r="K532" s="286"/>
      <c r="L532" s="286"/>
      <c r="M532" s="40"/>
      <c r="N532" s="40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 ht="15.75" customHeight="1">
      <c r="A533" s="287">
        <v>19955.0</v>
      </c>
      <c r="B533" s="287" t="s">
        <v>1367</v>
      </c>
      <c r="C533" s="287" t="s">
        <v>42</v>
      </c>
      <c r="D533" s="287" t="s">
        <v>518</v>
      </c>
      <c r="E533" s="287" t="b">
        <v>1</v>
      </c>
      <c r="F533" s="287" t="b">
        <v>1</v>
      </c>
      <c r="G533" s="287" t="s">
        <v>250</v>
      </c>
      <c r="H533" s="40"/>
      <c r="I533" s="40"/>
      <c r="J533" s="40"/>
      <c r="K533" s="286"/>
      <c r="L533" s="286"/>
      <c r="M533" s="40"/>
      <c r="N533" s="40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 ht="15.75" customHeight="1">
      <c r="A534" s="287">
        <v>111802.0</v>
      </c>
      <c r="B534" s="287" t="s">
        <v>1369</v>
      </c>
      <c r="C534" s="287" t="s">
        <v>42</v>
      </c>
      <c r="D534" s="287" t="s">
        <v>518</v>
      </c>
      <c r="E534" s="287" t="b">
        <v>1</v>
      </c>
      <c r="F534" s="287" t="b">
        <v>1</v>
      </c>
      <c r="G534" s="287" t="s">
        <v>250</v>
      </c>
      <c r="H534" s="40"/>
      <c r="I534" s="40"/>
      <c r="J534" s="40"/>
      <c r="K534" s="286"/>
      <c r="L534" s="286"/>
      <c r="M534" s="40"/>
      <c r="N534" s="40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 ht="15.75" customHeight="1">
      <c r="A535" s="287">
        <v>15952.0</v>
      </c>
      <c r="B535" s="287" t="s">
        <v>1371</v>
      </c>
      <c r="C535" s="287" t="s">
        <v>1372</v>
      </c>
      <c r="D535" s="287" t="s">
        <v>518</v>
      </c>
      <c r="E535" s="287" t="b">
        <v>1</v>
      </c>
      <c r="F535" s="287" t="b">
        <v>1</v>
      </c>
      <c r="G535" s="287" t="s">
        <v>250</v>
      </c>
      <c r="H535" s="40"/>
      <c r="I535" s="40"/>
      <c r="J535" s="40"/>
      <c r="K535" s="286"/>
      <c r="L535" s="286"/>
      <c r="M535" s="40"/>
      <c r="N535" s="40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 ht="15.75" customHeight="1">
      <c r="A536" s="287">
        <v>15963.0</v>
      </c>
      <c r="B536" s="287" t="s">
        <v>1373</v>
      </c>
      <c r="C536" s="287" t="s">
        <v>42</v>
      </c>
      <c r="D536" s="287" t="s">
        <v>518</v>
      </c>
      <c r="E536" s="287" t="b">
        <v>1</v>
      </c>
      <c r="F536" s="287" t="b">
        <v>1</v>
      </c>
      <c r="G536" s="287" t="s">
        <v>250</v>
      </c>
      <c r="H536" s="40"/>
      <c r="I536" s="40"/>
      <c r="J536" s="40"/>
      <c r="K536" s="286"/>
      <c r="L536" s="286"/>
      <c r="M536" s="40"/>
      <c r="N536" s="40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 ht="15.75" customHeight="1">
      <c r="A537" s="287">
        <v>15973.0</v>
      </c>
      <c r="B537" s="287" t="s">
        <v>1374</v>
      </c>
      <c r="C537" s="287" t="s">
        <v>42</v>
      </c>
      <c r="D537" s="287" t="s">
        <v>518</v>
      </c>
      <c r="E537" s="287" t="b">
        <v>1</v>
      </c>
      <c r="F537" s="287" t="b">
        <v>1</v>
      </c>
      <c r="G537" s="287" t="s">
        <v>250</v>
      </c>
      <c r="H537" s="40"/>
      <c r="I537" s="40"/>
      <c r="J537" s="40"/>
      <c r="K537" s="286"/>
      <c r="L537" s="286"/>
      <c r="M537" s="40"/>
      <c r="N537" s="40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 ht="15.75" customHeight="1">
      <c r="A538" s="287">
        <v>15977.0</v>
      </c>
      <c r="B538" s="287" t="s">
        <v>1376</v>
      </c>
      <c r="C538" s="287" t="s">
        <v>42</v>
      </c>
      <c r="D538" s="287" t="s">
        <v>518</v>
      </c>
      <c r="E538" s="287" t="b">
        <v>1</v>
      </c>
      <c r="F538" s="287" t="b">
        <v>1</v>
      </c>
      <c r="G538" s="287" t="s">
        <v>250</v>
      </c>
      <c r="H538" s="40"/>
      <c r="I538" s="40"/>
      <c r="J538" s="40"/>
      <c r="K538" s="286"/>
      <c r="L538" s="286"/>
      <c r="M538" s="40"/>
      <c r="N538" s="40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 ht="15.75" customHeight="1">
      <c r="A539" s="287">
        <v>15955.0</v>
      </c>
      <c r="B539" s="287" t="s">
        <v>1377</v>
      </c>
      <c r="C539" s="287" t="s">
        <v>42</v>
      </c>
      <c r="D539" s="287" t="s">
        <v>518</v>
      </c>
      <c r="E539" s="287" t="b">
        <v>1</v>
      </c>
      <c r="F539" s="287" t="b">
        <v>1</v>
      </c>
      <c r="G539" s="287" t="s">
        <v>250</v>
      </c>
      <c r="H539" s="40"/>
      <c r="I539" s="40"/>
      <c r="J539" s="40"/>
      <c r="K539" s="286"/>
      <c r="L539" s="286"/>
      <c r="M539" s="40"/>
      <c r="N539" s="40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 ht="15.75" customHeight="1">
      <c r="A540" s="287">
        <v>15960.0</v>
      </c>
      <c r="B540" s="287" t="s">
        <v>1378</v>
      </c>
      <c r="C540" s="287" t="s">
        <v>42</v>
      </c>
      <c r="D540" s="287" t="s">
        <v>518</v>
      </c>
      <c r="E540" s="287" t="b">
        <v>1</v>
      </c>
      <c r="F540" s="287" t="b">
        <v>1</v>
      </c>
      <c r="G540" s="287" t="s">
        <v>250</v>
      </c>
      <c r="H540" s="40"/>
      <c r="I540" s="40"/>
      <c r="J540" s="40"/>
      <c r="K540" s="286"/>
      <c r="L540" s="286"/>
      <c r="M540" s="40"/>
      <c r="N540" s="40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 ht="15.75" customHeight="1">
      <c r="A541" s="287">
        <v>24911.0</v>
      </c>
      <c r="B541" s="287" t="s">
        <v>1380</v>
      </c>
      <c r="C541" s="287" t="s">
        <v>42</v>
      </c>
      <c r="D541" s="287" t="s">
        <v>518</v>
      </c>
      <c r="E541" s="287" t="b">
        <v>1</v>
      </c>
      <c r="F541" s="287" t="b">
        <v>1</v>
      </c>
      <c r="G541" s="287" t="s">
        <v>250</v>
      </c>
      <c r="H541" s="40"/>
      <c r="I541" s="40"/>
      <c r="J541" s="40"/>
      <c r="K541" s="286"/>
      <c r="L541" s="286"/>
      <c r="M541" s="40"/>
      <c r="N541" s="40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 ht="15.75" customHeight="1">
      <c r="A542" s="287">
        <v>144832.0</v>
      </c>
      <c r="B542" s="287" t="s">
        <v>1383</v>
      </c>
      <c r="C542" s="287" t="s">
        <v>389</v>
      </c>
      <c r="D542" s="287" t="s">
        <v>518</v>
      </c>
      <c r="E542" s="287" t="b">
        <v>1</v>
      </c>
      <c r="F542" s="287" t="b">
        <v>1</v>
      </c>
      <c r="G542" s="287" t="s">
        <v>250</v>
      </c>
      <c r="H542" s="40"/>
      <c r="I542" s="40"/>
      <c r="J542" s="40"/>
      <c r="K542" s="286"/>
      <c r="L542" s="286"/>
      <c r="M542" s="40"/>
      <c r="N542" s="40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 ht="15.75" customHeight="1">
      <c r="A543" s="287">
        <v>150372.0</v>
      </c>
      <c r="B543" s="287" t="s">
        <v>2644</v>
      </c>
      <c r="C543" s="287" t="s">
        <v>42</v>
      </c>
      <c r="D543" s="287" t="s">
        <v>518</v>
      </c>
      <c r="E543" s="287" t="b">
        <v>1</v>
      </c>
      <c r="F543" s="287" t="b">
        <v>0</v>
      </c>
      <c r="G543" s="287" t="s">
        <v>250</v>
      </c>
      <c r="H543" s="40"/>
      <c r="I543" s="40"/>
      <c r="J543" s="40"/>
      <c r="K543" s="286"/>
      <c r="L543" s="286"/>
      <c r="M543" s="40"/>
      <c r="N543" s="40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 ht="15.75" customHeight="1">
      <c r="A544" s="287">
        <v>142489.0</v>
      </c>
      <c r="B544" s="287" t="s">
        <v>1388</v>
      </c>
      <c r="C544" s="287" t="s">
        <v>42</v>
      </c>
      <c r="D544" s="287" t="s">
        <v>518</v>
      </c>
      <c r="E544" s="287" t="b">
        <v>1</v>
      </c>
      <c r="F544" s="287" t="b">
        <v>1</v>
      </c>
      <c r="G544" s="287" t="s">
        <v>2613</v>
      </c>
      <c r="H544" s="40"/>
      <c r="I544" s="40"/>
      <c r="J544" s="40"/>
      <c r="K544" s="286"/>
      <c r="L544" s="286"/>
      <c r="M544" s="40"/>
      <c r="N544" s="40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 ht="15.75" customHeight="1">
      <c r="A545" s="287">
        <v>16882.0</v>
      </c>
      <c r="B545" s="287" t="s">
        <v>1391</v>
      </c>
      <c r="C545" s="287" t="s">
        <v>42</v>
      </c>
      <c r="D545" s="287" t="s">
        <v>518</v>
      </c>
      <c r="E545" s="287" t="b">
        <v>1</v>
      </c>
      <c r="F545" s="287" t="b">
        <v>1</v>
      </c>
      <c r="G545" s="287" t="s">
        <v>1392</v>
      </c>
      <c r="H545" s="40"/>
      <c r="I545" s="40"/>
      <c r="J545" s="40"/>
      <c r="K545" s="286"/>
      <c r="L545" s="286"/>
      <c r="M545" s="40"/>
      <c r="N545" s="40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 ht="15.75" customHeight="1">
      <c r="A546" s="287">
        <v>10883.0</v>
      </c>
      <c r="B546" s="287" t="s">
        <v>1393</v>
      </c>
      <c r="C546" s="287" t="s">
        <v>1396</v>
      </c>
      <c r="D546" s="287" t="s">
        <v>518</v>
      </c>
      <c r="E546" s="287" t="b">
        <v>1</v>
      </c>
      <c r="F546" s="287" t="b">
        <v>1</v>
      </c>
      <c r="G546" s="287" t="s">
        <v>250</v>
      </c>
      <c r="H546" s="40"/>
      <c r="I546" s="40"/>
      <c r="J546" s="40"/>
      <c r="K546" s="286"/>
      <c r="L546" s="286"/>
      <c r="M546" s="40"/>
      <c r="N546" s="40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 ht="15.75" customHeight="1">
      <c r="A547" s="287">
        <v>112792.0</v>
      </c>
      <c r="B547" s="287" t="s">
        <v>1397</v>
      </c>
      <c r="C547" s="287" t="s">
        <v>42</v>
      </c>
      <c r="D547" s="287" t="s">
        <v>518</v>
      </c>
      <c r="E547" s="287" t="b">
        <v>1</v>
      </c>
      <c r="F547" s="287" t="b">
        <v>1</v>
      </c>
      <c r="G547" s="287" t="s">
        <v>250</v>
      </c>
      <c r="H547" s="40"/>
      <c r="I547" s="40"/>
      <c r="J547" s="40"/>
      <c r="K547" s="286"/>
      <c r="L547" s="286"/>
      <c r="M547" s="40"/>
      <c r="N547" s="40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 ht="15.75" customHeight="1">
      <c r="A548" s="287">
        <v>112793.0</v>
      </c>
      <c r="B548" s="287" t="s">
        <v>1399</v>
      </c>
      <c r="C548" s="287" t="s">
        <v>42</v>
      </c>
      <c r="D548" s="287" t="s">
        <v>518</v>
      </c>
      <c r="E548" s="287" t="b">
        <v>1</v>
      </c>
      <c r="F548" s="287" t="b">
        <v>1</v>
      </c>
      <c r="G548" s="287" t="s">
        <v>250</v>
      </c>
      <c r="H548" s="40"/>
      <c r="I548" s="40"/>
      <c r="J548" s="40"/>
      <c r="K548" s="286"/>
      <c r="L548" s="286"/>
      <c r="M548" s="40"/>
      <c r="N548" s="40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 ht="15.75" customHeight="1">
      <c r="A549" s="287">
        <v>16869.0</v>
      </c>
      <c r="B549" s="287" t="s">
        <v>1402</v>
      </c>
      <c r="C549" s="287" t="s">
        <v>2645</v>
      </c>
      <c r="D549" s="287" t="s">
        <v>518</v>
      </c>
      <c r="E549" s="287" t="b">
        <v>1</v>
      </c>
      <c r="F549" s="287" t="b">
        <v>1</v>
      </c>
      <c r="G549" s="287" t="s">
        <v>250</v>
      </c>
      <c r="H549" s="40"/>
      <c r="I549" s="40"/>
      <c r="J549" s="40"/>
      <c r="K549" s="286"/>
      <c r="L549" s="286"/>
      <c r="M549" s="40"/>
      <c r="N549" s="40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 ht="15.75" customHeight="1">
      <c r="A550" s="287">
        <v>16885.0</v>
      </c>
      <c r="B550" s="287" t="s">
        <v>1406</v>
      </c>
      <c r="C550" s="287" t="s">
        <v>42</v>
      </c>
      <c r="D550" s="287" t="s">
        <v>518</v>
      </c>
      <c r="E550" s="287" t="b">
        <v>1</v>
      </c>
      <c r="F550" s="287" t="b">
        <v>1</v>
      </c>
      <c r="G550" s="287" t="s">
        <v>250</v>
      </c>
      <c r="H550" s="40"/>
      <c r="I550" s="40"/>
      <c r="J550" s="40"/>
      <c r="K550" s="286"/>
      <c r="L550" s="286"/>
      <c r="M550" s="40"/>
      <c r="N550" s="40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 ht="15.75" customHeight="1">
      <c r="A551" s="287">
        <v>112791.0</v>
      </c>
      <c r="B551" s="287" t="s">
        <v>1408</v>
      </c>
      <c r="C551" s="287" t="s">
        <v>42</v>
      </c>
      <c r="D551" s="287" t="s">
        <v>369</v>
      </c>
      <c r="E551" s="287" t="b">
        <v>1</v>
      </c>
      <c r="F551" s="287" t="b">
        <v>1</v>
      </c>
      <c r="G551" s="287" t="s">
        <v>250</v>
      </c>
      <c r="H551" s="40"/>
      <c r="I551" s="40"/>
      <c r="J551" s="40"/>
      <c r="K551" s="286"/>
      <c r="L551" s="286"/>
      <c r="M551" s="40"/>
      <c r="N551" s="40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 ht="15.75" customHeight="1">
      <c r="A552" s="287">
        <v>12817.0</v>
      </c>
      <c r="B552" s="287" t="s">
        <v>1411</v>
      </c>
      <c r="C552" s="287" t="s">
        <v>42</v>
      </c>
      <c r="D552" s="287" t="s">
        <v>518</v>
      </c>
      <c r="E552" s="287" t="b">
        <v>1</v>
      </c>
      <c r="F552" s="287" t="b">
        <v>1</v>
      </c>
      <c r="G552" s="287" t="s">
        <v>2646</v>
      </c>
      <c r="H552" s="40"/>
      <c r="I552" s="40"/>
      <c r="J552" s="40"/>
      <c r="K552" s="286"/>
      <c r="L552" s="286"/>
      <c r="M552" s="40"/>
      <c r="N552" s="40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 ht="15.75" customHeight="1">
      <c r="A553" s="287">
        <v>112794.0</v>
      </c>
      <c r="B553" s="287" t="s">
        <v>1413</v>
      </c>
      <c r="C553" s="287" t="s">
        <v>42</v>
      </c>
      <c r="D553" s="287" t="s">
        <v>518</v>
      </c>
      <c r="E553" s="287" t="b">
        <v>1</v>
      </c>
      <c r="F553" s="287" t="b">
        <v>1</v>
      </c>
      <c r="G553" s="287" t="s">
        <v>250</v>
      </c>
      <c r="H553" s="40"/>
      <c r="I553" s="40"/>
      <c r="J553" s="40"/>
      <c r="K553" s="286"/>
      <c r="L553" s="286"/>
      <c r="M553" s="40"/>
      <c r="N553" s="40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 ht="15.75" customHeight="1">
      <c r="A554" s="287">
        <v>111691.0</v>
      </c>
      <c r="B554" s="287" t="s">
        <v>1417</v>
      </c>
      <c r="C554" s="287" t="s">
        <v>42</v>
      </c>
      <c r="D554" s="287" t="s">
        <v>518</v>
      </c>
      <c r="E554" s="287" t="b">
        <v>1</v>
      </c>
      <c r="F554" s="287" t="b">
        <v>1</v>
      </c>
      <c r="G554" s="287" t="s">
        <v>250</v>
      </c>
      <c r="H554" s="40"/>
      <c r="I554" s="40"/>
      <c r="J554" s="40"/>
      <c r="K554" s="286"/>
      <c r="L554" s="286"/>
      <c r="M554" s="40"/>
      <c r="N554" s="40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 ht="15.75" customHeight="1">
      <c r="A555" s="287">
        <v>112721.0</v>
      </c>
      <c r="B555" s="287" t="s">
        <v>1419</v>
      </c>
      <c r="C555" s="287" t="s">
        <v>42</v>
      </c>
      <c r="D555" s="287" t="s">
        <v>518</v>
      </c>
      <c r="E555" s="287" t="b">
        <v>1</v>
      </c>
      <c r="F555" s="287" t="b">
        <v>1</v>
      </c>
      <c r="G555" s="287" t="s">
        <v>250</v>
      </c>
      <c r="H555" s="40"/>
      <c r="I555" s="40"/>
      <c r="J555" s="40"/>
      <c r="K555" s="286"/>
      <c r="L555" s="286"/>
      <c r="M555" s="40"/>
      <c r="N555" s="40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 ht="15.75" customHeight="1">
      <c r="A556" s="287">
        <v>111692.0</v>
      </c>
      <c r="B556" s="287" t="s">
        <v>1422</v>
      </c>
      <c r="C556" s="287" t="s">
        <v>42</v>
      </c>
      <c r="D556" s="287" t="s">
        <v>518</v>
      </c>
      <c r="E556" s="287" t="b">
        <v>1</v>
      </c>
      <c r="F556" s="287" t="b">
        <v>1</v>
      </c>
      <c r="G556" s="287" t="s">
        <v>250</v>
      </c>
      <c r="H556" s="40"/>
      <c r="I556" s="40"/>
      <c r="J556" s="40"/>
      <c r="K556" s="286"/>
      <c r="L556" s="286"/>
      <c r="M556" s="40"/>
      <c r="N556" s="40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 ht="15.75" customHeight="1">
      <c r="A557" s="287">
        <v>111083.0</v>
      </c>
      <c r="B557" s="287" t="s">
        <v>1425</v>
      </c>
      <c r="C557" s="287" t="s">
        <v>42</v>
      </c>
      <c r="D557" s="287" t="s">
        <v>518</v>
      </c>
      <c r="E557" s="287" t="b">
        <v>1</v>
      </c>
      <c r="F557" s="287" t="b">
        <v>1</v>
      </c>
      <c r="G557" s="287" t="s">
        <v>250</v>
      </c>
      <c r="H557" s="40"/>
      <c r="I557" s="40"/>
      <c r="J557" s="40"/>
      <c r="K557" s="286"/>
      <c r="L557" s="286"/>
      <c r="M557" s="40"/>
      <c r="N557" s="40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 ht="15.75" customHeight="1">
      <c r="A558" s="287">
        <v>16262.0</v>
      </c>
      <c r="B558" s="287" t="s">
        <v>1427</v>
      </c>
      <c r="C558" s="287" t="s">
        <v>42</v>
      </c>
      <c r="D558" s="287" t="s">
        <v>518</v>
      </c>
      <c r="E558" s="287" t="b">
        <v>1</v>
      </c>
      <c r="F558" s="287" t="b">
        <v>1</v>
      </c>
      <c r="G558" s="287" t="s">
        <v>250</v>
      </c>
      <c r="H558" s="40"/>
      <c r="I558" s="40"/>
      <c r="J558" s="40"/>
      <c r="K558" s="286"/>
      <c r="L558" s="286"/>
      <c r="M558" s="40"/>
      <c r="N558" s="40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 ht="15.75" customHeight="1">
      <c r="A559" s="287">
        <v>16304.0</v>
      </c>
      <c r="B559" s="287" t="s">
        <v>1429</v>
      </c>
      <c r="C559" s="287" t="s">
        <v>1430</v>
      </c>
      <c r="D559" s="287" t="s">
        <v>518</v>
      </c>
      <c r="E559" s="287" t="b">
        <v>1</v>
      </c>
      <c r="F559" s="287" t="b">
        <v>1</v>
      </c>
      <c r="G559" s="287" t="s">
        <v>250</v>
      </c>
      <c r="H559" s="40"/>
      <c r="I559" s="40"/>
      <c r="J559" s="40"/>
      <c r="K559" s="286"/>
      <c r="L559" s="286"/>
      <c r="M559" s="40"/>
      <c r="N559" s="40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 ht="15.75" customHeight="1">
      <c r="A560" s="287">
        <v>16250.0</v>
      </c>
      <c r="B560" s="287" t="s">
        <v>1433</v>
      </c>
      <c r="C560" s="287" t="s">
        <v>42</v>
      </c>
      <c r="D560" s="287" t="s">
        <v>518</v>
      </c>
      <c r="E560" s="287" t="b">
        <v>1</v>
      </c>
      <c r="F560" s="287" t="b">
        <v>1</v>
      </c>
      <c r="G560" s="287" t="s">
        <v>250</v>
      </c>
      <c r="H560" s="40"/>
      <c r="I560" s="40"/>
      <c r="J560" s="40"/>
      <c r="K560" s="286"/>
      <c r="L560" s="286"/>
      <c r="M560" s="40"/>
      <c r="N560" s="40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 ht="15.75" customHeight="1">
      <c r="A561" s="287">
        <v>109688.0</v>
      </c>
      <c r="B561" s="287" t="s">
        <v>1435</v>
      </c>
      <c r="C561" s="287" t="s">
        <v>1437</v>
      </c>
      <c r="D561" s="287" t="s">
        <v>518</v>
      </c>
      <c r="E561" s="287" t="b">
        <v>1</v>
      </c>
      <c r="F561" s="287" t="b">
        <v>1</v>
      </c>
      <c r="G561" s="287" t="s">
        <v>250</v>
      </c>
      <c r="H561" s="40"/>
      <c r="I561" s="40"/>
      <c r="J561" s="40"/>
      <c r="K561" s="286"/>
      <c r="L561" s="286"/>
      <c r="M561" s="40"/>
      <c r="N561" s="40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 ht="15.75" customHeight="1">
      <c r="A562" s="287">
        <v>142518.0</v>
      </c>
      <c r="B562" s="287" t="s">
        <v>2647</v>
      </c>
      <c r="C562" s="287" t="s">
        <v>42</v>
      </c>
      <c r="D562" s="287" t="s">
        <v>518</v>
      </c>
      <c r="E562" s="287" t="b">
        <v>1</v>
      </c>
      <c r="F562" s="287" t="b">
        <v>1</v>
      </c>
      <c r="G562" s="287" t="s">
        <v>2613</v>
      </c>
      <c r="H562" s="40"/>
      <c r="I562" s="40"/>
      <c r="J562" s="40"/>
      <c r="K562" s="286"/>
      <c r="L562" s="286"/>
      <c r="M562" s="40"/>
      <c r="N562" s="40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 ht="15.75" customHeight="1">
      <c r="A563" s="287">
        <v>109715.0</v>
      </c>
      <c r="B563" s="287" t="s">
        <v>2648</v>
      </c>
      <c r="C563" s="287" t="s">
        <v>389</v>
      </c>
      <c r="D563" s="287" t="s">
        <v>518</v>
      </c>
      <c r="E563" s="287" t="b">
        <v>1</v>
      </c>
      <c r="F563" s="287" t="b">
        <v>1</v>
      </c>
      <c r="G563" s="287" t="s">
        <v>250</v>
      </c>
      <c r="H563" s="40"/>
      <c r="I563" s="40"/>
      <c r="J563" s="40"/>
      <c r="K563" s="286"/>
      <c r="L563" s="286"/>
      <c r="M563" s="40"/>
      <c r="N563" s="40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 ht="15.75" customHeight="1">
      <c r="A564" s="287">
        <v>20775.0</v>
      </c>
      <c r="B564" s="287" t="s">
        <v>1441</v>
      </c>
      <c r="C564" s="287" t="s">
        <v>42</v>
      </c>
      <c r="D564" s="287" t="s">
        <v>518</v>
      </c>
      <c r="E564" s="287" t="b">
        <v>1</v>
      </c>
      <c r="F564" s="287" t="b">
        <v>1</v>
      </c>
      <c r="G564" s="287" t="s">
        <v>250</v>
      </c>
      <c r="H564" s="40"/>
      <c r="I564" s="40"/>
      <c r="J564" s="40"/>
      <c r="K564" s="286"/>
      <c r="L564" s="286"/>
      <c r="M564" s="40"/>
      <c r="N564" s="40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 ht="15.75" customHeight="1">
      <c r="A565" s="287">
        <v>111824.0</v>
      </c>
      <c r="B565" s="287" t="s">
        <v>1444</v>
      </c>
      <c r="C565" s="287" t="s">
        <v>42</v>
      </c>
      <c r="D565" s="287" t="s">
        <v>518</v>
      </c>
      <c r="E565" s="287" t="b">
        <v>1</v>
      </c>
      <c r="F565" s="287" t="b">
        <v>1</v>
      </c>
      <c r="G565" s="287" t="s">
        <v>250</v>
      </c>
      <c r="H565" s="40"/>
      <c r="I565" s="40"/>
      <c r="J565" s="40"/>
      <c r="K565" s="286"/>
      <c r="L565" s="286"/>
      <c r="M565" s="40"/>
      <c r="N565" s="40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 ht="15.75" customHeight="1">
      <c r="A566" s="287">
        <v>16290.0</v>
      </c>
      <c r="B566" s="287" t="s">
        <v>1445</v>
      </c>
      <c r="C566" s="287" t="s">
        <v>42</v>
      </c>
      <c r="D566" s="287" t="s">
        <v>518</v>
      </c>
      <c r="E566" s="287" t="b">
        <v>1</v>
      </c>
      <c r="F566" s="287" t="b">
        <v>1</v>
      </c>
      <c r="G566" s="287" t="s">
        <v>250</v>
      </c>
      <c r="H566" s="40"/>
      <c r="I566" s="40"/>
      <c r="J566" s="40"/>
      <c r="K566" s="286"/>
      <c r="L566" s="286"/>
      <c r="M566" s="40"/>
      <c r="N566" s="40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 ht="15.75" customHeight="1">
      <c r="A567" s="287">
        <v>16309.0</v>
      </c>
      <c r="B567" s="287" t="s">
        <v>1446</v>
      </c>
      <c r="C567" s="287" t="s">
        <v>42</v>
      </c>
      <c r="D567" s="287" t="s">
        <v>518</v>
      </c>
      <c r="E567" s="287" t="b">
        <v>1</v>
      </c>
      <c r="F567" s="287" t="b">
        <v>1</v>
      </c>
      <c r="G567" s="287" t="s">
        <v>250</v>
      </c>
      <c r="H567" s="40"/>
      <c r="I567" s="40"/>
      <c r="J567" s="40"/>
      <c r="K567" s="286"/>
      <c r="L567" s="286"/>
      <c r="M567" s="40"/>
      <c r="N567" s="40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 ht="15.75" customHeight="1">
      <c r="A568" s="287">
        <v>111011.0</v>
      </c>
      <c r="B568" s="287" t="s">
        <v>1447</v>
      </c>
      <c r="C568" s="287" t="s">
        <v>1448</v>
      </c>
      <c r="D568" s="287" t="s">
        <v>518</v>
      </c>
      <c r="E568" s="287" t="b">
        <v>1</v>
      </c>
      <c r="F568" s="287" t="b">
        <v>1</v>
      </c>
      <c r="G568" s="287" t="s">
        <v>250</v>
      </c>
      <c r="H568" s="40"/>
      <c r="I568" s="40"/>
      <c r="J568" s="40"/>
      <c r="K568" s="286"/>
      <c r="L568" s="286"/>
      <c r="M568" s="40"/>
      <c r="N568" s="40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 ht="15.75" customHeight="1">
      <c r="A569" s="287">
        <v>111705.0</v>
      </c>
      <c r="B569" s="287" t="s">
        <v>2649</v>
      </c>
      <c r="C569" s="287" t="s">
        <v>1250</v>
      </c>
      <c r="D569" s="287" t="s">
        <v>518</v>
      </c>
      <c r="E569" s="287" t="b">
        <v>1</v>
      </c>
      <c r="F569" s="287" t="b">
        <v>1</v>
      </c>
      <c r="G569" s="287" t="s">
        <v>250</v>
      </c>
      <c r="H569" s="40"/>
      <c r="I569" s="40"/>
      <c r="J569" s="40"/>
      <c r="K569" s="286"/>
      <c r="L569" s="286"/>
      <c r="M569" s="40"/>
      <c r="N569" s="40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 ht="15.75" customHeight="1">
      <c r="A570" s="287">
        <v>111026.0</v>
      </c>
      <c r="B570" s="287" t="s">
        <v>1451</v>
      </c>
      <c r="C570" s="287" t="s">
        <v>42</v>
      </c>
      <c r="D570" s="287" t="s">
        <v>518</v>
      </c>
      <c r="E570" s="287" t="b">
        <v>1</v>
      </c>
      <c r="F570" s="287" t="b">
        <v>1</v>
      </c>
      <c r="G570" s="287" t="s">
        <v>250</v>
      </c>
      <c r="H570" s="40"/>
      <c r="I570" s="40"/>
      <c r="J570" s="40"/>
      <c r="K570" s="286"/>
      <c r="L570" s="286"/>
      <c r="M570" s="40"/>
      <c r="N570" s="40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 ht="15.75" customHeight="1">
      <c r="A571" s="287">
        <v>35186.0</v>
      </c>
      <c r="B571" s="287" t="s">
        <v>1452</v>
      </c>
      <c r="C571" s="287" t="s">
        <v>1453</v>
      </c>
      <c r="D571" s="287" t="s">
        <v>518</v>
      </c>
      <c r="E571" s="287" t="b">
        <v>1</v>
      </c>
      <c r="F571" s="287" t="b">
        <v>1</v>
      </c>
      <c r="G571" s="287" t="s">
        <v>1454</v>
      </c>
      <c r="H571" s="40"/>
      <c r="I571" s="40"/>
      <c r="J571" s="40"/>
      <c r="K571" s="286"/>
      <c r="L571" s="286"/>
      <c r="M571" s="40"/>
      <c r="N571" s="40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 ht="15.75" customHeight="1">
      <c r="A572" s="287">
        <v>11957.0</v>
      </c>
      <c r="B572" s="287" t="s">
        <v>1455</v>
      </c>
      <c r="C572" s="287" t="s">
        <v>42</v>
      </c>
      <c r="D572" s="287" t="s">
        <v>518</v>
      </c>
      <c r="E572" s="287" t="b">
        <v>1</v>
      </c>
      <c r="F572" s="287" t="b">
        <v>1</v>
      </c>
      <c r="G572" s="287" t="s">
        <v>250</v>
      </c>
      <c r="H572" s="40"/>
      <c r="I572" s="40"/>
      <c r="J572" s="40"/>
      <c r="K572" s="286"/>
      <c r="L572" s="286"/>
      <c r="M572" s="40"/>
      <c r="N572" s="40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 ht="15.75" customHeight="1">
      <c r="A573" s="287">
        <v>48393.0</v>
      </c>
      <c r="B573" s="287" t="s">
        <v>1458</v>
      </c>
      <c r="C573" s="287" t="s">
        <v>42</v>
      </c>
      <c r="D573" s="287" t="s">
        <v>518</v>
      </c>
      <c r="E573" s="287" t="b">
        <v>1</v>
      </c>
      <c r="F573" s="287" t="b">
        <v>1</v>
      </c>
      <c r="G573" s="287" t="s">
        <v>250</v>
      </c>
      <c r="H573" s="40"/>
      <c r="I573" s="40"/>
      <c r="J573" s="40"/>
      <c r="K573" s="286"/>
      <c r="L573" s="286"/>
      <c r="M573" s="40"/>
      <c r="N573" s="40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 ht="15.75" customHeight="1">
      <c r="A574" s="287">
        <v>22328.0</v>
      </c>
      <c r="B574" s="287" t="s">
        <v>1467</v>
      </c>
      <c r="C574" s="287" t="s">
        <v>389</v>
      </c>
      <c r="D574" s="287" t="s">
        <v>518</v>
      </c>
      <c r="E574" s="287" t="b">
        <v>1</v>
      </c>
      <c r="F574" s="287" t="b">
        <v>1</v>
      </c>
      <c r="G574" s="287" t="s">
        <v>250</v>
      </c>
      <c r="H574" s="40"/>
      <c r="I574" s="40"/>
      <c r="J574" s="40"/>
      <c r="K574" s="286"/>
      <c r="L574" s="286"/>
      <c r="M574" s="40"/>
      <c r="N574" s="40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 ht="15.75" customHeight="1">
      <c r="A575" s="287">
        <v>16308.0</v>
      </c>
      <c r="B575" s="287" t="s">
        <v>1460</v>
      </c>
      <c r="C575" s="287" t="s">
        <v>42</v>
      </c>
      <c r="D575" s="287" t="s">
        <v>518</v>
      </c>
      <c r="E575" s="287" t="b">
        <v>1</v>
      </c>
      <c r="F575" s="287" t="b">
        <v>1</v>
      </c>
      <c r="G575" s="287" t="s">
        <v>250</v>
      </c>
      <c r="H575" s="40"/>
      <c r="I575" s="40"/>
      <c r="J575" s="40"/>
      <c r="K575" s="286"/>
      <c r="L575" s="286"/>
      <c r="M575" s="40"/>
      <c r="N575" s="40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 ht="15.75" customHeight="1">
      <c r="A576" s="287">
        <v>110039.0</v>
      </c>
      <c r="B576" s="287" t="s">
        <v>1462</v>
      </c>
      <c r="C576" s="287" t="s">
        <v>65</v>
      </c>
      <c r="D576" s="287" t="s">
        <v>518</v>
      </c>
      <c r="E576" s="287" t="b">
        <v>1</v>
      </c>
      <c r="F576" s="287" t="b">
        <v>1</v>
      </c>
      <c r="G576" s="287" t="s">
        <v>250</v>
      </c>
      <c r="H576" s="40"/>
      <c r="I576" s="40"/>
      <c r="J576" s="40"/>
      <c r="K576" s="286"/>
      <c r="L576" s="286"/>
      <c r="M576" s="40"/>
      <c r="N576" s="40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 ht="15.75" customHeight="1">
      <c r="A577" s="287">
        <v>16252.0</v>
      </c>
      <c r="B577" s="287" t="s">
        <v>1469</v>
      </c>
      <c r="C577" s="287" t="s">
        <v>42</v>
      </c>
      <c r="D577" s="287" t="s">
        <v>518</v>
      </c>
      <c r="E577" s="287" t="b">
        <v>1</v>
      </c>
      <c r="F577" s="287" t="b">
        <v>1</v>
      </c>
      <c r="G577" s="287" t="s">
        <v>250</v>
      </c>
      <c r="H577" s="40"/>
      <c r="I577" s="40"/>
      <c r="J577" s="40"/>
      <c r="K577" s="286"/>
      <c r="L577" s="286"/>
      <c r="M577" s="40"/>
      <c r="N577" s="40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 ht="15.75" customHeight="1">
      <c r="A578" s="287">
        <v>16265.0</v>
      </c>
      <c r="B578" s="287" t="s">
        <v>1470</v>
      </c>
      <c r="C578" s="287" t="s">
        <v>42</v>
      </c>
      <c r="D578" s="287" t="s">
        <v>518</v>
      </c>
      <c r="E578" s="287" t="b">
        <v>1</v>
      </c>
      <c r="F578" s="287" t="b">
        <v>1</v>
      </c>
      <c r="G578" s="287" t="s">
        <v>250</v>
      </c>
      <c r="H578" s="40"/>
      <c r="I578" s="40"/>
      <c r="J578" s="40"/>
      <c r="K578" s="286"/>
      <c r="L578" s="286"/>
      <c r="M578" s="40"/>
      <c r="N578" s="40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 ht="15.75" customHeight="1">
      <c r="A579" s="287">
        <v>16253.0</v>
      </c>
      <c r="B579" s="287" t="s">
        <v>1472</v>
      </c>
      <c r="C579" s="287" t="s">
        <v>42</v>
      </c>
      <c r="D579" s="287" t="s">
        <v>518</v>
      </c>
      <c r="E579" s="287" t="b">
        <v>1</v>
      </c>
      <c r="F579" s="287" t="b">
        <v>1</v>
      </c>
      <c r="G579" s="287" t="s">
        <v>250</v>
      </c>
      <c r="H579" s="40"/>
      <c r="I579" s="40"/>
      <c r="J579" s="40"/>
      <c r="K579" s="286"/>
      <c r="L579" s="286"/>
      <c r="M579" s="40"/>
      <c r="N579" s="40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 ht="15.75" customHeight="1">
      <c r="A580" s="287">
        <v>16267.0</v>
      </c>
      <c r="B580" s="287" t="s">
        <v>1474</v>
      </c>
      <c r="C580" s="287" t="s">
        <v>42</v>
      </c>
      <c r="D580" s="287" t="s">
        <v>518</v>
      </c>
      <c r="E580" s="287" t="b">
        <v>1</v>
      </c>
      <c r="F580" s="287" t="b">
        <v>1</v>
      </c>
      <c r="G580" s="287" t="s">
        <v>250</v>
      </c>
      <c r="H580" s="40"/>
      <c r="I580" s="40"/>
      <c r="J580" s="40"/>
      <c r="K580" s="286"/>
      <c r="L580" s="286"/>
      <c r="M580" s="40"/>
      <c r="N580" s="40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 ht="15.75" customHeight="1">
      <c r="A581" s="287">
        <v>109946.0</v>
      </c>
      <c r="B581" s="287" t="s">
        <v>2127</v>
      </c>
      <c r="C581" s="287" t="s">
        <v>42</v>
      </c>
      <c r="D581" s="287" t="s">
        <v>518</v>
      </c>
      <c r="E581" s="287" t="b">
        <v>1</v>
      </c>
      <c r="F581" s="287" t="b">
        <v>1</v>
      </c>
      <c r="G581" s="287" t="s">
        <v>250</v>
      </c>
      <c r="H581" s="40"/>
      <c r="I581" s="40"/>
      <c r="J581" s="40"/>
      <c r="K581" s="286"/>
      <c r="L581" s="286"/>
      <c r="M581" s="40"/>
      <c r="N581" s="40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 ht="15.75" customHeight="1">
      <c r="A582" s="287">
        <v>40584.0</v>
      </c>
      <c r="B582" s="287" t="s">
        <v>1475</v>
      </c>
      <c r="C582" s="287" t="s">
        <v>42</v>
      </c>
      <c r="D582" s="287" t="s">
        <v>518</v>
      </c>
      <c r="E582" s="287" t="b">
        <v>1</v>
      </c>
      <c r="F582" s="287" t="b">
        <v>1</v>
      </c>
      <c r="G582" s="287" t="s">
        <v>250</v>
      </c>
      <c r="H582" s="40"/>
      <c r="I582" s="40"/>
      <c r="J582" s="40"/>
      <c r="K582" s="286"/>
      <c r="L582" s="286"/>
      <c r="M582" s="40"/>
      <c r="N582" s="40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 ht="15.75" customHeight="1">
      <c r="A583" s="287">
        <v>16254.0</v>
      </c>
      <c r="B583" s="287" t="s">
        <v>1476</v>
      </c>
      <c r="C583" s="287" t="s">
        <v>42</v>
      </c>
      <c r="D583" s="287" t="s">
        <v>518</v>
      </c>
      <c r="E583" s="287" t="b">
        <v>1</v>
      </c>
      <c r="F583" s="287" t="b">
        <v>1</v>
      </c>
      <c r="G583" s="287" t="s">
        <v>250</v>
      </c>
      <c r="H583" s="40"/>
      <c r="I583" s="40"/>
      <c r="J583" s="40"/>
      <c r="K583" s="286"/>
      <c r="L583" s="286"/>
      <c r="M583" s="40"/>
      <c r="N583" s="40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 ht="15.75" customHeight="1">
      <c r="A584" s="287">
        <v>16289.0</v>
      </c>
      <c r="B584" s="287" t="s">
        <v>1477</v>
      </c>
      <c r="C584" s="287" t="s">
        <v>42</v>
      </c>
      <c r="D584" s="287" t="s">
        <v>518</v>
      </c>
      <c r="E584" s="287" t="b">
        <v>1</v>
      </c>
      <c r="F584" s="287" t="b">
        <v>1</v>
      </c>
      <c r="G584" s="287" t="s">
        <v>250</v>
      </c>
      <c r="H584" s="40"/>
      <c r="I584" s="40"/>
      <c r="J584" s="40"/>
      <c r="K584" s="286"/>
      <c r="L584" s="286"/>
      <c r="M584" s="40"/>
      <c r="N584" s="40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 ht="15.75" customHeight="1">
      <c r="A585" s="287">
        <v>16288.0</v>
      </c>
      <c r="B585" s="287" t="s">
        <v>1479</v>
      </c>
      <c r="C585" s="287" t="s">
        <v>42</v>
      </c>
      <c r="D585" s="287" t="s">
        <v>518</v>
      </c>
      <c r="E585" s="287" t="b">
        <v>1</v>
      </c>
      <c r="F585" s="287" t="b">
        <v>1</v>
      </c>
      <c r="G585" s="287" t="s">
        <v>250</v>
      </c>
      <c r="H585" s="40"/>
      <c r="I585" s="40"/>
      <c r="J585" s="40"/>
      <c r="K585" s="286"/>
      <c r="L585" s="286"/>
      <c r="M585" s="40"/>
      <c r="N585" s="40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 ht="15.75" customHeight="1">
      <c r="A586" s="287">
        <v>16256.0</v>
      </c>
      <c r="B586" s="287" t="s">
        <v>1480</v>
      </c>
      <c r="C586" s="287" t="s">
        <v>42</v>
      </c>
      <c r="D586" s="287" t="s">
        <v>518</v>
      </c>
      <c r="E586" s="287" t="b">
        <v>1</v>
      </c>
      <c r="F586" s="287" t="b">
        <v>1</v>
      </c>
      <c r="G586" s="287" t="s">
        <v>250</v>
      </c>
      <c r="H586" s="40"/>
      <c r="I586" s="40"/>
      <c r="J586" s="40"/>
      <c r="K586" s="286"/>
      <c r="L586" s="286"/>
      <c r="M586" s="40"/>
      <c r="N586" s="40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 ht="15.75" customHeight="1">
      <c r="A587" s="287">
        <v>16264.0</v>
      </c>
      <c r="B587" s="287" t="s">
        <v>1481</v>
      </c>
      <c r="C587" s="287" t="s">
        <v>42</v>
      </c>
      <c r="D587" s="287" t="s">
        <v>518</v>
      </c>
      <c r="E587" s="287" t="b">
        <v>1</v>
      </c>
      <c r="F587" s="287" t="b">
        <v>1</v>
      </c>
      <c r="G587" s="287" t="s">
        <v>250</v>
      </c>
      <c r="H587" s="40"/>
      <c r="I587" s="40"/>
      <c r="J587" s="40"/>
      <c r="K587" s="286"/>
      <c r="L587" s="286"/>
      <c r="M587" s="40"/>
      <c r="N587" s="40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 ht="15.75" customHeight="1">
      <c r="A588" s="287">
        <v>16257.0</v>
      </c>
      <c r="B588" s="287" t="s">
        <v>1483</v>
      </c>
      <c r="C588" s="287" t="s">
        <v>42</v>
      </c>
      <c r="D588" s="287" t="s">
        <v>518</v>
      </c>
      <c r="E588" s="287" t="b">
        <v>1</v>
      </c>
      <c r="F588" s="287" t="b">
        <v>1</v>
      </c>
      <c r="G588" s="287" t="s">
        <v>250</v>
      </c>
      <c r="H588" s="40"/>
      <c r="I588" s="40"/>
      <c r="J588" s="40"/>
      <c r="K588" s="286"/>
      <c r="L588" s="286"/>
      <c r="M588" s="40"/>
      <c r="N588" s="40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 ht="15.75" customHeight="1">
      <c r="A589" s="287">
        <v>16259.0</v>
      </c>
      <c r="B589" s="287" t="s">
        <v>1487</v>
      </c>
      <c r="C589" s="287" t="s">
        <v>42</v>
      </c>
      <c r="D589" s="287" t="s">
        <v>518</v>
      </c>
      <c r="E589" s="287" t="b">
        <v>1</v>
      </c>
      <c r="F589" s="287" t="b">
        <v>1</v>
      </c>
      <c r="G589" s="287" t="s">
        <v>250</v>
      </c>
      <c r="H589" s="40"/>
      <c r="I589" s="40"/>
      <c r="J589" s="40"/>
      <c r="K589" s="286"/>
      <c r="L589" s="286"/>
      <c r="M589" s="40"/>
      <c r="N589" s="40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 ht="15.75" customHeight="1">
      <c r="A590" s="287">
        <v>31226.0</v>
      </c>
      <c r="B590" s="287" t="s">
        <v>2650</v>
      </c>
      <c r="C590" s="287" t="s">
        <v>42</v>
      </c>
      <c r="D590" s="287" t="s">
        <v>518</v>
      </c>
      <c r="E590" s="287" t="b">
        <v>1</v>
      </c>
      <c r="F590" s="287" t="b">
        <v>1</v>
      </c>
      <c r="G590" s="287" t="s">
        <v>250</v>
      </c>
      <c r="H590" s="40"/>
      <c r="I590" s="40"/>
      <c r="J590" s="40"/>
      <c r="K590" s="286"/>
      <c r="L590" s="286"/>
      <c r="M590" s="40"/>
      <c r="N590" s="40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 ht="15.75" customHeight="1">
      <c r="A591" s="287">
        <v>16337.0</v>
      </c>
      <c r="B591" s="287" t="s">
        <v>1491</v>
      </c>
      <c r="C591" s="287" t="s">
        <v>42</v>
      </c>
      <c r="D591" s="287" t="s">
        <v>518</v>
      </c>
      <c r="E591" s="287" t="b">
        <v>1</v>
      </c>
      <c r="F591" s="287" t="b">
        <v>1</v>
      </c>
      <c r="G591" s="287" t="s">
        <v>250</v>
      </c>
      <c r="H591" s="40"/>
      <c r="I591" s="40"/>
      <c r="J591" s="40"/>
      <c r="K591" s="286"/>
      <c r="L591" s="286"/>
      <c r="M591" s="40"/>
      <c r="N591" s="40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 ht="15.75" customHeight="1">
      <c r="A592" s="287">
        <v>16260.0</v>
      </c>
      <c r="B592" s="287" t="s">
        <v>1494</v>
      </c>
      <c r="C592" s="287" t="s">
        <v>42</v>
      </c>
      <c r="D592" s="287" t="s">
        <v>518</v>
      </c>
      <c r="E592" s="287" t="b">
        <v>1</v>
      </c>
      <c r="F592" s="287" t="b">
        <v>1</v>
      </c>
      <c r="G592" s="287" t="s">
        <v>250</v>
      </c>
      <c r="H592" s="40"/>
      <c r="I592" s="40"/>
      <c r="J592" s="40"/>
      <c r="K592" s="286"/>
      <c r="L592" s="286"/>
      <c r="M592" s="40"/>
      <c r="N592" s="40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 ht="15.75" customHeight="1">
      <c r="A593" s="287">
        <v>16261.0</v>
      </c>
      <c r="B593" s="287" t="s">
        <v>1496</v>
      </c>
      <c r="C593" s="287" t="s">
        <v>42</v>
      </c>
      <c r="D593" s="287" t="s">
        <v>518</v>
      </c>
      <c r="E593" s="287" t="b">
        <v>1</v>
      </c>
      <c r="F593" s="287" t="b">
        <v>1</v>
      </c>
      <c r="G593" s="287" t="s">
        <v>250</v>
      </c>
      <c r="H593" s="40"/>
      <c r="I593" s="40"/>
      <c r="J593" s="40"/>
      <c r="K593" s="286"/>
      <c r="L593" s="286"/>
      <c r="M593" s="40"/>
      <c r="N593" s="40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 ht="15.75" customHeight="1">
      <c r="A594" s="287">
        <v>110091.0</v>
      </c>
      <c r="B594" s="287" t="s">
        <v>1497</v>
      </c>
      <c r="C594" s="287" t="s">
        <v>2651</v>
      </c>
      <c r="D594" s="287" t="s">
        <v>518</v>
      </c>
      <c r="E594" s="287" t="b">
        <v>1</v>
      </c>
      <c r="F594" s="287" t="b">
        <v>1</v>
      </c>
      <c r="G594" s="287" t="s">
        <v>250</v>
      </c>
      <c r="H594" s="40"/>
      <c r="I594" s="40"/>
      <c r="J594" s="40"/>
      <c r="K594" s="286"/>
      <c r="L594" s="286"/>
      <c r="M594" s="40"/>
      <c r="N594" s="40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 ht="15.75" customHeight="1">
      <c r="A595" s="287">
        <v>16306.0</v>
      </c>
      <c r="B595" s="287" t="s">
        <v>1501</v>
      </c>
      <c r="C595" s="287" t="s">
        <v>42</v>
      </c>
      <c r="D595" s="287" t="s">
        <v>518</v>
      </c>
      <c r="E595" s="287" t="b">
        <v>1</v>
      </c>
      <c r="F595" s="287" t="b">
        <v>1</v>
      </c>
      <c r="G595" s="287" t="s">
        <v>250</v>
      </c>
      <c r="H595" s="40"/>
      <c r="I595" s="40"/>
      <c r="J595" s="40"/>
      <c r="K595" s="286"/>
      <c r="L595" s="286"/>
      <c r="M595" s="40"/>
      <c r="N595" s="40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 ht="15.75" customHeight="1">
      <c r="A596" s="287">
        <v>142508.0</v>
      </c>
      <c r="B596" s="287" t="s">
        <v>1503</v>
      </c>
      <c r="C596" s="287" t="s">
        <v>42</v>
      </c>
      <c r="D596" s="287" t="s">
        <v>518</v>
      </c>
      <c r="E596" s="287" t="b">
        <v>1</v>
      </c>
      <c r="F596" s="287" t="b">
        <v>1</v>
      </c>
      <c r="G596" s="287" t="s">
        <v>250</v>
      </c>
      <c r="H596" s="40"/>
      <c r="I596" s="40"/>
      <c r="J596" s="40"/>
      <c r="K596" s="286"/>
      <c r="L596" s="286"/>
      <c r="M596" s="40"/>
      <c r="N596" s="40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 ht="15.75" customHeight="1">
      <c r="A597" s="287">
        <v>16258.0</v>
      </c>
      <c r="B597" s="287" t="s">
        <v>1508</v>
      </c>
      <c r="C597" s="287" t="s">
        <v>42</v>
      </c>
      <c r="D597" s="287" t="s">
        <v>518</v>
      </c>
      <c r="E597" s="287" t="b">
        <v>1</v>
      </c>
      <c r="F597" s="287" t="b">
        <v>1</v>
      </c>
      <c r="G597" s="287" t="s">
        <v>250</v>
      </c>
      <c r="H597" s="40"/>
      <c r="I597" s="40"/>
      <c r="J597" s="40"/>
      <c r="K597" s="286"/>
      <c r="L597" s="286"/>
      <c r="M597" s="40"/>
      <c r="N597" s="40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 ht="15.75" customHeight="1">
      <c r="A598" s="287">
        <v>16320.0</v>
      </c>
      <c r="B598" s="287" t="s">
        <v>1511</v>
      </c>
      <c r="C598" s="287" t="s">
        <v>42</v>
      </c>
      <c r="D598" s="287" t="s">
        <v>518</v>
      </c>
      <c r="E598" s="287" t="b">
        <v>1</v>
      </c>
      <c r="F598" s="287" t="b">
        <v>1</v>
      </c>
      <c r="G598" s="287" t="s">
        <v>1074</v>
      </c>
      <c r="H598" s="40"/>
      <c r="I598" s="40"/>
      <c r="J598" s="40"/>
      <c r="K598" s="286"/>
      <c r="L598" s="286"/>
      <c r="M598" s="40"/>
      <c r="N598" s="40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 ht="15.75" customHeight="1">
      <c r="A599" s="287">
        <v>142509.0</v>
      </c>
      <c r="B599" s="287" t="s">
        <v>2652</v>
      </c>
      <c r="C599" s="287" t="s">
        <v>42</v>
      </c>
      <c r="D599" s="287" t="s">
        <v>518</v>
      </c>
      <c r="E599" s="287" t="b">
        <v>1</v>
      </c>
      <c r="F599" s="287" t="b">
        <v>1</v>
      </c>
      <c r="G599" s="287" t="s">
        <v>250</v>
      </c>
      <c r="H599" s="40"/>
      <c r="I599" s="40"/>
      <c r="J599" s="40"/>
      <c r="K599" s="286"/>
      <c r="L599" s="286"/>
      <c r="M599" s="40"/>
      <c r="N599" s="40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 ht="15.75" customHeight="1">
      <c r="A600" s="287">
        <v>16266.0</v>
      </c>
      <c r="B600" s="287" t="s">
        <v>1515</v>
      </c>
      <c r="C600" s="287" t="s">
        <v>1428</v>
      </c>
      <c r="D600" s="287" t="s">
        <v>518</v>
      </c>
      <c r="E600" s="287" t="b">
        <v>1</v>
      </c>
      <c r="F600" s="287" t="b">
        <v>1</v>
      </c>
      <c r="G600" s="287" t="s">
        <v>1074</v>
      </c>
      <c r="H600" s="40"/>
      <c r="I600" s="40"/>
      <c r="J600" s="40"/>
      <c r="K600" s="286"/>
      <c r="L600" s="286"/>
      <c r="M600" s="40"/>
      <c r="N600" s="40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 ht="15.75" customHeight="1">
      <c r="A601" s="287">
        <v>18644.0</v>
      </c>
      <c r="B601" s="287" t="s">
        <v>1516</v>
      </c>
      <c r="C601" s="287" t="s">
        <v>1520</v>
      </c>
      <c r="D601" s="287" t="s">
        <v>518</v>
      </c>
      <c r="E601" s="287" t="b">
        <v>1</v>
      </c>
      <c r="F601" s="287" t="b">
        <v>1</v>
      </c>
      <c r="G601" s="287" t="s">
        <v>1074</v>
      </c>
      <c r="H601" s="40"/>
      <c r="I601" s="40"/>
      <c r="J601" s="40"/>
      <c r="K601" s="286"/>
      <c r="L601" s="286"/>
      <c r="M601" s="40"/>
      <c r="N601" s="40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 ht="15.75" customHeight="1">
      <c r="A602" s="287">
        <v>142069.0</v>
      </c>
      <c r="B602" s="287" t="s">
        <v>1521</v>
      </c>
      <c r="C602" s="287" t="s">
        <v>42</v>
      </c>
      <c r="D602" s="287" t="s">
        <v>518</v>
      </c>
      <c r="E602" s="287" t="b">
        <v>1</v>
      </c>
      <c r="F602" s="287" t="b">
        <v>1</v>
      </c>
      <c r="G602" s="287" t="s">
        <v>250</v>
      </c>
      <c r="H602" s="40"/>
      <c r="I602" s="40"/>
      <c r="J602" s="40"/>
      <c r="K602" s="286"/>
      <c r="L602" s="286"/>
      <c r="M602" s="40"/>
      <c r="N602" s="40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 ht="15.75" customHeight="1">
      <c r="A603" s="287">
        <v>62951.0</v>
      </c>
      <c r="B603" s="287" t="s">
        <v>1522</v>
      </c>
      <c r="C603" s="287" t="s">
        <v>42</v>
      </c>
      <c r="D603" s="287" t="s">
        <v>518</v>
      </c>
      <c r="E603" s="287" t="b">
        <v>1</v>
      </c>
      <c r="F603" s="287" t="b">
        <v>1</v>
      </c>
      <c r="G603" s="287" t="s">
        <v>250</v>
      </c>
      <c r="H603" s="40"/>
      <c r="I603" s="40"/>
      <c r="J603" s="40"/>
      <c r="K603" s="286"/>
      <c r="L603" s="286"/>
      <c r="M603" s="40"/>
      <c r="N603" s="40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 ht="15.75" customHeight="1">
      <c r="A604" s="287">
        <v>16268.0</v>
      </c>
      <c r="B604" s="287" t="s">
        <v>1523</v>
      </c>
      <c r="C604" s="287" t="s">
        <v>1524</v>
      </c>
      <c r="D604" s="287" t="s">
        <v>518</v>
      </c>
      <c r="E604" s="287" t="b">
        <v>1</v>
      </c>
      <c r="F604" s="287" t="b">
        <v>1</v>
      </c>
      <c r="G604" s="287" t="s">
        <v>250</v>
      </c>
      <c r="H604" s="40"/>
      <c r="I604" s="40"/>
      <c r="J604" s="40"/>
      <c r="K604" s="286"/>
      <c r="L604" s="286"/>
      <c r="M604" s="40"/>
      <c r="N604" s="40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 ht="15.75" customHeight="1">
      <c r="A605" s="287">
        <v>106302.0</v>
      </c>
      <c r="B605" s="287" t="s">
        <v>1525</v>
      </c>
      <c r="C605" s="287" t="s">
        <v>65</v>
      </c>
      <c r="D605" s="287" t="s">
        <v>518</v>
      </c>
      <c r="E605" s="287" t="b">
        <v>1</v>
      </c>
      <c r="F605" s="287" t="b">
        <v>1</v>
      </c>
      <c r="G605" s="287" t="s">
        <v>1251</v>
      </c>
      <c r="H605" s="40"/>
      <c r="I605" s="40"/>
      <c r="J605" s="40"/>
      <c r="K605" s="286"/>
      <c r="L605" s="286"/>
      <c r="M605" s="40"/>
      <c r="N605" s="40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 ht="15.75" customHeight="1">
      <c r="A606" s="287">
        <v>111038.0</v>
      </c>
      <c r="B606" s="287" t="s">
        <v>2653</v>
      </c>
      <c r="C606" s="287" t="s">
        <v>972</v>
      </c>
      <c r="D606" s="287" t="s">
        <v>518</v>
      </c>
      <c r="E606" s="287" t="b">
        <v>1</v>
      </c>
      <c r="F606" s="287" t="b">
        <v>0</v>
      </c>
      <c r="G606" s="287" t="s">
        <v>250</v>
      </c>
      <c r="H606" s="40"/>
      <c r="I606" s="40"/>
      <c r="J606" s="40"/>
      <c r="K606" s="286"/>
      <c r="L606" s="286"/>
      <c r="M606" s="40"/>
      <c r="N606" s="40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 ht="15.75" customHeight="1">
      <c r="A607" s="287">
        <v>142507.0</v>
      </c>
      <c r="B607" s="287" t="s">
        <v>1527</v>
      </c>
      <c r="C607" s="287" t="s">
        <v>42</v>
      </c>
      <c r="D607" s="287" t="s">
        <v>518</v>
      </c>
      <c r="E607" s="287" t="b">
        <v>1</v>
      </c>
      <c r="F607" s="287" t="b">
        <v>1</v>
      </c>
      <c r="G607" s="287" t="s">
        <v>2613</v>
      </c>
      <c r="H607" s="40"/>
      <c r="I607" s="40"/>
      <c r="J607" s="40"/>
      <c r="K607" s="286"/>
      <c r="L607" s="286"/>
      <c r="M607" s="40"/>
      <c r="N607" s="40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 ht="15.75" customHeight="1">
      <c r="A608" s="287">
        <v>109697.0</v>
      </c>
      <c r="B608" s="287" t="s">
        <v>1529</v>
      </c>
      <c r="C608" s="287" t="s">
        <v>389</v>
      </c>
      <c r="D608" s="287" t="s">
        <v>518</v>
      </c>
      <c r="E608" s="287" t="b">
        <v>1</v>
      </c>
      <c r="F608" s="287" t="b">
        <v>1</v>
      </c>
      <c r="G608" s="287" t="s">
        <v>250</v>
      </c>
      <c r="H608" s="40"/>
      <c r="I608" s="40"/>
      <c r="J608" s="40"/>
      <c r="K608" s="286"/>
      <c r="L608" s="286"/>
      <c r="M608" s="40"/>
      <c r="N608" s="40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 ht="15.75" customHeight="1">
      <c r="A609" s="287">
        <v>16269.0</v>
      </c>
      <c r="B609" s="287" t="s">
        <v>1531</v>
      </c>
      <c r="C609" s="287" t="s">
        <v>42</v>
      </c>
      <c r="D609" s="287" t="s">
        <v>518</v>
      </c>
      <c r="E609" s="287" t="b">
        <v>1</v>
      </c>
      <c r="F609" s="287" t="b">
        <v>1</v>
      </c>
      <c r="G609" s="287" t="s">
        <v>250</v>
      </c>
      <c r="H609" s="40"/>
      <c r="I609" s="40"/>
      <c r="J609" s="40"/>
      <c r="K609" s="286"/>
      <c r="L609" s="286"/>
      <c r="M609" s="40"/>
      <c r="N609" s="40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 ht="15.75" customHeight="1">
      <c r="A610" s="287">
        <v>112723.0</v>
      </c>
      <c r="B610" s="287" t="s">
        <v>1532</v>
      </c>
      <c r="C610" s="287" t="s">
        <v>1534</v>
      </c>
      <c r="D610" s="287" t="s">
        <v>518</v>
      </c>
      <c r="E610" s="287" t="b">
        <v>1</v>
      </c>
      <c r="F610" s="287" t="b">
        <v>1</v>
      </c>
      <c r="G610" s="287" t="s">
        <v>2654</v>
      </c>
      <c r="H610" s="40"/>
      <c r="I610" s="40"/>
      <c r="J610" s="40"/>
      <c r="K610" s="286"/>
      <c r="L610" s="286"/>
      <c r="M610" s="40"/>
      <c r="N610" s="40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 ht="15.75" customHeight="1">
      <c r="A611" s="287">
        <v>16239.0</v>
      </c>
      <c r="B611" s="287" t="s">
        <v>1536</v>
      </c>
      <c r="C611" s="287" t="s">
        <v>2655</v>
      </c>
      <c r="D611" s="287" t="s">
        <v>518</v>
      </c>
      <c r="E611" s="287" t="b">
        <v>1</v>
      </c>
      <c r="F611" s="287" t="b">
        <v>1</v>
      </c>
      <c r="G611" s="287" t="s">
        <v>250</v>
      </c>
      <c r="H611" s="40"/>
      <c r="I611" s="40"/>
      <c r="J611" s="40"/>
      <c r="K611" s="286"/>
      <c r="L611" s="286"/>
      <c r="M611" s="40"/>
      <c r="N611" s="40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 ht="15.75" customHeight="1">
      <c r="A612" s="287">
        <v>16238.0</v>
      </c>
      <c r="B612" s="287" t="s">
        <v>1539</v>
      </c>
      <c r="C612" s="287" t="s">
        <v>2655</v>
      </c>
      <c r="D612" s="287" t="s">
        <v>518</v>
      </c>
      <c r="E612" s="287" t="b">
        <v>1</v>
      </c>
      <c r="F612" s="287" t="b">
        <v>1</v>
      </c>
      <c r="G612" s="287" t="s">
        <v>1074</v>
      </c>
      <c r="H612" s="40"/>
      <c r="I612" s="40"/>
      <c r="J612" s="40"/>
      <c r="K612" s="286"/>
      <c r="L612" s="286"/>
      <c r="M612" s="40"/>
      <c r="N612" s="40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 ht="15.75" customHeight="1">
      <c r="A613" s="287">
        <v>108553.0</v>
      </c>
      <c r="B613" s="287" t="s">
        <v>1540</v>
      </c>
      <c r="C613" s="287" t="s">
        <v>389</v>
      </c>
      <c r="D613" s="287" t="s">
        <v>518</v>
      </c>
      <c r="E613" s="287" t="b">
        <v>1</v>
      </c>
      <c r="F613" s="287" t="b">
        <v>1</v>
      </c>
      <c r="G613" s="287" t="s">
        <v>250</v>
      </c>
      <c r="H613" s="40"/>
      <c r="I613" s="40"/>
      <c r="J613" s="40"/>
      <c r="K613" s="286"/>
      <c r="L613" s="286"/>
      <c r="M613" s="40"/>
      <c r="N613" s="40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 ht="15.75" customHeight="1">
      <c r="A614" s="287">
        <v>33681.0</v>
      </c>
      <c r="B614" s="287" t="s">
        <v>1541</v>
      </c>
      <c r="C614" s="287" t="s">
        <v>42</v>
      </c>
      <c r="D614" s="287" t="s">
        <v>518</v>
      </c>
      <c r="E614" s="287" t="b">
        <v>1</v>
      </c>
      <c r="F614" s="287" t="b">
        <v>1</v>
      </c>
      <c r="G614" s="287" t="s">
        <v>250</v>
      </c>
      <c r="H614" s="40"/>
      <c r="I614" s="40"/>
      <c r="J614" s="40"/>
      <c r="K614" s="286"/>
      <c r="L614" s="286"/>
      <c r="M614" s="40"/>
      <c r="N614" s="40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 ht="15.75" customHeight="1">
      <c r="A615" s="287">
        <v>16302.0</v>
      </c>
      <c r="B615" s="287" t="s">
        <v>1542</v>
      </c>
      <c r="C615" s="287" t="s">
        <v>42</v>
      </c>
      <c r="D615" s="287" t="s">
        <v>518</v>
      </c>
      <c r="E615" s="287" t="b">
        <v>1</v>
      </c>
      <c r="F615" s="287" t="b">
        <v>1</v>
      </c>
      <c r="G615" s="287" t="s">
        <v>250</v>
      </c>
      <c r="H615" s="40"/>
      <c r="I615" s="40"/>
      <c r="J615" s="40"/>
      <c r="K615" s="286"/>
      <c r="L615" s="286"/>
      <c r="M615" s="40"/>
      <c r="N615" s="40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 ht="15.75" customHeight="1">
      <c r="A616" s="287">
        <v>111695.0</v>
      </c>
      <c r="B616" s="287" t="s">
        <v>1543</v>
      </c>
      <c r="C616" s="287" t="s">
        <v>42</v>
      </c>
      <c r="D616" s="287" t="s">
        <v>518</v>
      </c>
      <c r="E616" s="287" t="b">
        <v>1</v>
      </c>
      <c r="F616" s="287" t="b">
        <v>1</v>
      </c>
      <c r="G616" s="287" t="s">
        <v>250</v>
      </c>
      <c r="H616" s="40"/>
      <c r="I616" s="40"/>
      <c r="J616" s="40"/>
      <c r="K616" s="286"/>
      <c r="L616" s="286"/>
      <c r="M616" s="40"/>
      <c r="N616" s="40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 ht="15.75" customHeight="1">
      <c r="A617" s="287">
        <v>111696.0</v>
      </c>
      <c r="B617" s="287" t="s">
        <v>1545</v>
      </c>
      <c r="C617" s="287" t="s">
        <v>42</v>
      </c>
      <c r="D617" s="287" t="s">
        <v>518</v>
      </c>
      <c r="E617" s="287" t="b">
        <v>1</v>
      </c>
      <c r="F617" s="287" t="b">
        <v>1</v>
      </c>
      <c r="G617" s="287" t="s">
        <v>250</v>
      </c>
      <c r="H617" s="40"/>
      <c r="I617" s="40"/>
      <c r="J617" s="40"/>
      <c r="K617" s="286"/>
      <c r="L617" s="286"/>
      <c r="M617" s="40"/>
      <c r="N617" s="40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 ht="15.75" customHeight="1">
      <c r="A618" s="287">
        <v>111701.0</v>
      </c>
      <c r="B618" s="287" t="s">
        <v>1546</v>
      </c>
      <c r="C618" s="287" t="s">
        <v>42</v>
      </c>
      <c r="D618" s="287" t="s">
        <v>518</v>
      </c>
      <c r="E618" s="287" t="b">
        <v>1</v>
      </c>
      <c r="F618" s="287" t="b">
        <v>1</v>
      </c>
      <c r="G618" s="287" t="s">
        <v>250</v>
      </c>
      <c r="H618" s="40"/>
      <c r="I618" s="40"/>
      <c r="J618" s="40"/>
      <c r="K618" s="286"/>
      <c r="L618" s="286"/>
      <c r="M618" s="40"/>
      <c r="N618" s="40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 ht="15.75" customHeight="1">
      <c r="A619" s="287">
        <v>16272.0</v>
      </c>
      <c r="B619" s="287" t="s">
        <v>1548</v>
      </c>
      <c r="C619" s="287" t="s">
        <v>42</v>
      </c>
      <c r="D619" s="287" t="s">
        <v>518</v>
      </c>
      <c r="E619" s="287" t="b">
        <v>1</v>
      </c>
      <c r="F619" s="287" t="b">
        <v>1</v>
      </c>
      <c r="G619" s="287" t="s">
        <v>250</v>
      </c>
      <c r="H619" s="40"/>
      <c r="I619" s="40"/>
      <c r="J619" s="40"/>
      <c r="K619" s="286"/>
      <c r="L619" s="286"/>
      <c r="M619" s="40"/>
      <c r="N619" s="40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 ht="15.75" customHeight="1">
      <c r="A620" s="287">
        <v>16271.0</v>
      </c>
      <c r="B620" s="287" t="s">
        <v>2656</v>
      </c>
      <c r="C620" s="287" t="s">
        <v>2657</v>
      </c>
      <c r="D620" s="287" t="s">
        <v>518</v>
      </c>
      <c r="E620" s="287" t="b">
        <v>1</v>
      </c>
      <c r="F620" s="287" t="b">
        <v>1</v>
      </c>
      <c r="G620" s="287" t="s">
        <v>250</v>
      </c>
      <c r="H620" s="40"/>
      <c r="I620" s="40"/>
      <c r="J620" s="40"/>
      <c r="K620" s="286"/>
      <c r="L620" s="286"/>
      <c r="M620" s="40"/>
      <c r="N620" s="40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 ht="15.75" customHeight="1">
      <c r="A621" s="287">
        <v>16314.0</v>
      </c>
      <c r="B621" s="287" t="s">
        <v>1549</v>
      </c>
      <c r="C621" s="287" t="s">
        <v>42</v>
      </c>
      <c r="D621" s="287" t="s">
        <v>518</v>
      </c>
      <c r="E621" s="287" t="b">
        <v>1</v>
      </c>
      <c r="F621" s="287" t="b">
        <v>1</v>
      </c>
      <c r="G621" s="287" t="s">
        <v>250</v>
      </c>
      <c r="H621" s="40"/>
      <c r="I621" s="40"/>
      <c r="J621" s="40"/>
      <c r="K621" s="286"/>
      <c r="L621" s="286"/>
      <c r="M621" s="40"/>
      <c r="N621" s="40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 ht="15.75" customHeight="1">
      <c r="A622" s="287">
        <v>30052.0</v>
      </c>
      <c r="B622" s="287" t="s">
        <v>1551</v>
      </c>
      <c r="C622" s="287" t="s">
        <v>42</v>
      </c>
      <c r="D622" s="287" t="s">
        <v>518</v>
      </c>
      <c r="E622" s="287" t="b">
        <v>1</v>
      </c>
      <c r="F622" s="287" t="b">
        <v>1</v>
      </c>
      <c r="G622" s="287" t="s">
        <v>250</v>
      </c>
      <c r="H622" s="40"/>
      <c r="I622" s="40"/>
      <c r="J622" s="40"/>
      <c r="K622" s="286"/>
      <c r="L622" s="286"/>
      <c r="M622" s="40"/>
      <c r="N622" s="40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 ht="15.75" customHeight="1">
      <c r="A623" s="287">
        <v>16305.0</v>
      </c>
      <c r="B623" s="287" t="s">
        <v>1553</v>
      </c>
      <c r="C623" s="287" t="s">
        <v>42</v>
      </c>
      <c r="D623" s="287" t="s">
        <v>518</v>
      </c>
      <c r="E623" s="287" t="b">
        <v>1</v>
      </c>
      <c r="F623" s="287" t="b">
        <v>1</v>
      </c>
      <c r="G623" s="287" t="s">
        <v>250</v>
      </c>
      <c r="H623" s="40"/>
      <c r="I623" s="40"/>
      <c r="J623" s="40"/>
      <c r="K623" s="286"/>
      <c r="L623" s="286"/>
      <c r="M623" s="40"/>
      <c r="N623" s="40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 ht="15.75" customHeight="1">
      <c r="A624" s="287">
        <v>16300.0</v>
      </c>
      <c r="B624" s="287" t="s">
        <v>1554</v>
      </c>
      <c r="C624" s="287" t="s">
        <v>1556</v>
      </c>
      <c r="D624" s="287" t="s">
        <v>518</v>
      </c>
      <c r="E624" s="287" t="b">
        <v>1</v>
      </c>
      <c r="F624" s="287" t="b">
        <v>1</v>
      </c>
      <c r="G624" s="287" t="s">
        <v>250</v>
      </c>
      <c r="H624" s="40"/>
      <c r="I624" s="40"/>
      <c r="J624" s="40"/>
      <c r="K624" s="286"/>
      <c r="L624" s="286"/>
      <c r="M624" s="40"/>
      <c r="N624" s="40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 ht="15.75" customHeight="1">
      <c r="A625" s="287">
        <v>16285.0</v>
      </c>
      <c r="B625" s="287" t="s">
        <v>1557</v>
      </c>
      <c r="C625" s="287" t="s">
        <v>42</v>
      </c>
      <c r="D625" s="287" t="s">
        <v>518</v>
      </c>
      <c r="E625" s="287" t="b">
        <v>1</v>
      </c>
      <c r="F625" s="287" t="b">
        <v>1</v>
      </c>
      <c r="G625" s="287" t="s">
        <v>250</v>
      </c>
      <c r="H625" s="40"/>
      <c r="I625" s="40"/>
      <c r="J625" s="40"/>
      <c r="K625" s="286"/>
      <c r="L625" s="286"/>
      <c r="M625" s="40"/>
      <c r="N625" s="40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 ht="15.75" customHeight="1">
      <c r="A626" s="287">
        <v>142523.0</v>
      </c>
      <c r="B626" s="287" t="s">
        <v>1558</v>
      </c>
      <c r="C626" s="287" t="s">
        <v>65</v>
      </c>
      <c r="D626" s="287" t="s">
        <v>518</v>
      </c>
      <c r="E626" s="287" t="b">
        <v>1</v>
      </c>
      <c r="F626" s="287" t="b">
        <v>1</v>
      </c>
      <c r="G626" s="287" t="s">
        <v>2613</v>
      </c>
      <c r="H626" s="40"/>
      <c r="I626" s="40"/>
      <c r="J626" s="40"/>
      <c r="K626" s="286"/>
      <c r="L626" s="286"/>
      <c r="M626" s="40"/>
      <c r="N626" s="40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 ht="15.75" customHeight="1">
      <c r="A627" s="287">
        <v>109709.0</v>
      </c>
      <c r="B627" s="287" t="s">
        <v>1560</v>
      </c>
      <c r="C627" s="287" t="s">
        <v>1561</v>
      </c>
      <c r="D627" s="287" t="s">
        <v>518</v>
      </c>
      <c r="E627" s="287" t="b">
        <v>1</v>
      </c>
      <c r="F627" s="287" t="b">
        <v>1</v>
      </c>
      <c r="G627" s="287" t="s">
        <v>250</v>
      </c>
      <c r="H627" s="40"/>
      <c r="I627" s="40"/>
      <c r="J627" s="40"/>
      <c r="K627" s="286"/>
      <c r="L627" s="286"/>
      <c r="M627" s="40"/>
      <c r="N627" s="40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 ht="15.75" customHeight="1">
      <c r="A628" s="287">
        <v>111037.0</v>
      </c>
      <c r="B628" s="287" t="s">
        <v>1562</v>
      </c>
      <c r="C628" s="287" t="s">
        <v>972</v>
      </c>
      <c r="D628" s="287" t="s">
        <v>518</v>
      </c>
      <c r="E628" s="287" t="b">
        <v>1</v>
      </c>
      <c r="F628" s="287" t="b">
        <v>1</v>
      </c>
      <c r="G628" s="287" t="s">
        <v>250</v>
      </c>
      <c r="H628" s="40"/>
      <c r="I628" s="40"/>
      <c r="J628" s="40"/>
      <c r="K628" s="286"/>
      <c r="L628" s="286"/>
      <c r="M628" s="40"/>
      <c r="N628" s="40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 ht="15.75" customHeight="1">
      <c r="A629" s="287">
        <v>53368.0</v>
      </c>
      <c r="B629" s="287" t="s">
        <v>1564</v>
      </c>
      <c r="C629" s="287" t="s">
        <v>42</v>
      </c>
      <c r="D629" s="287" t="s">
        <v>518</v>
      </c>
      <c r="E629" s="287" t="b">
        <v>1</v>
      </c>
      <c r="F629" s="287" t="b">
        <v>1</v>
      </c>
      <c r="G629" s="287" t="s">
        <v>2613</v>
      </c>
      <c r="H629" s="40"/>
      <c r="I629" s="40"/>
      <c r="J629" s="40"/>
      <c r="K629" s="286"/>
      <c r="L629" s="286"/>
      <c r="M629" s="40"/>
      <c r="N629" s="40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 ht="15.75" customHeight="1">
      <c r="A630" s="287">
        <v>111019.0</v>
      </c>
      <c r="B630" s="287" t="s">
        <v>1566</v>
      </c>
      <c r="C630" s="287" t="s">
        <v>1568</v>
      </c>
      <c r="D630" s="287" t="s">
        <v>518</v>
      </c>
      <c r="E630" s="287" t="b">
        <v>1</v>
      </c>
      <c r="F630" s="287" t="b">
        <v>1</v>
      </c>
      <c r="G630" s="287" t="s">
        <v>250</v>
      </c>
      <c r="H630" s="40"/>
      <c r="I630" s="40"/>
      <c r="J630" s="40"/>
      <c r="K630" s="286"/>
      <c r="L630" s="286"/>
      <c r="M630" s="40"/>
      <c r="N630" s="40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 ht="15.75" customHeight="1">
      <c r="A631" s="287">
        <v>16276.0</v>
      </c>
      <c r="B631" s="287" t="s">
        <v>1569</v>
      </c>
      <c r="C631" s="287" t="s">
        <v>1570</v>
      </c>
      <c r="D631" s="287" t="s">
        <v>518</v>
      </c>
      <c r="E631" s="287" t="b">
        <v>1</v>
      </c>
      <c r="F631" s="287" t="b">
        <v>1</v>
      </c>
      <c r="G631" s="287" t="s">
        <v>250</v>
      </c>
      <c r="H631" s="40"/>
      <c r="I631" s="40"/>
      <c r="J631" s="40"/>
      <c r="K631" s="286"/>
      <c r="L631" s="286"/>
      <c r="M631" s="40"/>
      <c r="N631" s="40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 ht="15.75" customHeight="1">
      <c r="A632" s="287">
        <v>33324.0</v>
      </c>
      <c r="B632" s="287" t="s">
        <v>1571</v>
      </c>
      <c r="C632" s="287" t="s">
        <v>1573</v>
      </c>
      <c r="D632" s="287" t="s">
        <v>518</v>
      </c>
      <c r="E632" s="287" t="b">
        <v>1</v>
      </c>
      <c r="F632" s="287" t="b">
        <v>1</v>
      </c>
      <c r="G632" s="287" t="s">
        <v>250</v>
      </c>
      <c r="H632" s="40"/>
      <c r="I632" s="40"/>
      <c r="J632" s="40"/>
      <c r="K632" s="286"/>
      <c r="L632" s="286"/>
      <c r="M632" s="40"/>
      <c r="N632" s="40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 ht="15.75" customHeight="1">
      <c r="A633" s="287">
        <v>142891.0</v>
      </c>
      <c r="B633" s="287" t="s">
        <v>1574</v>
      </c>
      <c r="C633" s="287" t="s">
        <v>42</v>
      </c>
      <c r="D633" s="287" t="s">
        <v>518</v>
      </c>
      <c r="E633" s="287" t="b">
        <v>1</v>
      </c>
      <c r="F633" s="287" t="b">
        <v>1</v>
      </c>
      <c r="G633" s="287" t="s">
        <v>250</v>
      </c>
      <c r="H633" s="40"/>
      <c r="I633" s="40"/>
      <c r="J633" s="40"/>
      <c r="K633" s="286"/>
      <c r="L633" s="286"/>
      <c r="M633" s="40"/>
      <c r="N633" s="40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 ht="15.75" customHeight="1">
      <c r="A634" s="287">
        <v>21043.0</v>
      </c>
      <c r="B634" s="287" t="s">
        <v>2658</v>
      </c>
      <c r="C634" s="287" t="s">
        <v>42</v>
      </c>
      <c r="D634" s="287" t="s">
        <v>518</v>
      </c>
      <c r="E634" s="287" t="b">
        <v>1</v>
      </c>
      <c r="F634" s="287" t="b">
        <v>1</v>
      </c>
      <c r="G634" s="287" t="s">
        <v>2659</v>
      </c>
      <c r="H634" s="40"/>
      <c r="I634" s="40"/>
      <c r="J634" s="40"/>
      <c r="K634" s="286"/>
      <c r="L634" s="286"/>
      <c r="M634" s="40"/>
      <c r="N634" s="40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 ht="15.75" customHeight="1">
      <c r="A635" s="287">
        <v>16307.0</v>
      </c>
      <c r="B635" s="287" t="s">
        <v>1577</v>
      </c>
      <c r="C635" s="287" t="s">
        <v>42</v>
      </c>
      <c r="D635" s="287" t="s">
        <v>518</v>
      </c>
      <c r="E635" s="287" t="b">
        <v>1</v>
      </c>
      <c r="F635" s="287" t="b">
        <v>1</v>
      </c>
      <c r="G635" s="287" t="s">
        <v>250</v>
      </c>
      <c r="H635" s="40"/>
      <c r="I635" s="40"/>
      <c r="J635" s="40"/>
      <c r="K635" s="286"/>
      <c r="L635" s="286"/>
      <c r="M635" s="40"/>
      <c r="N635" s="40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 ht="15.75" customHeight="1">
      <c r="A636" s="287">
        <v>27243.0</v>
      </c>
      <c r="B636" s="287" t="s">
        <v>1579</v>
      </c>
      <c r="C636" s="287" t="s">
        <v>42</v>
      </c>
      <c r="D636" s="287" t="s">
        <v>518</v>
      </c>
      <c r="E636" s="287" t="b">
        <v>1</v>
      </c>
      <c r="F636" s="287" t="b">
        <v>1</v>
      </c>
      <c r="G636" s="287" t="s">
        <v>250</v>
      </c>
      <c r="H636" s="40"/>
      <c r="I636" s="40"/>
      <c r="J636" s="40"/>
      <c r="K636" s="286"/>
      <c r="L636" s="286"/>
      <c r="M636" s="40"/>
      <c r="N636" s="40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 ht="15.75" customHeight="1">
      <c r="A637" s="287">
        <v>16280.0</v>
      </c>
      <c r="B637" s="287" t="s">
        <v>1581</v>
      </c>
      <c r="C637" s="287" t="s">
        <v>42</v>
      </c>
      <c r="D637" s="287" t="s">
        <v>518</v>
      </c>
      <c r="E637" s="287" t="b">
        <v>1</v>
      </c>
      <c r="F637" s="287" t="b">
        <v>1</v>
      </c>
      <c r="G637" s="287" t="s">
        <v>250</v>
      </c>
      <c r="H637" s="40"/>
      <c r="I637" s="40"/>
      <c r="J637" s="40"/>
      <c r="K637" s="286"/>
      <c r="L637" s="286"/>
      <c r="M637" s="40"/>
      <c r="N637" s="40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 ht="15.75" customHeight="1">
      <c r="A638" s="287">
        <v>40614.0</v>
      </c>
      <c r="B638" s="287" t="s">
        <v>1583</v>
      </c>
      <c r="C638" s="287" t="s">
        <v>42</v>
      </c>
      <c r="D638" s="287" t="s">
        <v>518</v>
      </c>
      <c r="E638" s="287" t="b">
        <v>1</v>
      </c>
      <c r="F638" s="287" t="b">
        <v>1</v>
      </c>
      <c r="G638" s="287" t="s">
        <v>1584</v>
      </c>
      <c r="H638" s="40"/>
      <c r="I638" s="40"/>
      <c r="J638" s="40"/>
      <c r="K638" s="286"/>
      <c r="L638" s="286"/>
      <c r="M638" s="40"/>
      <c r="N638" s="40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 ht="15.75" customHeight="1">
      <c r="A639" s="287">
        <v>16595.0</v>
      </c>
      <c r="B639" s="287" t="s">
        <v>1585</v>
      </c>
      <c r="C639" s="287" t="s">
        <v>1587</v>
      </c>
      <c r="D639" s="287" t="s">
        <v>369</v>
      </c>
      <c r="E639" s="287" t="b">
        <v>1</v>
      </c>
      <c r="F639" s="287" t="b">
        <v>1</v>
      </c>
      <c r="G639" s="287" t="s">
        <v>2613</v>
      </c>
      <c r="H639" s="40"/>
      <c r="I639" s="40"/>
      <c r="J639" s="40"/>
      <c r="K639" s="286"/>
      <c r="L639" s="286"/>
      <c r="M639" s="40"/>
      <c r="N639" s="40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 ht="15.75" customHeight="1">
      <c r="A640" s="287">
        <v>20887.0</v>
      </c>
      <c r="B640" s="287" t="s">
        <v>1590</v>
      </c>
      <c r="C640" s="287" t="s">
        <v>42</v>
      </c>
      <c r="D640" s="287" t="s">
        <v>518</v>
      </c>
      <c r="E640" s="287" t="b">
        <v>1</v>
      </c>
      <c r="F640" s="287" t="b">
        <v>1</v>
      </c>
      <c r="G640" s="287" t="s">
        <v>1074</v>
      </c>
      <c r="H640" s="40"/>
      <c r="I640" s="40"/>
      <c r="J640" s="40"/>
      <c r="K640" s="286"/>
      <c r="L640" s="286"/>
      <c r="M640" s="40"/>
      <c r="N640" s="40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 ht="15.75" customHeight="1">
      <c r="A641" s="287">
        <v>109695.0</v>
      </c>
      <c r="B641" s="287" t="s">
        <v>1591</v>
      </c>
      <c r="C641" s="287" t="s">
        <v>42</v>
      </c>
      <c r="D641" s="287" t="s">
        <v>518</v>
      </c>
      <c r="E641" s="287" t="b">
        <v>1</v>
      </c>
      <c r="F641" s="287" t="b">
        <v>1</v>
      </c>
      <c r="G641" s="287" t="s">
        <v>250</v>
      </c>
      <c r="H641" s="40"/>
      <c r="I641" s="40"/>
      <c r="J641" s="40"/>
      <c r="K641" s="286"/>
      <c r="L641" s="286"/>
      <c r="M641" s="40"/>
      <c r="N641" s="40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 ht="15.75" customHeight="1">
      <c r="A642" s="287">
        <v>109689.0</v>
      </c>
      <c r="B642" s="287" t="s">
        <v>1593</v>
      </c>
      <c r="C642" s="287" t="s">
        <v>2660</v>
      </c>
      <c r="D642" s="287" t="s">
        <v>518</v>
      </c>
      <c r="E642" s="287" t="b">
        <v>1</v>
      </c>
      <c r="F642" s="287" t="b">
        <v>1</v>
      </c>
      <c r="G642" s="287" t="s">
        <v>250</v>
      </c>
      <c r="H642" s="40"/>
      <c r="I642" s="40"/>
      <c r="J642" s="40"/>
      <c r="K642" s="286"/>
      <c r="L642" s="286"/>
      <c r="M642" s="40"/>
      <c r="N642" s="40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 ht="15.75" customHeight="1">
      <c r="A643" s="287">
        <v>111759.0</v>
      </c>
      <c r="B643" s="287" t="s">
        <v>1594</v>
      </c>
      <c r="C643" s="287" t="s">
        <v>389</v>
      </c>
      <c r="D643" s="287" t="s">
        <v>518</v>
      </c>
      <c r="E643" s="287" t="b">
        <v>1</v>
      </c>
      <c r="F643" s="287" t="b">
        <v>1</v>
      </c>
      <c r="G643" s="287" t="s">
        <v>2661</v>
      </c>
      <c r="H643" s="40"/>
      <c r="I643" s="40"/>
      <c r="J643" s="40"/>
      <c r="K643" s="286"/>
      <c r="L643" s="286"/>
      <c r="M643" s="40"/>
      <c r="N643" s="40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 ht="15.75" customHeight="1">
      <c r="A644" s="287">
        <v>111762.0</v>
      </c>
      <c r="B644" s="287" t="s">
        <v>1597</v>
      </c>
      <c r="C644" s="287" t="s">
        <v>389</v>
      </c>
      <c r="D644" s="287" t="s">
        <v>518</v>
      </c>
      <c r="E644" s="287" t="b">
        <v>1</v>
      </c>
      <c r="F644" s="287" t="b">
        <v>1</v>
      </c>
      <c r="G644" s="287" t="s">
        <v>250</v>
      </c>
      <c r="H644" s="40"/>
      <c r="I644" s="40"/>
      <c r="J644" s="40"/>
      <c r="K644" s="286"/>
      <c r="L644" s="286"/>
      <c r="M644" s="40"/>
      <c r="N644" s="40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 ht="15.75" customHeight="1">
      <c r="A645" s="287">
        <v>107138.0</v>
      </c>
      <c r="B645" s="287" t="s">
        <v>1599</v>
      </c>
      <c r="C645" s="287" t="s">
        <v>1573</v>
      </c>
      <c r="D645" s="287" t="s">
        <v>518</v>
      </c>
      <c r="E645" s="287" t="b">
        <v>1</v>
      </c>
      <c r="F645" s="287" t="b">
        <v>1</v>
      </c>
      <c r="G645" s="287" t="s">
        <v>250</v>
      </c>
      <c r="H645" s="40"/>
      <c r="I645" s="40"/>
      <c r="J645" s="40"/>
      <c r="K645" s="286"/>
      <c r="L645" s="286"/>
      <c r="M645" s="40"/>
      <c r="N645" s="40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 ht="15.75" customHeight="1">
      <c r="A646" s="287">
        <v>19407.0</v>
      </c>
      <c r="B646" s="287" t="s">
        <v>1600</v>
      </c>
      <c r="C646" s="287" t="s">
        <v>42</v>
      </c>
      <c r="D646" s="287" t="s">
        <v>518</v>
      </c>
      <c r="E646" s="287" t="b">
        <v>1</v>
      </c>
      <c r="F646" s="287" t="b">
        <v>1</v>
      </c>
      <c r="G646" s="287" t="s">
        <v>250</v>
      </c>
      <c r="H646" s="40"/>
      <c r="I646" s="40"/>
      <c r="J646" s="40"/>
      <c r="K646" s="286"/>
      <c r="L646" s="286"/>
      <c r="M646" s="40"/>
      <c r="N646" s="40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 ht="15.75" customHeight="1">
      <c r="A647" s="287">
        <v>40229.0</v>
      </c>
      <c r="B647" s="287" t="s">
        <v>1602</v>
      </c>
      <c r="C647" s="287" t="s">
        <v>2662</v>
      </c>
      <c r="D647" s="287" t="s">
        <v>518</v>
      </c>
      <c r="E647" s="287" t="b">
        <v>1</v>
      </c>
      <c r="F647" s="287" t="b">
        <v>1</v>
      </c>
      <c r="G647" s="287" t="s">
        <v>250</v>
      </c>
      <c r="H647" s="40"/>
      <c r="I647" s="40"/>
      <c r="J647" s="40"/>
      <c r="K647" s="286"/>
      <c r="L647" s="286"/>
      <c r="M647" s="40"/>
      <c r="N647" s="40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 ht="15.75" customHeight="1">
      <c r="A648" s="287">
        <v>40230.0</v>
      </c>
      <c r="B648" s="287" t="s">
        <v>1605</v>
      </c>
      <c r="C648" s="287" t="s">
        <v>1606</v>
      </c>
      <c r="D648" s="287" t="s">
        <v>518</v>
      </c>
      <c r="E648" s="287" t="b">
        <v>1</v>
      </c>
      <c r="F648" s="287" t="b">
        <v>1</v>
      </c>
      <c r="G648" s="287" t="s">
        <v>250</v>
      </c>
      <c r="H648" s="40"/>
      <c r="I648" s="40"/>
      <c r="J648" s="40"/>
      <c r="K648" s="286"/>
      <c r="L648" s="286"/>
      <c r="M648" s="40"/>
      <c r="N648" s="40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 ht="15.75" customHeight="1">
      <c r="A649" s="287">
        <v>16310.0</v>
      </c>
      <c r="B649" s="287" t="s">
        <v>1608</v>
      </c>
      <c r="C649" s="287" t="s">
        <v>42</v>
      </c>
      <c r="D649" s="287" t="s">
        <v>518</v>
      </c>
      <c r="E649" s="287" t="b">
        <v>1</v>
      </c>
      <c r="F649" s="287" t="b">
        <v>1</v>
      </c>
      <c r="G649" s="287" t="s">
        <v>250</v>
      </c>
      <c r="H649" s="40"/>
      <c r="I649" s="40"/>
      <c r="J649" s="40"/>
      <c r="K649" s="286"/>
      <c r="L649" s="286"/>
      <c r="M649" s="40"/>
      <c r="N649" s="40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 ht="15.75" customHeight="1">
      <c r="A650" s="287">
        <v>111082.0</v>
      </c>
      <c r="B650" s="287" t="s">
        <v>1609</v>
      </c>
      <c r="C650" s="287" t="s">
        <v>42</v>
      </c>
      <c r="D650" s="287" t="s">
        <v>518</v>
      </c>
      <c r="E650" s="287" t="b">
        <v>1</v>
      </c>
      <c r="F650" s="287" t="b">
        <v>1</v>
      </c>
      <c r="G650" s="287" t="s">
        <v>250</v>
      </c>
      <c r="H650" s="40"/>
      <c r="I650" s="40"/>
      <c r="J650" s="40"/>
      <c r="K650" s="286"/>
      <c r="L650" s="286"/>
      <c r="M650" s="40"/>
      <c r="N650" s="40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 ht="15.75" customHeight="1">
      <c r="A651" s="287">
        <v>38071.0</v>
      </c>
      <c r="B651" s="287" t="s">
        <v>1610</v>
      </c>
      <c r="C651" s="287" t="s">
        <v>389</v>
      </c>
      <c r="D651" s="287" t="s">
        <v>518</v>
      </c>
      <c r="E651" s="287" t="b">
        <v>1</v>
      </c>
      <c r="F651" s="287" t="b">
        <v>1</v>
      </c>
      <c r="G651" s="287" t="s">
        <v>250</v>
      </c>
      <c r="H651" s="40"/>
      <c r="I651" s="40"/>
      <c r="J651" s="40"/>
      <c r="K651" s="286"/>
      <c r="L651" s="286"/>
      <c r="M651" s="40"/>
      <c r="N651" s="40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 ht="15.75" customHeight="1">
      <c r="A652" s="287">
        <v>111706.0</v>
      </c>
      <c r="B652" s="287" t="s">
        <v>1612</v>
      </c>
      <c r="C652" s="287" t="s">
        <v>42</v>
      </c>
      <c r="D652" s="287" t="s">
        <v>518</v>
      </c>
      <c r="E652" s="287" t="b">
        <v>1</v>
      </c>
      <c r="F652" s="287" t="b">
        <v>1</v>
      </c>
      <c r="G652" s="287" t="s">
        <v>250</v>
      </c>
      <c r="H652" s="40"/>
      <c r="I652" s="40"/>
      <c r="J652" s="40"/>
      <c r="K652" s="286"/>
      <c r="L652" s="286"/>
      <c r="M652" s="40"/>
      <c r="N652" s="40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 ht="15.75" customHeight="1">
      <c r="A653" s="287">
        <v>16501.0</v>
      </c>
      <c r="B653" s="287" t="s">
        <v>1615</v>
      </c>
      <c r="C653" s="287" t="s">
        <v>1617</v>
      </c>
      <c r="D653" s="287" t="s">
        <v>518</v>
      </c>
      <c r="E653" s="287" t="b">
        <v>1</v>
      </c>
      <c r="F653" s="287" t="b">
        <v>1</v>
      </c>
      <c r="G653" s="287" t="s">
        <v>250</v>
      </c>
      <c r="H653" s="40"/>
      <c r="I653" s="40"/>
      <c r="J653" s="40"/>
      <c r="K653" s="286"/>
      <c r="L653" s="286"/>
      <c r="M653" s="40"/>
      <c r="N653" s="40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 ht="15.75" customHeight="1">
      <c r="A654" s="287">
        <v>12284.0</v>
      </c>
      <c r="B654" s="287" t="s">
        <v>1618</v>
      </c>
      <c r="C654" s="287" t="s">
        <v>64</v>
      </c>
      <c r="D654" s="287" t="s">
        <v>518</v>
      </c>
      <c r="E654" s="287" t="b">
        <v>1</v>
      </c>
      <c r="F654" s="287" t="b">
        <v>1</v>
      </c>
      <c r="G654" s="287" t="s">
        <v>1619</v>
      </c>
      <c r="H654" s="40"/>
      <c r="I654" s="40"/>
      <c r="J654" s="40"/>
      <c r="K654" s="286"/>
      <c r="L654" s="286"/>
      <c r="M654" s="40"/>
      <c r="N654" s="40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 ht="15.75" customHeight="1">
      <c r="A655" s="287">
        <v>100449.0</v>
      </c>
      <c r="B655" s="287" t="s">
        <v>1620</v>
      </c>
      <c r="C655" s="287" t="s">
        <v>42</v>
      </c>
      <c r="D655" s="287" t="s">
        <v>518</v>
      </c>
      <c r="E655" s="287" t="b">
        <v>1</v>
      </c>
      <c r="F655" s="287" t="b">
        <v>1</v>
      </c>
      <c r="G655" s="287" t="s">
        <v>250</v>
      </c>
      <c r="H655" s="40"/>
      <c r="I655" s="40"/>
      <c r="J655" s="40"/>
      <c r="K655" s="286"/>
      <c r="L655" s="286"/>
      <c r="M655" s="40"/>
      <c r="N655" s="40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 ht="15.75" customHeight="1">
      <c r="A656" s="287">
        <v>35667.0</v>
      </c>
      <c r="B656" s="287" t="s">
        <v>1621</v>
      </c>
      <c r="C656" s="287" t="s">
        <v>389</v>
      </c>
      <c r="D656" s="287" t="s">
        <v>518</v>
      </c>
      <c r="E656" s="287" t="b">
        <v>1</v>
      </c>
      <c r="F656" s="287" t="b">
        <v>1</v>
      </c>
      <c r="G656" s="287" t="s">
        <v>250</v>
      </c>
      <c r="H656" s="40"/>
      <c r="I656" s="40"/>
      <c r="J656" s="40"/>
      <c r="K656" s="286"/>
      <c r="L656" s="286"/>
      <c r="M656" s="40"/>
      <c r="N656" s="40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 ht="15.75" customHeight="1">
      <c r="A657" s="287">
        <v>112138.0</v>
      </c>
      <c r="B657" s="287" t="s">
        <v>1624</v>
      </c>
      <c r="C657" s="287" t="s">
        <v>65</v>
      </c>
      <c r="D657" s="287" t="s">
        <v>369</v>
      </c>
      <c r="E657" s="287" t="b">
        <v>1</v>
      </c>
      <c r="F657" s="287" t="b">
        <v>1</v>
      </c>
      <c r="G657" s="287" t="s">
        <v>250</v>
      </c>
      <c r="H657" s="40"/>
      <c r="I657" s="40"/>
      <c r="J657" s="40"/>
      <c r="K657" s="286"/>
      <c r="L657" s="286"/>
      <c r="M657" s="40"/>
      <c r="N657" s="40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 ht="15.75" customHeight="1">
      <c r="A658" s="287">
        <v>112137.0</v>
      </c>
      <c r="B658" s="287" t="s">
        <v>1625</v>
      </c>
      <c r="C658" s="287" t="s">
        <v>1626</v>
      </c>
      <c r="D658" s="287" t="s">
        <v>518</v>
      </c>
      <c r="E658" s="287" t="b">
        <v>1</v>
      </c>
      <c r="F658" s="287" t="b">
        <v>1</v>
      </c>
      <c r="G658" s="287" t="s">
        <v>250</v>
      </c>
      <c r="H658" s="40"/>
      <c r="I658" s="40"/>
      <c r="J658" s="40"/>
      <c r="K658" s="286"/>
      <c r="L658" s="286"/>
      <c r="M658" s="40"/>
      <c r="N658" s="40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 ht="15.75" customHeight="1">
      <c r="A659" s="287">
        <v>109681.0</v>
      </c>
      <c r="B659" s="287" t="s">
        <v>1627</v>
      </c>
      <c r="C659" s="287" t="s">
        <v>1630</v>
      </c>
      <c r="D659" s="287" t="s">
        <v>518</v>
      </c>
      <c r="E659" s="287" t="b">
        <v>1</v>
      </c>
      <c r="F659" s="287" t="b">
        <v>1</v>
      </c>
      <c r="G659" s="287" t="s">
        <v>250</v>
      </c>
      <c r="H659" s="40"/>
      <c r="I659" s="40"/>
      <c r="J659" s="40"/>
      <c r="K659" s="286"/>
      <c r="L659" s="286"/>
      <c r="M659" s="40"/>
      <c r="N659" s="40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 ht="15.75" customHeight="1">
      <c r="A660" s="287">
        <v>16343.0</v>
      </c>
      <c r="B660" s="287" t="s">
        <v>1631</v>
      </c>
      <c r="C660" s="287" t="s">
        <v>1617</v>
      </c>
      <c r="D660" s="287" t="s">
        <v>518</v>
      </c>
      <c r="E660" s="287" t="b">
        <v>1</v>
      </c>
      <c r="F660" s="287" t="b">
        <v>1</v>
      </c>
      <c r="G660" s="287" t="s">
        <v>1633</v>
      </c>
      <c r="H660" s="40"/>
      <c r="I660" s="40"/>
      <c r="J660" s="40"/>
      <c r="K660" s="286"/>
      <c r="L660" s="286"/>
      <c r="M660" s="40"/>
      <c r="N660" s="40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 ht="15.75" customHeight="1">
      <c r="A661" s="287">
        <v>16167.0</v>
      </c>
      <c r="B661" s="287" t="s">
        <v>1636</v>
      </c>
      <c r="C661" s="287" t="s">
        <v>2663</v>
      </c>
      <c r="D661" s="287" t="s">
        <v>518</v>
      </c>
      <c r="E661" s="287" t="b">
        <v>1</v>
      </c>
      <c r="F661" s="287" t="b">
        <v>1</v>
      </c>
      <c r="G661" s="287" t="s">
        <v>250</v>
      </c>
      <c r="H661" s="40"/>
      <c r="I661" s="40"/>
      <c r="J661" s="40"/>
      <c r="K661" s="286"/>
      <c r="L661" s="286"/>
      <c r="M661" s="40"/>
      <c r="N661" s="40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 ht="15.75" customHeight="1">
      <c r="A662" s="287">
        <v>40628.0</v>
      </c>
      <c r="B662" s="287" t="s">
        <v>2664</v>
      </c>
      <c r="C662" s="287" t="s">
        <v>2665</v>
      </c>
      <c r="D662" s="287" t="s">
        <v>518</v>
      </c>
      <c r="E662" s="287" t="b">
        <v>1</v>
      </c>
      <c r="F662" s="287" t="b">
        <v>1</v>
      </c>
      <c r="G662" s="287" t="s">
        <v>2666</v>
      </c>
      <c r="H662" s="40"/>
      <c r="I662" s="40"/>
      <c r="J662" s="40"/>
      <c r="K662" s="286"/>
      <c r="L662" s="286"/>
      <c r="M662" s="40"/>
      <c r="N662" s="40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 ht="15.75" customHeight="1">
      <c r="A663" s="287">
        <v>111106.0</v>
      </c>
      <c r="B663" s="287" t="s">
        <v>1639</v>
      </c>
      <c r="C663" s="287" t="s">
        <v>42</v>
      </c>
      <c r="D663" s="287" t="s">
        <v>518</v>
      </c>
      <c r="E663" s="287" t="b">
        <v>1</v>
      </c>
      <c r="F663" s="287" t="b">
        <v>1</v>
      </c>
      <c r="G663" s="287" t="s">
        <v>250</v>
      </c>
      <c r="H663" s="40"/>
      <c r="I663" s="40"/>
      <c r="J663" s="40"/>
      <c r="K663" s="286"/>
      <c r="L663" s="286"/>
      <c r="M663" s="40"/>
      <c r="N663" s="40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 ht="15.75" customHeight="1">
      <c r="A664" s="287">
        <v>16535.0</v>
      </c>
      <c r="B664" s="287" t="s">
        <v>1642</v>
      </c>
      <c r="C664" s="287" t="s">
        <v>2667</v>
      </c>
      <c r="D664" s="287" t="s">
        <v>518</v>
      </c>
      <c r="E664" s="287" t="b">
        <v>1</v>
      </c>
      <c r="F664" s="287" t="b">
        <v>1</v>
      </c>
      <c r="G664" s="287" t="s">
        <v>1645</v>
      </c>
      <c r="H664" s="40"/>
      <c r="I664" s="40"/>
      <c r="J664" s="40"/>
      <c r="K664" s="286"/>
      <c r="L664" s="286"/>
      <c r="M664" s="40"/>
      <c r="N664" s="40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 ht="15.75" customHeight="1">
      <c r="A665" s="287">
        <v>105726.0</v>
      </c>
      <c r="B665" s="287" t="s">
        <v>1646</v>
      </c>
      <c r="C665" s="287" t="s">
        <v>2668</v>
      </c>
      <c r="D665" s="287" t="s">
        <v>518</v>
      </c>
      <c r="E665" s="287" t="b">
        <v>1</v>
      </c>
      <c r="F665" s="287" t="b">
        <v>1</v>
      </c>
      <c r="G665" s="287" t="s">
        <v>1648</v>
      </c>
      <c r="H665" s="40"/>
      <c r="I665" s="40"/>
      <c r="J665" s="40"/>
      <c r="K665" s="286"/>
      <c r="L665" s="286"/>
      <c r="M665" s="40"/>
      <c r="N665" s="40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 ht="15.75" customHeight="1">
      <c r="A666" s="287">
        <v>109680.0</v>
      </c>
      <c r="B666" s="287" t="s">
        <v>1649</v>
      </c>
      <c r="C666" s="287" t="s">
        <v>2669</v>
      </c>
      <c r="D666" s="287" t="s">
        <v>518</v>
      </c>
      <c r="E666" s="287" t="b">
        <v>1</v>
      </c>
      <c r="F666" s="287" t="b">
        <v>1</v>
      </c>
      <c r="G666" s="287" t="s">
        <v>250</v>
      </c>
      <c r="H666" s="40"/>
      <c r="I666" s="40"/>
      <c r="J666" s="40"/>
      <c r="K666" s="286"/>
      <c r="L666" s="286"/>
      <c r="M666" s="40"/>
      <c r="N666" s="40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 ht="15.75" customHeight="1">
      <c r="A667" s="287">
        <v>16518.0</v>
      </c>
      <c r="B667" s="287" t="s">
        <v>2670</v>
      </c>
      <c r="C667" s="287" t="s">
        <v>1617</v>
      </c>
      <c r="D667" s="287" t="s">
        <v>518</v>
      </c>
      <c r="E667" s="287" t="b">
        <v>1</v>
      </c>
      <c r="F667" s="287" t="b">
        <v>1</v>
      </c>
      <c r="G667" s="287" t="s">
        <v>1635</v>
      </c>
      <c r="H667" s="40"/>
      <c r="I667" s="40"/>
      <c r="J667" s="40"/>
      <c r="K667" s="286"/>
      <c r="L667" s="286"/>
      <c r="M667" s="40"/>
      <c r="N667" s="40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 ht="15.75" customHeight="1">
      <c r="A668" s="287">
        <v>111972.0</v>
      </c>
      <c r="B668" s="287" t="s">
        <v>1652</v>
      </c>
      <c r="C668" s="287" t="s">
        <v>42</v>
      </c>
      <c r="D668" s="287" t="s">
        <v>518</v>
      </c>
      <c r="E668" s="287" t="b">
        <v>1</v>
      </c>
      <c r="F668" s="287" t="b">
        <v>1</v>
      </c>
      <c r="G668" s="287" t="s">
        <v>250</v>
      </c>
      <c r="H668" s="40"/>
      <c r="I668" s="40"/>
      <c r="J668" s="40"/>
      <c r="K668" s="286"/>
      <c r="L668" s="286"/>
      <c r="M668" s="40"/>
      <c r="N668" s="40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 ht="15.75" customHeight="1">
      <c r="A669" s="287">
        <v>16316.0</v>
      </c>
      <c r="B669" s="287" t="s">
        <v>1653</v>
      </c>
      <c r="C669" s="287" t="s">
        <v>64</v>
      </c>
      <c r="D669" s="287" t="s">
        <v>518</v>
      </c>
      <c r="E669" s="287" t="b">
        <v>1</v>
      </c>
      <c r="F669" s="287" t="b">
        <v>1</v>
      </c>
      <c r="G669" s="287" t="s">
        <v>250</v>
      </c>
      <c r="H669" s="40"/>
      <c r="I669" s="40"/>
      <c r="J669" s="40"/>
      <c r="K669" s="286"/>
      <c r="L669" s="286"/>
      <c r="M669" s="40"/>
      <c r="N669" s="40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 ht="15.75" customHeight="1">
      <c r="A670" s="287">
        <v>111990.0</v>
      </c>
      <c r="B670" s="287" t="s">
        <v>1655</v>
      </c>
      <c r="C670" s="287" t="s">
        <v>42</v>
      </c>
      <c r="D670" s="287" t="s">
        <v>518</v>
      </c>
      <c r="E670" s="287" t="b">
        <v>1</v>
      </c>
      <c r="F670" s="287" t="b">
        <v>1</v>
      </c>
      <c r="G670" s="287" t="s">
        <v>250</v>
      </c>
      <c r="H670" s="40"/>
      <c r="I670" s="40"/>
      <c r="J670" s="40"/>
      <c r="K670" s="286"/>
      <c r="L670" s="286"/>
      <c r="M670" s="40"/>
      <c r="N670" s="40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 ht="15.75" customHeight="1">
      <c r="A671" s="287">
        <v>16345.0</v>
      </c>
      <c r="B671" s="287" t="s">
        <v>1656</v>
      </c>
      <c r="C671" s="287" t="s">
        <v>2669</v>
      </c>
      <c r="D671" s="287" t="s">
        <v>518</v>
      </c>
      <c r="E671" s="287" t="b">
        <v>1</v>
      </c>
      <c r="F671" s="287" t="b">
        <v>1</v>
      </c>
      <c r="G671" s="287" t="s">
        <v>1658</v>
      </c>
      <c r="H671" s="40"/>
      <c r="I671" s="40"/>
      <c r="J671" s="40"/>
      <c r="K671" s="286"/>
      <c r="L671" s="286"/>
      <c r="M671" s="40"/>
      <c r="N671" s="40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 ht="15.75" customHeight="1">
      <c r="A672" s="287">
        <v>112699.0</v>
      </c>
      <c r="B672" s="287" t="s">
        <v>1659</v>
      </c>
      <c r="C672" s="287" t="s">
        <v>42</v>
      </c>
      <c r="D672" s="287" t="s">
        <v>369</v>
      </c>
      <c r="E672" s="287" t="b">
        <v>1</v>
      </c>
      <c r="F672" s="287" t="b">
        <v>1</v>
      </c>
      <c r="G672" s="287" t="s">
        <v>250</v>
      </c>
      <c r="H672" s="40"/>
      <c r="I672" s="40"/>
      <c r="J672" s="40"/>
      <c r="K672" s="286"/>
      <c r="L672" s="286"/>
      <c r="M672" s="40"/>
      <c r="N672" s="40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 ht="15.75" customHeight="1">
      <c r="A673" s="287">
        <v>106293.0</v>
      </c>
      <c r="B673" s="287" t="s">
        <v>1661</v>
      </c>
      <c r="C673" s="287" t="s">
        <v>64</v>
      </c>
      <c r="D673" s="287" t="s">
        <v>518</v>
      </c>
      <c r="E673" s="287" t="b">
        <v>1</v>
      </c>
      <c r="F673" s="287" t="b">
        <v>1</v>
      </c>
      <c r="G673" s="287" t="s">
        <v>250</v>
      </c>
      <c r="H673" s="40"/>
      <c r="I673" s="40"/>
      <c r="J673" s="40"/>
      <c r="K673" s="286"/>
      <c r="L673" s="286"/>
      <c r="M673" s="40"/>
      <c r="N673" s="40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 ht="15.75" customHeight="1">
      <c r="A674" s="287">
        <v>105727.0</v>
      </c>
      <c r="B674" s="287" t="s">
        <v>1662</v>
      </c>
      <c r="C674" s="287" t="s">
        <v>2671</v>
      </c>
      <c r="D674" s="287" t="s">
        <v>518</v>
      </c>
      <c r="E674" s="287" t="b">
        <v>1</v>
      </c>
      <c r="F674" s="287" t="b">
        <v>1</v>
      </c>
      <c r="G674" s="287" t="s">
        <v>1663</v>
      </c>
      <c r="H674" s="40"/>
      <c r="I674" s="40"/>
      <c r="J674" s="40"/>
      <c r="K674" s="286"/>
      <c r="L674" s="286"/>
      <c r="M674" s="40"/>
      <c r="N674" s="40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 ht="15.75" customHeight="1">
      <c r="A675" s="287">
        <v>112190.0</v>
      </c>
      <c r="B675" s="287" t="s">
        <v>1664</v>
      </c>
      <c r="C675" s="287" t="s">
        <v>65</v>
      </c>
      <c r="D675" s="287" t="s">
        <v>369</v>
      </c>
      <c r="E675" s="287" t="b">
        <v>1</v>
      </c>
      <c r="F675" s="287" t="b">
        <v>1</v>
      </c>
      <c r="G675" s="287" t="s">
        <v>250</v>
      </c>
      <c r="H675" s="40"/>
      <c r="I675" s="40"/>
      <c r="J675" s="40"/>
      <c r="K675" s="286"/>
      <c r="L675" s="286"/>
      <c r="M675" s="40"/>
      <c r="N675" s="40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 ht="15.75" customHeight="1">
      <c r="A676" s="287">
        <v>112195.0</v>
      </c>
      <c r="B676" s="287" t="s">
        <v>1666</v>
      </c>
      <c r="C676" s="287" t="s">
        <v>1668</v>
      </c>
      <c r="D676" s="287" t="s">
        <v>369</v>
      </c>
      <c r="E676" s="287" t="b">
        <v>1</v>
      </c>
      <c r="F676" s="287" t="b">
        <v>1</v>
      </c>
      <c r="G676" s="287" t="s">
        <v>250</v>
      </c>
      <c r="H676" s="40"/>
      <c r="I676" s="40"/>
      <c r="J676" s="40"/>
      <c r="K676" s="286"/>
      <c r="L676" s="286"/>
      <c r="M676" s="40"/>
      <c r="N676" s="40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 ht="15.75" customHeight="1">
      <c r="A677" s="287">
        <v>16409.0</v>
      </c>
      <c r="B677" s="287" t="s">
        <v>1669</v>
      </c>
      <c r="C677" s="287" t="s">
        <v>2672</v>
      </c>
      <c r="D677" s="287" t="s">
        <v>518</v>
      </c>
      <c r="E677" s="287" t="b">
        <v>1</v>
      </c>
      <c r="F677" s="287" t="b">
        <v>1</v>
      </c>
      <c r="G677" s="287" t="s">
        <v>1672</v>
      </c>
      <c r="H677" s="40"/>
      <c r="I677" s="40"/>
      <c r="J677" s="40"/>
      <c r="K677" s="286"/>
      <c r="L677" s="286"/>
      <c r="M677" s="40"/>
      <c r="N677" s="40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 ht="15.75" customHeight="1">
      <c r="A678" s="287">
        <v>16357.0</v>
      </c>
      <c r="B678" s="287" t="s">
        <v>1673</v>
      </c>
      <c r="C678" s="287" t="s">
        <v>2673</v>
      </c>
      <c r="D678" s="287" t="s">
        <v>518</v>
      </c>
      <c r="E678" s="287" t="b">
        <v>1</v>
      </c>
      <c r="F678" s="287" t="b">
        <v>1</v>
      </c>
      <c r="G678" s="287" t="s">
        <v>250</v>
      </c>
      <c r="H678" s="40"/>
      <c r="I678" s="40"/>
      <c r="J678" s="40"/>
      <c r="K678" s="286"/>
      <c r="L678" s="286"/>
      <c r="M678" s="40"/>
      <c r="N678" s="40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 ht="15.75" customHeight="1">
      <c r="A679" s="287">
        <v>16354.0</v>
      </c>
      <c r="B679" s="287" t="s">
        <v>1676</v>
      </c>
      <c r="C679" s="287" t="s">
        <v>64</v>
      </c>
      <c r="D679" s="287" t="s">
        <v>518</v>
      </c>
      <c r="E679" s="287" t="b">
        <v>1</v>
      </c>
      <c r="F679" s="287" t="b">
        <v>1</v>
      </c>
      <c r="G679" s="287" t="s">
        <v>1677</v>
      </c>
      <c r="H679" s="40"/>
      <c r="I679" s="40"/>
      <c r="J679" s="40"/>
      <c r="K679" s="286"/>
      <c r="L679" s="286"/>
      <c r="M679" s="40"/>
      <c r="N679" s="40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 ht="15.75" customHeight="1">
      <c r="A680" s="287">
        <v>51001.0</v>
      </c>
      <c r="B680" s="287" t="s">
        <v>1678</v>
      </c>
      <c r="C680" s="287" t="s">
        <v>542</v>
      </c>
      <c r="D680" s="287" t="s">
        <v>518</v>
      </c>
      <c r="E680" s="287" t="b">
        <v>1</v>
      </c>
      <c r="F680" s="287" t="b">
        <v>1</v>
      </c>
      <c r="G680" s="287" t="s">
        <v>1680</v>
      </c>
      <c r="H680" s="40"/>
      <c r="I680" s="40"/>
      <c r="J680" s="40"/>
      <c r="K680" s="286"/>
      <c r="L680" s="286"/>
      <c r="M680" s="40"/>
      <c r="N680" s="40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 ht="15.75" customHeight="1">
      <c r="A681" s="287">
        <v>100451.0</v>
      </c>
      <c r="B681" s="287" t="s">
        <v>1681</v>
      </c>
      <c r="C681" s="287" t="s">
        <v>42</v>
      </c>
      <c r="D681" s="287" t="s">
        <v>518</v>
      </c>
      <c r="E681" s="287" t="b">
        <v>1</v>
      </c>
      <c r="F681" s="287" t="b">
        <v>1</v>
      </c>
      <c r="G681" s="287" t="s">
        <v>250</v>
      </c>
      <c r="H681" s="40"/>
      <c r="I681" s="40"/>
      <c r="J681" s="40"/>
      <c r="K681" s="286"/>
      <c r="L681" s="286"/>
      <c r="M681" s="40"/>
      <c r="N681" s="40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 ht="15.75" customHeight="1">
      <c r="A682" s="287">
        <v>110954.0</v>
      </c>
      <c r="B682" s="287" t="s">
        <v>1683</v>
      </c>
      <c r="C682" s="287" t="s">
        <v>42</v>
      </c>
      <c r="D682" s="287" t="s">
        <v>518</v>
      </c>
      <c r="E682" s="287" t="b">
        <v>1</v>
      </c>
      <c r="F682" s="287" t="b">
        <v>1</v>
      </c>
      <c r="G682" s="287" t="s">
        <v>250</v>
      </c>
      <c r="H682" s="40"/>
      <c r="I682" s="40"/>
      <c r="J682" s="40"/>
      <c r="K682" s="286"/>
      <c r="L682" s="286"/>
      <c r="M682" s="40"/>
      <c r="N682" s="40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 ht="15.75" customHeight="1">
      <c r="A683" s="287">
        <v>111141.0</v>
      </c>
      <c r="B683" s="287" t="s">
        <v>1685</v>
      </c>
      <c r="C683" s="287" t="s">
        <v>42</v>
      </c>
      <c r="D683" s="287" t="s">
        <v>518</v>
      </c>
      <c r="E683" s="287" t="b">
        <v>1</v>
      </c>
      <c r="F683" s="287" t="b">
        <v>1</v>
      </c>
      <c r="G683" s="287" t="s">
        <v>250</v>
      </c>
      <c r="H683" s="40"/>
      <c r="I683" s="40"/>
      <c r="J683" s="40"/>
      <c r="K683" s="286"/>
      <c r="L683" s="286"/>
      <c r="M683" s="40"/>
      <c r="N683" s="40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 ht="15.75" customHeight="1">
      <c r="A684" s="287">
        <v>111844.0</v>
      </c>
      <c r="B684" s="287" t="s">
        <v>1686</v>
      </c>
      <c r="C684" s="287" t="s">
        <v>42</v>
      </c>
      <c r="D684" s="287" t="s">
        <v>518</v>
      </c>
      <c r="E684" s="287" t="b">
        <v>1</v>
      </c>
      <c r="F684" s="287" t="b">
        <v>1</v>
      </c>
      <c r="G684" s="287" t="s">
        <v>250</v>
      </c>
      <c r="H684" s="40"/>
      <c r="I684" s="40"/>
      <c r="J684" s="40"/>
      <c r="K684" s="286"/>
      <c r="L684" s="286"/>
      <c r="M684" s="40"/>
      <c r="N684" s="40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 ht="15.75" customHeight="1">
      <c r="A685" s="287">
        <v>20150.0</v>
      </c>
      <c r="B685" s="287" t="s">
        <v>1688</v>
      </c>
      <c r="C685" s="287" t="s">
        <v>64</v>
      </c>
      <c r="D685" s="287" t="s">
        <v>518</v>
      </c>
      <c r="E685" s="287" t="b">
        <v>1</v>
      </c>
      <c r="F685" s="287" t="b">
        <v>1</v>
      </c>
      <c r="G685" s="287" t="s">
        <v>250</v>
      </c>
      <c r="H685" s="40"/>
      <c r="I685" s="40"/>
      <c r="J685" s="40"/>
      <c r="K685" s="286"/>
      <c r="L685" s="286"/>
      <c r="M685" s="40"/>
      <c r="N685" s="40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 ht="15.75" customHeight="1">
      <c r="A686" s="287">
        <v>111107.0</v>
      </c>
      <c r="B686" s="287" t="s">
        <v>1689</v>
      </c>
      <c r="C686" s="287" t="s">
        <v>1692</v>
      </c>
      <c r="D686" s="287" t="s">
        <v>518</v>
      </c>
      <c r="E686" s="287" t="b">
        <v>1</v>
      </c>
      <c r="F686" s="287" t="b">
        <v>1</v>
      </c>
      <c r="G686" s="287" t="s">
        <v>250</v>
      </c>
      <c r="H686" s="40"/>
      <c r="I686" s="40"/>
      <c r="J686" s="40"/>
      <c r="K686" s="286"/>
      <c r="L686" s="286"/>
      <c r="M686" s="40"/>
      <c r="N686" s="40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 ht="15.75" customHeight="1">
      <c r="A687" s="287">
        <v>16355.0</v>
      </c>
      <c r="B687" s="287" t="s">
        <v>1696</v>
      </c>
      <c r="C687" s="287" t="s">
        <v>1698</v>
      </c>
      <c r="D687" s="287" t="s">
        <v>518</v>
      </c>
      <c r="E687" s="287" t="b">
        <v>1</v>
      </c>
      <c r="F687" s="287" t="b">
        <v>1</v>
      </c>
      <c r="G687" s="287" t="s">
        <v>250</v>
      </c>
      <c r="H687" s="40"/>
      <c r="I687" s="40"/>
      <c r="J687" s="40"/>
      <c r="K687" s="286"/>
      <c r="L687" s="286"/>
      <c r="M687" s="40"/>
      <c r="N687" s="40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 ht="15.75" customHeight="1">
      <c r="A688" s="287">
        <v>20151.0</v>
      </c>
      <c r="B688" s="287" t="s">
        <v>1699</v>
      </c>
      <c r="C688" s="287" t="s">
        <v>2674</v>
      </c>
      <c r="D688" s="287" t="s">
        <v>518</v>
      </c>
      <c r="E688" s="287" t="b">
        <v>1</v>
      </c>
      <c r="F688" s="287" t="b">
        <v>1</v>
      </c>
      <c r="G688" s="287" t="s">
        <v>250</v>
      </c>
      <c r="H688" s="40"/>
      <c r="I688" s="40"/>
      <c r="J688" s="40"/>
      <c r="K688" s="286"/>
      <c r="L688" s="286"/>
      <c r="M688" s="40"/>
      <c r="N688" s="40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 ht="15.75" customHeight="1">
      <c r="A689" s="287">
        <v>20149.0</v>
      </c>
      <c r="B689" s="287" t="s">
        <v>1700</v>
      </c>
      <c r="C689" s="287" t="s">
        <v>1701</v>
      </c>
      <c r="D689" s="287" t="s">
        <v>518</v>
      </c>
      <c r="E689" s="287" t="b">
        <v>1</v>
      </c>
      <c r="F689" s="287" t="b">
        <v>1</v>
      </c>
      <c r="G689" s="287" t="s">
        <v>250</v>
      </c>
      <c r="H689" s="40"/>
      <c r="I689" s="40"/>
      <c r="J689" s="40"/>
      <c r="K689" s="286"/>
      <c r="L689" s="286"/>
      <c r="M689" s="40"/>
      <c r="N689" s="40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 ht="15.75" customHeight="1">
      <c r="A690" s="287">
        <v>20224.0</v>
      </c>
      <c r="B690" s="287" t="s">
        <v>1702</v>
      </c>
      <c r="C690" s="287" t="s">
        <v>1701</v>
      </c>
      <c r="D690" s="287" t="s">
        <v>518</v>
      </c>
      <c r="E690" s="287" t="b">
        <v>1</v>
      </c>
      <c r="F690" s="287" t="b">
        <v>1</v>
      </c>
      <c r="G690" s="287" t="s">
        <v>250</v>
      </c>
      <c r="H690" s="40"/>
      <c r="I690" s="40"/>
      <c r="J690" s="40"/>
      <c r="K690" s="286"/>
      <c r="L690" s="286"/>
      <c r="M690" s="40"/>
      <c r="N690" s="40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 ht="15.75" customHeight="1">
      <c r="A691" s="287">
        <v>110881.0</v>
      </c>
      <c r="B691" s="287" t="s">
        <v>1704</v>
      </c>
      <c r="C691" s="287" t="s">
        <v>1707</v>
      </c>
      <c r="D691" s="287" t="s">
        <v>518</v>
      </c>
      <c r="E691" s="287" t="b">
        <v>1</v>
      </c>
      <c r="F691" s="287" t="b">
        <v>1</v>
      </c>
      <c r="G691" s="287" t="s">
        <v>250</v>
      </c>
      <c r="H691" s="40"/>
      <c r="I691" s="40"/>
      <c r="J691" s="40"/>
      <c r="K691" s="286"/>
      <c r="L691" s="286"/>
      <c r="M691" s="40"/>
      <c r="N691" s="40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 ht="15.75" customHeight="1">
      <c r="A692" s="287">
        <v>148491.0</v>
      </c>
      <c r="B692" s="287" t="s">
        <v>1708</v>
      </c>
      <c r="C692" s="287" t="s">
        <v>2675</v>
      </c>
      <c r="D692" s="287" t="s">
        <v>518</v>
      </c>
      <c r="E692" s="287" t="b">
        <v>1</v>
      </c>
      <c r="F692" s="287" t="b">
        <v>1</v>
      </c>
      <c r="G692" s="287" t="s">
        <v>250</v>
      </c>
      <c r="H692" s="40"/>
      <c r="I692" s="40"/>
      <c r="J692" s="40"/>
      <c r="K692" s="286"/>
      <c r="L692" s="286"/>
      <c r="M692" s="40"/>
      <c r="N692" s="40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 ht="15.75" customHeight="1">
      <c r="A693" s="287">
        <v>20879.0</v>
      </c>
      <c r="B693" s="287" t="s">
        <v>1710</v>
      </c>
      <c r="C693" s="287" t="s">
        <v>1711</v>
      </c>
      <c r="D693" s="287" t="s">
        <v>518</v>
      </c>
      <c r="E693" s="287" t="b">
        <v>1</v>
      </c>
      <c r="F693" s="287" t="b">
        <v>1</v>
      </c>
      <c r="G693" s="287" t="s">
        <v>1712</v>
      </c>
      <c r="H693" s="40"/>
      <c r="I693" s="40"/>
      <c r="J693" s="40"/>
      <c r="K693" s="286"/>
      <c r="L693" s="286"/>
      <c r="M693" s="40"/>
      <c r="N693" s="40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 ht="15.75" customHeight="1">
      <c r="A694" s="287">
        <v>16340.0</v>
      </c>
      <c r="B694" s="287" t="s">
        <v>1713</v>
      </c>
      <c r="C694" s="287" t="s">
        <v>1101</v>
      </c>
      <c r="D694" s="287" t="s">
        <v>518</v>
      </c>
      <c r="E694" s="287" t="b">
        <v>1</v>
      </c>
      <c r="F694" s="287" t="b">
        <v>1</v>
      </c>
      <c r="G694" s="287" t="s">
        <v>250</v>
      </c>
      <c r="H694" s="40"/>
      <c r="I694" s="40"/>
      <c r="J694" s="40"/>
      <c r="K694" s="286"/>
      <c r="L694" s="286"/>
      <c r="M694" s="40"/>
      <c r="N694" s="40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 ht="15.75" customHeight="1">
      <c r="A695" s="287">
        <v>16451.0</v>
      </c>
      <c r="B695" s="287" t="s">
        <v>2676</v>
      </c>
      <c r="C695" s="287" t="s">
        <v>1101</v>
      </c>
      <c r="D695" s="287" t="s">
        <v>518</v>
      </c>
      <c r="E695" s="287" t="b">
        <v>1</v>
      </c>
      <c r="F695" s="287" t="b">
        <v>1</v>
      </c>
      <c r="G695" s="287" t="s">
        <v>250</v>
      </c>
      <c r="H695" s="40"/>
      <c r="I695" s="40"/>
      <c r="J695" s="40"/>
      <c r="K695" s="286"/>
      <c r="L695" s="286"/>
      <c r="M695" s="40"/>
      <c r="N695" s="40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 ht="15.75" customHeight="1">
      <c r="A696" s="287">
        <v>112637.0</v>
      </c>
      <c r="B696" s="287" t="s">
        <v>1716</v>
      </c>
      <c r="C696" s="287" t="s">
        <v>1017</v>
      </c>
      <c r="D696" s="287" t="s">
        <v>518</v>
      </c>
      <c r="E696" s="287" t="b">
        <v>1</v>
      </c>
      <c r="F696" s="287" t="b">
        <v>1</v>
      </c>
      <c r="G696" s="287" t="s">
        <v>250</v>
      </c>
      <c r="H696" s="40"/>
      <c r="I696" s="40"/>
      <c r="J696" s="40"/>
      <c r="K696" s="286"/>
      <c r="L696" s="286"/>
      <c r="M696" s="40"/>
      <c r="N696" s="40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 ht="15.75" customHeight="1">
      <c r="A697" s="287">
        <v>143140.0</v>
      </c>
      <c r="B697" s="287" t="s">
        <v>1718</v>
      </c>
      <c r="C697" s="287" t="s">
        <v>1256</v>
      </c>
      <c r="D697" s="287" t="s">
        <v>518</v>
      </c>
      <c r="E697" s="287" t="b">
        <v>1</v>
      </c>
      <c r="F697" s="287" t="b">
        <v>1</v>
      </c>
      <c r="G697" s="287" t="s">
        <v>250</v>
      </c>
      <c r="H697" s="40"/>
      <c r="I697" s="40"/>
      <c r="J697" s="40"/>
      <c r="K697" s="286"/>
      <c r="L697" s="286"/>
      <c r="M697" s="40"/>
      <c r="N697" s="40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 ht="15.75" customHeight="1">
      <c r="A698" s="287">
        <v>111933.0</v>
      </c>
      <c r="B698" s="287" t="s">
        <v>1719</v>
      </c>
      <c r="C698" s="287" t="s">
        <v>946</v>
      </c>
      <c r="D698" s="287" t="s">
        <v>518</v>
      </c>
      <c r="E698" s="287" t="b">
        <v>1</v>
      </c>
      <c r="F698" s="287" t="b">
        <v>1</v>
      </c>
      <c r="G698" s="287" t="s">
        <v>250</v>
      </c>
      <c r="H698" s="40"/>
      <c r="I698" s="40"/>
      <c r="J698" s="40"/>
      <c r="K698" s="286"/>
      <c r="L698" s="286"/>
      <c r="M698" s="40"/>
      <c r="N698" s="40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 ht="15.75" customHeight="1">
      <c r="A699" s="287">
        <v>16358.0</v>
      </c>
      <c r="B699" s="287" t="s">
        <v>1720</v>
      </c>
      <c r="C699" s="287" t="s">
        <v>1701</v>
      </c>
      <c r="D699" s="287" t="s">
        <v>518</v>
      </c>
      <c r="E699" s="287" t="b">
        <v>1</v>
      </c>
      <c r="F699" s="287" t="b">
        <v>1</v>
      </c>
      <c r="G699" s="287" t="s">
        <v>1723</v>
      </c>
      <c r="H699" s="40"/>
      <c r="I699" s="40"/>
      <c r="J699" s="40"/>
      <c r="K699" s="286"/>
      <c r="L699" s="286"/>
      <c r="M699" s="40"/>
      <c r="N699" s="40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 ht="15.75" customHeight="1">
      <c r="A700" s="287">
        <v>109664.0</v>
      </c>
      <c r="B700" s="287" t="s">
        <v>1725</v>
      </c>
      <c r="C700" s="287" t="s">
        <v>64</v>
      </c>
      <c r="D700" s="287" t="s">
        <v>518</v>
      </c>
      <c r="E700" s="287" t="b">
        <v>1</v>
      </c>
      <c r="F700" s="287" t="b">
        <v>1</v>
      </c>
      <c r="G700" s="287" t="s">
        <v>250</v>
      </c>
      <c r="H700" s="40"/>
      <c r="I700" s="40"/>
      <c r="J700" s="40"/>
      <c r="K700" s="286"/>
      <c r="L700" s="286"/>
      <c r="M700" s="40"/>
      <c r="N700" s="40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 ht="15.75" customHeight="1">
      <c r="A701" s="287">
        <v>110879.0</v>
      </c>
      <c r="B701" s="287" t="s">
        <v>1727</v>
      </c>
      <c r="C701" s="287" t="s">
        <v>1017</v>
      </c>
      <c r="D701" s="287" t="s">
        <v>518</v>
      </c>
      <c r="E701" s="287" t="b">
        <v>1</v>
      </c>
      <c r="F701" s="287" t="b">
        <v>1</v>
      </c>
      <c r="G701" s="287" t="s">
        <v>250</v>
      </c>
      <c r="H701" s="40"/>
      <c r="I701" s="40"/>
      <c r="J701" s="40"/>
      <c r="K701" s="286"/>
      <c r="L701" s="286"/>
      <c r="M701" s="40"/>
      <c r="N701" s="40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 ht="15.75" customHeight="1">
      <c r="A702" s="287">
        <v>16344.0</v>
      </c>
      <c r="B702" s="287" t="s">
        <v>1729</v>
      </c>
      <c r="C702" s="287" t="s">
        <v>64</v>
      </c>
      <c r="D702" s="287" t="s">
        <v>369</v>
      </c>
      <c r="E702" s="287" t="b">
        <v>1</v>
      </c>
      <c r="F702" s="287" t="b">
        <v>1</v>
      </c>
      <c r="G702" s="287" t="s">
        <v>1730</v>
      </c>
      <c r="H702" s="40"/>
      <c r="I702" s="40"/>
      <c r="J702" s="40"/>
      <c r="K702" s="286"/>
      <c r="L702" s="286"/>
      <c r="M702" s="40"/>
      <c r="N702" s="40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 ht="15.75" customHeight="1">
      <c r="A703" s="287">
        <v>100435.0</v>
      </c>
      <c r="B703" s="287" t="s">
        <v>1731</v>
      </c>
      <c r="C703" s="287" t="s">
        <v>1617</v>
      </c>
      <c r="D703" s="287" t="s">
        <v>518</v>
      </c>
      <c r="E703" s="287" t="b">
        <v>1</v>
      </c>
      <c r="F703" s="287" t="b">
        <v>1</v>
      </c>
      <c r="G703" s="287" t="s">
        <v>250</v>
      </c>
      <c r="H703" s="40"/>
      <c r="I703" s="40"/>
      <c r="J703" s="40"/>
      <c r="K703" s="286"/>
      <c r="L703" s="286"/>
      <c r="M703" s="40"/>
      <c r="N703" s="40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 ht="15.75" customHeight="1">
      <c r="A704" s="287">
        <v>16349.0</v>
      </c>
      <c r="B704" s="287" t="s">
        <v>1733</v>
      </c>
      <c r="C704" s="287" t="s">
        <v>1617</v>
      </c>
      <c r="D704" s="287" t="s">
        <v>518</v>
      </c>
      <c r="E704" s="287" t="b">
        <v>1</v>
      </c>
      <c r="F704" s="287" t="b">
        <v>1</v>
      </c>
      <c r="G704" s="287" t="s">
        <v>2677</v>
      </c>
      <c r="H704" s="40"/>
      <c r="I704" s="40"/>
      <c r="J704" s="40"/>
      <c r="K704" s="286"/>
      <c r="L704" s="286"/>
      <c r="M704" s="40"/>
      <c r="N704" s="40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 ht="15.75" customHeight="1">
      <c r="A705" s="287">
        <v>111822.0</v>
      </c>
      <c r="B705" s="287" t="s">
        <v>1735</v>
      </c>
      <c r="C705" s="287" t="s">
        <v>64</v>
      </c>
      <c r="D705" s="287" t="s">
        <v>518</v>
      </c>
      <c r="E705" s="287" t="b">
        <v>1</v>
      </c>
      <c r="F705" s="287" t="b">
        <v>1</v>
      </c>
      <c r="G705" s="287" t="s">
        <v>250</v>
      </c>
      <c r="H705" s="40"/>
      <c r="I705" s="40"/>
      <c r="J705" s="40"/>
      <c r="K705" s="286"/>
      <c r="L705" s="286"/>
      <c r="M705" s="40"/>
      <c r="N705" s="40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 ht="15.75" customHeight="1">
      <c r="A706" s="287">
        <v>16380.0</v>
      </c>
      <c r="B706" s="287" t="s">
        <v>1737</v>
      </c>
      <c r="C706" s="287" t="s">
        <v>64</v>
      </c>
      <c r="D706" s="287" t="s">
        <v>518</v>
      </c>
      <c r="E706" s="287" t="b">
        <v>1</v>
      </c>
      <c r="F706" s="287" t="b">
        <v>1</v>
      </c>
      <c r="G706" s="287" t="s">
        <v>1740</v>
      </c>
      <c r="H706" s="40"/>
      <c r="I706" s="40"/>
      <c r="J706" s="40"/>
      <c r="K706" s="286"/>
      <c r="L706" s="286"/>
      <c r="M706" s="40"/>
      <c r="N706" s="40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 ht="15.75" customHeight="1">
      <c r="A707" s="287">
        <v>109668.0</v>
      </c>
      <c r="B707" s="287" t="s">
        <v>1741</v>
      </c>
      <c r="C707" s="287" t="s">
        <v>64</v>
      </c>
      <c r="D707" s="287" t="s">
        <v>518</v>
      </c>
      <c r="E707" s="287" t="b">
        <v>1</v>
      </c>
      <c r="F707" s="287" t="b">
        <v>1</v>
      </c>
      <c r="G707" s="287" t="s">
        <v>250</v>
      </c>
      <c r="H707" s="40"/>
      <c r="I707" s="40"/>
      <c r="J707" s="40"/>
      <c r="K707" s="286"/>
      <c r="L707" s="286"/>
      <c r="M707" s="40"/>
      <c r="N707" s="40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 ht="15.75" customHeight="1">
      <c r="A708" s="287">
        <v>109667.0</v>
      </c>
      <c r="B708" s="287" t="s">
        <v>1743</v>
      </c>
      <c r="C708" s="287" t="s">
        <v>64</v>
      </c>
      <c r="D708" s="287" t="s">
        <v>518</v>
      </c>
      <c r="E708" s="287" t="b">
        <v>1</v>
      </c>
      <c r="F708" s="287" t="b">
        <v>1</v>
      </c>
      <c r="G708" s="287" t="s">
        <v>250</v>
      </c>
      <c r="H708" s="40"/>
      <c r="I708" s="40"/>
      <c r="J708" s="40"/>
      <c r="K708" s="286"/>
      <c r="L708" s="286"/>
      <c r="M708" s="40"/>
      <c r="N708" s="40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 ht="15.75" customHeight="1">
      <c r="A709" s="287">
        <v>16426.0</v>
      </c>
      <c r="B709" s="287" t="s">
        <v>1746</v>
      </c>
      <c r="C709" s="287" t="s">
        <v>2678</v>
      </c>
      <c r="D709" s="287" t="s">
        <v>518</v>
      </c>
      <c r="E709" s="287" t="b">
        <v>1</v>
      </c>
      <c r="F709" s="287" t="b">
        <v>1</v>
      </c>
      <c r="G709" s="287" t="s">
        <v>250</v>
      </c>
      <c r="H709" s="40"/>
      <c r="I709" s="40"/>
      <c r="J709" s="40"/>
      <c r="K709" s="286"/>
      <c r="L709" s="286"/>
      <c r="M709" s="40"/>
      <c r="N709" s="40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 ht="15.75" customHeight="1">
      <c r="A710" s="287">
        <v>12275.0</v>
      </c>
      <c r="B710" s="287" t="s">
        <v>1749</v>
      </c>
      <c r="C710" s="287" t="s">
        <v>64</v>
      </c>
      <c r="D710" s="287" t="s">
        <v>518</v>
      </c>
      <c r="E710" s="287" t="b">
        <v>1</v>
      </c>
      <c r="F710" s="287" t="b">
        <v>1</v>
      </c>
      <c r="G710" s="287" t="s">
        <v>250</v>
      </c>
      <c r="H710" s="40"/>
      <c r="I710" s="40"/>
      <c r="J710" s="40"/>
      <c r="K710" s="286"/>
      <c r="L710" s="286"/>
      <c r="M710" s="40"/>
      <c r="N710" s="40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 ht="15.75" customHeight="1">
      <c r="A711" s="287">
        <v>16350.0</v>
      </c>
      <c r="B711" s="287" t="s">
        <v>1751</v>
      </c>
      <c r="C711" s="287" t="s">
        <v>64</v>
      </c>
      <c r="D711" s="287" t="s">
        <v>518</v>
      </c>
      <c r="E711" s="287" t="b">
        <v>1</v>
      </c>
      <c r="F711" s="287" t="b">
        <v>1</v>
      </c>
      <c r="G711" s="287" t="s">
        <v>1753</v>
      </c>
      <c r="H711" s="40"/>
      <c r="I711" s="40"/>
      <c r="J711" s="40"/>
      <c r="K711" s="286"/>
      <c r="L711" s="286"/>
      <c r="M711" s="40"/>
      <c r="N711" s="40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 ht="15.75" customHeight="1">
      <c r="A712" s="287">
        <v>16534.0</v>
      </c>
      <c r="B712" s="287" t="s">
        <v>1754</v>
      </c>
      <c r="C712" s="287" t="s">
        <v>2679</v>
      </c>
      <c r="D712" s="287" t="s">
        <v>518</v>
      </c>
      <c r="E712" s="287" t="b">
        <v>1</v>
      </c>
      <c r="F712" s="287" t="b">
        <v>1</v>
      </c>
      <c r="G712" s="287" t="s">
        <v>1756</v>
      </c>
      <c r="H712" s="40"/>
      <c r="I712" s="40"/>
      <c r="J712" s="40"/>
      <c r="K712" s="286"/>
      <c r="L712" s="286"/>
      <c r="M712" s="40"/>
      <c r="N712" s="40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 ht="15.75" customHeight="1">
      <c r="A713" s="287">
        <v>111125.0</v>
      </c>
      <c r="B713" s="287" t="s">
        <v>1757</v>
      </c>
      <c r="C713" s="287" t="s">
        <v>1759</v>
      </c>
      <c r="D713" s="287" t="s">
        <v>518</v>
      </c>
      <c r="E713" s="287" t="b">
        <v>1</v>
      </c>
      <c r="F713" s="287" t="b">
        <v>1</v>
      </c>
      <c r="G713" s="287" t="s">
        <v>250</v>
      </c>
      <c r="H713" s="40"/>
      <c r="I713" s="40"/>
      <c r="J713" s="40"/>
      <c r="K713" s="286"/>
      <c r="L713" s="286"/>
      <c r="M713" s="40"/>
      <c r="N713" s="40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 ht="15.75" customHeight="1">
      <c r="A714" s="287">
        <v>109665.0</v>
      </c>
      <c r="B714" s="287" t="s">
        <v>1760</v>
      </c>
      <c r="C714" s="287" t="s">
        <v>64</v>
      </c>
      <c r="D714" s="287" t="s">
        <v>518</v>
      </c>
      <c r="E714" s="287" t="b">
        <v>1</v>
      </c>
      <c r="F714" s="287" t="b">
        <v>1</v>
      </c>
      <c r="G714" s="287" t="s">
        <v>250</v>
      </c>
      <c r="H714" s="40"/>
      <c r="I714" s="40"/>
      <c r="J714" s="40"/>
      <c r="K714" s="286"/>
      <c r="L714" s="286"/>
      <c r="M714" s="40"/>
      <c r="N714" s="40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 ht="15.75" customHeight="1">
      <c r="A715" s="287">
        <v>109666.0</v>
      </c>
      <c r="B715" s="287" t="s">
        <v>1761</v>
      </c>
      <c r="C715" s="287" t="s">
        <v>64</v>
      </c>
      <c r="D715" s="287" t="s">
        <v>518</v>
      </c>
      <c r="E715" s="287" t="b">
        <v>1</v>
      </c>
      <c r="F715" s="287" t="b">
        <v>1</v>
      </c>
      <c r="G715" s="287" t="s">
        <v>250</v>
      </c>
      <c r="H715" s="40"/>
      <c r="I715" s="40"/>
      <c r="J715" s="40"/>
      <c r="K715" s="286"/>
      <c r="L715" s="286"/>
      <c r="M715" s="40"/>
      <c r="N715" s="40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 ht="15.75" customHeight="1">
      <c r="A716" s="287">
        <v>112015.0</v>
      </c>
      <c r="B716" s="287" t="s">
        <v>1762</v>
      </c>
      <c r="C716" s="287" t="s">
        <v>64</v>
      </c>
      <c r="D716" s="287" t="s">
        <v>518</v>
      </c>
      <c r="E716" s="287" t="b">
        <v>1</v>
      </c>
      <c r="F716" s="287" t="b">
        <v>1</v>
      </c>
      <c r="G716" s="287" t="s">
        <v>250</v>
      </c>
      <c r="H716" s="40"/>
      <c r="I716" s="40"/>
      <c r="J716" s="40"/>
      <c r="K716" s="286"/>
      <c r="L716" s="286"/>
      <c r="M716" s="40"/>
      <c r="N716" s="40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 ht="15.75" customHeight="1">
      <c r="A717" s="287">
        <v>112013.0</v>
      </c>
      <c r="B717" s="287" t="s">
        <v>1763</v>
      </c>
      <c r="C717" s="287" t="s">
        <v>64</v>
      </c>
      <c r="D717" s="287" t="s">
        <v>518</v>
      </c>
      <c r="E717" s="287" t="b">
        <v>1</v>
      </c>
      <c r="F717" s="287" t="b">
        <v>1</v>
      </c>
      <c r="G717" s="287" t="s">
        <v>250</v>
      </c>
      <c r="H717" s="40"/>
      <c r="I717" s="40"/>
      <c r="J717" s="40"/>
      <c r="K717" s="286"/>
      <c r="L717" s="286"/>
      <c r="M717" s="40"/>
      <c r="N717" s="40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 ht="15.75" customHeight="1">
      <c r="A718" s="287">
        <v>148488.0</v>
      </c>
      <c r="B718" s="287" t="s">
        <v>1764</v>
      </c>
      <c r="C718" s="287" t="s">
        <v>2680</v>
      </c>
      <c r="D718" s="287" t="s">
        <v>518</v>
      </c>
      <c r="E718" s="287" t="b">
        <v>1</v>
      </c>
      <c r="F718" s="287" t="b">
        <v>1</v>
      </c>
      <c r="G718" s="287" t="s">
        <v>1766</v>
      </c>
      <c r="H718" s="40"/>
      <c r="I718" s="40"/>
      <c r="J718" s="40"/>
      <c r="K718" s="286"/>
      <c r="L718" s="286"/>
      <c r="M718" s="40"/>
      <c r="N718" s="40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 ht="15.75" customHeight="1">
      <c r="A719" s="287">
        <v>16399.0</v>
      </c>
      <c r="B719" s="287" t="s">
        <v>1767</v>
      </c>
      <c r="C719" s="287" t="s">
        <v>2681</v>
      </c>
      <c r="D719" s="287" t="s">
        <v>518</v>
      </c>
      <c r="E719" s="287" t="b">
        <v>1</v>
      </c>
      <c r="F719" s="287" t="b">
        <v>1</v>
      </c>
      <c r="G719" s="287" t="s">
        <v>250</v>
      </c>
      <c r="H719" s="40"/>
      <c r="I719" s="40"/>
      <c r="J719" s="40"/>
      <c r="K719" s="286"/>
      <c r="L719" s="286"/>
      <c r="M719" s="40"/>
      <c r="N719" s="40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 ht="15.75" customHeight="1">
      <c r="A720" s="287">
        <v>110931.0</v>
      </c>
      <c r="B720" s="287" t="s">
        <v>1769</v>
      </c>
      <c r="C720" s="287" t="s">
        <v>2682</v>
      </c>
      <c r="D720" s="287" t="s">
        <v>518</v>
      </c>
      <c r="E720" s="287" t="b">
        <v>1</v>
      </c>
      <c r="F720" s="287" t="b">
        <v>1</v>
      </c>
      <c r="G720" s="287" t="s">
        <v>250</v>
      </c>
      <c r="H720" s="40"/>
      <c r="I720" s="40"/>
      <c r="J720" s="40"/>
      <c r="K720" s="286"/>
      <c r="L720" s="286"/>
      <c r="M720" s="40"/>
      <c r="N720" s="40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 ht="15.75" customHeight="1">
      <c r="A721" s="287">
        <v>16402.0</v>
      </c>
      <c r="B721" s="287" t="s">
        <v>1772</v>
      </c>
      <c r="C721" s="287" t="s">
        <v>1707</v>
      </c>
      <c r="D721" s="287" t="s">
        <v>518</v>
      </c>
      <c r="E721" s="287" t="b">
        <v>1</v>
      </c>
      <c r="F721" s="287" t="b">
        <v>1</v>
      </c>
      <c r="G721" s="287" t="s">
        <v>250</v>
      </c>
      <c r="H721" s="40"/>
      <c r="I721" s="40"/>
      <c r="J721" s="40"/>
      <c r="K721" s="286"/>
      <c r="L721" s="286"/>
      <c r="M721" s="40"/>
      <c r="N721" s="40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 ht="15.75" customHeight="1">
      <c r="A722" s="287">
        <v>16427.0</v>
      </c>
      <c r="B722" s="287" t="s">
        <v>1773</v>
      </c>
      <c r="C722" s="287" t="s">
        <v>2683</v>
      </c>
      <c r="D722" s="287" t="s">
        <v>518</v>
      </c>
      <c r="E722" s="287" t="b">
        <v>1</v>
      </c>
      <c r="F722" s="287" t="b">
        <v>1</v>
      </c>
      <c r="G722" s="287" t="s">
        <v>1775</v>
      </c>
      <c r="H722" s="40"/>
      <c r="I722" s="40"/>
      <c r="J722" s="40"/>
      <c r="K722" s="286"/>
      <c r="L722" s="286"/>
      <c r="M722" s="40"/>
      <c r="N722" s="40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 ht="15.75" customHeight="1">
      <c r="A723" s="287">
        <v>10033.0</v>
      </c>
      <c r="B723" s="287" t="s">
        <v>1776</v>
      </c>
      <c r="C723" s="287" t="s">
        <v>1778</v>
      </c>
      <c r="D723" s="287" t="s">
        <v>518</v>
      </c>
      <c r="E723" s="287" t="b">
        <v>1</v>
      </c>
      <c r="F723" s="287" t="b">
        <v>1</v>
      </c>
      <c r="G723" s="287" t="s">
        <v>250</v>
      </c>
      <c r="H723" s="40"/>
      <c r="I723" s="40"/>
      <c r="J723" s="40"/>
      <c r="K723" s="286"/>
      <c r="L723" s="286"/>
      <c r="M723" s="40"/>
      <c r="N723" s="40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 ht="15.75" customHeight="1">
      <c r="A724" s="287">
        <v>16413.0</v>
      </c>
      <c r="B724" s="287" t="s">
        <v>1779</v>
      </c>
      <c r="C724" s="287" t="s">
        <v>64</v>
      </c>
      <c r="D724" s="287" t="s">
        <v>518</v>
      </c>
      <c r="E724" s="287" t="b">
        <v>1</v>
      </c>
      <c r="F724" s="287" t="b">
        <v>1</v>
      </c>
      <c r="G724" s="287" t="s">
        <v>1781</v>
      </c>
      <c r="H724" s="40"/>
      <c r="I724" s="40"/>
      <c r="J724" s="40"/>
      <c r="K724" s="286"/>
      <c r="L724" s="286"/>
      <c r="M724" s="40"/>
      <c r="N724" s="40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 ht="15.75" customHeight="1">
      <c r="A725" s="287">
        <v>16374.0</v>
      </c>
      <c r="B725" s="287" t="s">
        <v>1782</v>
      </c>
      <c r="C725" s="287" t="s">
        <v>1778</v>
      </c>
      <c r="D725" s="287" t="s">
        <v>518</v>
      </c>
      <c r="E725" s="287" t="b">
        <v>1</v>
      </c>
      <c r="F725" s="287" t="b">
        <v>1</v>
      </c>
      <c r="G725" s="287" t="s">
        <v>250</v>
      </c>
      <c r="H725" s="40"/>
      <c r="I725" s="40"/>
      <c r="J725" s="40"/>
      <c r="K725" s="286"/>
      <c r="L725" s="286"/>
      <c r="M725" s="40"/>
      <c r="N725" s="40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 ht="15.75" customHeight="1">
      <c r="A726" s="287">
        <v>110951.0</v>
      </c>
      <c r="B726" s="287" t="s">
        <v>1784</v>
      </c>
      <c r="C726" s="287" t="s">
        <v>42</v>
      </c>
      <c r="D726" s="287" t="s">
        <v>518</v>
      </c>
      <c r="E726" s="287" t="b">
        <v>1</v>
      </c>
      <c r="F726" s="287" t="b">
        <v>1</v>
      </c>
      <c r="G726" s="287" t="s">
        <v>250</v>
      </c>
      <c r="H726" s="40"/>
      <c r="I726" s="40"/>
      <c r="J726" s="40"/>
      <c r="K726" s="286"/>
      <c r="L726" s="286"/>
      <c r="M726" s="40"/>
      <c r="N726" s="40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 ht="15.75" customHeight="1">
      <c r="A727" s="287">
        <v>16011.0</v>
      </c>
      <c r="B727" s="287" t="s">
        <v>1787</v>
      </c>
      <c r="C727" s="287" t="s">
        <v>1789</v>
      </c>
      <c r="D727" s="287" t="s">
        <v>369</v>
      </c>
      <c r="E727" s="287" t="b">
        <v>1</v>
      </c>
      <c r="F727" s="287" t="b">
        <v>1</v>
      </c>
      <c r="G727" s="287" t="s">
        <v>1790</v>
      </c>
      <c r="H727" s="40"/>
      <c r="I727" s="40"/>
      <c r="J727" s="40"/>
      <c r="K727" s="286"/>
      <c r="L727" s="286"/>
      <c r="M727" s="40"/>
      <c r="N727" s="40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 ht="15.75" customHeight="1">
      <c r="A728" s="287">
        <v>16013.0</v>
      </c>
      <c r="B728" s="287" t="s">
        <v>1791</v>
      </c>
      <c r="C728" s="287" t="s">
        <v>2684</v>
      </c>
      <c r="D728" s="287" t="s">
        <v>518</v>
      </c>
      <c r="E728" s="287" t="b">
        <v>1</v>
      </c>
      <c r="F728" s="287" t="b">
        <v>1</v>
      </c>
      <c r="G728" s="287" t="s">
        <v>250</v>
      </c>
      <c r="H728" s="40"/>
      <c r="I728" s="40"/>
      <c r="J728" s="40"/>
      <c r="K728" s="286"/>
      <c r="L728" s="286"/>
      <c r="M728" s="40"/>
      <c r="N728" s="40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 ht="15.75" customHeight="1">
      <c r="A729" s="287">
        <v>111962.0</v>
      </c>
      <c r="B729" s="287" t="s">
        <v>1792</v>
      </c>
      <c r="C729" s="287" t="s">
        <v>42</v>
      </c>
      <c r="D729" s="287" t="s">
        <v>369</v>
      </c>
      <c r="E729" s="287" t="b">
        <v>1</v>
      </c>
      <c r="F729" s="287" t="b">
        <v>1</v>
      </c>
      <c r="G729" s="287" t="s">
        <v>250</v>
      </c>
      <c r="H729" s="40"/>
      <c r="I729" s="40"/>
      <c r="J729" s="40"/>
      <c r="K729" s="286"/>
      <c r="L729" s="286"/>
      <c r="M729" s="40"/>
      <c r="N729" s="40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 ht="15.75" customHeight="1">
      <c r="A730" s="287">
        <v>16085.0</v>
      </c>
      <c r="B730" s="287" t="s">
        <v>1794</v>
      </c>
      <c r="C730" s="287" t="s">
        <v>2685</v>
      </c>
      <c r="D730" s="287" t="s">
        <v>518</v>
      </c>
      <c r="E730" s="287" t="b">
        <v>1</v>
      </c>
      <c r="F730" s="287" t="b">
        <v>1</v>
      </c>
      <c r="G730" s="287" t="s">
        <v>250</v>
      </c>
      <c r="H730" s="40"/>
      <c r="I730" s="40"/>
      <c r="J730" s="40"/>
      <c r="K730" s="286"/>
      <c r="L730" s="286"/>
      <c r="M730" s="40"/>
      <c r="N730" s="40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 ht="15.75" customHeight="1">
      <c r="A731" s="287">
        <v>16088.0</v>
      </c>
      <c r="B731" s="287" t="s">
        <v>1797</v>
      </c>
      <c r="C731" s="287" t="s">
        <v>2686</v>
      </c>
      <c r="D731" s="287" t="s">
        <v>518</v>
      </c>
      <c r="E731" s="287" t="b">
        <v>1</v>
      </c>
      <c r="F731" s="287" t="b">
        <v>1</v>
      </c>
      <c r="G731" s="287" t="s">
        <v>250</v>
      </c>
      <c r="H731" s="40"/>
      <c r="I731" s="40"/>
      <c r="J731" s="40"/>
      <c r="K731" s="286"/>
      <c r="L731" s="286"/>
      <c r="M731" s="40"/>
      <c r="N731" s="40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 ht="15.75" customHeight="1">
      <c r="A732" s="287">
        <v>16064.0</v>
      </c>
      <c r="B732" s="287" t="s">
        <v>1800</v>
      </c>
      <c r="C732" s="287" t="s">
        <v>2687</v>
      </c>
      <c r="D732" s="287" t="s">
        <v>518</v>
      </c>
      <c r="E732" s="287" t="b">
        <v>1</v>
      </c>
      <c r="F732" s="287" t="b">
        <v>1</v>
      </c>
      <c r="G732" s="287" t="s">
        <v>250</v>
      </c>
      <c r="H732" s="40"/>
      <c r="I732" s="40"/>
      <c r="J732" s="40"/>
      <c r="K732" s="286"/>
      <c r="L732" s="286"/>
      <c r="M732" s="40"/>
      <c r="N732" s="40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 ht="15.75" customHeight="1">
      <c r="A733" s="287">
        <v>16508.0</v>
      </c>
      <c r="B733" s="287" t="s">
        <v>1804</v>
      </c>
      <c r="C733" s="287" t="s">
        <v>1617</v>
      </c>
      <c r="D733" s="287" t="s">
        <v>518</v>
      </c>
      <c r="E733" s="287" t="b">
        <v>1</v>
      </c>
      <c r="F733" s="287" t="b">
        <v>1</v>
      </c>
      <c r="G733" s="287" t="s">
        <v>1805</v>
      </c>
      <c r="H733" s="40"/>
      <c r="I733" s="40"/>
      <c r="J733" s="40"/>
      <c r="K733" s="286"/>
      <c r="L733" s="286"/>
      <c r="M733" s="40"/>
      <c r="N733" s="40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 ht="15.75" customHeight="1">
      <c r="A734" s="287">
        <v>16495.0</v>
      </c>
      <c r="B734" s="287" t="s">
        <v>1806</v>
      </c>
      <c r="C734" s="287" t="s">
        <v>1626</v>
      </c>
      <c r="D734" s="287" t="s">
        <v>518</v>
      </c>
      <c r="E734" s="287" t="b">
        <v>1</v>
      </c>
      <c r="F734" s="287" t="b">
        <v>1</v>
      </c>
      <c r="G734" s="287" t="s">
        <v>1808</v>
      </c>
      <c r="H734" s="40"/>
      <c r="I734" s="40"/>
      <c r="J734" s="40"/>
      <c r="K734" s="286"/>
      <c r="L734" s="286"/>
      <c r="M734" s="40"/>
      <c r="N734" s="40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 ht="15.75" customHeight="1">
      <c r="A735" s="287">
        <v>16500.0</v>
      </c>
      <c r="B735" s="287" t="s">
        <v>1809</v>
      </c>
      <c r="C735" s="287" t="s">
        <v>2688</v>
      </c>
      <c r="D735" s="287" t="s">
        <v>518</v>
      </c>
      <c r="E735" s="287" t="b">
        <v>1</v>
      </c>
      <c r="F735" s="287" t="b">
        <v>1</v>
      </c>
      <c r="G735" s="287" t="s">
        <v>1812</v>
      </c>
      <c r="H735" s="40"/>
      <c r="I735" s="40"/>
      <c r="J735" s="40"/>
      <c r="K735" s="286"/>
      <c r="L735" s="286"/>
      <c r="M735" s="40"/>
      <c r="N735" s="40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 ht="15.75" customHeight="1">
      <c r="A736" s="287">
        <v>109517.0</v>
      </c>
      <c r="B736" s="287" t="s">
        <v>1813</v>
      </c>
      <c r="C736" s="287" t="s">
        <v>42</v>
      </c>
      <c r="D736" s="287" t="s">
        <v>518</v>
      </c>
      <c r="E736" s="287" t="b">
        <v>1</v>
      </c>
      <c r="F736" s="287" t="b">
        <v>1</v>
      </c>
      <c r="G736" s="287" t="s">
        <v>2613</v>
      </c>
      <c r="H736" s="40"/>
      <c r="I736" s="40"/>
      <c r="J736" s="40"/>
      <c r="K736" s="286"/>
      <c r="L736" s="286"/>
      <c r="M736" s="40"/>
      <c r="N736" s="40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 ht="15.75" customHeight="1">
      <c r="A737" s="287">
        <v>16490.0</v>
      </c>
      <c r="B737" s="287" t="s">
        <v>1822</v>
      </c>
      <c r="C737" s="287" t="s">
        <v>2688</v>
      </c>
      <c r="D737" s="287" t="s">
        <v>518</v>
      </c>
      <c r="E737" s="287" t="b">
        <v>1</v>
      </c>
      <c r="F737" s="287" t="b">
        <v>1</v>
      </c>
      <c r="G737" s="287" t="s">
        <v>1823</v>
      </c>
      <c r="H737" s="40"/>
      <c r="I737" s="40"/>
      <c r="J737" s="40"/>
      <c r="K737" s="286"/>
      <c r="L737" s="286"/>
      <c r="M737" s="40"/>
      <c r="N737" s="40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 ht="15.75" customHeight="1">
      <c r="A738" s="287">
        <v>16492.0</v>
      </c>
      <c r="B738" s="287" t="s">
        <v>1824</v>
      </c>
      <c r="C738" s="287" t="s">
        <v>2688</v>
      </c>
      <c r="D738" s="287" t="s">
        <v>518</v>
      </c>
      <c r="E738" s="287" t="b">
        <v>1</v>
      </c>
      <c r="F738" s="287" t="b">
        <v>1</v>
      </c>
      <c r="G738" s="287" t="s">
        <v>1825</v>
      </c>
      <c r="H738" s="40"/>
      <c r="I738" s="40"/>
      <c r="J738" s="40"/>
      <c r="K738" s="286"/>
      <c r="L738" s="286"/>
      <c r="M738" s="40"/>
      <c r="N738" s="40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 ht="15.75" customHeight="1">
      <c r="A739" s="287">
        <v>16487.0</v>
      </c>
      <c r="B739" s="287" t="s">
        <v>1826</v>
      </c>
      <c r="C739" s="287" t="s">
        <v>1617</v>
      </c>
      <c r="D739" s="287" t="s">
        <v>518</v>
      </c>
      <c r="E739" s="287" t="b">
        <v>1</v>
      </c>
      <c r="F739" s="287" t="b">
        <v>1</v>
      </c>
      <c r="G739" s="287" t="s">
        <v>1827</v>
      </c>
      <c r="H739" s="40"/>
      <c r="I739" s="40"/>
      <c r="J739" s="40"/>
      <c r="K739" s="286"/>
      <c r="L739" s="286"/>
      <c r="M739" s="40"/>
      <c r="N739" s="40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 ht="15.75" customHeight="1">
      <c r="A740" s="287">
        <v>16186.0</v>
      </c>
      <c r="B740" s="287" t="s">
        <v>1828</v>
      </c>
      <c r="C740" s="287" t="s">
        <v>1617</v>
      </c>
      <c r="D740" s="287" t="s">
        <v>518</v>
      </c>
      <c r="E740" s="287" t="b">
        <v>1</v>
      </c>
      <c r="F740" s="287" t="b">
        <v>1</v>
      </c>
      <c r="G740" s="287" t="s">
        <v>250</v>
      </c>
      <c r="H740" s="40"/>
      <c r="I740" s="40"/>
      <c r="J740" s="40"/>
      <c r="K740" s="286"/>
      <c r="L740" s="286"/>
      <c r="M740" s="40"/>
      <c r="N740" s="40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 ht="15.75" customHeight="1">
      <c r="A741" s="287">
        <v>112749.0</v>
      </c>
      <c r="B741" s="287" t="s">
        <v>2689</v>
      </c>
      <c r="C741" s="287" t="s">
        <v>2690</v>
      </c>
      <c r="D741" s="287" t="s">
        <v>518</v>
      </c>
      <c r="E741" s="287" t="b">
        <v>1</v>
      </c>
      <c r="F741" s="287" t="b">
        <v>1</v>
      </c>
      <c r="G741" s="287" t="s">
        <v>2613</v>
      </c>
      <c r="H741" s="40"/>
      <c r="I741" s="40"/>
      <c r="J741" s="40"/>
      <c r="K741" s="286"/>
      <c r="L741" s="286"/>
      <c r="M741" s="40"/>
      <c r="N741" s="40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 ht="15.75" customHeight="1">
      <c r="A742" s="287">
        <v>111121.0</v>
      </c>
      <c r="B742" s="287" t="s">
        <v>1831</v>
      </c>
      <c r="C742" s="287" t="s">
        <v>42</v>
      </c>
      <c r="D742" s="287" t="s">
        <v>518</v>
      </c>
      <c r="E742" s="287" t="b">
        <v>1</v>
      </c>
      <c r="F742" s="287" t="b">
        <v>1</v>
      </c>
      <c r="G742" s="287" t="s">
        <v>250</v>
      </c>
      <c r="H742" s="40"/>
      <c r="I742" s="40"/>
      <c r="J742" s="40"/>
      <c r="K742" s="286"/>
      <c r="L742" s="286"/>
      <c r="M742" s="40"/>
      <c r="N742" s="40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 ht="15.75" customHeight="1">
      <c r="A743" s="287">
        <v>40492.0</v>
      </c>
      <c r="B743" s="287" t="s">
        <v>1835</v>
      </c>
      <c r="C743" s="287" t="s">
        <v>1641</v>
      </c>
      <c r="D743" s="287" t="s">
        <v>518</v>
      </c>
      <c r="E743" s="287" t="b">
        <v>1</v>
      </c>
      <c r="F743" s="287" t="b">
        <v>1</v>
      </c>
      <c r="G743" s="287" t="s">
        <v>1837</v>
      </c>
      <c r="H743" s="40"/>
      <c r="I743" s="40"/>
      <c r="J743" s="40"/>
      <c r="K743" s="286"/>
      <c r="L743" s="286"/>
      <c r="M743" s="40"/>
      <c r="N743" s="40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 ht="15.75" customHeight="1">
      <c r="A744" s="287">
        <v>32730.0</v>
      </c>
      <c r="B744" s="287" t="s">
        <v>1841</v>
      </c>
      <c r="C744" s="287" t="s">
        <v>1617</v>
      </c>
      <c r="D744" s="287" t="s">
        <v>518</v>
      </c>
      <c r="E744" s="287" t="b">
        <v>1</v>
      </c>
      <c r="F744" s="287" t="b">
        <v>1</v>
      </c>
      <c r="G744" s="287" t="s">
        <v>1251</v>
      </c>
      <c r="H744" s="40"/>
      <c r="I744" s="40"/>
      <c r="J744" s="40"/>
      <c r="K744" s="286"/>
      <c r="L744" s="286"/>
      <c r="M744" s="40"/>
      <c r="N744" s="40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 ht="15.75" customHeight="1">
      <c r="A745" s="287">
        <v>16579.0</v>
      </c>
      <c r="B745" s="287" t="s">
        <v>1842</v>
      </c>
      <c r="C745" s="287" t="s">
        <v>1617</v>
      </c>
      <c r="D745" s="287" t="s">
        <v>518</v>
      </c>
      <c r="E745" s="287" t="b">
        <v>1</v>
      </c>
      <c r="F745" s="287" t="b">
        <v>1</v>
      </c>
      <c r="G745" s="287" t="s">
        <v>250</v>
      </c>
      <c r="H745" s="40"/>
      <c r="I745" s="40"/>
      <c r="J745" s="40"/>
      <c r="K745" s="286"/>
      <c r="L745" s="286"/>
      <c r="M745" s="40"/>
      <c r="N745" s="40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 ht="15.75" customHeight="1">
      <c r="A746" s="287">
        <v>16530.0</v>
      </c>
      <c r="B746" s="287" t="s">
        <v>1838</v>
      </c>
      <c r="C746" s="287" t="s">
        <v>1617</v>
      </c>
      <c r="D746" s="287" t="s">
        <v>518</v>
      </c>
      <c r="E746" s="287" t="b">
        <v>1</v>
      </c>
      <c r="F746" s="287" t="b">
        <v>1</v>
      </c>
      <c r="G746" s="287" t="s">
        <v>1840</v>
      </c>
      <c r="H746" s="40"/>
      <c r="I746" s="40"/>
      <c r="J746" s="40"/>
      <c r="K746" s="286"/>
      <c r="L746" s="286"/>
      <c r="M746" s="40"/>
      <c r="N746" s="40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 ht="15.75" customHeight="1">
      <c r="A747" s="287">
        <v>40504.0</v>
      </c>
      <c r="B747" s="287" t="s">
        <v>1844</v>
      </c>
      <c r="C747" s="287" t="s">
        <v>2688</v>
      </c>
      <c r="D747" s="287" t="s">
        <v>518</v>
      </c>
      <c r="E747" s="287" t="b">
        <v>1</v>
      </c>
      <c r="F747" s="287" t="b">
        <v>1</v>
      </c>
      <c r="G747" s="287" t="s">
        <v>1845</v>
      </c>
      <c r="H747" s="40"/>
      <c r="I747" s="40"/>
      <c r="J747" s="40"/>
      <c r="K747" s="286"/>
      <c r="L747" s="286"/>
      <c r="M747" s="40"/>
      <c r="N747" s="40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 ht="15.75" customHeight="1">
      <c r="A748" s="287">
        <v>111126.0</v>
      </c>
      <c r="B748" s="287" t="s">
        <v>1847</v>
      </c>
      <c r="C748" s="287" t="s">
        <v>2691</v>
      </c>
      <c r="D748" s="287" t="s">
        <v>518</v>
      </c>
      <c r="E748" s="287" t="b">
        <v>1</v>
      </c>
      <c r="F748" s="287" t="b">
        <v>1</v>
      </c>
      <c r="G748" s="287" t="s">
        <v>250</v>
      </c>
      <c r="H748" s="40"/>
      <c r="I748" s="40"/>
      <c r="J748" s="40"/>
      <c r="K748" s="286"/>
      <c r="L748" s="286"/>
      <c r="M748" s="40"/>
      <c r="N748" s="40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 ht="15.75" customHeight="1">
      <c r="A749" s="287">
        <v>16570.0</v>
      </c>
      <c r="B749" s="287" t="s">
        <v>1849</v>
      </c>
      <c r="C749" s="287" t="s">
        <v>1617</v>
      </c>
      <c r="D749" s="287" t="s">
        <v>518</v>
      </c>
      <c r="E749" s="287" t="b">
        <v>1</v>
      </c>
      <c r="F749" s="287" t="b">
        <v>1</v>
      </c>
      <c r="G749" s="287" t="s">
        <v>1850</v>
      </c>
      <c r="H749" s="40"/>
      <c r="I749" s="40"/>
      <c r="J749" s="40"/>
      <c r="K749" s="286"/>
      <c r="L749" s="286"/>
      <c r="M749" s="40"/>
      <c r="N749" s="40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 ht="15.75" customHeight="1">
      <c r="A750" s="287">
        <v>16527.0</v>
      </c>
      <c r="B750" s="287" t="s">
        <v>1851</v>
      </c>
      <c r="C750" s="287" t="s">
        <v>1617</v>
      </c>
      <c r="D750" s="287" t="s">
        <v>518</v>
      </c>
      <c r="E750" s="287" t="b">
        <v>1</v>
      </c>
      <c r="F750" s="287" t="b">
        <v>1</v>
      </c>
      <c r="G750" s="287" t="s">
        <v>250</v>
      </c>
      <c r="H750" s="40"/>
      <c r="I750" s="40"/>
      <c r="J750" s="40"/>
      <c r="K750" s="286"/>
      <c r="L750" s="286"/>
      <c r="M750" s="40"/>
      <c r="N750" s="40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 ht="15.75" customHeight="1">
      <c r="A751" s="287">
        <v>16555.0</v>
      </c>
      <c r="B751" s="287" t="s">
        <v>1853</v>
      </c>
      <c r="C751" s="287" t="s">
        <v>1617</v>
      </c>
      <c r="D751" s="287" t="s">
        <v>518</v>
      </c>
      <c r="E751" s="287" t="b">
        <v>1</v>
      </c>
      <c r="F751" s="287" t="b">
        <v>1</v>
      </c>
      <c r="G751" s="287" t="s">
        <v>250</v>
      </c>
      <c r="H751" s="40"/>
      <c r="I751" s="40"/>
      <c r="J751" s="40"/>
      <c r="K751" s="286"/>
      <c r="L751" s="286"/>
      <c r="M751" s="40"/>
      <c r="N751" s="40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 ht="15.75" customHeight="1">
      <c r="A752" s="287">
        <v>111698.0</v>
      </c>
      <c r="B752" s="287" t="s">
        <v>1855</v>
      </c>
      <c r="C752" s="287" t="s">
        <v>42</v>
      </c>
      <c r="D752" s="287" t="s">
        <v>518</v>
      </c>
      <c r="E752" s="287" t="b">
        <v>1</v>
      </c>
      <c r="F752" s="287" t="b">
        <v>1</v>
      </c>
      <c r="G752" s="287" t="s">
        <v>1857</v>
      </c>
      <c r="H752" s="40"/>
      <c r="I752" s="40"/>
      <c r="J752" s="40"/>
      <c r="K752" s="286"/>
      <c r="L752" s="286"/>
      <c r="M752" s="40"/>
      <c r="N752" s="40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 ht="15.75" customHeight="1">
      <c r="A753" s="287">
        <v>16578.0</v>
      </c>
      <c r="B753" s="287" t="s">
        <v>1858</v>
      </c>
      <c r="C753" s="287" t="s">
        <v>1617</v>
      </c>
      <c r="D753" s="287" t="s">
        <v>518</v>
      </c>
      <c r="E753" s="287" t="b">
        <v>1</v>
      </c>
      <c r="F753" s="287" t="b">
        <v>1</v>
      </c>
      <c r="G753" s="287" t="s">
        <v>250</v>
      </c>
      <c r="H753" s="40"/>
      <c r="I753" s="40"/>
      <c r="J753" s="40"/>
      <c r="K753" s="286"/>
      <c r="L753" s="286"/>
      <c r="M753" s="40"/>
      <c r="N753" s="40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 ht="15.75" customHeight="1">
      <c r="A754" s="287">
        <v>112201.0</v>
      </c>
      <c r="B754" s="287" t="s">
        <v>1861</v>
      </c>
      <c r="C754" s="287" t="s">
        <v>42</v>
      </c>
      <c r="D754" s="287" t="s">
        <v>369</v>
      </c>
      <c r="E754" s="287" t="b">
        <v>1</v>
      </c>
      <c r="F754" s="287" t="b">
        <v>1</v>
      </c>
      <c r="G754" s="287" t="s">
        <v>250</v>
      </c>
      <c r="H754" s="40"/>
      <c r="I754" s="40"/>
      <c r="J754" s="40"/>
      <c r="K754" s="286"/>
      <c r="L754" s="286"/>
      <c r="M754" s="40"/>
      <c r="N754" s="40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 ht="15.75" customHeight="1">
      <c r="A755" s="287">
        <v>111123.0</v>
      </c>
      <c r="B755" s="287" t="s">
        <v>1865</v>
      </c>
      <c r="C755" s="287" t="s">
        <v>42</v>
      </c>
      <c r="D755" s="287" t="s">
        <v>518</v>
      </c>
      <c r="E755" s="287" t="b">
        <v>1</v>
      </c>
      <c r="F755" s="287" t="b">
        <v>1</v>
      </c>
      <c r="G755" s="287" t="s">
        <v>250</v>
      </c>
      <c r="H755" s="40"/>
      <c r="I755" s="40"/>
      <c r="J755" s="40"/>
      <c r="K755" s="286"/>
      <c r="L755" s="286"/>
      <c r="M755" s="40"/>
      <c r="N755" s="40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 ht="15.75" customHeight="1">
      <c r="A756" s="287">
        <v>16598.0</v>
      </c>
      <c r="B756" s="287" t="s">
        <v>1866</v>
      </c>
      <c r="C756" s="287" t="s">
        <v>42</v>
      </c>
      <c r="D756" s="287" t="s">
        <v>518</v>
      </c>
      <c r="E756" s="287" t="b">
        <v>1</v>
      </c>
      <c r="F756" s="287" t="b">
        <v>1</v>
      </c>
      <c r="G756" s="287" t="s">
        <v>250</v>
      </c>
      <c r="H756" s="40"/>
      <c r="I756" s="40"/>
      <c r="J756" s="40"/>
      <c r="K756" s="286"/>
      <c r="L756" s="286"/>
      <c r="M756" s="40"/>
      <c r="N756" s="40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 ht="15.75" customHeight="1">
      <c r="A757" s="287">
        <v>77928.0</v>
      </c>
      <c r="B757" s="287" t="s">
        <v>1868</v>
      </c>
      <c r="C757" s="287" t="s">
        <v>1617</v>
      </c>
      <c r="D757" s="287" t="s">
        <v>518</v>
      </c>
      <c r="E757" s="287" t="b">
        <v>1</v>
      </c>
      <c r="F757" s="287" t="b">
        <v>1</v>
      </c>
      <c r="G757" s="287" t="s">
        <v>250</v>
      </c>
      <c r="H757" s="40"/>
      <c r="I757" s="40"/>
      <c r="J757" s="40"/>
      <c r="K757" s="286"/>
      <c r="L757" s="286"/>
      <c r="M757" s="40"/>
      <c r="N757" s="40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 ht="15.75" customHeight="1">
      <c r="A758" s="287">
        <v>111122.0</v>
      </c>
      <c r="B758" s="287" t="s">
        <v>1871</v>
      </c>
      <c r="C758" s="287" t="s">
        <v>42</v>
      </c>
      <c r="D758" s="287" t="s">
        <v>518</v>
      </c>
      <c r="E758" s="287" t="b">
        <v>1</v>
      </c>
      <c r="F758" s="287" t="b">
        <v>1</v>
      </c>
      <c r="G758" s="287" t="s">
        <v>250</v>
      </c>
      <c r="H758" s="40"/>
      <c r="I758" s="40"/>
      <c r="J758" s="40"/>
      <c r="K758" s="286"/>
      <c r="L758" s="286"/>
      <c r="M758" s="40"/>
      <c r="N758" s="40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 ht="15.75" customHeight="1">
      <c r="A759" s="287">
        <v>16384.0</v>
      </c>
      <c r="B759" s="287" t="s">
        <v>1873</v>
      </c>
      <c r="C759" s="287" t="s">
        <v>1617</v>
      </c>
      <c r="D759" s="287" t="s">
        <v>518</v>
      </c>
      <c r="E759" s="287" t="b">
        <v>1</v>
      </c>
      <c r="F759" s="287" t="b">
        <v>1</v>
      </c>
      <c r="G759" s="287" t="s">
        <v>250</v>
      </c>
      <c r="H759" s="40"/>
      <c r="I759" s="40"/>
      <c r="J759" s="40"/>
      <c r="K759" s="286"/>
      <c r="L759" s="286"/>
      <c r="M759" s="40"/>
      <c r="N759" s="40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 ht="15.75" customHeight="1">
      <c r="A760" s="287">
        <v>16392.0</v>
      </c>
      <c r="B760" s="287" t="s">
        <v>1875</v>
      </c>
      <c r="C760" s="287" t="s">
        <v>2692</v>
      </c>
      <c r="D760" s="287" t="s">
        <v>518</v>
      </c>
      <c r="E760" s="287" t="b">
        <v>1</v>
      </c>
      <c r="F760" s="287" t="b">
        <v>1</v>
      </c>
      <c r="G760" s="287" t="s">
        <v>1876</v>
      </c>
      <c r="H760" s="40"/>
      <c r="I760" s="40"/>
      <c r="J760" s="40"/>
      <c r="K760" s="286"/>
      <c r="L760" s="286"/>
      <c r="M760" s="40"/>
      <c r="N760" s="40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 ht="15.75" customHeight="1">
      <c r="A761" s="287">
        <v>53666.0</v>
      </c>
      <c r="B761" s="287" t="s">
        <v>1883</v>
      </c>
      <c r="C761" s="287" t="s">
        <v>2688</v>
      </c>
      <c r="D761" s="287" t="s">
        <v>518</v>
      </c>
      <c r="E761" s="287" t="b">
        <v>1</v>
      </c>
      <c r="F761" s="287" t="b">
        <v>1</v>
      </c>
      <c r="G761" s="287" t="s">
        <v>1884</v>
      </c>
      <c r="H761" s="40"/>
      <c r="I761" s="40"/>
      <c r="J761" s="40"/>
      <c r="K761" s="286"/>
      <c r="L761" s="286"/>
      <c r="M761" s="40"/>
      <c r="N761" s="40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 ht="15.75" customHeight="1">
      <c r="A762" s="287">
        <v>16561.0</v>
      </c>
      <c r="B762" s="287" t="s">
        <v>1885</v>
      </c>
      <c r="C762" s="287" t="s">
        <v>1887</v>
      </c>
      <c r="D762" s="287" t="s">
        <v>518</v>
      </c>
      <c r="E762" s="287" t="b">
        <v>1</v>
      </c>
      <c r="F762" s="287" t="b">
        <v>1</v>
      </c>
      <c r="G762" s="287" t="s">
        <v>250</v>
      </c>
      <c r="H762" s="40"/>
      <c r="I762" s="40"/>
      <c r="J762" s="40"/>
      <c r="K762" s="286"/>
      <c r="L762" s="286"/>
      <c r="M762" s="40"/>
      <c r="N762" s="40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 ht="15.75" customHeight="1">
      <c r="A763" s="287">
        <v>16581.0</v>
      </c>
      <c r="B763" s="287" t="s">
        <v>1888</v>
      </c>
      <c r="C763" s="287" t="s">
        <v>1617</v>
      </c>
      <c r="D763" s="287" t="s">
        <v>518</v>
      </c>
      <c r="E763" s="287" t="b">
        <v>1</v>
      </c>
      <c r="F763" s="287" t="b">
        <v>1</v>
      </c>
      <c r="G763" s="287" t="s">
        <v>250</v>
      </c>
      <c r="H763" s="40"/>
      <c r="I763" s="40"/>
      <c r="J763" s="40"/>
      <c r="K763" s="286"/>
      <c r="L763" s="286"/>
      <c r="M763" s="40"/>
      <c r="N763" s="40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 ht="15.75" customHeight="1">
      <c r="A764" s="287">
        <v>15583.0</v>
      </c>
      <c r="B764" s="287" t="s">
        <v>1889</v>
      </c>
      <c r="C764" s="287" t="s">
        <v>42</v>
      </c>
      <c r="D764" s="287" t="s">
        <v>518</v>
      </c>
      <c r="E764" s="287" t="b">
        <v>1</v>
      </c>
      <c r="F764" s="287" t="b">
        <v>1</v>
      </c>
      <c r="G764" s="287" t="s">
        <v>250</v>
      </c>
      <c r="H764" s="40"/>
      <c r="I764" s="40"/>
      <c r="J764" s="40"/>
      <c r="K764" s="286"/>
      <c r="L764" s="286"/>
      <c r="M764" s="40"/>
      <c r="N764" s="40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 ht="15.75" customHeight="1">
      <c r="A765" s="287">
        <v>102793.0</v>
      </c>
      <c r="B765" s="287" t="s">
        <v>1900</v>
      </c>
      <c r="C765" s="287" t="s">
        <v>946</v>
      </c>
      <c r="D765" s="287" t="s">
        <v>518</v>
      </c>
      <c r="E765" s="287" t="b">
        <v>1</v>
      </c>
      <c r="F765" s="287" t="b">
        <v>1</v>
      </c>
      <c r="G765" s="287" t="s">
        <v>250</v>
      </c>
      <c r="H765" s="40"/>
      <c r="I765" s="40"/>
      <c r="J765" s="40"/>
      <c r="K765" s="286"/>
      <c r="L765" s="286"/>
      <c r="M765" s="40"/>
      <c r="N765" s="40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 ht="15.75" customHeight="1">
      <c r="A766" s="287">
        <v>39757.0</v>
      </c>
      <c r="B766" s="287" t="s">
        <v>1898</v>
      </c>
      <c r="C766" s="287" t="s">
        <v>946</v>
      </c>
      <c r="D766" s="287" t="s">
        <v>518</v>
      </c>
      <c r="E766" s="287" t="b">
        <v>1</v>
      </c>
      <c r="F766" s="287" t="b">
        <v>1</v>
      </c>
      <c r="G766" s="287" t="s">
        <v>1899</v>
      </c>
      <c r="H766" s="40"/>
      <c r="I766" s="40"/>
      <c r="J766" s="40"/>
      <c r="K766" s="286"/>
      <c r="L766" s="286"/>
      <c r="M766" s="40"/>
      <c r="N766" s="40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 ht="15.75" customHeight="1">
      <c r="A767" s="287">
        <v>16528.0</v>
      </c>
      <c r="B767" s="287" t="s">
        <v>1893</v>
      </c>
      <c r="C767" s="287" t="s">
        <v>946</v>
      </c>
      <c r="D767" s="287" t="s">
        <v>518</v>
      </c>
      <c r="E767" s="287" t="b">
        <v>1</v>
      </c>
      <c r="F767" s="287" t="b">
        <v>1</v>
      </c>
      <c r="G767" s="287" t="s">
        <v>1895</v>
      </c>
      <c r="H767" s="40"/>
      <c r="I767" s="40"/>
      <c r="J767" s="40"/>
      <c r="K767" s="286"/>
      <c r="L767" s="286"/>
      <c r="M767" s="40"/>
      <c r="N767" s="40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 ht="15.75" customHeight="1">
      <c r="A768" s="287">
        <v>16463.0</v>
      </c>
      <c r="B768" s="287" t="s">
        <v>1896</v>
      </c>
      <c r="C768" s="287" t="s">
        <v>946</v>
      </c>
      <c r="D768" s="287" t="s">
        <v>518</v>
      </c>
      <c r="E768" s="287" t="b">
        <v>1</v>
      </c>
      <c r="F768" s="287" t="b">
        <v>1</v>
      </c>
      <c r="G768" s="287" t="s">
        <v>1897</v>
      </c>
      <c r="H768" s="40"/>
      <c r="I768" s="40"/>
      <c r="J768" s="40"/>
      <c r="K768" s="286"/>
      <c r="L768" s="286"/>
      <c r="M768" s="40"/>
      <c r="N768" s="40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 ht="15.75" customHeight="1">
      <c r="A769" s="287">
        <v>19409.0</v>
      </c>
      <c r="B769" s="287" t="s">
        <v>1891</v>
      </c>
      <c r="C769" s="287" t="s">
        <v>1707</v>
      </c>
      <c r="D769" s="287" t="s">
        <v>518</v>
      </c>
      <c r="E769" s="287" t="b">
        <v>1</v>
      </c>
      <c r="F769" s="287" t="b">
        <v>1</v>
      </c>
      <c r="G769" s="287" t="s">
        <v>250</v>
      </c>
      <c r="H769" s="40"/>
      <c r="I769" s="40"/>
      <c r="J769" s="40"/>
      <c r="K769" s="286"/>
      <c r="L769" s="286"/>
      <c r="M769" s="40"/>
      <c r="N769" s="40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 ht="15.75" customHeight="1">
      <c r="A770" s="287">
        <v>109675.0</v>
      </c>
      <c r="B770" s="287" t="s">
        <v>1903</v>
      </c>
      <c r="C770" s="287" t="s">
        <v>64</v>
      </c>
      <c r="D770" s="287" t="s">
        <v>518</v>
      </c>
      <c r="E770" s="287" t="b">
        <v>1</v>
      </c>
      <c r="F770" s="287" t="b">
        <v>1</v>
      </c>
      <c r="G770" s="287" t="s">
        <v>250</v>
      </c>
      <c r="H770" s="40"/>
      <c r="I770" s="40"/>
      <c r="J770" s="40"/>
      <c r="K770" s="286"/>
      <c r="L770" s="286"/>
      <c r="M770" s="40"/>
      <c r="N770" s="40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 ht="15.75" customHeight="1">
      <c r="A771" s="287">
        <v>111948.0</v>
      </c>
      <c r="B771" s="287" t="s">
        <v>1905</v>
      </c>
      <c r="C771" s="287" t="s">
        <v>2693</v>
      </c>
      <c r="D771" s="287" t="s">
        <v>518</v>
      </c>
      <c r="E771" s="287" t="b">
        <v>1</v>
      </c>
      <c r="F771" s="287" t="b">
        <v>1</v>
      </c>
      <c r="G771" s="287" t="s">
        <v>250</v>
      </c>
      <c r="H771" s="40"/>
      <c r="I771" s="40"/>
      <c r="J771" s="40"/>
      <c r="K771" s="286"/>
      <c r="L771" s="286"/>
      <c r="M771" s="40"/>
      <c r="N771" s="40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 ht="15.75" customHeight="1">
      <c r="A772" s="287">
        <v>16420.0</v>
      </c>
      <c r="B772" s="287" t="s">
        <v>1908</v>
      </c>
      <c r="C772" s="287" t="s">
        <v>2694</v>
      </c>
      <c r="D772" s="287" t="s">
        <v>518</v>
      </c>
      <c r="E772" s="287" t="b">
        <v>1</v>
      </c>
      <c r="F772" s="287" t="b">
        <v>1</v>
      </c>
      <c r="G772" s="287" t="s">
        <v>250</v>
      </c>
      <c r="H772" s="40"/>
      <c r="I772" s="40"/>
      <c r="J772" s="40"/>
      <c r="K772" s="286"/>
      <c r="L772" s="286"/>
      <c r="M772" s="40"/>
      <c r="N772" s="40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 ht="15.75" customHeight="1">
      <c r="A773" s="287">
        <v>148646.0</v>
      </c>
      <c r="B773" s="287" t="s">
        <v>2695</v>
      </c>
      <c r="C773" s="287" t="s">
        <v>2164</v>
      </c>
      <c r="D773" s="287" t="s">
        <v>518</v>
      </c>
      <c r="E773" s="287" t="b">
        <v>1</v>
      </c>
      <c r="F773" s="287" t="b">
        <v>1</v>
      </c>
      <c r="G773" s="287" t="s">
        <v>250</v>
      </c>
      <c r="H773" s="40"/>
      <c r="I773" s="40"/>
      <c r="J773" s="40"/>
      <c r="K773" s="286"/>
      <c r="L773" s="286"/>
      <c r="M773" s="40"/>
      <c r="N773" s="40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 ht="15.75" customHeight="1">
      <c r="A774" s="287">
        <v>111871.0</v>
      </c>
      <c r="B774" s="287" t="s">
        <v>2696</v>
      </c>
      <c r="C774" s="287" t="s">
        <v>2697</v>
      </c>
      <c r="D774" s="287" t="s">
        <v>518</v>
      </c>
      <c r="E774" s="287" t="b">
        <v>1</v>
      </c>
      <c r="F774" s="287" t="b">
        <v>1</v>
      </c>
      <c r="G774" s="287" t="s">
        <v>2698</v>
      </c>
      <c r="H774" s="40"/>
      <c r="I774" s="40"/>
      <c r="J774" s="40"/>
      <c r="K774" s="286"/>
      <c r="L774" s="286"/>
      <c r="M774" s="40"/>
      <c r="N774" s="40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 ht="15.75" customHeight="1">
      <c r="A775" s="287">
        <v>110938.0</v>
      </c>
      <c r="B775" s="287" t="s">
        <v>1910</v>
      </c>
      <c r="C775" s="287" t="s">
        <v>946</v>
      </c>
      <c r="D775" s="287" t="s">
        <v>518</v>
      </c>
      <c r="E775" s="287" t="b">
        <v>1</v>
      </c>
      <c r="F775" s="287" t="b">
        <v>1</v>
      </c>
      <c r="G775" s="287" t="s">
        <v>250</v>
      </c>
      <c r="H775" s="40"/>
      <c r="I775" s="40"/>
      <c r="J775" s="40"/>
      <c r="K775" s="286"/>
      <c r="L775" s="286"/>
      <c r="M775" s="40"/>
      <c r="N775" s="40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 ht="15.75" customHeight="1">
      <c r="A776" s="287">
        <v>52602.0</v>
      </c>
      <c r="B776" s="287" t="s">
        <v>1913</v>
      </c>
      <c r="C776" s="287" t="s">
        <v>946</v>
      </c>
      <c r="D776" s="287" t="s">
        <v>518</v>
      </c>
      <c r="E776" s="287" t="b">
        <v>1</v>
      </c>
      <c r="F776" s="287" t="b">
        <v>1</v>
      </c>
      <c r="G776" s="287" t="s">
        <v>1257</v>
      </c>
      <c r="H776" s="40"/>
      <c r="I776" s="40"/>
      <c r="J776" s="40"/>
      <c r="K776" s="286"/>
      <c r="L776" s="286"/>
      <c r="M776" s="40"/>
      <c r="N776" s="40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 ht="15.75" customHeight="1">
      <c r="A777" s="287">
        <v>16346.0</v>
      </c>
      <c r="B777" s="287" t="s">
        <v>1915</v>
      </c>
      <c r="C777" s="287" t="s">
        <v>1916</v>
      </c>
      <c r="D777" s="287" t="s">
        <v>518</v>
      </c>
      <c r="E777" s="287" t="b">
        <v>1</v>
      </c>
      <c r="F777" s="287" t="b">
        <v>1</v>
      </c>
      <c r="G777" s="287" t="s">
        <v>250</v>
      </c>
      <c r="H777" s="40"/>
      <c r="I777" s="40"/>
      <c r="J777" s="40"/>
      <c r="K777" s="286"/>
      <c r="L777" s="286"/>
      <c r="M777" s="40"/>
      <c r="N777" s="40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 ht="15.75" customHeight="1">
      <c r="A778" s="287">
        <v>16377.0</v>
      </c>
      <c r="B778" s="287" t="s">
        <v>1917</v>
      </c>
      <c r="C778" s="287" t="s">
        <v>2699</v>
      </c>
      <c r="D778" s="287" t="s">
        <v>518</v>
      </c>
      <c r="E778" s="287" t="b">
        <v>1</v>
      </c>
      <c r="F778" s="287" t="b">
        <v>1</v>
      </c>
      <c r="G778" s="287" t="s">
        <v>250</v>
      </c>
      <c r="H778" s="40"/>
      <c r="I778" s="40"/>
      <c r="J778" s="40"/>
      <c r="K778" s="286"/>
      <c r="L778" s="286"/>
      <c r="M778" s="40"/>
      <c r="N778" s="40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 ht="15.75" customHeight="1">
      <c r="A779" s="287">
        <v>10265.0</v>
      </c>
      <c r="B779" s="287" t="s">
        <v>1920</v>
      </c>
      <c r="C779" s="287" t="s">
        <v>1914</v>
      </c>
      <c r="D779" s="287" t="s">
        <v>518</v>
      </c>
      <c r="E779" s="287" t="b">
        <v>1</v>
      </c>
      <c r="F779" s="287" t="b">
        <v>1</v>
      </c>
      <c r="G779" s="287" t="s">
        <v>250</v>
      </c>
      <c r="H779" s="40"/>
      <c r="I779" s="40"/>
      <c r="J779" s="40"/>
      <c r="K779" s="286"/>
      <c r="L779" s="286"/>
      <c r="M779" s="40"/>
      <c r="N779" s="40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 ht="15.75" customHeight="1">
      <c r="A780" s="287">
        <v>102133.0</v>
      </c>
      <c r="B780" s="287" t="s">
        <v>1922</v>
      </c>
      <c r="C780" s="287" t="s">
        <v>1925</v>
      </c>
      <c r="D780" s="287" t="s">
        <v>518</v>
      </c>
      <c r="E780" s="287" t="b">
        <v>1</v>
      </c>
      <c r="F780" s="287" t="b">
        <v>1</v>
      </c>
      <c r="G780" s="287" t="s">
        <v>250</v>
      </c>
      <c r="H780" s="40"/>
      <c r="I780" s="40"/>
      <c r="J780" s="40"/>
      <c r="K780" s="286"/>
      <c r="L780" s="286"/>
      <c r="M780" s="40"/>
      <c r="N780" s="40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 ht="15.75" customHeight="1">
      <c r="A781" s="287">
        <v>52603.0</v>
      </c>
      <c r="B781" s="287" t="s">
        <v>2700</v>
      </c>
      <c r="C781" s="287" t="s">
        <v>946</v>
      </c>
      <c r="D781" s="287" t="s">
        <v>518</v>
      </c>
      <c r="E781" s="287" t="b">
        <v>1</v>
      </c>
      <c r="F781" s="287" t="b">
        <v>1</v>
      </c>
      <c r="G781" s="287" t="s">
        <v>250</v>
      </c>
      <c r="H781" s="40"/>
      <c r="I781" s="40"/>
      <c r="J781" s="40"/>
      <c r="K781" s="286"/>
      <c r="L781" s="286"/>
      <c r="M781" s="40"/>
      <c r="N781" s="40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 ht="15.75" customHeight="1">
      <c r="A782" s="287">
        <v>16439.0</v>
      </c>
      <c r="B782" s="287" t="s">
        <v>1928</v>
      </c>
      <c r="C782" s="287" t="s">
        <v>2701</v>
      </c>
      <c r="D782" s="287" t="s">
        <v>518</v>
      </c>
      <c r="E782" s="287" t="b">
        <v>1</v>
      </c>
      <c r="F782" s="287" t="b">
        <v>1</v>
      </c>
      <c r="G782" s="287" t="s">
        <v>250</v>
      </c>
      <c r="H782" s="40"/>
      <c r="I782" s="40"/>
      <c r="J782" s="40"/>
      <c r="K782" s="286"/>
      <c r="L782" s="286"/>
      <c r="M782" s="40"/>
      <c r="N782" s="40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 ht="15.75" customHeight="1">
      <c r="A783" s="287">
        <v>16387.0</v>
      </c>
      <c r="B783" s="287" t="s">
        <v>1930</v>
      </c>
      <c r="C783" s="287" t="s">
        <v>1932</v>
      </c>
      <c r="D783" s="287" t="s">
        <v>518</v>
      </c>
      <c r="E783" s="287" t="b">
        <v>1</v>
      </c>
      <c r="F783" s="287" t="b">
        <v>1</v>
      </c>
      <c r="G783" s="287" t="s">
        <v>250</v>
      </c>
      <c r="H783" s="40"/>
      <c r="I783" s="40"/>
      <c r="J783" s="40"/>
      <c r="K783" s="286"/>
      <c r="L783" s="286"/>
      <c r="M783" s="40"/>
      <c r="N783" s="40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 ht="15.75" customHeight="1">
      <c r="A784" s="287">
        <v>16182.0</v>
      </c>
      <c r="B784" s="287" t="s">
        <v>1934</v>
      </c>
      <c r="C784" s="287" t="s">
        <v>42</v>
      </c>
      <c r="D784" s="287" t="s">
        <v>518</v>
      </c>
      <c r="E784" s="287" t="b">
        <v>1</v>
      </c>
      <c r="F784" s="287" t="b">
        <v>1</v>
      </c>
      <c r="G784" s="287" t="s">
        <v>250</v>
      </c>
      <c r="H784" s="40"/>
      <c r="I784" s="40"/>
      <c r="J784" s="40"/>
      <c r="K784" s="286"/>
      <c r="L784" s="286"/>
      <c r="M784" s="40"/>
      <c r="N784" s="40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 ht="15.75" customHeight="1">
      <c r="A785" s="287">
        <v>102500.0</v>
      </c>
      <c r="B785" s="287" t="s">
        <v>1935</v>
      </c>
      <c r="C785" s="287" t="s">
        <v>1936</v>
      </c>
      <c r="D785" s="287" t="s">
        <v>369</v>
      </c>
      <c r="E785" s="287" t="b">
        <v>1</v>
      </c>
      <c r="F785" s="287" t="b">
        <v>1</v>
      </c>
      <c r="G785" s="287" t="s">
        <v>250</v>
      </c>
      <c r="H785" s="40"/>
      <c r="I785" s="40"/>
      <c r="J785" s="40"/>
      <c r="K785" s="286"/>
      <c r="L785" s="286"/>
      <c r="M785" s="40"/>
      <c r="N785" s="40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 ht="15.75" customHeight="1">
      <c r="A786" s="287">
        <v>110032.0</v>
      </c>
      <c r="B786" s="287" t="s">
        <v>1937</v>
      </c>
      <c r="C786" s="287" t="s">
        <v>42</v>
      </c>
      <c r="D786" s="287" t="s">
        <v>518</v>
      </c>
      <c r="E786" s="287" t="b">
        <v>1</v>
      </c>
      <c r="F786" s="287" t="b">
        <v>1</v>
      </c>
      <c r="G786" s="287" t="s">
        <v>250</v>
      </c>
      <c r="H786" s="40"/>
      <c r="I786" s="40"/>
      <c r="J786" s="40"/>
      <c r="K786" s="286"/>
      <c r="L786" s="286"/>
      <c r="M786" s="40"/>
      <c r="N786" s="40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 ht="15.75" customHeight="1">
      <c r="A787" s="287">
        <v>109671.0</v>
      </c>
      <c r="B787" s="287" t="s">
        <v>1940</v>
      </c>
      <c r="C787" s="287" t="s">
        <v>42</v>
      </c>
      <c r="D787" s="287" t="s">
        <v>518</v>
      </c>
      <c r="E787" s="287" t="b">
        <v>1</v>
      </c>
      <c r="F787" s="287" t="b">
        <v>1</v>
      </c>
      <c r="G787" s="287" t="s">
        <v>250</v>
      </c>
      <c r="H787" s="40"/>
      <c r="I787" s="40"/>
      <c r="J787" s="40"/>
      <c r="K787" s="286"/>
      <c r="L787" s="286"/>
      <c r="M787" s="40"/>
      <c r="N787" s="40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 ht="15.75" customHeight="1">
      <c r="A788" s="287">
        <v>15936.0</v>
      </c>
      <c r="B788" s="287" t="s">
        <v>1941</v>
      </c>
      <c r="C788" s="287" t="s">
        <v>42</v>
      </c>
      <c r="D788" s="287" t="s">
        <v>518</v>
      </c>
      <c r="E788" s="287" t="b">
        <v>1</v>
      </c>
      <c r="F788" s="287" t="b">
        <v>1</v>
      </c>
      <c r="G788" s="287" t="s">
        <v>250</v>
      </c>
      <c r="H788" s="40"/>
      <c r="I788" s="40"/>
      <c r="J788" s="40"/>
      <c r="K788" s="286"/>
      <c r="L788" s="286"/>
      <c r="M788" s="40"/>
      <c r="N788" s="40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 ht="15.75" customHeight="1">
      <c r="A789" s="287">
        <v>15879.0</v>
      </c>
      <c r="B789" s="287" t="s">
        <v>1942</v>
      </c>
      <c r="C789" s="287" t="s">
        <v>2702</v>
      </c>
      <c r="D789" s="287" t="s">
        <v>518</v>
      </c>
      <c r="E789" s="287" t="b">
        <v>1</v>
      </c>
      <c r="F789" s="287" t="b">
        <v>1</v>
      </c>
      <c r="G789" s="287" t="s">
        <v>250</v>
      </c>
      <c r="H789" s="40"/>
      <c r="I789" s="40"/>
      <c r="J789" s="40"/>
      <c r="K789" s="286"/>
      <c r="L789" s="286"/>
      <c r="M789" s="40"/>
      <c r="N789" s="40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 ht="15.75" customHeight="1">
      <c r="A790" s="287">
        <v>101505.0</v>
      </c>
      <c r="B790" s="287" t="s">
        <v>1944</v>
      </c>
      <c r="C790" s="287" t="s">
        <v>42</v>
      </c>
      <c r="D790" s="287" t="s">
        <v>518</v>
      </c>
      <c r="E790" s="287" t="b">
        <v>1</v>
      </c>
      <c r="F790" s="287" t="b">
        <v>1</v>
      </c>
      <c r="G790" s="287" t="s">
        <v>2613</v>
      </c>
      <c r="H790" s="40"/>
      <c r="I790" s="40"/>
      <c r="J790" s="40"/>
      <c r="K790" s="286"/>
      <c r="L790" s="286"/>
      <c r="M790" s="40"/>
      <c r="N790" s="40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 ht="15.75" customHeight="1">
      <c r="A791" s="287">
        <v>30053.0</v>
      </c>
      <c r="B791" s="287" t="s">
        <v>1947</v>
      </c>
      <c r="C791" s="287" t="s">
        <v>1948</v>
      </c>
      <c r="D791" s="287" t="s">
        <v>518</v>
      </c>
      <c r="E791" s="287" t="b">
        <v>1</v>
      </c>
      <c r="F791" s="287" t="b">
        <v>1</v>
      </c>
      <c r="G791" s="287" t="s">
        <v>250</v>
      </c>
      <c r="H791" s="40"/>
      <c r="I791" s="40"/>
      <c r="J791" s="40"/>
      <c r="K791" s="286"/>
      <c r="L791" s="286"/>
      <c r="M791" s="40"/>
      <c r="N791" s="40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 ht="15.75" customHeight="1">
      <c r="A792" s="287">
        <v>100464.0</v>
      </c>
      <c r="B792" s="287" t="s">
        <v>1949</v>
      </c>
      <c r="C792" s="287" t="s">
        <v>389</v>
      </c>
      <c r="D792" s="287" t="s">
        <v>518</v>
      </c>
      <c r="E792" s="287" t="b">
        <v>1</v>
      </c>
      <c r="F792" s="287" t="b">
        <v>1</v>
      </c>
      <c r="G792" s="287" t="s">
        <v>250</v>
      </c>
      <c r="H792" s="40"/>
      <c r="I792" s="40"/>
      <c r="J792" s="40"/>
      <c r="K792" s="286"/>
      <c r="L792" s="286"/>
      <c r="M792" s="40"/>
      <c r="N792" s="40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 ht="15.75" customHeight="1">
      <c r="A793" s="287">
        <v>16949.0</v>
      </c>
      <c r="B793" s="287" t="s">
        <v>1952</v>
      </c>
      <c r="C793" s="287" t="s">
        <v>1953</v>
      </c>
      <c r="D793" s="287" t="s">
        <v>518</v>
      </c>
      <c r="E793" s="287" t="b">
        <v>1</v>
      </c>
      <c r="F793" s="287" t="b">
        <v>1</v>
      </c>
      <c r="G793" s="287" t="s">
        <v>1954</v>
      </c>
      <c r="H793" s="40"/>
      <c r="I793" s="40"/>
      <c r="J793" s="40"/>
      <c r="K793" s="286"/>
      <c r="L793" s="286"/>
      <c r="M793" s="40"/>
      <c r="N793" s="40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 ht="15.75" customHeight="1">
      <c r="A794" s="287">
        <v>15661.0</v>
      </c>
      <c r="B794" s="287" t="s">
        <v>1955</v>
      </c>
      <c r="C794" s="287" t="s">
        <v>2703</v>
      </c>
      <c r="D794" s="287" t="s">
        <v>518</v>
      </c>
      <c r="E794" s="287" t="b">
        <v>1</v>
      </c>
      <c r="F794" s="287" t="b">
        <v>1</v>
      </c>
      <c r="G794" s="287" t="s">
        <v>2704</v>
      </c>
      <c r="H794" s="40"/>
      <c r="I794" s="40"/>
      <c r="J794" s="40"/>
      <c r="K794" s="286"/>
      <c r="L794" s="286"/>
      <c r="M794" s="40"/>
      <c r="N794" s="40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 ht="15.75" customHeight="1">
      <c r="A795" s="287">
        <v>110962.0</v>
      </c>
      <c r="B795" s="287" t="s">
        <v>1959</v>
      </c>
      <c r="C795" s="287" t="s">
        <v>42</v>
      </c>
      <c r="D795" s="287" t="s">
        <v>518</v>
      </c>
      <c r="E795" s="287" t="b">
        <v>1</v>
      </c>
      <c r="F795" s="287" t="b">
        <v>1</v>
      </c>
      <c r="G795" s="287" t="s">
        <v>250</v>
      </c>
      <c r="H795" s="40"/>
      <c r="I795" s="40"/>
      <c r="J795" s="40"/>
      <c r="K795" s="286"/>
      <c r="L795" s="286"/>
      <c r="M795" s="40"/>
      <c r="N795" s="40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 ht="15.75" customHeight="1">
      <c r="A796" s="287">
        <v>40533.0</v>
      </c>
      <c r="B796" s="287" t="s">
        <v>1961</v>
      </c>
      <c r="C796" s="287" t="s">
        <v>42</v>
      </c>
      <c r="D796" s="287" t="s">
        <v>518</v>
      </c>
      <c r="E796" s="287" t="b">
        <v>1</v>
      </c>
      <c r="F796" s="287" t="b">
        <v>1</v>
      </c>
      <c r="G796" s="287" t="s">
        <v>250</v>
      </c>
      <c r="H796" s="40"/>
      <c r="I796" s="40"/>
      <c r="J796" s="40"/>
      <c r="K796" s="286"/>
      <c r="L796" s="286"/>
      <c r="M796" s="40"/>
      <c r="N796" s="40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 ht="15.75" customHeight="1">
      <c r="A797" s="287">
        <v>16241.0</v>
      </c>
      <c r="B797" s="287" t="s">
        <v>1962</v>
      </c>
      <c r="C797" s="287" t="s">
        <v>1965</v>
      </c>
      <c r="D797" s="287" t="s">
        <v>249</v>
      </c>
      <c r="E797" s="287" t="b">
        <v>1</v>
      </c>
      <c r="F797" s="287" t="b">
        <v>1</v>
      </c>
      <c r="G797" s="287" t="s">
        <v>250</v>
      </c>
      <c r="H797" s="40"/>
      <c r="I797" s="40"/>
      <c r="J797" s="40"/>
      <c r="K797" s="286"/>
      <c r="L797" s="286"/>
      <c r="M797" s="40"/>
      <c r="N797" s="40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 ht="15.75" customHeight="1">
      <c r="A798" s="287">
        <v>16948.0</v>
      </c>
      <c r="B798" s="287" t="s">
        <v>1964</v>
      </c>
      <c r="C798" s="287" t="s">
        <v>1965</v>
      </c>
      <c r="D798" s="287" t="s">
        <v>249</v>
      </c>
      <c r="E798" s="287" t="b">
        <v>1</v>
      </c>
      <c r="F798" s="287" t="b">
        <v>1</v>
      </c>
      <c r="G798" s="287" t="s">
        <v>1966</v>
      </c>
      <c r="H798" s="40"/>
      <c r="I798" s="40"/>
      <c r="J798" s="40"/>
      <c r="K798" s="286"/>
      <c r="L798" s="286"/>
      <c r="M798" s="40"/>
      <c r="N798" s="40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 ht="15.75" customHeight="1">
      <c r="A799" s="287">
        <v>112200.0</v>
      </c>
      <c r="B799" s="287" t="s">
        <v>1967</v>
      </c>
      <c r="C799" s="287" t="s">
        <v>42</v>
      </c>
      <c r="D799" s="287" t="s">
        <v>518</v>
      </c>
      <c r="E799" s="287" t="b">
        <v>1</v>
      </c>
      <c r="F799" s="287" t="b">
        <v>1</v>
      </c>
      <c r="G799" s="287" t="s">
        <v>250</v>
      </c>
      <c r="H799" s="40"/>
      <c r="I799" s="40"/>
      <c r="J799" s="40"/>
      <c r="K799" s="286"/>
      <c r="L799" s="286"/>
      <c r="M799" s="40"/>
      <c r="N799" s="40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 ht="15.75" customHeight="1">
      <c r="A800" s="287">
        <v>16414.0</v>
      </c>
      <c r="B800" s="287" t="s">
        <v>1968</v>
      </c>
      <c r="C800" s="287" t="s">
        <v>42</v>
      </c>
      <c r="D800" s="287" t="s">
        <v>518</v>
      </c>
      <c r="E800" s="287" t="b">
        <v>1</v>
      </c>
      <c r="F800" s="287" t="b">
        <v>1</v>
      </c>
      <c r="G800" s="287" t="s">
        <v>250</v>
      </c>
      <c r="H800" s="40"/>
      <c r="I800" s="40"/>
      <c r="J800" s="40"/>
      <c r="K800" s="286"/>
      <c r="L800" s="286"/>
      <c r="M800" s="40"/>
      <c r="N800" s="40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 ht="15.75" customHeight="1">
      <c r="A801" s="287">
        <v>16418.0</v>
      </c>
      <c r="B801" s="287" t="s">
        <v>1969</v>
      </c>
      <c r="C801" s="287" t="s">
        <v>42</v>
      </c>
      <c r="D801" s="287" t="s">
        <v>518</v>
      </c>
      <c r="E801" s="287" t="b">
        <v>1</v>
      </c>
      <c r="F801" s="287" t="b">
        <v>1</v>
      </c>
      <c r="G801" s="287" t="s">
        <v>250</v>
      </c>
      <c r="H801" s="40"/>
      <c r="I801" s="40"/>
      <c r="J801" s="40"/>
      <c r="K801" s="286"/>
      <c r="L801" s="286"/>
      <c r="M801" s="40"/>
      <c r="N801" s="40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 ht="15.75" customHeight="1">
      <c r="A802" s="287">
        <v>11940.0</v>
      </c>
      <c r="B802" s="287" t="s">
        <v>1971</v>
      </c>
      <c r="C802" s="287" t="s">
        <v>42</v>
      </c>
      <c r="D802" s="287" t="s">
        <v>518</v>
      </c>
      <c r="E802" s="287" t="b">
        <v>1</v>
      </c>
      <c r="F802" s="287" t="b">
        <v>1</v>
      </c>
      <c r="G802" s="287" t="s">
        <v>250</v>
      </c>
      <c r="H802" s="40"/>
      <c r="I802" s="40"/>
      <c r="J802" s="40"/>
      <c r="K802" s="286"/>
      <c r="L802" s="286"/>
      <c r="M802" s="40"/>
      <c r="N802" s="40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 ht="15.75" customHeight="1">
      <c r="A803" s="287">
        <v>149875.0</v>
      </c>
      <c r="B803" s="287" t="s">
        <v>1973</v>
      </c>
      <c r="C803" s="287" t="s">
        <v>2705</v>
      </c>
      <c r="D803" s="287" t="s">
        <v>518</v>
      </c>
      <c r="E803" s="287" t="b">
        <v>1</v>
      </c>
      <c r="F803" s="287" t="b">
        <v>1</v>
      </c>
      <c r="G803" s="287" t="s">
        <v>250</v>
      </c>
      <c r="H803" s="40"/>
      <c r="I803" s="40"/>
      <c r="J803" s="40"/>
      <c r="K803" s="286"/>
      <c r="L803" s="286"/>
      <c r="M803" s="40"/>
      <c r="N803" s="40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 ht="15.75" customHeight="1">
      <c r="A804" s="287">
        <v>37627.0</v>
      </c>
      <c r="B804" s="287" t="s">
        <v>1976</v>
      </c>
      <c r="C804" s="287" t="s">
        <v>2706</v>
      </c>
      <c r="D804" s="287" t="s">
        <v>518</v>
      </c>
      <c r="E804" s="287" t="b">
        <v>1</v>
      </c>
      <c r="F804" s="287" t="b">
        <v>1</v>
      </c>
      <c r="G804" s="287" t="s">
        <v>1979</v>
      </c>
      <c r="H804" s="40"/>
      <c r="I804" s="40"/>
      <c r="J804" s="40"/>
      <c r="K804" s="286"/>
      <c r="L804" s="286"/>
      <c r="M804" s="40"/>
      <c r="N804" s="40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 ht="15.75" customHeight="1">
      <c r="A805" s="287">
        <v>15985.0</v>
      </c>
      <c r="B805" s="287" t="s">
        <v>1980</v>
      </c>
      <c r="C805" s="287" t="s">
        <v>2707</v>
      </c>
      <c r="D805" s="287" t="s">
        <v>518</v>
      </c>
      <c r="E805" s="287" t="b">
        <v>1</v>
      </c>
      <c r="F805" s="287" t="b">
        <v>1</v>
      </c>
      <c r="G805" s="287" t="s">
        <v>250</v>
      </c>
      <c r="H805" s="40"/>
      <c r="I805" s="40"/>
      <c r="J805" s="40"/>
      <c r="K805" s="286"/>
      <c r="L805" s="286"/>
      <c r="M805" s="40"/>
      <c r="N805" s="40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 ht="15.75" customHeight="1">
      <c r="A806" s="287">
        <v>16539.0</v>
      </c>
      <c r="B806" s="287" t="s">
        <v>1982</v>
      </c>
      <c r="C806" s="287" t="s">
        <v>2708</v>
      </c>
      <c r="D806" s="287" t="s">
        <v>518</v>
      </c>
      <c r="E806" s="287" t="b">
        <v>1</v>
      </c>
      <c r="F806" s="287" t="b">
        <v>1</v>
      </c>
      <c r="G806" s="287" t="s">
        <v>250</v>
      </c>
      <c r="H806" s="40"/>
      <c r="I806" s="40"/>
      <c r="J806" s="40"/>
      <c r="K806" s="286"/>
      <c r="L806" s="286"/>
      <c r="M806" s="40"/>
      <c r="N806" s="40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 ht="15.75" customHeight="1">
      <c r="A807" s="287">
        <v>20893.0</v>
      </c>
      <c r="B807" s="287" t="s">
        <v>1985</v>
      </c>
      <c r="C807" s="287" t="s">
        <v>42</v>
      </c>
      <c r="D807" s="287" t="s">
        <v>249</v>
      </c>
      <c r="E807" s="287" t="b">
        <v>1</v>
      </c>
      <c r="F807" s="287" t="b">
        <v>1</v>
      </c>
      <c r="G807" s="287" t="s">
        <v>250</v>
      </c>
      <c r="H807" s="40"/>
      <c r="I807" s="40"/>
      <c r="J807" s="40"/>
      <c r="K807" s="286"/>
      <c r="L807" s="286"/>
      <c r="M807" s="40"/>
      <c r="N807" s="40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 ht="15.75" customHeight="1">
      <c r="A808" s="287">
        <v>16114.0</v>
      </c>
      <c r="B808" s="287" t="s">
        <v>1987</v>
      </c>
      <c r="C808" s="287" t="s">
        <v>2709</v>
      </c>
      <c r="D808" s="287" t="s">
        <v>518</v>
      </c>
      <c r="E808" s="287" t="b">
        <v>1</v>
      </c>
      <c r="F808" s="287" t="b">
        <v>1</v>
      </c>
      <c r="G808" s="287" t="s">
        <v>1990</v>
      </c>
      <c r="H808" s="40"/>
      <c r="I808" s="40"/>
      <c r="J808" s="40"/>
      <c r="K808" s="286"/>
      <c r="L808" s="286"/>
      <c r="M808" s="40"/>
      <c r="N808" s="40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 ht="15.75" customHeight="1">
      <c r="A809" s="287">
        <v>16538.0</v>
      </c>
      <c r="B809" s="287" t="s">
        <v>1991</v>
      </c>
      <c r="C809" s="287" t="s">
        <v>2626</v>
      </c>
      <c r="D809" s="287" t="s">
        <v>518</v>
      </c>
      <c r="E809" s="287" t="b">
        <v>1</v>
      </c>
      <c r="F809" s="287" t="b">
        <v>1</v>
      </c>
      <c r="G809" s="287" t="s">
        <v>1993</v>
      </c>
      <c r="H809" s="40"/>
      <c r="I809" s="40"/>
      <c r="J809" s="40"/>
      <c r="K809" s="286"/>
      <c r="L809" s="286"/>
      <c r="M809" s="40"/>
      <c r="N809" s="40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 ht="15.75" customHeight="1">
      <c r="A810" s="287">
        <v>110935.0</v>
      </c>
      <c r="B810" s="287" t="s">
        <v>1998</v>
      </c>
      <c r="C810" s="287" t="s">
        <v>42</v>
      </c>
      <c r="D810" s="287" t="s">
        <v>518</v>
      </c>
      <c r="E810" s="287" t="b">
        <v>1</v>
      </c>
      <c r="F810" s="287" t="b">
        <v>1</v>
      </c>
      <c r="G810" s="287" t="s">
        <v>1999</v>
      </c>
      <c r="H810" s="40"/>
      <c r="I810" s="40"/>
      <c r="J810" s="40"/>
      <c r="K810" s="286"/>
      <c r="L810" s="286"/>
      <c r="M810" s="40"/>
      <c r="N810" s="40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 ht="15.75" customHeight="1">
      <c r="A811" s="287">
        <v>16946.0</v>
      </c>
      <c r="B811" s="287" t="s">
        <v>2000</v>
      </c>
      <c r="C811" s="287" t="s">
        <v>2710</v>
      </c>
      <c r="D811" s="287" t="s">
        <v>518</v>
      </c>
      <c r="E811" s="287" t="b">
        <v>1</v>
      </c>
      <c r="F811" s="287" t="b">
        <v>1</v>
      </c>
      <c r="G811" s="287" t="s">
        <v>250</v>
      </c>
      <c r="H811" s="40"/>
      <c r="I811" s="40"/>
      <c r="J811" s="40"/>
      <c r="K811" s="286"/>
      <c r="L811" s="286"/>
      <c r="M811" s="40"/>
      <c r="N811" s="40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 ht="15.75" customHeight="1">
      <c r="A812" s="287">
        <v>15908.0</v>
      </c>
      <c r="B812" s="287" t="s">
        <v>2001</v>
      </c>
      <c r="C812" s="287" t="s">
        <v>2711</v>
      </c>
      <c r="D812" s="287" t="s">
        <v>518</v>
      </c>
      <c r="E812" s="287" t="b">
        <v>1</v>
      </c>
      <c r="F812" s="287" t="b">
        <v>1</v>
      </c>
      <c r="G812" s="287" t="s">
        <v>2712</v>
      </c>
      <c r="H812" s="40"/>
      <c r="I812" s="40"/>
      <c r="J812" s="40"/>
      <c r="K812" s="286"/>
      <c r="L812" s="286"/>
      <c r="M812" s="40"/>
      <c r="N812" s="40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 ht="15.75" customHeight="1">
      <c r="A813" s="287">
        <v>150114.0</v>
      </c>
      <c r="B813" s="287" t="s">
        <v>2004</v>
      </c>
      <c r="C813" s="287" t="s">
        <v>2713</v>
      </c>
      <c r="D813" s="287" t="s">
        <v>518</v>
      </c>
      <c r="E813" s="287" t="b">
        <v>1</v>
      </c>
      <c r="F813" s="287" t="b">
        <v>1</v>
      </c>
      <c r="G813" s="287" t="s">
        <v>250</v>
      </c>
      <c r="H813" s="40"/>
      <c r="I813" s="40"/>
      <c r="J813" s="40"/>
      <c r="K813" s="286"/>
      <c r="L813" s="286"/>
      <c r="M813" s="40"/>
      <c r="N813" s="40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 ht="15.75" customHeight="1">
      <c r="A814" s="287">
        <v>111932.0</v>
      </c>
      <c r="B814" s="287" t="s">
        <v>2006</v>
      </c>
      <c r="C814" s="287" t="s">
        <v>42</v>
      </c>
      <c r="D814" s="287" t="s">
        <v>518</v>
      </c>
      <c r="E814" s="287" t="b">
        <v>1</v>
      </c>
      <c r="F814" s="287" t="b">
        <v>1</v>
      </c>
      <c r="G814" s="287" t="s">
        <v>250</v>
      </c>
      <c r="H814" s="40"/>
      <c r="I814" s="40"/>
      <c r="J814" s="40"/>
      <c r="K814" s="286"/>
      <c r="L814" s="286"/>
      <c r="M814" s="40"/>
      <c r="N814" s="40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 ht="15.75" customHeight="1">
      <c r="A815" s="287">
        <v>112896.0</v>
      </c>
      <c r="B815" s="287" t="s">
        <v>2008</v>
      </c>
      <c r="C815" s="287" t="s">
        <v>42</v>
      </c>
      <c r="D815" s="287" t="s">
        <v>518</v>
      </c>
      <c r="E815" s="287" t="b">
        <v>1</v>
      </c>
      <c r="F815" s="287" t="b">
        <v>1</v>
      </c>
      <c r="G815" s="287" t="s">
        <v>250</v>
      </c>
      <c r="H815" s="40"/>
      <c r="I815" s="40"/>
      <c r="J815" s="40"/>
      <c r="K815" s="286"/>
      <c r="L815" s="286"/>
      <c r="M815" s="40"/>
      <c r="N815" s="40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 ht="15.75" customHeight="1">
      <c r="A816" s="287">
        <v>15865.0</v>
      </c>
      <c r="B816" s="287" t="s">
        <v>2009</v>
      </c>
      <c r="C816" s="287" t="s">
        <v>289</v>
      </c>
      <c r="D816" s="287" t="s">
        <v>518</v>
      </c>
      <c r="E816" s="287" t="b">
        <v>1</v>
      </c>
      <c r="F816" s="287" t="b">
        <v>1</v>
      </c>
      <c r="G816" s="287" t="s">
        <v>2011</v>
      </c>
      <c r="H816" s="40"/>
      <c r="I816" s="40"/>
      <c r="J816" s="40"/>
      <c r="K816" s="286"/>
      <c r="L816" s="286"/>
      <c r="M816" s="40"/>
      <c r="N816" s="40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 ht="15.75" customHeight="1">
      <c r="A817" s="287">
        <v>40567.0</v>
      </c>
      <c r="B817" s="287" t="s">
        <v>2012</v>
      </c>
      <c r="C817" s="287" t="s">
        <v>2013</v>
      </c>
      <c r="D817" s="287" t="s">
        <v>518</v>
      </c>
      <c r="E817" s="287" t="b">
        <v>1</v>
      </c>
      <c r="F817" s="287" t="b">
        <v>1</v>
      </c>
      <c r="G817" s="287" t="s">
        <v>250</v>
      </c>
      <c r="H817" s="40"/>
      <c r="I817" s="40"/>
      <c r="J817" s="40"/>
      <c r="K817" s="286"/>
      <c r="L817" s="286"/>
      <c r="M817" s="40"/>
      <c r="N817" s="40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 ht="15.75" customHeight="1">
      <c r="A818" s="287">
        <v>110928.0</v>
      </c>
      <c r="B818" s="287" t="s">
        <v>2016</v>
      </c>
      <c r="C818" s="287" t="s">
        <v>42</v>
      </c>
      <c r="D818" s="287" t="s">
        <v>518</v>
      </c>
      <c r="E818" s="287" t="b">
        <v>1</v>
      </c>
      <c r="F818" s="287" t="b">
        <v>1</v>
      </c>
      <c r="G818" s="287" t="s">
        <v>250</v>
      </c>
      <c r="H818" s="40"/>
      <c r="I818" s="40"/>
      <c r="J818" s="40"/>
      <c r="K818" s="286"/>
      <c r="L818" s="286"/>
      <c r="M818" s="40"/>
      <c r="N818" s="40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 ht="15.75" customHeight="1">
      <c r="A819" s="287">
        <v>16939.0</v>
      </c>
      <c r="B819" s="287" t="s">
        <v>2018</v>
      </c>
      <c r="C819" s="287" t="s">
        <v>2714</v>
      </c>
      <c r="D819" s="287" t="s">
        <v>518</v>
      </c>
      <c r="E819" s="287" t="b">
        <v>1</v>
      </c>
      <c r="F819" s="287" t="b">
        <v>1</v>
      </c>
      <c r="G819" s="287" t="s">
        <v>2715</v>
      </c>
      <c r="H819" s="40"/>
      <c r="I819" s="40"/>
      <c r="J819" s="40"/>
      <c r="K819" s="286"/>
      <c r="L819" s="286"/>
      <c r="M819" s="40"/>
      <c r="N819" s="40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 ht="15.75" customHeight="1">
      <c r="A820" s="287">
        <v>24829.0</v>
      </c>
      <c r="B820" s="287" t="s">
        <v>2024</v>
      </c>
      <c r="C820" s="287" t="s">
        <v>42</v>
      </c>
      <c r="D820" s="287" t="s">
        <v>518</v>
      </c>
      <c r="E820" s="287" t="b">
        <v>1</v>
      </c>
      <c r="F820" s="287" t="b">
        <v>1</v>
      </c>
      <c r="G820" s="287" t="s">
        <v>1074</v>
      </c>
      <c r="H820" s="40"/>
      <c r="I820" s="40"/>
      <c r="J820" s="40"/>
      <c r="K820" s="286"/>
      <c r="L820" s="286"/>
      <c r="M820" s="40"/>
      <c r="N820" s="40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 ht="15.75" customHeight="1">
      <c r="A821" s="287">
        <v>11938.0</v>
      </c>
      <c r="B821" s="287" t="s">
        <v>2029</v>
      </c>
      <c r="C821" s="287" t="s">
        <v>2716</v>
      </c>
      <c r="D821" s="287" t="s">
        <v>518</v>
      </c>
      <c r="E821" s="287" t="b">
        <v>1</v>
      </c>
      <c r="F821" s="287" t="b">
        <v>1</v>
      </c>
      <c r="G821" s="287" t="s">
        <v>250</v>
      </c>
      <c r="H821" s="40"/>
      <c r="I821" s="40"/>
      <c r="J821" s="40"/>
      <c r="K821" s="286"/>
      <c r="L821" s="286"/>
      <c r="M821" s="40"/>
      <c r="N821" s="40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 ht="15.75" customHeight="1">
      <c r="A822" s="287">
        <v>16015.0</v>
      </c>
      <c r="B822" s="287" t="s">
        <v>2031</v>
      </c>
      <c r="C822" s="287" t="s">
        <v>2717</v>
      </c>
      <c r="D822" s="287" t="s">
        <v>518</v>
      </c>
      <c r="E822" s="287" t="b">
        <v>1</v>
      </c>
      <c r="F822" s="287" t="b">
        <v>1</v>
      </c>
      <c r="G822" s="287" t="s">
        <v>2033</v>
      </c>
      <c r="H822" s="40"/>
      <c r="I822" s="40"/>
      <c r="J822" s="40"/>
      <c r="K822" s="286"/>
      <c r="L822" s="286"/>
      <c r="M822" s="40"/>
      <c r="N822" s="40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 ht="15.75" customHeight="1">
      <c r="A823" s="287">
        <v>111993.0</v>
      </c>
      <c r="B823" s="287" t="s">
        <v>2034</v>
      </c>
      <c r="C823" s="287" t="s">
        <v>389</v>
      </c>
      <c r="D823" s="287" t="s">
        <v>518</v>
      </c>
      <c r="E823" s="287" t="b">
        <v>1</v>
      </c>
      <c r="F823" s="287" t="b">
        <v>1</v>
      </c>
      <c r="G823" s="287" t="s">
        <v>250</v>
      </c>
      <c r="H823" s="40"/>
      <c r="I823" s="40"/>
      <c r="J823" s="40"/>
      <c r="K823" s="286"/>
      <c r="L823" s="286"/>
      <c r="M823" s="40"/>
      <c r="N823" s="40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 ht="15.75" customHeight="1">
      <c r="A824" s="287">
        <v>19408.0</v>
      </c>
      <c r="B824" s="287" t="s">
        <v>2036</v>
      </c>
      <c r="C824" s="287" t="s">
        <v>2038</v>
      </c>
      <c r="D824" s="287" t="s">
        <v>518</v>
      </c>
      <c r="E824" s="287" t="b">
        <v>1</v>
      </c>
      <c r="F824" s="287" t="b">
        <v>1</v>
      </c>
      <c r="G824" s="287" t="s">
        <v>250</v>
      </c>
      <c r="H824" s="40"/>
      <c r="I824" s="40"/>
      <c r="J824" s="40"/>
      <c r="K824" s="286"/>
      <c r="L824" s="286"/>
      <c r="M824" s="40"/>
      <c r="N824" s="40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 ht="15.75" customHeight="1">
      <c r="A825" s="287">
        <v>16318.0</v>
      </c>
      <c r="B825" s="287" t="s">
        <v>2039</v>
      </c>
      <c r="C825" s="287" t="s">
        <v>42</v>
      </c>
      <c r="D825" s="287" t="s">
        <v>369</v>
      </c>
      <c r="E825" s="287" t="b">
        <v>1</v>
      </c>
      <c r="F825" s="287" t="b">
        <v>1</v>
      </c>
      <c r="G825" s="287" t="s">
        <v>250</v>
      </c>
      <c r="H825" s="40"/>
      <c r="I825" s="40"/>
      <c r="J825" s="40"/>
      <c r="K825" s="286"/>
      <c r="L825" s="286"/>
      <c r="M825" s="40"/>
      <c r="N825" s="40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 ht="15.75" customHeight="1">
      <c r="A826" s="287">
        <v>16431.0</v>
      </c>
      <c r="B826" s="287" t="s">
        <v>2040</v>
      </c>
      <c r="C826" s="287" t="s">
        <v>2718</v>
      </c>
      <c r="D826" s="287" t="s">
        <v>518</v>
      </c>
      <c r="E826" s="287" t="b">
        <v>1</v>
      </c>
      <c r="F826" s="287" t="b">
        <v>1</v>
      </c>
      <c r="G826" s="287" t="s">
        <v>250</v>
      </c>
      <c r="H826" s="40"/>
      <c r="I826" s="40"/>
      <c r="J826" s="40"/>
      <c r="K826" s="286"/>
      <c r="L826" s="286"/>
      <c r="M826" s="40"/>
      <c r="N826" s="40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 ht="15.75" customHeight="1">
      <c r="A827" s="287">
        <v>41451.0</v>
      </c>
      <c r="B827" s="287" t="s">
        <v>2041</v>
      </c>
      <c r="C827" s="287" t="s">
        <v>64</v>
      </c>
      <c r="D827" s="287" t="s">
        <v>518</v>
      </c>
      <c r="E827" s="287" t="b">
        <v>1</v>
      </c>
      <c r="F827" s="287" t="b">
        <v>1</v>
      </c>
      <c r="G827" s="287" t="s">
        <v>250</v>
      </c>
      <c r="H827" s="40"/>
      <c r="I827" s="40"/>
      <c r="J827" s="40"/>
      <c r="K827" s="286"/>
      <c r="L827" s="286"/>
      <c r="M827" s="40"/>
      <c r="N827" s="40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 ht="15.75" customHeight="1">
      <c r="A828" s="287">
        <v>16432.0</v>
      </c>
      <c r="B828" s="287" t="s">
        <v>2043</v>
      </c>
      <c r="C828" s="287" t="s">
        <v>1617</v>
      </c>
      <c r="D828" s="287" t="s">
        <v>518</v>
      </c>
      <c r="E828" s="287" t="b">
        <v>1</v>
      </c>
      <c r="F828" s="287" t="b">
        <v>1</v>
      </c>
      <c r="G828" s="287" t="s">
        <v>250</v>
      </c>
      <c r="H828" s="40"/>
      <c r="I828" s="40"/>
      <c r="J828" s="40"/>
      <c r="K828" s="286"/>
      <c r="L828" s="286"/>
      <c r="M828" s="40"/>
      <c r="N828" s="40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 ht="15.75" customHeight="1">
      <c r="A829" s="287">
        <v>16571.0</v>
      </c>
      <c r="B829" s="287" t="s">
        <v>2045</v>
      </c>
      <c r="C829" s="287" t="s">
        <v>2719</v>
      </c>
      <c r="D829" s="287" t="s">
        <v>518</v>
      </c>
      <c r="E829" s="287" t="b">
        <v>1</v>
      </c>
      <c r="F829" s="287" t="b">
        <v>1</v>
      </c>
      <c r="G829" s="287" t="s">
        <v>2046</v>
      </c>
      <c r="H829" s="40"/>
      <c r="I829" s="40"/>
      <c r="J829" s="40"/>
      <c r="K829" s="286"/>
      <c r="L829" s="286"/>
      <c r="M829" s="40"/>
      <c r="N829" s="40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 ht="15.75" customHeight="1">
      <c r="A830" s="287">
        <v>109679.0</v>
      </c>
      <c r="B830" s="287" t="s">
        <v>2047</v>
      </c>
      <c r="C830" s="287" t="s">
        <v>64</v>
      </c>
      <c r="D830" s="287" t="s">
        <v>518</v>
      </c>
      <c r="E830" s="287" t="b">
        <v>1</v>
      </c>
      <c r="F830" s="287" t="b">
        <v>1</v>
      </c>
      <c r="G830" s="287" t="s">
        <v>250</v>
      </c>
      <c r="H830" s="40"/>
      <c r="I830" s="40"/>
      <c r="J830" s="40"/>
      <c r="K830" s="286"/>
      <c r="L830" s="286"/>
      <c r="M830" s="40"/>
      <c r="N830" s="40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 ht="15.75" customHeight="1">
      <c r="A831" s="287">
        <v>16366.0</v>
      </c>
      <c r="B831" s="287" t="s">
        <v>2049</v>
      </c>
      <c r="C831" s="287" t="s">
        <v>64</v>
      </c>
      <c r="D831" s="287" t="s">
        <v>518</v>
      </c>
      <c r="E831" s="287" t="b">
        <v>1</v>
      </c>
      <c r="F831" s="287" t="b">
        <v>1</v>
      </c>
      <c r="G831" s="287" t="s">
        <v>250</v>
      </c>
      <c r="H831" s="40"/>
      <c r="I831" s="40"/>
      <c r="J831" s="40"/>
      <c r="K831" s="286"/>
      <c r="L831" s="286"/>
      <c r="M831" s="40"/>
      <c r="N831" s="40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 ht="15.75" customHeight="1">
      <c r="A832" s="287">
        <v>16408.0</v>
      </c>
      <c r="B832" s="287" t="s">
        <v>2051</v>
      </c>
      <c r="C832" s="287" t="s">
        <v>389</v>
      </c>
      <c r="D832" s="287" t="s">
        <v>518</v>
      </c>
      <c r="E832" s="287" t="b">
        <v>1</v>
      </c>
      <c r="F832" s="287" t="b">
        <v>1</v>
      </c>
      <c r="G832" s="287" t="s">
        <v>2053</v>
      </c>
      <c r="H832" s="40"/>
      <c r="I832" s="40"/>
      <c r="J832" s="40"/>
      <c r="K832" s="286"/>
      <c r="L832" s="286"/>
      <c r="M832" s="40"/>
      <c r="N832" s="40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 ht="15.75" customHeight="1">
      <c r="A833" s="287">
        <v>47893.0</v>
      </c>
      <c r="B833" s="287" t="s">
        <v>2054</v>
      </c>
      <c r="C833" s="287" t="s">
        <v>64</v>
      </c>
      <c r="D833" s="287" t="s">
        <v>518</v>
      </c>
      <c r="E833" s="287" t="b">
        <v>1</v>
      </c>
      <c r="F833" s="287" t="b">
        <v>1</v>
      </c>
      <c r="G833" s="287" t="s">
        <v>250</v>
      </c>
      <c r="H833" s="40"/>
      <c r="I833" s="40"/>
      <c r="J833" s="40"/>
      <c r="K833" s="286"/>
      <c r="L833" s="286"/>
      <c r="M833" s="40"/>
      <c r="N833" s="40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 ht="15.75" customHeight="1">
      <c r="A834" s="287">
        <v>109676.0</v>
      </c>
      <c r="B834" s="287" t="s">
        <v>2055</v>
      </c>
      <c r="C834" s="287" t="s">
        <v>42</v>
      </c>
      <c r="D834" s="287" t="s">
        <v>518</v>
      </c>
      <c r="E834" s="287" t="b">
        <v>1</v>
      </c>
      <c r="F834" s="287" t="b">
        <v>1</v>
      </c>
      <c r="G834" s="287" t="s">
        <v>250</v>
      </c>
      <c r="H834" s="40"/>
      <c r="I834" s="40"/>
      <c r="J834" s="40"/>
      <c r="K834" s="286"/>
      <c r="L834" s="286"/>
      <c r="M834" s="40"/>
      <c r="N834" s="40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 ht="15.75" customHeight="1">
      <c r="A835" s="287">
        <v>112750.0</v>
      </c>
      <c r="B835" s="287" t="s">
        <v>2061</v>
      </c>
      <c r="C835" s="287" t="s">
        <v>42</v>
      </c>
      <c r="D835" s="287" t="s">
        <v>249</v>
      </c>
      <c r="E835" s="287" t="b">
        <v>1</v>
      </c>
      <c r="F835" s="287" t="b">
        <v>1</v>
      </c>
      <c r="G835" s="287" t="s">
        <v>250</v>
      </c>
      <c r="H835" s="40"/>
      <c r="I835" s="40"/>
      <c r="J835" s="40"/>
      <c r="K835" s="286"/>
      <c r="L835" s="286"/>
      <c r="M835" s="40"/>
      <c r="N835" s="40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 ht="15.75" customHeight="1">
      <c r="A836" s="287">
        <v>111997.0</v>
      </c>
      <c r="B836" s="287" t="s">
        <v>2064</v>
      </c>
      <c r="C836" s="287" t="s">
        <v>2067</v>
      </c>
      <c r="D836" s="287" t="s">
        <v>518</v>
      </c>
      <c r="E836" s="287" t="b">
        <v>1</v>
      </c>
      <c r="F836" s="287" t="b">
        <v>1</v>
      </c>
      <c r="G836" s="287" t="s">
        <v>250</v>
      </c>
      <c r="H836" s="40"/>
      <c r="I836" s="40"/>
      <c r="J836" s="40"/>
      <c r="K836" s="286"/>
      <c r="L836" s="286"/>
      <c r="M836" s="40"/>
      <c r="N836" s="40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 ht="15.75" customHeight="1">
      <c r="A837" s="287">
        <v>109522.0</v>
      </c>
      <c r="B837" s="287" t="s">
        <v>2068</v>
      </c>
      <c r="C837" s="287" t="s">
        <v>42</v>
      </c>
      <c r="D837" s="287" t="s">
        <v>518</v>
      </c>
      <c r="E837" s="287" t="b">
        <v>1</v>
      </c>
      <c r="F837" s="287" t="b">
        <v>1</v>
      </c>
      <c r="G837" s="287" t="s">
        <v>250</v>
      </c>
      <c r="H837" s="40"/>
      <c r="I837" s="40"/>
      <c r="J837" s="40"/>
      <c r="K837" s="286"/>
      <c r="L837" s="286"/>
      <c r="M837" s="40"/>
      <c r="N837" s="40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 ht="15.75" customHeight="1">
      <c r="A838" s="287">
        <v>112620.0</v>
      </c>
      <c r="B838" s="287" t="s">
        <v>2070</v>
      </c>
      <c r="C838" s="287" t="s">
        <v>42</v>
      </c>
      <c r="D838" s="287" t="s">
        <v>518</v>
      </c>
      <c r="E838" s="287" t="b">
        <v>1</v>
      </c>
      <c r="F838" s="287" t="b">
        <v>1</v>
      </c>
      <c r="G838" s="287" t="s">
        <v>250</v>
      </c>
      <c r="H838" s="40"/>
      <c r="I838" s="40"/>
      <c r="J838" s="40"/>
      <c r="K838" s="286"/>
      <c r="L838" s="286"/>
      <c r="M838" s="40"/>
      <c r="N838" s="40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 ht="15.75" customHeight="1">
      <c r="A839" s="287">
        <v>109967.0</v>
      </c>
      <c r="B839" s="287" t="s">
        <v>2071</v>
      </c>
      <c r="C839" s="287" t="s">
        <v>42</v>
      </c>
      <c r="D839" s="287" t="s">
        <v>369</v>
      </c>
      <c r="E839" s="287" t="b">
        <v>1</v>
      </c>
      <c r="F839" s="287" t="b">
        <v>1</v>
      </c>
      <c r="G839" s="287" t="s">
        <v>250</v>
      </c>
      <c r="H839" s="40"/>
      <c r="I839" s="40"/>
      <c r="J839" s="40"/>
      <c r="K839" s="286"/>
      <c r="L839" s="286"/>
      <c r="M839" s="40"/>
      <c r="N839" s="40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 ht="15.75" customHeight="1">
      <c r="A840" s="287">
        <v>15060.0</v>
      </c>
      <c r="B840" s="287" t="s">
        <v>2072</v>
      </c>
      <c r="C840" s="287" t="s">
        <v>2710</v>
      </c>
      <c r="D840" s="287" t="s">
        <v>369</v>
      </c>
      <c r="E840" s="287" t="b">
        <v>1</v>
      </c>
      <c r="F840" s="287" t="b">
        <v>1</v>
      </c>
      <c r="G840" s="287" t="s">
        <v>2073</v>
      </c>
      <c r="H840" s="40"/>
      <c r="I840" s="40"/>
      <c r="J840" s="40"/>
      <c r="K840" s="286"/>
      <c r="L840" s="286"/>
      <c r="M840" s="40"/>
      <c r="N840" s="40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 ht="15.75" customHeight="1">
      <c r="A841" s="287">
        <v>16951.0</v>
      </c>
      <c r="B841" s="287" t="s">
        <v>2720</v>
      </c>
      <c r="C841" s="287" t="s">
        <v>2710</v>
      </c>
      <c r="D841" s="287" t="s">
        <v>369</v>
      </c>
      <c r="E841" s="287" t="b">
        <v>1</v>
      </c>
      <c r="F841" s="287" t="b">
        <v>1</v>
      </c>
      <c r="G841" s="287" t="s">
        <v>250</v>
      </c>
      <c r="H841" s="40"/>
      <c r="I841" s="40"/>
      <c r="J841" s="40"/>
      <c r="K841" s="286"/>
      <c r="L841" s="286"/>
      <c r="M841" s="40"/>
      <c r="N841" s="40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 ht="15.75" customHeight="1">
      <c r="A842" s="287">
        <v>101420.0</v>
      </c>
      <c r="B842" s="287" t="s">
        <v>2076</v>
      </c>
      <c r="C842" s="287" t="s">
        <v>972</v>
      </c>
      <c r="D842" s="287" t="s">
        <v>249</v>
      </c>
      <c r="E842" s="287" t="b">
        <v>1</v>
      </c>
      <c r="F842" s="287" t="b">
        <v>1</v>
      </c>
      <c r="G842" s="287" t="s">
        <v>250</v>
      </c>
      <c r="H842" s="40"/>
      <c r="I842" s="40"/>
      <c r="J842" s="40"/>
      <c r="K842" s="286"/>
      <c r="L842" s="286"/>
      <c r="M842" s="40"/>
      <c r="N842" s="40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 ht="15.75" customHeight="1">
      <c r="A843" s="287">
        <v>147847.0</v>
      </c>
      <c r="B843" s="287" t="s">
        <v>2080</v>
      </c>
      <c r="C843" s="287" t="s">
        <v>42</v>
      </c>
      <c r="D843" s="287" t="s">
        <v>518</v>
      </c>
      <c r="E843" s="287" t="b">
        <v>1</v>
      </c>
      <c r="F843" s="287" t="b">
        <v>1</v>
      </c>
      <c r="G843" s="287" t="s">
        <v>250</v>
      </c>
      <c r="H843" s="40"/>
      <c r="I843" s="40"/>
      <c r="J843" s="40"/>
      <c r="K843" s="286"/>
      <c r="L843" s="286"/>
      <c r="M843" s="40"/>
      <c r="N843" s="40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 ht="15.75" customHeight="1">
      <c r="A844" s="287">
        <v>20883.0</v>
      </c>
      <c r="B844" s="287" t="s">
        <v>2082</v>
      </c>
      <c r="C844" s="287" t="s">
        <v>42</v>
      </c>
      <c r="D844" s="287" t="s">
        <v>518</v>
      </c>
      <c r="E844" s="287" t="b">
        <v>1</v>
      </c>
      <c r="F844" s="287" t="b">
        <v>1</v>
      </c>
      <c r="G844" s="287" t="s">
        <v>250</v>
      </c>
      <c r="H844" s="40"/>
      <c r="I844" s="40"/>
      <c r="J844" s="40"/>
      <c r="K844" s="286"/>
      <c r="L844" s="286"/>
      <c r="M844" s="40"/>
      <c r="N844" s="40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 ht="15.75" customHeight="1">
      <c r="A845" s="287">
        <v>12672.0</v>
      </c>
      <c r="B845" s="287" t="s">
        <v>2083</v>
      </c>
      <c r="C845" s="287" t="s">
        <v>42</v>
      </c>
      <c r="D845" s="287" t="s">
        <v>518</v>
      </c>
      <c r="E845" s="287" t="b">
        <v>1</v>
      </c>
      <c r="F845" s="287" t="b">
        <v>1</v>
      </c>
      <c r="G845" s="287" t="s">
        <v>2085</v>
      </c>
      <c r="H845" s="40"/>
      <c r="I845" s="40"/>
      <c r="J845" s="40"/>
      <c r="K845" s="286"/>
      <c r="L845" s="286"/>
      <c r="M845" s="40"/>
      <c r="N845" s="40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 ht="15.75" customHeight="1">
      <c r="A846" s="287">
        <v>12666.0</v>
      </c>
      <c r="B846" s="287" t="s">
        <v>2086</v>
      </c>
      <c r="C846" s="287" t="s">
        <v>42</v>
      </c>
      <c r="D846" s="287" t="s">
        <v>518</v>
      </c>
      <c r="E846" s="287" t="b">
        <v>1</v>
      </c>
      <c r="F846" s="287" t="b">
        <v>1</v>
      </c>
      <c r="G846" s="287" t="s">
        <v>2087</v>
      </c>
      <c r="H846" s="40"/>
      <c r="I846" s="40"/>
      <c r="J846" s="40"/>
      <c r="K846" s="286"/>
      <c r="L846" s="286"/>
      <c r="M846" s="40"/>
      <c r="N846" s="40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 ht="15.75" customHeight="1">
      <c r="A847" s="287">
        <v>30034.0</v>
      </c>
      <c r="B847" s="287" t="s">
        <v>2088</v>
      </c>
      <c r="C847" s="287" t="s">
        <v>42</v>
      </c>
      <c r="D847" s="287" t="s">
        <v>518</v>
      </c>
      <c r="E847" s="287" t="b">
        <v>1</v>
      </c>
      <c r="F847" s="287" t="b">
        <v>1</v>
      </c>
      <c r="G847" s="287" t="s">
        <v>250</v>
      </c>
      <c r="H847" s="40"/>
      <c r="I847" s="40"/>
      <c r="J847" s="40"/>
      <c r="K847" s="286"/>
      <c r="L847" s="286"/>
      <c r="M847" s="40"/>
      <c r="N847" s="40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 ht="15.75" customHeight="1">
      <c r="A848" s="287">
        <v>30032.0</v>
      </c>
      <c r="B848" s="287" t="s">
        <v>2090</v>
      </c>
      <c r="C848" s="287" t="s">
        <v>1471</v>
      </c>
      <c r="D848" s="287" t="s">
        <v>518</v>
      </c>
      <c r="E848" s="287" t="b">
        <v>1</v>
      </c>
      <c r="F848" s="287" t="b">
        <v>1</v>
      </c>
      <c r="G848" s="287" t="s">
        <v>250</v>
      </c>
      <c r="H848" s="40"/>
      <c r="I848" s="40"/>
      <c r="J848" s="40"/>
      <c r="K848" s="286"/>
      <c r="L848" s="286"/>
      <c r="M848" s="40"/>
      <c r="N848" s="40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 ht="15.75" customHeight="1">
      <c r="A849" s="287">
        <v>16958.0</v>
      </c>
      <c r="B849" s="287" t="s">
        <v>2094</v>
      </c>
      <c r="C849" s="287" t="s">
        <v>2721</v>
      </c>
      <c r="D849" s="287" t="s">
        <v>249</v>
      </c>
      <c r="E849" s="287" t="b">
        <v>1</v>
      </c>
      <c r="F849" s="287" t="b">
        <v>1</v>
      </c>
      <c r="G849" s="287" t="s">
        <v>250</v>
      </c>
      <c r="H849" s="40"/>
      <c r="I849" s="40"/>
      <c r="J849" s="40"/>
      <c r="K849" s="286"/>
      <c r="L849" s="286"/>
      <c r="M849" s="40"/>
      <c r="N849" s="40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 ht="15.75" customHeight="1">
      <c r="A850" s="287">
        <v>142014.0</v>
      </c>
      <c r="B850" s="287" t="s">
        <v>2096</v>
      </c>
      <c r="C850" s="287" t="s">
        <v>2020</v>
      </c>
      <c r="D850" s="287" t="s">
        <v>249</v>
      </c>
      <c r="E850" s="287" t="b">
        <v>1</v>
      </c>
      <c r="F850" s="287" t="b">
        <v>1</v>
      </c>
      <c r="G850" s="287" t="s">
        <v>250</v>
      </c>
      <c r="H850" s="40"/>
      <c r="I850" s="40"/>
      <c r="J850" s="40"/>
      <c r="K850" s="286"/>
      <c r="L850" s="286"/>
      <c r="M850" s="40"/>
      <c r="N850" s="40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 ht="15.75" customHeight="1">
      <c r="A851" s="287">
        <v>142009.0</v>
      </c>
      <c r="B851" s="287" t="s">
        <v>2097</v>
      </c>
      <c r="C851" s="287" t="s">
        <v>2098</v>
      </c>
      <c r="D851" s="287" t="s">
        <v>249</v>
      </c>
      <c r="E851" s="287" t="b">
        <v>1</v>
      </c>
      <c r="F851" s="287" t="b">
        <v>1</v>
      </c>
      <c r="G851" s="287" t="s">
        <v>250</v>
      </c>
      <c r="H851" s="40"/>
      <c r="I851" s="40"/>
      <c r="J851" s="40"/>
      <c r="K851" s="286"/>
      <c r="L851" s="286"/>
      <c r="M851" s="40"/>
      <c r="N851" s="40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 ht="15.75" customHeight="1">
      <c r="A852" s="287">
        <v>142011.0</v>
      </c>
      <c r="B852" s="287" t="s">
        <v>2099</v>
      </c>
      <c r="C852" s="287" t="s">
        <v>2100</v>
      </c>
      <c r="D852" s="287" t="s">
        <v>249</v>
      </c>
      <c r="E852" s="287" t="b">
        <v>1</v>
      </c>
      <c r="F852" s="287" t="b">
        <v>1</v>
      </c>
      <c r="G852" s="287" t="s">
        <v>250</v>
      </c>
      <c r="H852" s="40"/>
      <c r="I852" s="40"/>
      <c r="J852" s="40"/>
      <c r="K852" s="286"/>
      <c r="L852" s="286"/>
      <c r="M852" s="40"/>
      <c r="N852" s="40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 ht="15.75" customHeight="1">
      <c r="A853" s="287">
        <v>146514.0</v>
      </c>
      <c r="B853" s="287" t="s">
        <v>2101</v>
      </c>
      <c r="C853" s="287" t="s">
        <v>42</v>
      </c>
      <c r="D853" s="287" t="s">
        <v>518</v>
      </c>
      <c r="E853" s="287" t="b">
        <v>1</v>
      </c>
      <c r="F853" s="287" t="b">
        <v>1</v>
      </c>
      <c r="G853" s="287" t="s">
        <v>250</v>
      </c>
      <c r="H853" s="40"/>
      <c r="I853" s="40"/>
      <c r="J853" s="40"/>
      <c r="K853" s="286"/>
      <c r="L853" s="286"/>
      <c r="M853" s="40"/>
      <c r="N853" s="40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 ht="15.75" customHeight="1">
      <c r="A854" s="287">
        <v>146513.0</v>
      </c>
      <c r="B854" s="287" t="s">
        <v>2103</v>
      </c>
      <c r="C854" s="287" t="s">
        <v>289</v>
      </c>
      <c r="D854" s="287" t="s">
        <v>249</v>
      </c>
      <c r="E854" s="287" t="b">
        <v>1</v>
      </c>
      <c r="F854" s="287" t="b">
        <v>1</v>
      </c>
      <c r="G854" s="287" t="s">
        <v>2104</v>
      </c>
      <c r="H854" s="40"/>
      <c r="I854" s="40"/>
      <c r="J854" s="40"/>
      <c r="K854" s="286"/>
      <c r="L854" s="286"/>
      <c r="M854" s="40"/>
      <c r="N854" s="40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 ht="15.75" customHeight="1">
      <c r="A855" s="287">
        <v>110102.0</v>
      </c>
      <c r="B855" s="287" t="s">
        <v>2106</v>
      </c>
      <c r="C855" s="287" t="s">
        <v>42</v>
      </c>
      <c r="D855" s="287" t="s">
        <v>518</v>
      </c>
      <c r="E855" s="287" t="b">
        <v>1</v>
      </c>
      <c r="F855" s="287" t="b">
        <v>1</v>
      </c>
      <c r="G855" s="287" t="s">
        <v>250</v>
      </c>
      <c r="H855" s="40"/>
      <c r="I855" s="40"/>
      <c r="J855" s="40"/>
      <c r="K855" s="286"/>
      <c r="L855" s="286"/>
      <c r="M855" s="40"/>
      <c r="N855" s="40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 ht="15.75" customHeight="1">
      <c r="A856" s="287">
        <v>109520.0</v>
      </c>
      <c r="B856" s="287" t="s">
        <v>2108</v>
      </c>
      <c r="C856" s="287" t="s">
        <v>946</v>
      </c>
      <c r="D856" s="287" t="s">
        <v>518</v>
      </c>
      <c r="E856" s="287" t="b">
        <v>1</v>
      </c>
      <c r="F856" s="287" t="b">
        <v>1</v>
      </c>
      <c r="G856" s="287" t="s">
        <v>250</v>
      </c>
      <c r="H856" s="40"/>
      <c r="I856" s="40"/>
      <c r="J856" s="40"/>
      <c r="K856" s="286"/>
      <c r="L856" s="286"/>
      <c r="M856" s="40"/>
      <c r="N856" s="40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 ht="15.75" customHeight="1">
      <c r="A857" s="287">
        <v>109224.0</v>
      </c>
      <c r="B857" s="287" t="s">
        <v>2110</v>
      </c>
      <c r="C857" s="287" t="s">
        <v>2722</v>
      </c>
      <c r="D857" s="287" t="s">
        <v>518</v>
      </c>
      <c r="E857" s="287" t="b">
        <v>1</v>
      </c>
      <c r="F857" s="287" t="b">
        <v>1</v>
      </c>
      <c r="G857" s="287" t="s">
        <v>250</v>
      </c>
      <c r="H857" s="40"/>
      <c r="I857" s="40"/>
      <c r="J857" s="40"/>
      <c r="K857" s="286"/>
      <c r="L857" s="286"/>
      <c r="M857" s="40"/>
      <c r="N857" s="40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 ht="15.75" customHeight="1">
      <c r="A858" s="287">
        <v>109933.0</v>
      </c>
      <c r="B858" s="287" t="s">
        <v>2116</v>
      </c>
      <c r="C858" s="287" t="s">
        <v>42</v>
      </c>
      <c r="D858" s="287" t="s">
        <v>249</v>
      </c>
      <c r="E858" s="287" t="b">
        <v>1</v>
      </c>
      <c r="F858" s="287" t="b">
        <v>1</v>
      </c>
      <c r="G858" s="287" t="s">
        <v>250</v>
      </c>
      <c r="H858" s="40"/>
      <c r="I858" s="40"/>
      <c r="J858" s="40"/>
      <c r="K858" s="286"/>
      <c r="L858" s="286"/>
      <c r="M858" s="40"/>
      <c r="N858" s="40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 ht="15.75" customHeight="1">
      <c r="A859" s="287">
        <v>109925.0</v>
      </c>
      <c r="B859" s="287" t="s">
        <v>2119</v>
      </c>
      <c r="C859" s="287" t="s">
        <v>42</v>
      </c>
      <c r="D859" s="287" t="s">
        <v>369</v>
      </c>
      <c r="E859" s="287" t="b">
        <v>1</v>
      </c>
      <c r="F859" s="287" t="b">
        <v>1</v>
      </c>
      <c r="G859" s="287" t="s">
        <v>250</v>
      </c>
      <c r="H859" s="40"/>
      <c r="I859" s="40"/>
      <c r="J859" s="40"/>
      <c r="K859" s="286"/>
      <c r="L859" s="286"/>
      <c r="M859" s="40"/>
      <c r="N859" s="40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 ht="15.75" customHeight="1">
      <c r="A860" s="287">
        <v>109527.0</v>
      </c>
      <c r="B860" s="287" t="s">
        <v>2121</v>
      </c>
      <c r="C860" s="287" t="s">
        <v>42</v>
      </c>
      <c r="D860" s="287" t="s">
        <v>369</v>
      </c>
      <c r="E860" s="287" t="b">
        <v>1</v>
      </c>
      <c r="F860" s="287" t="b">
        <v>1</v>
      </c>
      <c r="G860" s="287" t="s">
        <v>250</v>
      </c>
      <c r="H860" s="40"/>
      <c r="I860" s="40"/>
      <c r="J860" s="40"/>
      <c r="K860" s="286"/>
      <c r="L860" s="286"/>
      <c r="M860" s="40"/>
      <c r="N860" s="40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 ht="15.75" customHeight="1">
      <c r="A861" s="287">
        <v>109529.0</v>
      </c>
      <c r="B861" s="287" t="s">
        <v>2122</v>
      </c>
      <c r="C861" s="287" t="s">
        <v>42</v>
      </c>
      <c r="D861" s="287" t="s">
        <v>369</v>
      </c>
      <c r="E861" s="287" t="b">
        <v>1</v>
      </c>
      <c r="F861" s="287" t="b">
        <v>1</v>
      </c>
      <c r="G861" s="287" t="s">
        <v>250</v>
      </c>
      <c r="H861" s="40"/>
      <c r="I861" s="40"/>
      <c r="J861" s="40"/>
      <c r="K861" s="286"/>
      <c r="L861" s="286"/>
      <c r="M861" s="40"/>
      <c r="N861" s="40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 ht="15.75" customHeight="1">
      <c r="A862" s="287">
        <v>111686.0</v>
      </c>
      <c r="B862" s="287" t="s">
        <v>2125</v>
      </c>
      <c r="C862" s="287" t="s">
        <v>42</v>
      </c>
      <c r="D862" s="287" t="s">
        <v>369</v>
      </c>
      <c r="E862" s="287" t="b">
        <v>1</v>
      </c>
      <c r="F862" s="287" t="b">
        <v>1</v>
      </c>
      <c r="G862" s="287" t="s">
        <v>250</v>
      </c>
      <c r="H862" s="40"/>
      <c r="I862" s="40"/>
      <c r="J862" s="40"/>
      <c r="K862" s="286"/>
      <c r="L862" s="286"/>
      <c r="M862" s="40"/>
      <c r="N862" s="40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 ht="15.75" customHeight="1">
      <c r="A863" s="287">
        <v>102468.0</v>
      </c>
      <c r="B863" s="287" t="s">
        <v>2129</v>
      </c>
      <c r="C863" s="287" t="s">
        <v>42</v>
      </c>
      <c r="D863" s="287" t="s">
        <v>249</v>
      </c>
      <c r="E863" s="287" t="b">
        <v>1</v>
      </c>
      <c r="F863" s="287" t="b">
        <v>1</v>
      </c>
      <c r="G863" s="287" t="s">
        <v>250</v>
      </c>
      <c r="H863" s="40"/>
      <c r="I863" s="40"/>
      <c r="J863" s="40"/>
      <c r="K863" s="286"/>
      <c r="L863" s="286"/>
      <c r="M863" s="40"/>
      <c r="N863" s="40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 ht="15.75" customHeight="1">
      <c r="A864" s="287">
        <v>109227.0</v>
      </c>
      <c r="B864" s="287" t="s">
        <v>2131</v>
      </c>
      <c r="C864" s="287" t="s">
        <v>2132</v>
      </c>
      <c r="D864" s="287" t="s">
        <v>518</v>
      </c>
      <c r="E864" s="287" t="b">
        <v>1</v>
      </c>
      <c r="F864" s="287" t="b">
        <v>1</v>
      </c>
      <c r="G864" s="287" t="s">
        <v>250</v>
      </c>
      <c r="H864" s="40"/>
      <c r="I864" s="40"/>
      <c r="J864" s="40"/>
      <c r="K864" s="286"/>
      <c r="L864" s="286"/>
      <c r="M864" s="40"/>
      <c r="N864" s="40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 ht="15.75" customHeight="1">
      <c r="A865" s="287">
        <v>14967.0</v>
      </c>
      <c r="B865" s="287" t="s">
        <v>2133</v>
      </c>
      <c r="C865" s="287" t="s">
        <v>2723</v>
      </c>
      <c r="D865" s="287" t="s">
        <v>369</v>
      </c>
      <c r="E865" s="287" t="b">
        <v>1</v>
      </c>
      <c r="F865" s="287" t="b">
        <v>1</v>
      </c>
      <c r="G865" s="287" t="s">
        <v>250</v>
      </c>
      <c r="H865" s="40"/>
      <c r="I865" s="40"/>
      <c r="J865" s="40"/>
      <c r="K865" s="286"/>
      <c r="L865" s="286"/>
      <c r="M865" s="40"/>
      <c r="N865" s="40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 ht="15.75" customHeight="1">
      <c r="A866" s="287">
        <v>109936.0</v>
      </c>
      <c r="B866" s="287" t="s">
        <v>2135</v>
      </c>
      <c r="C866" s="287" t="s">
        <v>42</v>
      </c>
      <c r="D866" s="287" t="s">
        <v>249</v>
      </c>
      <c r="E866" s="287" t="b">
        <v>1</v>
      </c>
      <c r="F866" s="287" t="b">
        <v>1</v>
      </c>
      <c r="G866" s="287" t="s">
        <v>2724</v>
      </c>
      <c r="H866" s="40"/>
      <c r="I866" s="40"/>
      <c r="J866" s="40"/>
      <c r="K866" s="286"/>
      <c r="L866" s="286"/>
      <c r="M866" s="40"/>
      <c r="N866" s="40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 ht="15.75" customHeight="1">
      <c r="A867" s="287">
        <v>79607.0</v>
      </c>
      <c r="B867" s="287" t="s">
        <v>2143</v>
      </c>
      <c r="C867" s="287" t="s">
        <v>2144</v>
      </c>
      <c r="D867" s="287" t="s">
        <v>518</v>
      </c>
      <c r="E867" s="287" t="b">
        <v>1</v>
      </c>
      <c r="F867" s="287" t="b">
        <v>1</v>
      </c>
      <c r="G867" s="287" t="s">
        <v>2725</v>
      </c>
      <c r="H867" s="40"/>
      <c r="I867" s="40"/>
      <c r="J867" s="40"/>
      <c r="K867" s="286"/>
      <c r="L867" s="286"/>
      <c r="M867" s="40"/>
      <c r="N867" s="40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 ht="15.75" customHeight="1">
      <c r="A868" s="287">
        <v>109927.0</v>
      </c>
      <c r="B868" s="287" t="s">
        <v>2136</v>
      </c>
      <c r="C868" s="287" t="s">
        <v>42</v>
      </c>
      <c r="D868" s="287" t="s">
        <v>249</v>
      </c>
      <c r="E868" s="287" t="b">
        <v>1</v>
      </c>
      <c r="F868" s="287" t="b">
        <v>1</v>
      </c>
      <c r="G868" s="287" t="s">
        <v>250</v>
      </c>
      <c r="H868" s="40"/>
      <c r="I868" s="40"/>
      <c r="J868" s="40"/>
      <c r="K868" s="286"/>
      <c r="L868" s="286"/>
      <c r="M868" s="40"/>
      <c r="N868" s="40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 ht="15.75" customHeight="1">
      <c r="A869" s="287">
        <v>79609.0</v>
      </c>
      <c r="B869" s="287" t="s">
        <v>2139</v>
      </c>
      <c r="C869" s="287" t="s">
        <v>42</v>
      </c>
      <c r="D869" s="287" t="s">
        <v>518</v>
      </c>
      <c r="E869" s="287" t="b">
        <v>1</v>
      </c>
      <c r="F869" s="287" t="b">
        <v>1</v>
      </c>
      <c r="G869" s="287" t="s">
        <v>2726</v>
      </c>
      <c r="H869" s="40"/>
      <c r="I869" s="40"/>
      <c r="J869" s="40"/>
      <c r="K869" s="286"/>
      <c r="L869" s="286"/>
      <c r="M869" s="40"/>
      <c r="N869" s="40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 ht="15.75" customHeight="1">
      <c r="A870" s="287">
        <v>109611.0</v>
      </c>
      <c r="B870" s="287" t="s">
        <v>2141</v>
      </c>
      <c r="C870" s="287" t="s">
        <v>42</v>
      </c>
      <c r="D870" s="287" t="s">
        <v>249</v>
      </c>
      <c r="E870" s="287" t="b">
        <v>1</v>
      </c>
      <c r="F870" s="287" t="b">
        <v>1</v>
      </c>
      <c r="G870" s="287" t="s">
        <v>2727</v>
      </c>
      <c r="H870" s="40"/>
      <c r="I870" s="40"/>
      <c r="J870" s="40"/>
      <c r="K870" s="286"/>
      <c r="L870" s="286"/>
      <c r="M870" s="40"/>
      <c r="N870" s="40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 ht="15.75" customHeight="1">
      <c r="A871" s="287">
        <v>110031.0</v>
      </c>
      <c r="B871" s="287" t="s">
        <v>2146</v>
      </c>
      <c r="C871" s="287" t="s">
        <v>42</v>
      </c>
      <c r="D871" s="287" t="s">
        <v>518</v>
      </c>
      <c r="E871" s="287" t="b">
        <v>1</v>
      </c>
      <c r="F871" s="287" t="b">
        <v>1</v>
      </c>
      <c r="G871" s="287" t="s">
        <v>250</v>
      </c>
      <c r="H871" s="40"/>
      <c r="I871" s="40"/>
      <c r="J871" s="40"/>
      <c r="K871" s="286"/>
      <c r="L871" s="286"/>
      <c r="M871" s="40"/>
      <c r="N871" s="40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 ht="15.75" customHeight="1">
      <c r="A872" s="287">
        <v>110025.0</v>
      </c>
      <c r="B872" s="287" t="s">
        <v>2148</v>
      </c>
      <c r="C872" s="287" t="s">
        <v>42</v>
      </c>
      <c r="D872" s="287" t="s">
        <v>518</v>
      </c>
      <c r="E872" s="287" t="b">
        <v>1</v>
      </c>
      <c r="F872" s="287" t="b">
        <v>1</v>
      </c>
      <c r="G872" s="287" t="s">
        <v>250</v>
      </c>
      <c r="H872" s="40"/>
      <c r="I872" s="40"/>
      <c r="J872" s="40"/>
      <c r="K872" s="286"/>
      <c r="L872" s="286"/>
      <c r="M872" s="40"/>
      <c r="N872" s="40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 ht="15.75" customHeight="1">
      <c r="A873" s="287">
        <v>110029.0</v>
      </c>
      <c r="B873" s="287" t="s">
        <v>2154</v>
      </c>
      <c r="C873" s="287" t="s">
        <v>42</v>
      </c>
      <c r="D873" s="287" t="s">
        <v>518</v>
      </c>
      <c r="E873" s="287" t="b">
        <v>1</v>
      </c>
      <c r="F873" s="287" t="b">
        <v>1</v>
      </c>
      <c r="G873" s="287" t="s">
        <v>250</v>
      </c>
      <c r="H873" s="40"/>
      <c r="I873" s="40"/>
      <c r="J873" s="40"/>
      <c r="K873" s="286"/>
      <c r="L873" s="286"/>
      <c r="M873" s="40"/>
      <c r="N873" s="40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 ht="15.75" customHeight="1">
      <c r="A874" s="287">
        <v>148487.0</v>
      </c>
      <c r="B874" s="287" t="s">
        <v>2157</v>
      </c>
      <c r="C874" s="287" t="s">
        <v>42</v>
      </c>
      <c r="D874" s="287" t="s">
        <v>518</v>
      </c>
      <c r="E874" s="287" t="b">
        <v>1</v>
      </c>
      <c r="F874" s="287" t="b">
        <v>1</v>
      </c>
      <c r="G874" s="287" t="s">
        <v>250</v>
      </c>
      <c r="H874" s="40"/>
      <c r="I874" s="40"/>
      <c r="J874" s="40"/>
      <c r="K874" s="286"/>
      <c r="L874" s="286"/>
      <c r="M874" s="40"/>
      <c r="N874" s="40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 ht="15.75" customHeight="1">
      <c r="A875" s="287">
        <v>110018.0</v>
      </c>
      <c r="B875" s="287" t="s">
        <v>2158</v>
      </c>
      <c r="C875" s="287" t="s">
        <v>1482</v>
      </c>
      <c r="D875" s="287" t="s">
        <v>369</v>
      </c>
      <c r="E875" s="287" t="b">
        <v>1</v>
      </c>
      <c r="F875" s="287" t="b">
        <v>1</v>
      </c>
      <c r="G875" s="287" t="s">
        <v>250</v>
      </c>
      <c r="H875" s="40"/>
      <c r="I875" s="40"/>
      <c r="J875" s="40"/>
      <c r="K875" s="286"/>
      <c r="L875" s="286"/>
      <c r="M875" s="40"/>
      <c r="N875" s="40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 ht="15.75" customHeight="1">
      <c r="A876" s="287">
        <v>112795.0</v>
      </c>
      <c r="B876" s="287" t="s">
        <v>2160</v>
      </c>
      <c r="C876" s="287" t="s">
        <v>972</v>
      </c>
      <c r="D876" s="287" t="s">
        <v>518</v>
      </c>
      <c r="E876" s="287" t="b">
        <v>1</v>
      </c>
      <c r="F876" s="287" t="b">
        <v>1</v>
      </c>
      <c r="G876" s="287" t="s">
        <v>250</v>
      </c>
      <c r="H876" s="40"/>
      <c r="I876" s="40"/>
      <c r="J876" s="40"/>
      <c r="K876" s="286"/>
      <c r="L876" s="286"/>
      <c r="M876" s="40"/>
      <c r="N876" s="40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 ht="15.75" customHeight="1">
      <c r="A877" s="287">
        <v>110037.0</v>
      </c>
      <c r="B877" s="287" t="s">
        <v>2162</v>
      </c>
      <c r="C877" s="287" t="s">
        <v>2728</v>
      </c>
      <c r="D877" s="287" t="s">
        <v>518</v>
      </c>
      <c r="E877" s="287" t="b">
        <v>1</v>
      </c>
      <c r="F877" s="287" t="b">
        <v>1</v>
      </c>
      <c r="G877" s="287" t="s">
        <v>250</v>
      </c>
      <c r="H877" s="40"/>
      <c r="I877" s="40"/>
      <c r="J877" s="40"/>
      <c r="K877" s="286"/>
      <c r="L877" s="286"/>
      <c r="M877" s="40"/>
      <c r="N877" s="40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 ht="15.75" customHeight="1">
      <c r="A878" s="287">
        <v>100775.0</v>
      </c>
      <c r="B878" s="287" t="s">
        <v>2165</v>
      </c>
      <c r="C878" s="287" t="s">
        <v>42</v>
      </c>
      <c r="D878" s="287" t="s">
        <v>518</v>
      </c>
      <c r="E878" s="287" t="b">
        <v>1</v>
      </c>
      <c r="F878" s="287" t="b">
        <v>1</v>
      </c>
      <c r="G878" s="287" t="s">
        <v>2729</v>
      </c>
      <c r="H878" s="40"/>
      <c r="I878" s="40"/>
      <c r="J878" s="40"/>
      <c r="K878" s="286"/>
      <c r="L878" s="286"/>
      <c r="M878" s="40"/>
      <c r="N878" s="40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 ht="15.75" customHeight="1">
      <c r="A879" s="287">
        <v>110035.0</v>
      </c>
      <c r="B879" s="287" t="s">
        <v>2167</v>
      </c>
      <c r="C879" s="287" t="s">
        <v>2092</v>
      </c>
      <c r="D879" s="287" t="s">
        <v>518</v>
      </c>
      <c r="E879" s="287" t="b">
        <v>1</v>
      </c>
      <c r="F879" s="287" t="b">
        <v>1</v>
      </c>
      <c r="G879" s="287" t="s">
        <v>250</v>
      </c>
      <c r="H879" s="40"/>
      <c r="I879" s="40"/>
      <c r="J879" s="40"/>
      <c r="K879" s="286"/>
      <c r="L879" s="286"/>
      <c r="M879" s="40"/>
      <c r="N879" s="40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 ht="15.75" customHeight="1">
      <c r="A880" s="287">
        <v>111228.0</v>
      </c>
      <c r="B880" s="287" t="s">
        <v>2171</v>
      </c>
      <c r="C880" s="287" t="s">
        <v>2174</v>
      </c>
      <c r="D880" s="287" t="s">
        <v>249</v>
      </c>
      <c r="E880" s="287" t="b">
        <v>1</v>
      </c>
      <c r="F880" s="287" t="b">
        <v>1</v>
      </c>
      <c r="G880" s="287" t="s">
        <v>250</v>
      </c>
      <c r="H880" s="40"/>
      <c r="I880" s="40"/>
      <c r="J880" s="40"/>
      <c r="K880" s="286"/>
      <c r="L880" s="286"/>
      <c r="M880" s="40"/>
      <c r="N880" s="40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 ht="15.75" customHeight="1">
      <c r="A881" s="287">
        <v>111227.0</v>
      </c>
      <c r="B881" s="287" t="s">
        <v>2175</v>
      </c>
      <c r="C881" s="287" t="s">
        <v>2174</v>
      </c>
      <c r="D881" s="287" t="s">
        <v>249</v>
      </c>
      <c r="E881" s="287" t="b">
        <v>1</v>
      </c>
      <c r="F881" s="287" t="b">
        <v>1</v>
      </c>
      <c r="G881" s="287" t="s">
        <v>250</v>
      </c>
      <c r="H881" s="40"/>
      <c r="I881" s="40"/>
      <c r="J881" s="40"/>
      <c r="K881" s="286"/>
      <c r="L881" s="286"/>
      <c r="M881" s="40"/>
      <c r="N881" s="40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 ht="15.75" customHeight="1">
      <c r="A882" s="287">
        <v>111233.0</v>
      </c>
      <c r="B882" s="287" t="s">
        <v>2177</v>
      </c>
      <c r="C882" s="287" t="s">
        <v>2174</v>
      </c>
      <c r="D882" s="287" t="s">
        <v>249</v>
      </c>
      <c r="E882" s="287" t="b">
        <v>1</v>
      </c>
      <c r="F882" s="287" t="b">
        <v>1</v>
      </c>
      <c r="G882" s="287" t="s">
        <v>250</v>
      </c>
      <c r="H882" s="40"/>
      <c r="I882" s="40"/>
      <c r="J882" s="40"/>
      <c r="K882" s="286"/>
      <c r="L882" s="286"/>
      <c r="M882" s="40"/>
      <c r="N882" s="40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 ht="15.75" customHeight="1">
      <c r="A883" s="287">
        <v>111230.0</v>
      </c>
      <c r="B883" s="287" t="s">
        <v>2179</v>
      </c>
      <c r="C883" s="287" t="s">
        <v>2174</v>
      </c>
      <c r="D883" s="287" t="s">
        <v>249</v>
      </c>
      <c r="E883" s="287" t="b">
        <v>1</v>
      </c>
      <c r="F883" s="287" t="b">
        <v>1</v>
      </c>
      <c r="G883" s="287" t="s">
        <v>250</v>
      </c>
      <c r="H883" s="40"/>
      <c r="I883" s="40"/>
      <c r="J883" s="40"/>
      <c r="K883" s="286"/>
      <c r="L883" s="286"/>
      <c r="M883" s="40"/>
      <c r="N883" s="40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 ht="15.75" customHeight="1">
      <c r="A884" s="287">
        <v>111226.0</v>
      </c>
      <c r="B884" s="287" t="s">
        <v>2181</v>
      </c>
      <c r="C884" s="287" t="s">
        <v>2174</v>
      </c>
      <c r="D884" s="287" t="s">
        <v>249</v>
      </c>
      <c r="E884" s="287" t="b">
        <v>1</v>
      </c>
      <c r="F884" s="287" t="b">
        <v>1</v>
      </c>
      <c r="G884" s="287" t="s">
        <v>250</v>
      </c>
      <c r="H884" s="40"/>
      <c r="I884" s="40"/>
      <c r="J884" s="40"/>
      <c r="K884" s="286"/>
      <c r="L884" s="286"/>
      <c r="M884" s="40"/>
      <c r="N884" s="40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 ht="15.75" customHeight="1">
      <c r="A885" s="287">
        <v>111310.0</v>
      </c>
      <c r="B885" s="287" t="s">
        <v>2183</v>
      </c>
      <c r="C885" s="287" t="s">
        <v>2174</v>
      </c>
      <c r="D885" s="287" t="s">
        <v>249</v>
      </c>
      <c r="E885" s="287" t="b">
        <v>1</v>
      </c>
      <c r="F885" s="287" t="b">
        <v>1</v>
      </c>
      <c r="G885" s="287" t="s">
        <v>250</v>
      </c>
      <c r="H885" s="40"/>
      <c r="I885" s="40"/>
      <c r="J885" s="40"/>
      <c r="K885" s="286"/>
      <c r="L885" s="286"/>
      <c r="M885" s="40"/>
      <c r="N885" s="40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 ht="15.75" customHeight="1">
      <c r="A886" s="287">
        <v>111232.0</v>
      </c>
      <c r="B886" s="287" t="s">
        <v>2185</v>
      </c>
      <c r="C886" s="287" t="s">
        <v>2174</v>
      </c>
      <c r="D886" s="287" t="s">
        <v>249</v>
      </c>
      <c r="E886" s="287" t="b">
        <v>1</v>
      </c>
      <c r="F886" s="287" t="b">
        <v>1</v>
      </c>
      <c r="G886" s="287" t="s">
        <v>250</v>
      </c>
      <c r="H886" s="40"/>
      <c r="I886" s="40"/>
      <c r="J886" s="40"/>
      <c r="K886" s="286"/>
      <c r="L886" s="286"/>
      <c r="M886" s="40"/>
      <c r="N886" s="40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 ht="15.75" customHeight="1">
      <c r="A887" s="287">
        <v>111312.0</v>
      </c>
      <c r="B887" s="287" t="s">
        <v>2187</v>
      </c>
      <c r="C887" s="287" t="s">
        <v>2174</v>
      </c>
      <c r="D887" s="287" t="s">
        <v>249</v>
      </c>
      <c r="E887" s="287" t="b">
        <v>1</v>
      </c>
      <c r="F887" s="287" t="b">
        <v>1</v>
      </c>
      <c r="G887" s="287" t="s">
        <v>250</v>
      </c>
      <c r="H887" s="40"/>
      <c r="I887" s="40"/>
      <c r="J887" s="40"/>
      <c r="K887" s="286"/>
      <c r="L887" s="286"/>
      <c r="M887" s="40"/>
      <c r="N887" s="40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 ht="15.75" customHeight="1">
      <c r="A888" s="287">
        <v>111311.0</v>
      </c>
      <c r="B888" s="287" t="s">
        <v>2189</v>
      </c>
      <c r="C888" s="287" t="s">
        <v>2174</v>
      </c>
      <c r="D888" s="287" t="s">
        <v>249</v>
      </c>
      <c r="E888" s="287" t="b">
        <v>1</v>
      </c>
      <c r="F888" s="287" t="b">
        <v>1</v>
      </c>
      <c r="G888" s="287" t="s">
        <v>250</v>
      </c>
      <c r="H888" s="40"/>
      <c r="I888" s="40"/>
      <c r="J888" s="40"/>
      <c r="K888" s="286"/>
      <c r="L888" s="286"/>
      <c r="M888" s="40"/>
      <c r="N888" s="40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 ht="15.75" customHeight="1">
      <c r="A889" s="287">
        <v>15030.0</v>
      </c>
      <c r="B889" s="287" t="s">
        <v>2191</v>
      </c>
      <c r="C889" s="287" t="s">
        <v>42</v>
      </c>
      <c r="D889" s="287" t="s">
        <v>249</v>
      </c>
      <c r="E889" s="287" t="b">
        <v>1</v>
      </c>
      <c r="F889" s="287" t="b">
        <v>1</v>
      </c>
      <c r="G889" s="287" t="s">
        <v>250</v>
      </c>
      <c r="H889" s="40"/>
      <c r="I889" s="40"/>
      <c r="J889" s="40"/>
      <c r="K889" s="286"/>
      <c r="L889" s="286"/>
      <c r="M889" s="40"/>
      <c r="N889" s="40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 ht="15.75" customHeight="1">
      <c r="A890" s="287">
        <v>111063.0</v>
      </c>
      <c r="B890" s="287" t="s">
        <v>2193</v>
      </c>
      <c r="C890" s="287" t="s">
        <v>646</v>
      </c>
      <c r="D890" s="287" t="s">
        <v>249</v>
      </c>
      <c r="E890" s="287" t="b">
        <v>1</v>
      </c>
      <c r="F890" s="287" t="b">
        <v>1</v>
      </c>
      <c r="G890" s="287" t="s">
        <v>250</v>
      </c>
      <c r="H890" s="40"/>
      <c r="I890" s="40"/>
      <c r="J890" s="40"/>
      <c r="K890" s="286"/>
      <c r="L890" s="286"/>
      <c r="M890" s="40"/>
      <c r="N890" s="40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 ht="15.75" customHeight="1">
      <c r="A891" s="287">
        <v>111064.0</v>
      </c>
      <c r="B891" s="287" t="s">
        <v>2195</v>
      </c>
      <c r="C891" s="287" t="s">
        <v>646</v>
      </c>
      <c r="D891" s="287" t="s">
        <v>249</v>
      </c>
      <c r="E891" s="287" t="b">
        <v>1</v>
      </c>
      <c r="F891" s="287" t="b">
        <v>1</v>
      </c>
      <c r="G891" s="287" t="s">
        <v>250</v>
      </c>
      <c r="H891" s="40"/>
      <c r="I891" s="40"/>
      <c r="J891" s="40"/>
      <c r="K891" s="286"/>
      <c r="L891" s="286"/>
      <c r="M891" s="40"/>
      <c r="N891" s="40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 ht="15.75" customHeight="1">
      <c r="A892" s="287">
        <v>111060.0</v>
      </c>
      <c r="B892" s="287" t="s">
        <v>2197</v>
      </c>
      <c r="C892" s="287" t="s">
        <v>646</v>
      </c>
      <c r="D892" s="287" t="s">
        <v>249</v>
      </c>
      <c r="E892" s="287" t="b">
        <v>1</v>
      </c>
      <c r="F892" s="287" t="b">
        <v>1</v>
      </c>
      <c r="G892" s="287" t="s">
        <v>250</v>
      </c>
      <c r="H892" s="40"/>
      <c r="I892" s="40"/>
      <c r="J892" s="40"/>
      <c r="K892" s="286"/>
      <c r="L892" s="286"/>
      <c r="M892" s="40"/>
      <c r="N892" s="40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 ht="15.75" customHeight="1">
      <c r="A893" s="287">
        <v>111061.0</v>
      </c>
      <c r="B893" s="287" t="s">
        <v>2198</v>
      </c>
      <c r="C893" s="287" t="s">
        <v>646</v>
      </c>
      <c r="D893" s="287" t="s">
        <v>249</v>
      </c>
      <c r="E893" s="287" t="b">
        <v>1</v>
      </c>
      <c r="F893" s="287" t="b">
        <v>1</v>
      </c>
      <c r="G893" s="287" t="s">
        <v>250</v>
      </c>
      <c r="H893" s="40"/>
      <c r="I893" s="40"/>
      <c r="J893" s="40"/>
      <c r="K893" s="286"/>
      <c r="L893" s="286"/>
      <c r="M893" s="40"/>
      <c r="N893" s="40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 ht="15.75" customHeight="1">
      <c r="A894" s="287">
        <v>111062.0</v>
      </c>
      <c r="B894" s="287" t="s">
        <v>2200</v>
      </c>
      <c r="C894" s="287" t="s">
        <v>646</v>
      </c>
      <c r="D894" s="287" t="s">
        <v>249</v>
      </c>
      <c r="E894" s="287" t="b">
        <v>1</v>
      </c>
      <c r="F894" s="287" t="b">
        <v>1</v>
      </c>
      <c r="G894" s="287" t="s">
        <v>250</v>
      </c>
      <c r="H894" s="40"/>
      <c r="I894" s="40"/>
      <c r="J894" s="40"/>
      <c r="K894" s="286"/>
      <c r="L894" s="286"/>
      <c r="M894" s="40"/>
      <c r="N894" s="40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 ht="15.75" customHeight="1">
      <c r="A895" s="287">
        <v>111675.0</v>
      </c>
      <c r="B895" s="287" t="s">
        <v>2202</v>
      </c>
      <c r="C895" s="287" t="s">
        <v>42</v>
      </c>
      <c r="D895" s="287" t="s">
        <v>249</v>
      </c>
      <c r="E895" s="287" t="b">
        <v>1</v>
      </c>
      <c r="F895" s="287" t="b">
        <v>1</v>
      </c>
      <c r="G895" s="287" t="s">
        <v>250</v>
      </c>
      <c r="H895" s="40"/>
      <c r="I895" s="40"/>
      <c r="J895" s="40"/>
      <c r="K895" s="286"/>
      <c r="L895" s="286"/>
      <c r="M895" s="40"/>
      <c r="N895" s="40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 ht="15.75" customHeight="1">
      <c r="A896" s="287">
        <v>111676.0</v>
      </c>
      <c r="B896" s="287" t="s">
        <v>2205</v>
      </c>
      <c r="C896" s="287" t="s">
        <v>42</v>
      </c>
      <c r="D896" s="287" t="s">
        <v>249</v>
      </c>
      <c r="E896" s="287" t="b">
        <v>1</v>
      </c>
      <c r="F896" s="287" t="b">
        <v>1</v>
      </c>
      <c r="G896" s="287" t="s">
        <v>250</v>
      </c>
      <c r="H896" s="40"/>
      <c r="I896" s="40"/>
      <c r="J896" s="40"/>
      <c r="K896" s="286"/>
      <c r="L896" s="286"/>
      <c r="M896" s="40"/>
      <c r="N896" s="40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 ht="15.75" customHeight="1">
      <c r="A897" s="287">
        <v>15029.0</v>
      </c>
      <c r="B897" s="287" t="s">
        <v>2206</v>
      </c>
      <c r="C897" s="287" t="s">
        <v>42</v>
      </c>
      <c r="D897" s="287" t="s">
        <v>249</v>
      </c>
      <c r="E897" s="287" t="b">
        <v>1</v>
      </c>
      <c r="F897" s="287" t="b">
        <v>1</v>
      </c>
      <c r="G897" s="287" t="s">
        <v>250</v>
      </c>
      <c r="H897" s="40"/>
      <c r="I897" s="40"/>
      <c r="J897" s="40"/>
      <c r="K897" s="286"/>
      <c r="L897" s="286"/>
      <c r="M897" s="40"/>
      <c r="N897" s="40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 ht="15.75" customHeight="1">
      <c r="A898" s="287">
        <v>100466.0</v>
      </c>
      <c r="B898" s="287" t="s">
        <v>2210</v>
      </c>
      <c r="C898" s="287" t="s">
        <v>2730</v>
      </c>
      <c r="D898" s="287" t="s">
        <v>249</v>
      </c>
      <c r="E898" s="287" t="b">
        <v>1</v>
      </c>
      <c r="F898" s="287" t="b">
        <v>1</v>
      </c>
      <c r="G898" s="287" t="s">
        <v>250</v>
      </c>
      <c r="H898" s="40"/>
      <c r="I898" s="40"/>
      <c r="J898" s="40"/>
      <c r="K898" s="286"/>
      <c r="L898" s="286"/>
      <c r="M898" s="40"/>
      <c r="N898" s="40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 ht="15.75" customHeight="1">
      <c r="A899" s="287">
        <v>15239.0</v>
      </c>
      <c r="B899" s="287" t="s">
        <v>2212</v>
      </c>
      <c r="C899" s="287" t="s">
        <v>42</v>
      </c>
      <c r="D899" s="287" t="s">
        <v>249</v>
      </c>
      <c r="E899" s="287" t="b">
        <v>1</v>
      </c>
      <c r="F899" s="287" t="b">
        <v>0</v>
      </c>
      <c r="G899" s="287" t="s">
        <v>2214</v>
      </c>
      <c r="H899" s="40"/>
      <c r="I899" s="40"/>
      <c r="J899" s="40"/>
      <c r="K899" s="286"/>
      <c r="L899" s="286"/>
      <c r="M899" s="40"/>
      <c r="N899" s="40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 ht="15.75" customHeight="1">
      <c r="A900" s="287">
        <v>149548.0</v>
      </c>
      <c r="B900" s="287" t="s">
        <v>2215</v>
      </c>
      <c r="C900" s="287" t="s">
        <v>42</v>
      </c>
      <c r="D900" s="287" t="s">
        <v>249</v>
      </c>
      <c r="E900" s="287" t="b">
        <v>1</v>
      </c>
      <c r="F900" s="287" t="b">
        <v>1</v>
      </c>
      <c r="G900" s="287" t="s">
        <v>2731</v>
      </c>
      <c r="H900" s="40"/>
      <c r="I900" s="40"/>
      <c r="J900" s="40"/>
      <c r="K900" s="286"/>
      <c r="L900" s="286"/>
      <c r="M900" s="40"/>
      <c r="N900" s="40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 ht="15.75" customHeight="1">
      <c r="A901" s="287">
        <v>18640.0</v>
      </c>
      <c r="B901" s="287" t="s">
        <v>2218</v>
      </c>
      <c r="C901" s="287" t="s">
        <v>972</v>
      </c>
      <c r="D901" s="287" t="s">
        <v>249</v>
      </c>
      <c r="E901" s="287" t="b">
        <v>1</v>
      </c>
      <c r="F901" s="287" t="b">
        <v>1</v>
      </c>
      <c r="G901" s="287" t="s">
        <v>250</v>
      </c>
      <c r="H901" s="40"/>
      <c r="I901" s="40"/>
      <c r="J901" s="40"/>
      <c r="K901" s="286"/>
      <c r="L901" s="286"/>
      <c r="M901" s="40"/>
      <c r="N901" s="40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 ht="15.75" customHeight="1">
      <c r="A902" s="287">
        <v>18641.0</v>
      </c>
      <c r="B902" s="287" t="s">
        <v>2220</v>
      </c>
      <c r="C902" s="287" t="s">
        <v>972</v>
      </c>
      <c r="D902" s="287" t="s">
        <v>249</v>
      </c>
      <c r="E902" s="287" t="b">
        <v>1</v>
      </c>
      <c r="F902" s="287" t="b">
        <v>1</v>
      </c>
      <c r="G902" s="287" t="s">
        <v>250</v>
      </c>
      <c r="H902" s="40"/>
      <c r="I902" s="40"/>
      <c r="J902" s="40"/>
      <c r="K902" s="286"/>
      <c r="L902" s="286"/>
      <c r="M902" s="40"/>
      <c r="N902" s="40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 ht="15.75" customHeight="1">
      <c r="A903" s="287">
        <v>15910.0</v>
      </c>
      <c r="B903" s="287" t="s">
        <v>2221</v>
      </c>
      <c r="C903" s="287" t="s">
        <v>972</v>
      </c>
      <c r="D903" s="287" t="s">
        <v>249</v>
      </c>
      <c r="E903" s="287" t="b">
        <v>1</v>
      </c>
      <c r="F903" s="287" t="b">
        <v>1</v>
      </c>
      <c r="G903" s="287" t="s">
        <v>2222</v>
      </c>
      <c r="H903" s="40"/>
      <c r="I903" s="40"/>
      <c r="J903" s="40"/>
      <c r="K903" s="286"/>
      <c r="L903" s="286"/>
      <c r="M903" s="40"/>
      <c r="N903" s="40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 ht="15.75" customHeight="1">
      <c r="A904" s="287">
        <v>109712.0</v>
      </c>
      <c r="B904" s="287" t="s">
        <v>2223</v>
      </c>
      <c r="C904" s="287" t="s">
        <v>2226</v>
      </c>
      <c r="D904" s="287" t="s">
        <v>249</v>
      </c>
      <c r="E904" s="287" t="b">
        <v>1</v>
      </c>
      <c r="F904" s="287" t="b">
        <v>1</v>
      </c>
      <c r="G904" s="287" t="s">
        <v>250</v>
      </c>
      <c r="H904" s="40"/>
      <c r="I904" s="40"/>
      <c r="J904" s="40"/>
      <c r="K904" s="286"/>
      <c r="L904" s="286"/>
      <c r="M904" s="40"/>
      <c r="N904" s="40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 ht="15.75" customHeight="1">
      <c r="A905" s="287">
        <v>20916.0</v>
      </c>
      <c r="B905" s="287" t="s">
        <v>2234</v>
      </c>
      <c r="C905" s="287" t="s">
        <v>2732</v>
      </c>
      <c r="D905" s="287" t="s">
        <v>249</v>
      </c>
      <c r="E905" s="287" t="b">
        <v>1</v>
      </c>
      <c r="F905" s="287" t="b">
        <v>0</v>
      </c>
      <c r="G905" s="287" t="s">
        <v>250</v>
      </c>
      <c r="H905" s="40"/>
      <c r="I905" s="40"/>
      <c r="J905" s="40"/>
      <c r="K905" s="286"/>
      <c r="L905" s="286"/>
      <c r="M905" s="40"/>
      <c r="N905" s="40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 ht="15.75" customHeight="1">
      <c r="A906" s="287">
        <v>15912.0</v>
      </c>
      <c r="B906" s="287" t="s">
        <v>2227</v>
      </c>
      <c r="C906" s="287" t="s">
        <v>289</v>
      </c>
      <c r="D906" s="287" t="s">
        <v>249</v>
      </c>
      <c r="E906" s="287" t="b">
        <v>1</v>
      </c>
      <c r="F906" s="287" t="b">
        <v>1</v>
      </c>
      <c r="G906" s="287" t="s">
        <v>250</v>
      </c>
      <c r="H906" s="40"/>
      <c r="I906" s="40"/>
      <c r="J906" s="40"/>
      <c r="K906" s="286"/>
      <c r="L906" s="286"/>
      <c r="M906" s="40"/>
      <c r="N906" s="40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 ht="15.75" customHeight="1">
      <c r="A907" s="287">
        <v>15913.0</v>
      </c>
      <c r="B907" s="287" t="s">
        <v>2229</v>
      </c>
      <c r="C907" s="287" t="s">
        <v>289</v>
      </c>
      <c r="D907" s="287" t="s">
        <v>249</v>
      </c>
      <c r="E907" s="287" t="b">
        <v>1</v>
      </c>
      <c r="F907" s="287" t="b">
        <v>1</v>
      </c>
      <c r="G907" s="287" t="s">
        <v>250</v>
      </c>
      <c r="H907" s="40"/>
      <c r="I907" s="40"/>
      <c r="J907" s="40"/>
      <c r="K907" s="286"/>
      <c r="L907" s="286"/>
      <c r="M907" s="40"/>
      <c r="N907" s="40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 ht="15.75" customHeight="1">
      <c r="A908" s="287">
        <v>15911.0</v>
      </c>
      <c r="B908" s="287" t="s">
        <v>2231</v>
      </c>
      <c r="C908" s="287" t="s">
        <v>2733</v>
      </c>
      <c r="D908" s="287" t="s">
        <v>249</v>
      </c>
      <c r="E908" s="287" t="b">
        <v>1</v>
      </c>
      <c r="F908" s="287" t="b">
        <v>1</v>
      </c>
      <c r="G908" s="287" t="s">
        <v>250</v>
      </c>
      <c r="H908" s="40"/>
      <c r="I908" s="40"/>
      <c r="J908" s="40"/>
      <c r="K908" s="286"/>
      <c r="L908" s="286"/>
      <c r="M908" s="40"/>
      <c r="N908" s="40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 ht="15.75" customHeight="1">
      <c r="A909" s="287">
        <v>111690.0</v>
      </c>
      <c r="B909" s="287" t="s">
        <v>2236</v>
      </c>
      <c r="C909" s="287" t="s">
        <v>289</v>
      </c>
      <c r="D909" s="287" t="s">
        <v>249</v>
      </c>
      <c r="E909" s="287" t="b">
        <v>1</v>
      </c>
      <c r="F909" s="287" t="b">
        <v>1</v>
      </c>
      <c r="G909" s="287" t="s">
        <v>250</v>
      </c>
      <c r="H909" s="40"/>
      <c r="I909" s="40"/>
      <c r="J909" s="40"/>
      <c r="K909" s="286"/>
      <c r="L909" s="286"/>
      <c r="M909" s="40"/>
      <c r="N909" s="40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 ht="15.75" customHeight="1">
      <c r="A910" s="287">
        <v>15194.0</v>
      </c>
      <c r="B910" s="287" t="s">
        <v>2239</v>
      </c>
      <c r="C910" s="287" t="s">
        <v>289</v>
      </c>
      <c r="D910" s="287" t="s">
        <v>249</v>
      </c>
      <c r="E910" s="287" t="b">
        <v>1</v>
      </c>
      <c r="F910" s="287" t="b">
        <v>1</v>
      </c>
      <c r="G910" s="287" t="s">
        <v>2240</v>
      </c>
      <c r="H910" s="40"/>
      <c r="I910" s="40"/>
      <c r="J910" s="40"/>
      <c r="K910" s="286"/>
      <c r="L910" s="286"/>
      <c r="M910" s="40"/>
      <c r="N910" s="40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 ht="15.75" customHeight="1">
      <c r="A911" s="287">
        <v>15333.0</v>
      </c>
      <c r="B911" s="287" t="s">
        <v>2243</v>
      </c>
      <c r="C911" s="287" t="s">
        <v>42</v>
      </c>
      <c r="D911" s="287" t="s">
        <v>369</v>
      </c>
      <c r="E911" s="287" t="b">
        <v>1</v>
      </c>
      <c r="F911" s="287" t="b">
        <v>1</v>
      </c>
      <c r="G911" s="287" t="s">
        <v>250</v>
      </c>
      <c r="H911" s="40"/>
      <c r="I911" s="40"/>
      <c r="J911" s="40"/>
      <c r="K911" s="286"/>
      <c r="L911" s="286"/>
      <c r="M911" s="40"/>
      <c r="N911" s="40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 ht="15.75" customHeight="1">
      <c r="A912" s="287">
        <v>15335.0</v>
      </c>
      <c r="B912" s="287" t="s">
        <v>2244</v>
      </c>
      <c r="C912" s="287" t="s">
        <v>42</v>
      </c>
      <c r="D912" s="287" t="s">
        <v>369</v>
      </c>
      <c r="E912" s="287" t="b">
        <v>1</v>
      </c>
      <c r="F912" s="287" t="b">
        <v>1</v>
      </c>
      <c r="G912" s="287" t="s">
        <v>250</v>
      </c>
      <c r="H912" s="40"/>
      <c r="I912" s="40"/>
      <c r="J912" s="40"/>
      <c r="K912" s="286"/>
      <c r="L912" s="286"/>
      <c r="M912" s="40"/>
      <c r="N912" s="40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 ht="15.75" customHeight="1">
      <c r="A913" s="287">
        <v>15381.0</v>
      </c>
      <c r="B913" s="287" t="s">
        <v>2245</v>
      </c>
      <c r="C913" s="287" t="s">
        <v>42</v>
      </c>
      <c r="D913" s="287" t="s">
        <v>369</v>
      </c>
      <c r="E913" s="287" t="b">
        <v>1</v>
      </c>
      <c r="F913" s="287" t="b">
        <v>1</v>
      </c>
      <c r="G913" s="287" t="s">
        <v>250</v>
      </c>
      <c r="H913" s="40"/>
      <c r="I913" s="40"/>
      <c r="J913" s="40"/>
      <c r="K913" s="286"/>
      <c r="L913" s="286"/>
      <c r="M913" s="40"/>
      <c r="N913" s="40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 ht="15.75" customHeight="1">
      <c r="A914" s="287">
        <v>15308.0</v>
      </c>
      <c r="B914" s="287" t="s">
        <v>2246</v>
      </c>
      <c r="C914" s="287" t="s">
        <v>42</v>
      </c>
      <c r="D914" s="287" t="s">
        <v>369</v>
      </c>
      <c r="E914" s="287" t="b">
        <v>1</v>
      </c>
      <c r="F914" s="287" t="b">
        <v>1</v>
      </c>
      <c r="G914" s="287" t="s">
        <v>250</v>
      </c>
      <c r="H914" s="40"/>
      <c r="I914" s="40"/>
      <c r="J914" s="40"/>
      <c r="K914" s="286"/>
      <c r="L914" s="286"/>
      <c r="M914" s="40"/>
      <c r="N914" s="40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 ht="15.75" customHeight="1">
      <c r="A915" s="287">
        <v>15318.0</v>
      </c>
      <c r="B915" s="287" t="s">
        <v>2247</v>
      </c>
      <c r="C915" s="287" t="s">
        <v>42</v>
      </c>
      <c r="D915" s="287" t="s">
        <v>369</v>
      </c>
      <c r="E915" s="287" t="b">
        <v>1</v>
      </c>
      <c r="F915" s="287" t="b">
        <v>1</v>
      </c>
      <c r="G915" s="287" t="s">
        <v>250</v>
      </c>
      <c r="H915" s="40"/>
      <c r="I915" s="40"/>
      <c r="J915" s="40"/>
      <c r="K915" s="286"/>
      <c r="L915" s="286"/>
      <c r="M915" s="40"/>
      <c r="N915" s="40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 ht="15.75" customHeight="1">
      <c r="A916" s="287">
        <v>15319.0</v>
      </c>
      <c r="B916" s="287" t="s">
        <v>2248</v>
      </c>
      <c r="C916" s="287" t="s">
        <v>42</v>
      </c>
      <c r="D916" s="287" t="s">
        <v>369</v>
      </c>
      <c r="E916" s="287" t="b">
        <v>1</v>
      </c>
      <c r="F916" s="287" t="b">
        <v>1</v>
      </c>
      <c r="G916" s="287" t="s">
        <v>250</v>
      </c>
      <c r="H916" s="40"/>
      <c r="I916" s="40"/>
      <c r="J916" s="40"/>
      <c r="K916" s="286"/>
      <c r="L916" s="286"/>
      <c r="M916" s="40"/>
      <c r="N916" s="40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 ht="15.75" customHeight="1">
      <c r="A917" s="287">
        <v>15334.0</v>
      </c>
      <c r="B917" s="287" t="s">
        <v>2249</v>
      </c>
      <c r="C917" s="287" t="s">
        <v>42</v>
      </c>
      <c r="D917" s="287" t="s">
        <v>369</v>
      </c>
      <c r="E917" s="287" t="b">
        <v>1</v>
      </c>
      <c r="F917" s="287" t="b">
        <v>1</v>
      </c>
      <c r="G917" s="287" t="s">
        <v>250</v>
      </c>
      <c r="H917" s="40"/>
      <c r="I917" s="40"/>
      <c r="J917" s="40"/>
      <c r="K917" s="286"/>
      <c r="L917" s="286"/>
      <c r="M917" s="40"/>
      <c r="N917" s="40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 ht="15.75" customHeight="1">
      <c r="A918" s="287">
        <v>15323.0</v>
      </c>
      <c r="B918" s="287" t="s">
        <v>2250</v>
      </c>
      <c r="C918" s="287" t="s">
        <v>42</v>
      </c>
      <c r="D918" s="287" t="s">
        <v>369</v>
      </c>
      <c r="E918" s="287" t="b">
        <v>1</v>
      </c>
      <c r="F918" s="287" t="b">
        <v>1</v>
      </c>
      <c r="G918" s="287" t="s">
        <v>250</v>
      </c>
      <c r="H918" s="40"/>
      <c r="I918" s="40"/>
      <c r="J918" s="40"/>
      <c r="K918" s="286"/>
      <c r="L918" s="286"/>
      <c r="M918" s="40"/>
      <c r="N918" s="40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 ht="15.75" customHeight="1">
      <c r="A919" s="287">
        <v>15420.0</v>
      </c>
      <c r="B919" s="287" t="s">
        <v>2252</v>
      </c>
      <c r="C919" s="287" t="s">
        <v>42</v>
      </c>
      <c r="D919" s="287" t="s">
        <v>369</v>
      </c>
      <c r="E919" s="287" t="b">
        <v>1</v>
      </c>
      <c r="F919" s="287" t="b">
        <v>1</v>
      </c>
      <c r="G919" s="287" t="s">
        <v>250</v>
      </c>
      <c r="H919" s="40"/>
      <c r="I919" s="40"/>
      <c r="J919" s="40"/>
      <c r="K919" s="286"/>
      <c r="L919" s="286"/>
      <c r="M919" s="40"/>
      <c r="N919" s="40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 ht="15.75" customHeight="1">
      <c r="A920" s="287">
        <v>110061.0</v>
      </c>
      <c r="B920" s="287" t="s">
        <v>2254</v>
      </c>
      <c r="C920" s="287" t="s">
        <v>42</v>
      </c>
      <c r="D920" s="287" t="s">
        <v>369</v>
      </c>
      <c r="E920" s="287" t="b">
        <v>1</v>
      </c>
      <c r="F920" s="287" t="b">
        <v>1</v>
      </c>
      <c r="G920" s="287" t="s">
        <v>250</v>
      </c>
      <c r="H920" s="40"/>
      <c r="I920" s="40"/>
      <c r="J920" s="40"/>
      <c r="K920" s="286"/>
      <c r="L920" s="286"/>
      <c r="M920" s="40"/>
      <c r="N920" s="40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 ht="15.75" customHeight="1">
      <c r="A921" s="287">
        <v>15370.0</v>
      </c>
      <c r="B921" s="287" t="s">
        <v>2255</v>
      </c>
      <c r="C921" s="287" t="s">
        <v>42</v>
      </c>
      <c r="D921" s="287" t="s">
        <v>369</v>
      </c>
      <c r="E921" s="287" t="b">
        <v>1</v>
      </c>
      <c r="F921" s="287" t="b">
        <v>1</v>
      </c>
      <c r="G921" s="287" t="s">
        <v>250</v>
      </c>
      <c r="H921" s="40"/>
      <c r="I921" s="40"/>
      <c r="J921" s="40"/>
      <c r="K921" s="286"/>
      <c r="L921" s="286"/>
      <c r="M921" s="40"/>
      <c r="N921" s="40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 ht="15.75" customHeight="1">
      <c r="A922" s="287">
        <v>23757.0</v>
      </c>
      <c r="B922" s="287" t="s">
        <v>2256</v>
      </c>
      <c r="C922" s="287" t="s">
        <v>42</v>
      </c>
      <c r="D922" s="287" t="s">
        <v>369</v>
      </c>
      <c r="E922" s="287" t="b">
        <v>1</v>
      </c>
      <c r="F922" s="287" t="b">
        <v>1</v>
      </c>
      <c r="G922" s="287" t="s">
        <v>2257</v>
      </c>
      <c r="H922" s="40"/>
      <c r="I922" s="40"/>
      <c r="J922" s="40"/>
      <c r="K922" s="286"/>
      <c r="L922" s="286"/>
      <c r="M922" s="40"/>
      <c r="N922" s="40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 ht="15.75" customHeight="1">
      <c r="A923" s="287">
        <v>15375.0</v>
      </c>
      <c r="B923" s="287" t="s">
        <v>2258</v>
      </c>
      <c r="C923" s="287" t="s">
        <v>42</v>
      </c>
      <c r="D923" s="287" t="s">
        <v>369</v>
      </c>
      <c r="E923" s="287" t="b">
        <v>1</v>
      </c>
      <c r="F923" s="287" t="b">
        <v>1</v>
      </c>
      <c r="G923" s="287" t="s">
        <v>250</v>
      </c>
      <c r="H923" s="40"/>
      <c r="I923" s="40"/>
      <c r="J923" s="40"/>
      <c r="K923" s="286"/>
      <c r="L923" s="286"/>
      <c r="M923" s="40"/>
      <c r="N923" s="40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 ht="15.75" customHeight="1">
      <c r="A924" s="287">
        <v>15378.0</v>
      </c>
      <c r="B924" s="287" t="s">
        <v>2259</v>
      </c>
      <c r="C924" s="287" t="s">
        <v>42</v>
      </c>
      <c r="D924" s="287" t="s">
        <v>369</v>
      </c>
      <c r="E924" s="287" t="b">
        <v>1</v>
      </c>
      <c r="F924" s="287" t="b">
        <v>1</v>
      </c>
      <c r="G924" s="287" t="s">
        <v>250</v>
      </c>
      <c r="H924" s="40"/>
      <c r="I924" s="40"/>
      <c r="J924" s="40"/>
      <c r="K924" s="286"/>
      <c r="L924" s="286"/>
      <c r="M924" s="40"/>
      <c r="N924" s="40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 ht="15.75" customHeight="1">
      <c r="A925" s="287">
        <v>43516.0</v>
      </c>
      <c r="B925" s="287" t="s">
        <v>2260</v>
      </c>
      <c r="C925" s="287" t="s">
        <v>42</v>
      </c>
      <c r="D925" s="287" t="s">
        <v>369</v>
      </c>
      <c r="E925" s="287" t="b">
        <v>1</v>
      </c>
      <c r="F925" s="287" t="b">
        <v>1</v>
      </c>
      <c r="G925" s="287" t="s">
        <v>250</v>
      </c>
      <c r="H925" s="40"/>
      <c r="I925" s="40"/>
      <c r="J925" s="40"/>
      <c r="K925" s="286"/>
      <c r="L925" s="286"/>
      <c r="M925" s="40"/>
      <c r="N925" s="40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 ht="15.75" customHeight="1">
      <c r="A926" s="287">
        <v>43517.0</v>
      </c>
      <c r="B926" s="287" t="s">
        <v>2261</v>
      </c>
      <c r="C926" s="287" t="s">
        <v>42</v>
      </c>
      <c r="D926" s="287" t="s">
        <v>369</v>
      </c>
      <c r="E926" s="287" t="b">
        <v>1</v>
      </c>
      <c r="F926" s="287" t="b">
        <v>1</v>
      </c>
      <c r="G926" s="287" t="s">
        <v>250</v>
      </c>
      <c r="H926" s="40"/>
      <c r="I926" s="40"/>
      <c r="J926" s="40"/>
      <c r="K926" s="286"/>
      <c r="L926" s="286"/>
      <c r="M926" s="40"/>
      <c r="N926" s="40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 ht="15.75" customHeight="1">
      <c r="A927" s="287">
        <v>15390.0</v>
      </c>
      <c r="B927" s="287" t="s">
        <v>2262</v>
      </c>
      <c r="C927" s="287" t="s">
        <v>42</v>
      </c>
      <c r="D927" s="287" t="s">
        <v>369</v>
      </c>
      <c r="E927" s="287" t="b">
        <v>1</v>
      </c>
      <c r="F927" s="287" t="b">
        <v>1</v>
      </c>
      <c r="G927" s="287" t="s">
        <v>250</v>
      </c>
      <c r="H927" s="40"/>
      <c r="I927" s="40"/>
      <c r="J927" s="40"/>
      <c r="K927" s="286"/>
      <c r="L927" s="286"/>
      <c r="M927" s="40"/>
      <c r="N927" s="40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 ht="15.75" customHeight="1">
      <c r="A928" s="287">
        <v>15389.0</v>
      </c>
      <c r="B928" s="287" t="s">
        <v>2263</v>
      </c>
      <c r="C928" s="287" t="s">
        <v>42</v>
      </c>
      <c r="D928" s="287" t="s">
        <v>369</v>
      </c>
      <c r="E928" s="287" t="b">
        <v>1</v>
      </c>
      <c r="F928" s="287" t="b">
        <v>1</v>
      </c>
      <c r="G928" s="287" t="s">
        <v>250</v>
      </c>
      <c r="H928" s="40"/>
      <c r="I928" s="40"/>
      <c r="J928" s="40"/>
      <c r="K928" s="286"/>
      <c r="L928" s="286"/>
      <c r="M928" s="40"/>
      <c r="N928" s="40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 ht="15.75" customHeight="1">
      <c r="A929" s="287">
        <v>15387.0</v>
      </c>
      <c r="B929" s="287" t="s">
        <v>2264</v>
      </c>
      <c r="C929" s="287" t="s">
        <v>42</v>
      </c>
      <c r="D929" s="287" t="s">
        <v>369</v>
      </c>
      <c r="E929" s="287" t="b">
        <v>1</v>
      </c>
      <c r="F929" s="287" t="b">
        <v>1</v>
      </c>
      <c r="G929" s="287" t="s">
        <v>250</v>
      </c>
      <c r="H929" s="40"/>
      <c r="I929" s="40"/>
      <c r="J929" s="40"/>
      <c r="K929" s="286"/>
      <c r="L929" s="286"/>
      <c r="M929" s="40"/>
      <c r="N929" s="40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 ht="15.75" customHeight="1">
      <c r="A930" s="287">
        <v>15395.0</v>
      </c>
      <c r="B930" s="287" t="s">
        <v>2265</v>
      </c>
      <c r="C930" s="287" t="s">
        <v>42</v>
      </c>
      <c r="D930" s="287" t="s">
        <v>369</v>
      </c>
      <c r="E930" s="287" t="b">
        <v>1</v>
      </c>
      <c r="F930" s="287" t="b">
        <v>1</v>
      </c>
      <c r="G930" s="287" t="s">
        <v>250</v>
      </c>
      <c r="H930" s="40"/>
      <c r="I930" s="40"/>
      <c r="J930" s="40"/>
      <c r="K930" s="286"/>
      <c r="L930" s="286"/>
      <c r="M930" s="40"/>
      <c r="N930" s="40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 ht="15.75" customHeight="1">
      <c r="A931" s="287">
        <v>15397.0</v>
      </c>
      <c r="B931" s="287" t="s">
        <v>2266</v>
      </c>
      <c r="C931" s="287" t="s">
        <v>42</v>
      </c>
      <c r="D931" s="287" t="s">
        <v>369</v>
      </c>
      <c r="E931" s="287" t="b">
        <v>1</v>
      </c>
      <c r="F931" s="287" t="b">
        <v>1</v>
      </c>
      <c r="G931" s="287" t="s">
        <v>250</v>
      </c>
      <c r="H931" s="40"/>
      <c r="I931" s="40"/>
      <c r="J931" s="40"/>
      <c r="K931" s="286"/>
      <c r="L931" s="286"/>
      <c r="M931" s="198"/>
      <c r="N931" s="40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 ht="15.75" customHeight="1">
      <c r="A932" s="287">
        <v>108947.0</v>
      </c>
      <c r="B932" s="287" t="s">
        <v>2267</v>
      </c>
      <c r="C932" s="287" t="s">
        <v>42</v>
      </c>
      <c r="D932" s="287" t="s">
        <v>369</v>
      </c>
      <c r="E932" s="287" t="b">
        <v>1</v>
      </c>
      <c r="F932" s="287" t="b">
        <v>1</v>
      </c>
      <c r="G932" s="287" t="s">
        <v>250</v>
      </c>
      <c r="H932" s="40"/>
      <c r="I932" s="40"/>
      <c r="J932" s="40"/>
      <c r="K932" s="286"/>
      <c r="L932" s="286"/>
      <c r="M932" s="40"/>
      <c r="N932" s="40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 ht="15.75" customHeight="1">
      <c r="A933" s="287">
        <v>15399.0</v>
      </c>
      <c r="B933" s="287" t="s">
        <v>2268</v>
      </c>
      <c r="C933" s="287" t="s">
        <v>42</v>
      </c>
      <c r="D933" s="287" t="s">
        <v>369</v>
      </c>
      <c r="E933" s="287" t="b">
        <v>1</v>
      </c>
      <c r="F933" s="287" t="b">
        <v>1</v>
      </c>
      <c r="G933" s="287" t="s">
        <v>250</v>
      </c>
      <c r="H933" s="40"/>
      <c r="I933" s="40"/>
      <c r="J933" s="40"/>
      <c r="K933" s="286"/>
      <c r="L933" s="286"/>
      <c r="M933" s="40"/>
      <c r="N933" s="40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 ht="15.75" customHeight="1">
      <c r="A934" s="287">
        <v>31631.0</v>
      </c>
      <c r="B934" s="287" t="s">
        <v>2269</v>
      </c>
      <c r="C934" s="287" t="s">
        <v>42</v>
      </c>
      <c r="D934" s="287" t="s">
        <v>369</v>
      </c>
      <c r="E934" s="287" t="b">
        <v>1</v>
      </c>
      <c r="F934" s="287" t="b">
        <v>1</v>
      </c>
      <c r="G934" s="287" t="s">
        <v>250</v>
      </c>
      <c r="H934" s="40"/>
      <c r="I934" s="40"/>
      <c r="J934" s="40"/>
      <c r="K934" s="286"/>
      <c r="L934" s="286"/>
      <c r="M934" s="40"/>
      <c r="N934" s="40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 ht="15.75" customHeight="1">
      <c r="A935" s="287">
        <v>15400.0</v>
      </c>
      <c r="B935" s="287" t="s">
        <v>2270</v>
      </c>
      <c r="C935" s="287" t="s">
        <v>42</v>
      </c>
      <c r="D935" s="287" t="s">
        <v>369</v>
      </c>
      <c r="E935" s="287" t="b">
        <v>1</v>
      </c>
      <c r="F935" s="287" t="b">
        <v>1</v>
      </c>
      <c r="G935" s="287" t="s">
        <v>250</v>
      </c>
      <c r="H935" s="40"/>
      <c r="I935" s="40"/>
      <c r="J935" s="40"/>
      <c r="K935" s="286"/>
      <c r="L935" s="286"/>
      <c r="M935" s="40"/>
      <c r="N935" s="40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 ht="15.75" customHeight="1">
      <c r="A936" s="287">
        <v>15402.0</v>
      </c>
      <c r="B936" s="287" t="s">
        <v>2271</v>
      </c>
      <c r="C936" s="287" t="s">
        <v>42</v>
      </c>
      <c r="D936" s="287" t="s">
        <v>369</v>
      </c>
      <c r="E936" s="287" t="b">
        <v>1</v>
      </c>
      <c r="F936" s="287" t="b">
        <v>1</v>
      </c>
      <c r="G936" s="287" t="s">
        <v>2272</v>
      </c>
      <c r="H936" s="40"/>
      <c r="I936" s="40"/>
      <c r="J936" s="40"/>
      <c r="K936" s="286"/>
      <c r="L936" s="286"/>
      <c r="M936" s="40"/>
      <c r="N936" s="40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 ht="15.75" customHeight="1">
      <c r="A937" s="287">
        <v>15404.0</v>
      </c>
      <c r="B937" s="287" t="s">
        <v>2273</v>
      </c>
      <c r="C937" s="287" t="s">
        <v>42</v>
      </c>
      <c r="D937" s="287" t="s">
        <v>369</v>
      </c>
      <c r="E937" s="287" t="b">
        <v>1</v>
      </c>
      <c r="F937" s="287" t="b">
        <v>1</v>
      </c>
      <c r="G937" s="287" t="s">
        <v>250</v>
      </c>
      <c r="H937" s="40"/>
      <c r="I937" s="40"/>
      <c r="J937" s="40"/>
      <c r="K937" s="286"/>
      <c r="L937" s="286"/>
      <c r="M937" s="40"/>
      <c r="N937" s="40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 ht="15.75" customHeight="1">
      <c r="A938" s="287">
        <v>15408.0</v>
      </c>
      <c r="B938" s="287" t="s">
        <v>2274</v>
      </c>
      <c r="C938" s="287" t="s">
        <v>42</v>
      </c>
      <c r="D938" s="287" t="s">
        <v>369</v>
      </c>
      <c r="E938" s="287" t="b">
        <v>1</v>
      </c>
      <c r="F938" s="287" t="b">
        <v>1</v>
      </c>
      <c r="G938" s="287" t="s">
        <v>250</v>
      </c>
      <c r="H938" s="40"/>
      <c r="I938" s="40"/>
      <c r="J938" s="40"/>
      <c r="K938" s="286"/>
      <c r="L938" s="286"/>
      <c r="M938" s="40"/>
      <c r="N938" s="40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 ht="15.75" customHeight="1">
      <c r="A939" s="287">
        <v>15305.0</v>
      </c>
      <c r="B939" s="287" t="s">
        <v>2276</v>
      </c>
      <c r="C939" s="287" t="s">
        <v>42</v>
      </c>
      <c r="D939" s="287" t="s">
        <v>369</v>
      </c>
      <c r="E939" s="287" t="b">
        <v>1</v>
      </c>
      <c r="F939" s="287" t="b">
        <v>1</v>
      </c>
      <c r="G939" s="287" t="s">
        <v>250</v>
      </c>
      <c r="H939" s="40"/>
      <c r="I939" s="40"/>
      <c r="J939" s="40"/>
      <c r="K939" s="286"/>
      <c r="L939" s="286"/>
      <c r="M939" s="40"/>
      <c r="N939" s="40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 ht="15.75" customHeight="1">
      <c r="A940" s="287">
        <v>15412.0</v>
      </c>
      <c r="B940" s="287" t="s">
        <v>2278</v>
      </c>
      <c r="C940" s="287" t="s">
        <v>42</v>
      </c>
      <c r="D940" s="287" t="s">
        <v>369</v>
      </c>
      <c r="E940" s="287" t="b">
        <v>1</v>
      </c>
      <c r="F940" s="287" t="b">
        <v>1</v>
      </c>
      <c r="G940" s="287" t="s">
        <v>250</v>
      </c>
      <c r="H940" s="40"/>
      <c r="I940" s="40"/>
      <c r="J940" s="40"/>
      <c r="K940" s="286"/>
      <c r="L940" s="286"/>
      <c r="M940" s="40"/>
      <c r="N940" s="40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 ht="15.75" customHeight="1">
      <c r="A941" s="287">
        <v>110900.0</v>
      </c>
      <c r="B941" s="287" t="s">
        <v>2279</v>
      </c>
      <c r="C941" s="287" t="s">
        <v>42</v>
      </c>
      <c r="D941" s="287" t="s">
        <v>369</v>
      </c>
      <c r="E941" s="287" t="b">
        <v>1</v>
      </c>
      <c r="F941" s="287" t="b">
        <v>1</v>
      </c>
      <c r="G941" s="287" t="s">
        <v>250</v>
      </c>
      <c r="H941" s="40"/>
      <c r="I941" s="40"/>
      <c r="J941" s="40"/>
      <c r="K941" s="286"/>
      <c r="L941" s="286"/>
      <c r="M941" s="40"/>
      <c r="N941" s="40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 ht="15.75" customHeight="1">
      <c r="A942" s="287">
        <v>108577.0</v>
      </c>
      <c r="B942" s="287" t="s">
        <v>2280</v>
      </c>
      <c r="C942" s="287" t="s">
        <v>42</v>
      </c>
      <c r="D942" s="287" t="s">
        <v>369</v>
      </c>
      <c r="E942" s="287" t="b">
        <v>1</v>
      </c>
      <c r="F942" s="287" t="b">
        <v>1</v>
      </c>
      <c r="G942" s="287" t="s">
        <v>250</v>
      </c>
      <c r="H942" s="40"/>
      <c r="I942" s="40"/>
      <c r="J942" s="40"/>
      <c r="K942" s="286"/>
      <c r="L942" s="286"/>
      <c r="M942" s="40"/>
      <c r="N942" s="40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 ht="15.75" customHeight="1">
      <c r="A943" s="287">
        <v>15506.0</v>
      </c>
      <c r="B943" s="287" t="s">
        <v>2281</v>
      </c>
      <c r="C943" s="287" t="s">
        <v>389</v>
      </c>
      <c r="D943" s="287" t="s">
        <v>369</v>
      </c>
      <c r="E943" s="287" t="b">
        <v>1</v>
      </c>
      <c r="F943" s="287" t="b">
        <v>1</v>
      </c>
      <c r="G943" s="287" t="s">
        <v>1251</v>
      </c>
      <c r="H943" s="40"/>
      <c r="I943" s="40"/>
      <c r="J943" s="40"/>
      <c r="K943" s="286"/>
      <c r="L943" s="286"/>
      <c r="M943" s="40"/>
      <c r="N943" s="40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 ht="15.75" customHeight="1">
      <c r="A944" s="287">
        <v>15316.0</v>
      </c>
      <c r="B944" s="287" t="s">
        <v>2282</v>
      </c>
      <c r="C944" s="287" t="s">
        <v>42</v>
      </c>
      <c r="D944" s="287" t="s">
        <v>369</v>
      </c>
      <c r="E944" s="287" t="b">
        <v>1</v>
      </c>
      <c r="F944" s="287" t="b">
        <v>1</v>
      </c>
      <c r="G944" s="287" t="s">
        <v>250</v>
      </c>
      <c r="H944" s="40"/>
      <c r="I944" s="40"/>
      <c r="J944" s="40"/>
      <c r="K944" s="286"/>
      <c r="L944" s="286"/>
      <c r="M944" s="40"/>
      <c r="N944" s="40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 ht="15.75" customHeight="1">
      <c r="A945" s="287">
        <v>32705.0</v>
      </c>
      <c r="B945" s="287" t="s">
        <v>2283</v>
      </c>
      <c r="C945" s="287" t="s">
        <v>42</v>
      </c>
      <c r="D945" s="287" t="s">
        <v>369</v>
      </c>
      <c r="E945" s="287" t="b">
        <v>1</v>
      </c>
      <c r="F945" s="287" t="b">
        <v>1</v>
      </c>
      <c r="G945" s="287" t="s">
        <v>250</v>
      </c>
      <c r="H945" s="40"/>
      <c r="I945" s="40"/>
      <c r="J945" s="40"/>
      <c r="K945" s="286"/>
      <c r="L945" s="286"/>
      <c r="M945" s="40"/>
      <c r="N945" s="40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 ht="15.75" customHeight="1">
      <c r="A946" s="287">
        <v>15325.0</v>
      </c>
      <c r="B946" s="287" t="s">
        <v>2284</v>
      </c>
      <c r="C946" s="287" t="s">
        <v>42</v>
      </c>
      <c r="D946" s="287" t="s">
        <v>369</v>
      </c>
      <c r="E946" s="287" t="b">
        <v>1</v>
      </c>
      <c r="F946" s="287" t="b">
        <v>1</v>
      </c>
      <c r="G946" s="287" t="s">
        <v>2734</v>
      </c>
      <c r="H946" s="40"/>
      <c r="I946" s="40"/>
      <c r="J946" s="40"/>
      <c r="K946" s="286"/>
      <c r="L946" s="286"/>
      <c r="M946" s="40"/>
      <c r="N946" s="40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 ht="15.75" customHeight="1">
      <c r="A947" s="287">
        <v>15425.0</v>
      </c>
      <c r="B947" s="287" t="s">
        <v>2285</v>
      </c>
      <c r="C947" s="287" t="s">
        <v>42</v>
      </c>
      <c r="D947" s="287" t="s">
        <v>369</v>
      </c>
      <c r="E947" s="287" t="b">
        <v>1</v>
      </c>
      <c r="F947" s="287" t="b">
        <v>1</v>
      </c>
      <c r="G947" s="287" t="s">
        <v>250</v>
      </c>
      <c r="H947" s="40"/>
      <c r="I947" s="40"/>
      <c r="J947" s="40"/>
      <c r="K947" s="286"/>
      <c r="L947" s="286"/>
      <c r="M947" s="40"/>
      <c r="N947" s="40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 ht="15.75" customHeight="1">
      <c r="A948" s="287">
        <v>37612.0</v>
      </c>
      <c r="B948" s="287" t="s">
        <v>2288</v>
      </c>
      <c r="C948" s="287" t="s">
        <v>42</v>
      </c>
      <c r="D948" s="287" t="s">
        <v>369</v>
      </c>
      <c r="E948" s="287" t="b">
        <v>1</v>
      </c>
      <c r="F948" s="287" t="b">
        <v>1</v>
      </c>
      <c r="G948" s="287" t="s">
        <v>250</v>
      </c>
      <c r="H948" s="40"/>
      <c r="I948" s="40"/>
      <c r="J948" s="40"/>
      <c r="K948" s="286"/>
      <c r="L948" s="286"/>
      <c r="M948" s="40"/>
      <c r="N948" s="40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 ht="15.75" customHeight="1">
      <c r="A949" s="287">
        <v>53697.0</v>
      </c>
      <c r="B949" s="287" t="s">
        <v>2290</v>
      </c>
      <c r="C949" s="287" t="s">
        <v>42</v>
      </c>
      <c r="D949" s="287" t="s">
        <v>369</v>
      </c>
      <c r="E949" s="287" t="b">
        <v>1</v>
      </c>
      <c r="F949" s="287" t="b">
        <v>1</v>
      </c>
      <c r="G949" s="287" t="s">
        <v>250</v>
      </c>
      <c r="H949" s="40"/>
      <c r="I949" s="40"/>
      <c r="J949" s="40"/>
      <c r="K949" s="286"/>
      <c r="L949" s="286"/>
      <c r="M949" s="40"/>
      <c r="N949" s="40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 ht="15.75" customHeight="1">
      <c r="A950" s="287">
        <v>20895.0</v>
      </c>
      <c r="B950" s="287" t="s">
        <v>2291</v>
      </c>
      <c r="C950" s="287" t="s">
        <v>42</v>
      </c>
      <c r="D950" s="287" t="s">
        <v>369</v>
      </c>
      <c r="E950" s="287" t="b">
        <v>1</v>
      </c>
      <c r="F950" s="287" t="b">
        <v>1</v>
      </c>
      <c r="G950" s="287" t="s">
        <v>250</v>
      </c>
      <c r="H950" s="40"/>
      <c r="I950" s="40"/>
      <c r="J950" s="40"/>
      <c r="K950" s="286"/>
      <c r="L950" s="286"/>
      <c r="M950" s="40"/>
      <c r="N950" s="40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 ht="15.75" customHeight="1">
      <c r="A951" s="287">
        <v>11843.0</v>
      </c>
      <c r="B951" s="287" t="s">
        <v>2292</v>
      </c>
      <c r="C951" s="287" t="s">
        <v>42</v>
      </c>
      <c r="D951" s="287" t="s">
        <v>369</v>
      </c>
      <c r="E951" s="287" t="b">
        <v>1</v>
      </c>
      <c r="F951" s="287" t="b">
        <v>1</v>
      </c>
      <c r="G951" s="287" t="s">
        <v>250</v>
      </c>
      <c r="H951" s="40"/>
      <c r="I951" s="40"/>
      <c r="J951" s="40"/>
      <c r="K951" s="286"/>
      <c r="L951" s="286"/>
      <c r="M951" s="40"/>
      <c r="N951" s="40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 ht="15.75" customHeight="1">
      <c r="A952" s="287">
        <v>15572.0</v>
      </c>
      <c r="B952" s="287" t="s">
        <v>2293</v>
      </c>
      <c r="C952" s="287" t="s">
        <v>42</v>
      </c>
      <c r="D952" s="287" t="s">
        <v>369</v>
      </c>
      <c r="E952" s="287" t="b">
        <v>1</v>
      </c>
      <c r="F952" s="287" t="b">
        <v>1</v>
      </c>
      <c r="G952" s="287" t="s">
        <v>250</v>
      </c>
      <c r="H952" s="40"/>
      <c r="I952" s="40"/>
      <c r="J952" s="40"/>
      <c r="K952" s="286"/>
      <c r="L952" s="286"/>
      <c r="M952" s="40"/>
      <c r="N952" s="40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 ht="15.75" customHeight="1">
      <c r="A953" s="287">
        <v>111708.0</v>
      </c>
      <c r="B953" s="287" t="s">
        <v>2294</v>
      </c>
      <c r="C953" s="287" t="s">
        <v>42</v>
      </c>
      <c r="D953" s="287" t="s">
        <v>369</v>
      </c>
      <c r="E953" s="287" t="b">
        <v>1</v>
      </c>
      <c r="F953" s="287" t="b">
        <v>1</v>
      </c>
      <c r="G953" s="287" t="s">
        <v>250</v>
      </c>
      <c r="H953" s="40"/>
      <c r="I953" s="40"/>
      <c r="J953" s="40"/>
      <c r="K953" s="286"/>
      <c r="L953" s="286"/>
      <c r="M953" s="40"/>
      <c r="N953" s="40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 ht="15.75" customHeight="1">
      <c r="A954" s="287">
        <v>15605.0</v>
      </c>
      <c r="B954" s="287" t="s">
        <v>2295</v>
      </c>
      <c r="C954" s="287" t="s">
        <v>42</v>
      </c>
      <c r="D954" s="287" t="s">
        <v>369</v>
      </c>
      <c r="E954" s="287" t="b">
        <v>1</v>
      </c>
      <c r="F954" s="287" t="b">
        <v>1</v>
      </c>
      <c r="G954" s="287" t="s">
        <v>2296</v>
      </c>
      <c r="H954" s="40"/>
      <c r="I954" s="40"/>
      <c r="J954" s="40"/>
      <c r="K954" s="286"/>
      <c r="L954" s="286"/>
      <c r="M954" s="40"/>
      <c r="N954" s="40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 ht="15.75" customHeight="1">
      <c r="A955" s="287">
        <v>15449.0</v>
      </c>
      <c r="B955" s="287" t="s">
        <v>2297</v>
      </c>
      <c r="C955" s="287" t="s">
        <v>42</v>
      </c>
      <c r="D955" s="287" t="s">
        <v>369</v>
      </c>
      <c r="E955" s="287" t="b">
        <v>1</v>
      </c>
      <c r="F955" s="287" t="b">
        <v>1</v>
      </c>
      <c r="G955" s="287" t="s">
        <v>250</v>
      </c>
      <c r="H955" s="40"/>
      <c r="I955" s="40"/>
      <c r="J955" s="40"/>
      <c r="K955" s="286"/>
      <c r="L955" s="286"/>
      <c r="M955" s="40"/>
      <c r="N955" s="40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 ht="15.75" customHeight="1">
      <c r="A956" s="287">
        <v>102291.0</v>
      </c>
      <c r="B956" s="287" t="s">
        <v>2298</v>
      </c>
      <c r="C956" s="287" t="s">
        <v>42</v>
      </c>
      <c r="D956" s="287" t="s">
        <v>369</v>
      </c>
      <c r="E956" s="287" t="b">
        <v>1</v>
      </c>
      <c r="F956" s="287" t="b">
        <v>1</v>
      </c>
      <c r="G956" s="287" t="s">
        <v>250</v>
      </c>
      <c r="H956" s="40"/>
      <c r="I956" s="40"/>
      <c r="J956" s="40"/>
      <c r="K956" s="286"/>
      <c r="L956" s="286"/>
      <c r="M956" s="40"/>
      <c r="N956" s="40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 ht="15.75" customHeight="1">
      <c r="A957" s="287">
        <v>102292.0</v>
      </c>
      <c r="B957" s="287" t="s">
        <v>2299</v>
      </c>
      <c r="C957" s="287" t="s">
        <v>42</v>
      </c>
      <c r="D957" s="287" t="s">
        <v>369</v>
      </c>
      <c r="E957" s="287" t="b">
        <v>1</v>
      </c>
      <c r="F957" s="287" t="b">
        <v>1</v>
      </c>
      <c r="G957" s="287" t="s">
        <v>250</v>
      </c>
      <c r="H957" s="40"/>
      <c r="I957" s="40"/>
      <c r="J957" s="40"/>
      <c r="K957" s="286"/>
      <c r="L957" s="286"/>
      <c r="M957" s="40"/>
      <c r="N957" s="40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 ht="15.75" customHeight="1">
      <c r="A958" s="287">
        <v>15452.0</v>
      </c>
      <c r="B958" s="287" t="s">
        <v>2300</v>
      </c>
      <c r="C958" s="287" t="s">
        <v>42</v>
      </c>
      <c r="D958" s="287" t="s">
        <v>369</v>
      </c>
      <c r="E958" s="287" t="b">
        <v>1</v>
      </c>
      <c r="F958" s="287" t="b">
        <v>1</v>
      </c>
      <c r="G958" s="287" t="s">
        <v>250</v>
      </c>
      <c r="H958" s="40"/>
      <c r="I958" s="40"/>
      <c r="J958" s="40"/>
      <c r="K958" s="286"/>
      <c r="L958" s="286"/>
      <c r="M958" s="40"/>
      <c r="N958" s="40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 ht="15.75" customHeight="1">
      <c r="A959" s="287">
        <v>15606.0</v>
      </c>
      <c r="B959" s="287" t="s">
        <v>2301</v>
      </c>
      <c r="C959" s="287" t="s">
        <v>42</v>
      </c>
      <c r="D959" s="287" t="s">
        <v>369</v>
      </c>
      <c r="E959" s="287" t="b">
        <v>1</v>
      </c>
      <c r="F959" s="287" t="b">
        <v>1</v>
      </c>
      <c r="G959" s="287" t="s">
        <v>250</v>
      </c>
      <c r="H959" s="40"/>
      <c r="I959" s="40"/>
      <c r="J959" s="40"/>
      <c r="K959" s="286"/>
      <c r="L959" s="286"/>
      <c r="M959" s="40"/>
      <c r="N959" s="40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 ht="15.75" customHeight="1">
      <c r="A960" s="287">
        <v>15450.0</v>
      </c>
      <c r="B960" s="287" t="s">
        <v>2302</v>
      </c>
      <c r="C960" s="287" t="s">
        <v>42</v>
      </c>
      <c r="D960" s="287" t="s">
        <v>369</v>
      </c>
      <c r="E960" s="287" t="b">
        <v>1</v>
      </c>
      <c r="F960" s="287" t="b">
        <v>1</v>
      </c>
      <c r="G960" s="287" t="s">
        <v>250</v>
      </c>
      <c r="H960" s="40"/>
      <c r="I960" s="40"/>
      <c r="J960" s="40"/>
      <c r="K960" s="286"/>
      <c r="L960" s="286"/>
      <c r="M960" s="40"/>
      <c r="N960" s="40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 ht="15.75" customHeight="1">
      <c r="A961" s="287">
        <v>106901.0</v>
      </c>
      <c r="B961" s="287" t="s">
        <v>2303</v>
      </c>
      <c r="C961" s="287" t="s">
        <v>389</v>
      </c>
      <c r="D961" s="287" t="s">
        <v>369</v>
      </c>
      <c r="E961" s="287" t="b">
        <v>1</v>
      </c>
      <c r="F961" s="287" t="b">
        <v>1</v>
      </c>
      <c r="G961" s="287" t="s">
        <v>250</v>
      </c>
      <c r="H961" s="40"/>
      <c r="I961" s="40"/>
      <c r="J961" s="40"/>
      <c r="K961" s="286"/>
      <c r="L961" s="286"/>
      <c r="M961" s="40"/>
      <c r="N961" s="40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 ht="15.75" customHeight="1">
      <c r="A962" s="287">
        <v>38191.0</v>
      </c>
      <c r="B962" s="287" t="s">
        <v>2304</v>
      </c>
      <c r="C962" s="287" t="s">
        <v>42</v>
      </c>
      <c r="D962" s="287" t="s">
        <v>369</v>
      </c>
      <c r="E962" s="287" t="b">
        <v>1</v>
      </c>
      <c r="F962" s="287" t="b">
        <v>1</v>
      </c>
      <c r="G962" s="287" t="s">
        <v>250</v>
      </c>
      <c r="H962" s="40"/>
      <c r="I962" s="40"/>
      <c r="J962" s="40"/>
      <c r="K962" s="286"/>
      <c r="L962" s="286"/>
      <c r="M962" s="40"/>
      <c r="N962" s="40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 ht="15.75" customHeight="1">
      <c r="A963" s="287">
        <v>15454.0</v>
      </c>
      <c r="B963" s="287" t="s">
        <v>2305</v>
      </c>
      <c r="C963" s="287" t="s">
        <v>42</v>
      </c>
      <c r="D963" s="287" t="s">
        <v>369</v>
      </c>
      <c r="E963" s="287" t="b">
        <v>1</v>
      </c>
      <c r="F963" s="287" t="b">
        <v>1</v>
      </c>
      <c r="G963" s="287" t="s">
        <v>250</v>
      </c>
      <c r="H963" s="40"/>
      <c r="I963" s="40"/>
      <c r="J963" s="40"/>
      <c r="K963" s="286"/>
      <c r="L963" s="286"/>
      <c r="M963" s="40"/>
      <c r="N963" s="40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 ht="15.75" customHeight="1">
      <c r="A964" s="287">
        <v>15456.0</v>
      </c>
      <c r="B964" s="287" t="s">
        <v>2306</v>
      </c>
      <c r="C964" s="287" t="s">
        <v>42</v>
      </c>
      <c r="D964" s="287" t="s">
        <v>369</v>
      </c>
      <c r="E964" s="287" t="b">
        <v>1</v>
      </c>
      <c r="F964" s="287" t="b">
        <v>1</v>
      </c>
      <c r="G964" s="287" t="s">
        <v>250</v>
      </c>
      <c r="H964" s="40"/>
      <c r="I964" s="40"/>
      <c r="J964" s="40"/>
      <c r="K964" s="286"/>
      <c r="L964" s="286"/>
      <c r="M964" s="40"/>
      <c r="N964" s="40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 ht="15.75" customHeight="1">
      <c r="A965" s="287">
        <v>15455.0</v>
      </c>
      <c r="B965" s="287" t="s">
        <v>2307</v>
      </c>
      <c r="C965" s="287" t="s">
        <v>42</v>
      </c>
      <c r="D965" s="287" t="s">
        <v>369</v>
      </c>
      <c r="E965" s="287" t="b">
        <v>1</v>
      </c>
      <c r="F965" s="287" t="b">
        <v>1</v>
      </c>
      <c r="G965" s="287" t="s">
        <v>250</v>
      </c>
      <c r="H965" s="40"/>
      <c r="I965" s="40"/>
      <c r="J965" s="40"/>
      <c r="K965" s="286"/>
      <c r="L965" s="286"/>
      <c r="M965" s="40"/>
      <c r="N965" s="40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 ht="15.75" customHeight="1">
      <c r="A966" s="287">
        <v>15545.0</v>
      </c>
      <c r="B966" s="287" t="s">
        <v>2308</v>
      </c>
      <c r="C966" s="287" t="s">
        <v>42</v>
      </c>
      <c r="D966" s="287" t="s">
        <v>369</v>
      </c>
      <c r="E966" s="287" t="b">
        <v>1</v>
      </c>
      <c r="F966" s="287" t="b">
        <v>1</v>
      </c>
      <c r="G966" s="287" t="s">
        <v>250</v>
      </c>
      <c r="H966" s="40"/>
      <c r="I966" s="40"/>
      <c r="J966" s="40"/>
      <c r="K966" s="286"/>
      <c r="L966" s="286"/>
      <c r="M966" s="40"/>
      <c r="N966" s="40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 ht="15.75" customHeight="1">
      <c r="A967" s="287">
        <v>111931.0</v>
      </c>
      <c r="B967" s="287" t="s">
        <v>2309</v>
      </c>
      <c r="C967" s="287" t="s">
        <v>42</v>
      </c>
      <c r="D967" s="287" t="s">
        <v>369</v>
      </c>
      <c r="E967" s="287" t="b">
        <v>1</v>
      </c>
      <c r="F967" s="287" t="b">
        <v>1</v>
      </c>
      <c r="G967" s="287" t="s">
        <v>250</v>
      </c>
      <c r="H967" s="40"/>
      <c r="I967" s="40"/>
      <c r="J967" s="40"/>
      <c r="K967" s="286"/>
      <c r="L967" s="286"/>
      <c r="M967" s="40"/>
      <c r="N967" s="40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 ht="15.75" customHeight="1">
      <c r="A968" s="287">
        <v>15458.0</v>
      </c>
      <c r="B968" s="287" t="s">
        <v>2310</v>
      </c>
      <c r="C968" s="287" t="s">
        <v>42</v>
      </c>
      <c r="D968" s="287" t="s">
        <v>369</v>
      </c>
      <c r="E968" s="287" t="b">
        <v>1</v>
      </c>
      <c r="F968" s="287" t="b">
        <v>1</v>
      </c>
      <c r="G968" s="287" t="s">
        <v>250</v>
      </c>
      <c r="H968" s="40"/>
      <c r="I968" s="40"/>
      <c r="J968" s="40"/>
      <c r="K968" s="286"/>
      <c r="L968" s="286"/>
      <c r="M968" s="40"/>
      <c r="N968" s="40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 ht="15.75" customHeight="1">
      <c r="A969" s="287">
        <v>24674.0</v>
      </c>
      <c r="B969" s="287" t="s">
        <v>2311</v>
      </c>
      <c r="C969" s="287" t="s">
        <v>42</v>
      </c>
      <c r="D969" s="287" t="s">
        <v>369</v>
      </c>
      <c r="E969" s="287" t="b">
        <v>1</v>
      </c>
      <c r="F969" s="287" t="b">
        <v>1</v>
      </c>
      <c r="G969" s="287" t="s">
        <v>250</v>
      </c>
      <c r="H969" s="40"/>
      <c r="I969" s="40"/>
      <c r="J969" s="40"/>
      <c r="K969" s="286"/>
      <c r="L969" s="286"/>
      <c r="M969" s="40"/>
      <c r="N969" s="40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 ht="15.75" customHeight="1">
      <c r="A970" s="287">
        <v>15559.0</v>
      </c>
      <c r="B970" s="287" t="s">
        <v>2312</v>
      </c>
      <c r="C970" s="287" t="s">
        <v>42</v>
      </c>
      <c r="D970" s="287" t="s">
        <v>369</v>
      </c>
      <c r="E970" s="287" t="b">
        <v>1</v>
      </c>
      <c r="F970" s="287" t="b">
        <v>1</v>
      </c>
      <c r="G970" s="287" t="s">
        <v>250</v>
      </c>
      <c r="H970" s="40"/>
      <c r="I970" s="40"/>
      <c r="J970" s="40"/>
      <c r="K970" s="286"/>
      <c r="L970" s="286"/>
      <c r="M970" s="40"/>
      <c r="N970" s="40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 ht="15.75" customHeight="1">
      <c r="A971" s="287">
        <v>110064.0</v>
      </c>
      <c r="B971" s="287" t="s">
        <v>2313</v>
      </c>
      <c r="C971" s="287" t="s">
        <v>42</v>
      </c>
      <c r="D971" s="287" t="s">
        <v>369</v>
      </c>
      <c r="E971" s="287" t="b">
        <v>1</v>
      </c>
      <c r="F971" s="287" t="b">
        <v>1</v>
      </c>
      <c r="G971" s="287" t="s">
        <v>250</v>
      </c>
      <c r="H971" s="40"/>
      <c r="I971" s="40"/>
      <c r="J971" s="40"/>
      <c r="K971" s="286"/>
      <c r="L971" s="286"/>
      <c r="M971" s="40"/>
      <c r="N971" s="40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 ht="15.75" customHeight="1">
      <c r="A972" s="287">
        <v>15459.0</v>
      </c>
      <c r="B972" s="287" t="s">
        <v>2314</v>
      </c>
      <c r="C972" s="287" t="s">
        <v>42</v>
      </c>
      <c r="D972" s="287" t="s">
        <v>369</v>
      </c>
      <c r="E972" s="287" t="b">
        <v>1</v>
      </c>
      <c r="F972" s="287" t="b">
        <v>1</v>
      </c>
      <c r="G972" s="287" t="s">
        <v>250</v>
      </c>
      <c r="H972" s="40"/>
      <c r="I972" s="40"/>
      <c r="J972" s="40"/>
      <c r="K972" s="286"/>
      <c r="L972" s="286"/>
      <c r="M972" s="40"/>
      <c r="N972" s="40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 ht="15.75" customHeight="1">
      <c r="A973" s="287">
        <v>110917.0</v>
      </c>
      <c r="B973" s="287" t="s">
        <v>2315</v>
      </c>
      <c r="C973" s="287" t="s">
        <v>42</v>
      </c>
      <c r="D973" s="287" t="s">
        <v>369</v>
      </c>
      <c r="E973" s="287" t="b">
        <v>1</v>
      </c>
      <c r="F973" s="287" t="b">
        <v>1</v>
      </c>
      <c r="G973" s="287" t="s">
        <v>250</v>
      </c>
      <c r="H973" s="40"/>
      <c r="I973" s="40"/>
      <c r="J973" s="40"/>
      <c r="K973" s="286"/>
      <c r="L973" s="286"/>
      <c r="M973" s="40"/>
      <c r="N973" s="40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 ht="15.75" customHeight="1">
      <c r="A974" s="287">
        <v>110078.0</v>
      </c>
      <c r="B974" s="287" t="s">
        <v>2316</v>
      </c>
      <c r="C974" s="287" t="s">
        <v>972</v>
      </c>
      <c r="D974" s="287" t="s">
        <v>369</v>
      </c>
      <c r="E974" s="287" t="b">
        <v>1</v>
      </c>
      <c r="F974" s="287" t="b">
        <v>1</v>
      </c>
      <c r="G974" s="287" t="s">
        <v>250</v>
      </c>
      <c r="H974" s="40"/>
      <c r="I974" s="40"/>
      <c r="J974" s="40"/>
      <c r="K974" s="286"/>
      <c r="L974" s="286"/>
      <c r="M974" s="40"/>
      <c r="N974" s="40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 ht="15.75" customHeight="1">
      <c r="A975" s="287">
        <v>15562.0</v>
      </c>
      <c r="B975" s="287" t="s">
        <v>2317</v>
      </c>
      <c r="C975" s="287" t="s">
        <v>42</v>
      </c>
      <c r="D975" s="287" t="s">
        <v>369</v>
      </c>
      <c r="E975" s="287" t="b">
        <v>1</v>
      </c>
      <c r="F975" s="287" t="b">
        <v>1</v>
      </c>
      <c r="G975" s="287" t="s">
        <v>250</v>
      </c>
      <c r="H975" s="40"/>
      <c r="I975" s="40"/>
      <c r="J975" s="40"/>
      <c r="K975" s="286"/>
      <c r="L975" s="286"/>
      <c r="M975" s="40"/>
      <c r="N975" s="40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 ht="15.75" customHeight="1">
      <c r="A976" s="287">
        <v>15460.0</v>
      </c>
      <c r="B976" s="287" t="s">
        <v>2318</v>
      </c>
      <c r="C976" s="287" t="s">
        <v>42</v>
      </c>
      <c r="D976" s="287" t="s">
        <v>369</v>
      </c>
      <c r="E976" s="287" t="b">
        <v>1</v>
      </c>
      <c r="F976" s="287" t="b">
        <v>1</v>
      </c>
      <c r="G976" s="287" t="s">
        <v>250</v>
      </c>
      <c r="H976" s="40"/>
      <c r="I976" s="40"/>
      <c r="J976" s="40"/>
      <c r="K976" s="286"/>
      <c r="L976" s="286"/>
      <c r="M976" s="40"/>
      <c r="N976" s="40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 ht="15.75" customHeight="1">
      <c r="A977" s="287">
        <v>109760.0</v>
      </c>
      <c r="B977" s="287" t="s">
        <v>2319</v>
      </c>
      <c r="C977" s="287" t="s">
        <v>2321</v>
      </c>
      <c r="D977" s="287" t="s">
        <v>369</v>
      </c>
      <c r="E977" s="287" t="b">
        <v>1</v>
      </c>
      <c r="F977" s="287" t="b">
        <v>1</v>
      </c>
      <c r="G977" s="287" t="s">
        <v>250</v>
      </c>
      <c r="H977" s="40"/>
      <c r="I977" s="40"/>
      <c r="J977" s="40"/>
      <c r="K977" s="286"/>
      <c r="L977" s="286"/>
      <c r="M977" s="40"/>
      <c r="N977" s="40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 ht="15.75" customHeight="1">
      <c r="A978" s="287">
        <v>15589.0</v>
      </c>
      <c r="B978" s="287" t="s">
        <v>2322</v>
      </c>
      <c r="C978" s="287" t="s">
        <v>42</v>
      </c>
      <c r="D978" s="287" t="s">
        <v>369</v>
      </c>
      <c r="E978" s="287" t="b">
        <v>1</v>
      </c>
      <c r="F978" s="287" t="b">
        <v>1</v>
      </c>
      <c r="G978" s="287" t="s">
        <v>250</v>
      </c>
      <c r="H978" s="40"/>
      <c r="I978" s="40"/>
      <c r="J978" s="40"/>
      <c r="K978" s="286"/>
      <c r="L978" s="286"/>
      <c r="M978" s="40"/>
      <c r="N978" s="40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 ht="15.75" customHeight="1">
      <c r="A979" s="287">
        <v>109753.0</v>
      </c>
      <c r="B979" s="287" t="s">
        <v>2323</v>
      </c>
      <c r="C979" s="287" t="s">
        <v>42</v>
      </c>
      <c r="D979" s="287" t="s">
        <v>369</v>
      </c>
      <c r="E979" s="287" t="b">
        <v>1</v>
      </c>
      <c r="F979" s="287" t="b">
        <v>1</v>
      </c>
      <c r="G979" s="287" t="s">
        <v>250</v>
      </c>
      <c r="H979" s="40"/>
      <c r="I979" s="40"/>
      <c r="J979" s="40"/>
      <c r="K979" s="286"/>
      <c r="L979" s="286"/>
      <c r="M979" s="40"/>
      <c r="N979" s="40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 ht="15.75" customHeight="1">
      <c r="A980" s="287">
        <v>35189.0</v>
      </c>
      <c r="B980" s="287" t="s">
        <v>2324</v>
      </c>
      <c r="C980" s="287" t="s">
        <v>42</v>
      </c>
      <c r="D980" s="287" t="s">
        <v>369</v>
      </c>
      <c r="E980" s="287" t="b">
        <v>1</v>
      </c>
      <c r="F980" s="287" t="b">
        <v>1</v>
      </c>
      <c r="G980" s="287" t="s">
        <v>250</v>
      </c>
      <c r="H980" s="40"/>
      <c r="I980" s="40"/>
      <c r="J980" s="40"/>
      <c r="K980" s="286"/>
      <c r="L980" s="286"/>
      <c r="M980" s="40"/>
      <c r="N980" s="40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 ht="15.75" customHeight="1">
      <c r="A981" s="287">
        <v>35188.0</v>
      </c>
      <c r="B981" s="287" t="s">
        <v>2325</v>
      </c>
      <c r="C981" s="287" t="s">
        <v>42</v>
      </c>
      <c r="D981" s="287" t="s">
        <v>369</v>
      </c>
      <c r="E981" s="287" t="b">
        <v>1</v>
      </c>
      <c r="F981" s="287" t="b">
        <v>1</v>
      </c>
      <c r="G981" s="287" t="s">
        <v>250</v>
      </c>
      <c r="H981" s="40"/>
      <c r="I981" s="40"/>
      <c r="J981" s="40"/>
      <c r="K981" s="286"/>
      <c r="L981" s="286"/>
      <c r="M981" s="40"/>
      <c r="N981" s="40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 ht="15.75" customHeight="1">
      <c r="A982" s="287">
        <v>10013.0</v>
      </c>
      <c r="B982" s="287" t="s">
        <v>2326</v>
      </c>
      <c r="C982" s="287" t="s">
        <v>42</v>
      </c>
      <c r="D982" s="287" t="s">
        <v>369</v>
      </c>
      <c r="E982" s="287" t="b">
        <v>1</v>
      </c>
      <c r="F982" s="287" t="b">
        <v>1</v>
      </c>
      <c r="G982" s="287" t="s">
        <v>250</v>
      </c>
      <c r="H982" s="40"/>
      <c r="I982" s="40"/>
      <c r="J982" s="40"/>
      <c r="K982" s="286"/>
      <c r="L982" s="286"/>
      <c r="M982" s="40"/>
      <c r="N982" s="40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 ht="15.75" customHeight="1">
      <c r="A983" s="287">
        <v>109754.0</v>
      </c>
      <c r="B983" s="287" t="s">
        <v>2327</v>
      </c>
      <c r="C983" s="287" t="s">
        <v>42</v>
      </c>
      <c r="D983" s="287" t="s">
        <v>369</v>
      </c>
      <c r="E983" s="287" t="b">
        <v>1</v>
      </c>
      <c r="F983" s="287" t="b">
        <v>1</v>
      </c>
      <c r="G983" s="287" t="s">
        <v>250</v>
      </c>
      <c r="H983" s="40"/>
      <c r="I983" s="40"/>
      <c r="J983" s="40"/>
      <c r="K983" s="286"/>
      <c r="L983" s="286"/>
      <c r="M983" s="40"/>
      <c r="N983" s="40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 ht="15.75" customHeight="1">
      <c r="A984" s="287">
        <v>110076.0</v>
      </c>
      <c r="B984" s="287" t="s">
        <v>2328</v>
      </c>
      <c r="C984" s="287" t="s">
        <v>42</v>
      </c>
      <c r="D984" s="287" t="s">
        <v>369</v>
      </c>
      <c r="E984" s="287" t="b">
        <v>1</v>
      </c>
      <c r="F984" s="287" t="b">
        <v>1</v>
      </c>
      <c r="G984" s="287" t="s">
        <v>250</v>
      </c>
      <c r="H984" s="40"/>
      <c r="I984" s="40"/>
      <c r="J984" s="40"/>
      <c r="K984" s="286"/>
      <c r="L984" s="286"/>
      <c r="M984" s="40"/>
      <c r="N984" s="40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 ht="15.75" customHeight="1">
      <c r="A985" s="287">
        <v>15462.0</v>
      </c>
      <c r="B985" s="287" t="s">
        <v>2329</v>
      </c>
      <c r="C985" s="287" t="s">
        <v>42</v>
      </c>
      <c r="D985" s="287" t="s">
        <v>369</v>
      </c>
      <c r="E985" s="287" t="b">
        <v>1</v>
      </c>
      <c r="F985" s="287" t="b">
        <v>1</v>
      </c>
      <c r="G985" s="287" t="s">
        <v>250</v>
      </c>
      <c r="H985" s="40"/>
      <c r="I985" s="40"/>
      <c r="J985" s="40"/>
      <c r="K985" s="286"/>
      <c r="L985" s="286"/>
      <c r="M985" s="40"/>
      <c r="N985" s="40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 ht="15.75" customHeight="1">
      <c r="A986" s="287">
        <v>15619.0</v>
      </c>
      <c r="B986" s="287" t="s">
        <v>2330</v>
      </c>
      <c r="C986" s="287" t="s">
        <v>42</v>
      </c>
      <c r="D986" s="287" t="s">
        <v>369</v>
      </c>
      <c r="E986" s="287" t="b">
        <v>1</v>
      </c>
      <c r="F986" s="287" t="b">
        <v>1</v>
      </c>
      <c r="G986" s="287" t="s">
        <v>250</v>
      </c>
      <c r="H986" s="40"/>
      <c r="I986" s="40"/>
      <c r="J986" s="40"/>
      <c r="K986" s="286"/>
      <c r="L986" s="286"/>
      <c r="M986" s="40"/>
      <c r="N986" s="40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 ht="15.75" customHeight="1">
      <c r="A987" s="287">
        <v>36433.0</v>
      </c>
      <c r="B987" s="287" t="s">
        <v>2331</v>
      </c>
      <c r="C987" s="287" t="s">
        <v>269</v>
      </c>
      <c r="D987" s="287" t="s">
        <v>369</v>
      </c>
      <c r="E987" s="287" t="b">
        <v>1</v>
      </c>
      <c r="F987" s="287" t="b">
        <v>1</v>
      </c>
      <c r="G987" s="287" t="s">
        <v>250</v>
      </c>
      <c r="H987" s="40"/>
      <c r="I987" s="40"/>
      <c r="J987" s="40"/>
      <c r="K987" s="286"/>
      <c r="L987" s="286"/>
      <c r="M987" s="40"/>
      <c r="N987" s="40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 ht="15.75" customHeight="1">
      <c r="A988" s="287">
        <v>15464.0</v>
      </c>
      <c r="B988" s="287" t="s">
        <v>2332</v>
      </c>
      <c r="C988" s="287" t="s">
        <v>42</v>
      </c>
      <c r="D988" s="287" t="s">
        <v>369</v>
      </c>
      <c r="E988" s="287" t="b">
        <v>1</v>
      </c>
      <c r="F988" s="287" t="b">
        <v>1</v>
      </c>
      <c r="G988" s="287" t="s">
        <v>250</v>
      </c>
      <c r="H988" s="40"/>
      <c r="I988" s="40"/>
      <c r="J988" s="40"/>
      <c r="K988" s="286"/>
      <c r="L988" s="286"/>
      <c r="M988" s="40"/>
      <c r="N988" s="40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 ht="15.75" customHeight="1">
      <c r="A989" s="287">
        <v>111089.0</v>
      </c>
      <c r="B989" s="287" t="s">
        <v>2333</v>
      </c>
      <c r="C989" s="287" t="s">
        <v>42</v>
      </c>
      <c r="D989" s="287" t="s">
        <v>369</v>
      </c>
      <c r="E989" s="287" t="b">
        <v>1</v>
      </c>
      <c r="F989" s="287" t="b">
        <v>0</v>
      </c>
      <c r="G989" s="287" t="s">
        <v>250</v>
      </c>
      <c r="H989" s="40"/>
      <c r="I989" s="40"/>
      <c r="J989" s="40"/>
      <c r="K989" s="286"/>
      <c r="L989" s="286"/>
      <c r="M989" s="40"/>
      <c r="N989" s="40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 ht="15.75" customHeight="1">
      <c r="A990" s="287">
        <v>104559.0</v>
      </c>
      <c r="B990" s="287" t="s">
        <v>2735</v>
      </c>
      <c r="C990" s="287" t="s">
        <v>389</v>
      </c>
      <c r="D990" s="287" t="s">
        <v>369</v>
      </c>
      <c r="E990" s="287" t="b">
        <v>1</v>
      </c>
      <c r="F990" s="287" t="b">
        <v>1</v>
      </c>
      <c r="G990" s="287" t="s">
        <v>250</v>
      </c>
      <c r="H990" s="40"/>
      <c r="I990" s="40"/>
      <c r="J990" s="40"/>
      <c r="K990" s="286"/>
      <c r="L990" s="286"/>
      <c r="M990" s="40"/>
      <c r="N990" s="40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 ht="15.75" customHeight="1">
      <c r="A991" s="287">
        <v>15547.0</v>
      </c>
      <c r="B991" s="287" t="s">
        <v>2334</v>
      </c>
      <c r="C991" s="287" t="s">
        <v>42</v>
      </c>
      <c r="D991" s="287" t="s">
        <v>369</v>
      </c>
      <c r="E991" s="287" t="b">
        <v>1</v>
      </c>
      <c r="F991" s="287" t="b">
        <v>1</v>
      </c>
      <c r="G991" s="287" t="s">
        <v>250</v>
      </c>
      <c r="H991" s="40"/>
      <c r="I991" s="40"/>
      <c r="J991" s="40"/>
      <c r="K991" s="286"/>
      <c r="L991" s="286"/>
      <c r="M991" s="40"/>
      <c r="N991" s="40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 ht="15.75" customHeight="1">
      <c r="A992" s="287">
        <v>15508.0</v>
      </c>
      <c r="B992" s="287" t="s">
        <v>2335</v>
      </c>
      <c r="C992" s="287" t="s">
        <v>42</v>
      </c>
      <c r="D992" s="287" t="s">
        <v>369</v>
      </c>
      <c r="E992" s="287" t="b">
        <v>1</v>
      </c>
      <c r="F992" s="287" t="b">
        <v>1</v>
      </c>
      <c r="G992" s="287" t="s">
        <v>250</v>
      </c>
      <c r="H992" s="40"/>
      <c r="I992" s="40"/>
      <c r="J992" s="40"/>
      <c r="K992" s="286"/>
      <c r="L992" s="286"/>
      <c r="M992" s="40"/>
      <c r="N992" s="40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 ht="15.75" customHeight="1">
      <c r="A993" s="287">
        <v>30479.0</v>
      </c>
      <c r="B993" s="287" t="s">
        <v>2336</v>
      </c>
      <c r="C993" s="287" t="s">
        <v>42</v>
      </c>
      <c r="D993" s="287" t="s">
        <v>369</v>
      </c>
      <c r="E993" s="287" t="b">
        <v>1</v>
      </c>
      <c r="F993" s="287" t="b">
        <v>1</v>
      </c>
      <c r="G993" s="287" t="s">
        <v>250</v>
      </c>
      <c r="H993" s="40"/>
      <c r="I993" s="40"/>
      <c r="J993" s="40"/>
      <c r="K993" s="286"/>
      <c r="L993" s="286"/>
      <c r="M993" s="40"/>
      <c r="N993" s="40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 ht="15.75" customHeight="1">
      <c r="A994" s="287">
        <v>109766.0</v>
      </c>
      <c r="B994" s="287" t="s">
        <v>2337</v>
      </c>
      <c r="C994" s="287" t="s">
        <v>42</v>
      </c>
      <c r="D994" s="287" t="s">
        <v>369</v>
      </c>
      <c r="E994" s="287" t="b">
        <v>1</v>
      </c>
      <c r="F994" s="287" t="b">
        <v>1</v>
      </c>
      <c r="G994" s="287" t="s">
        <v>250</v>
      </c>
      <c r="H994" s="40"/>
      <c r="I994" s="40"/>
      <c r="J994" s="40"/>
      <c r="K994" s="286"/>
      <c r="L994" s="286"/>
      <c r="M994" s="40"/>
      <c r="N994" s="40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 ht="15.75" customHeight="1">
      <c r="A995" s="287">
        <v>15466.0</v>
      </c>
      <c r="B995" s="287" t="s">
        <v>2338</v>
      </c>
      <c r="C995" s="287" t="s">
        <v>42</v>
      </c>
      <c r="D995" s="287" t="s">
        <v>369</v>
      </c>
      <c r="E995" s="287" t="b">
        <v>1</v>
      </c>
      <c r="F995" s="287" t="b">
        <v>1</v>
      </c>
      <c r="G995" s="287" t="s">
        <v>250</v>
      </c>
      <c r="H995" s="40"/>
      <c r="I995" s="40"/>
      <c r="J995" s="40"/>
      <c r="K995" s="286"/>
      <c r="L995" s="286"/>
      <c r="M995" s="40"/>
      <c r="N995" s="40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 ht="15.75" customHeight="1">
      <c r="A996" s="287">
        <v>30639.0</v>
      </c>
      <c r="B996" s="287" t="s">
        <v>2339</v>
      </c>
      <c r="C996" s="287" t="s">
        <v>42</v>
      </c>
      <c r="D996" s="287" t="s">
        <v>369</v>
      </c>
      <c r="E996" s="287" t="b">
        <v>1</v>
      </c>
      <c r="F996" s="287" t="b">
        <v>1</v>
      </c>
      <c r="G996" s="287" t="s">
        <v>250</v>
      </c>
      <c r="H996" s="40"/>
      <c r="I996" s="40"/>
      <c r="J996" s="40"/>
      <c r="K996" s="286"/>
      <c r="L996" s="286"/>
      <c r="M996" s="40"/>
      <c r="N996" s="40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 ht="15.75" customHeight="1">
      <c r="A997" s="287">
        <v>38392.0</v>
      </c>
      <c r="B997" s="287" t="s">
        <v>2340</v>
      </c>
      <c r="C997" s="287" t="s">
        <v>42</v>
      </c>
      <c r="D997" s="287" t="s">
        <v>369</v>
      </c>
      <c r="E997" s="287" t="b">
        <v>1</v>
      </c>
      <c r="F997" s="287" t="b">
        <v>1</v>
      </c>
      <c r="G997" s="287" t="s">
        <v>250</v>
      </c>
      <c r="H997" s="40"/>
      <c r="I997" s="40"/>
      <c r="J997" s="40"/>
      <c r="K997" s="286"/>
      <c r="L997" s="286"/>
      <c r="M997" s="40"/>
      <c r="N997" s="40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 ht="15.75" customHeight="1">
      <c r="A998" s="287">
        <v>61703.0</v>
      </c>
      <c r="B998" s="287" t="s">
        <v>2341</v>
      </c>
      <c r="C998" s="287" t="s">
        <v>42</v>
      </c>
      <c r="D998" s="287" t="s">
        <v>369</v>
      </c>
      <c r="E998" s="287" t="b">
        <v>1</v>
      </c>
      <c r="F998" s="287" t="b">
        <v>1</v>
      </c>
      <c r="G998" s="287" t="s">
        <v>250</v>
      </c>
      <c r="H998" s="40"/>
      <c r="I998" s="40"/>
      <c r="J998" s="40"/>
      <c r="K998" s="286"/>
      <c r="L998" s="286"/>
      <c r="M998" s="40"/>
      <c r="N998" s="40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 ht="15.75" customHeight="1">
      <c r="A999" s="287">
        <v>15426.0</v>
      </c>
      <c r="B999" s="287" t="s">
        <v>2342</v>
      </c>
      <c r="C999" s="287" t="s">
        <v>42</v>
      </c>
      <c r="D999" s="287" t="s">
        <v>369</v>
      </c>
      <c r="E999" s="287" t="b">
        <v>1</v>
      </c>
      <c r="F999" s="287" t="b">
        <v>1</v>
      </c>
      <c r="G999" s="287" t="s">
        <v>250</v>
      </c>
      <c r="H999" s="40"/>
      <c r="I999" s="40"/>
      <c r="J999" s="40"/>
      <c r="K999" s="286"/>
      <c r="L999" s="286"/>
      <c r="M999" s="40"/>
      <c r="N999" s="40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 ht="15.75" customHeight="1">
      <c r="A1000" s="287">
        <v>15463.0</v>
      </c>
      <c r="B1000" s="287" t="s">
        <v>2343</v>
      </c>
      <c r="C1000" s="287" t="s">
        <v>42</v>
      </c>
      <c r="D1000" s="287" t="s">
        <v>369</v>
      </c>
      <c r="E1000" s="287" t="b">
        <v>1</v>
      </c>
      <c r="F1000" s="287" t="b">
        <v>1</v>
      </c>
      <c r="G1000" s="287" t="s">
        <v>250</v>
      </c>
      <c r="H1000" s="40"/>
      <c r="I1000" s="40"/>
      <c r="J1000" s="40"/>
      <c r="K1000" s="286"/>
      <c r="L1000" s="286"/>
      <c r="M1000" s="40"/>
      <c r="N1000" s="40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  <row r="1001" ht="15.75" customHeight="1">
      <c r="A1001" s="287">
        <v>30025.0</v>
      </c>
      <c r="B1001" s="287" t="s">
        <v>2344</v>
      </c>
      <c r="C1001" s="287" t="s">
        <v>42</v>
      </c>
      <c r="D1001" s="287" t="s">
        <v>369</v>
      </c>
      <c r="E1001" s="287" t="b">
        <v>1</v>
      </c>
      <c r="F1001" s="287" t="b">
        <v>1</v>
      </c>
      <c r="G1001" s="287" t="s">
        <v>250</v>
      </c>
      <c r="H1001" s="40"/>
      <c r="I1001" s="40"/>
      <c r="J1001" s="40"/>
      <c r="K1001" s="286"/>
      <c r="L1001" s="286"/>
      <c r="M1001" s="40"/>
      <c r="N1001" s="40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</row>
    <row r="1002" ht="15.75" customHeight="1">
      <c r="A1002" s="287">
        <v>110907.0</v>
      </c>
      <c r="B1002" s="287" t="s">
        <v>2345</v>
      </c>
      <c r="C1002" s="287" t="s">
        <v>42</v>
      </c>
      <c r="D1002" s="287" t="s">
        <v>369</v>
      </c>
      <c r="E1002" s="287" t="b">
        <v>1</v>
      </c>
      <c r="F1002" s="287" t="b">
        <v>1</v>
      </c>
      <c r="G1002" s="287" t="s">
        <v>250</v>
      </c>
      <c r="H1002" s="40"/>
      <c r="I1002" s="40"/>
      <c r="J1002" s="40"/>
      <c r="K1002" s="286"/>
      <c r="L1002" s="286"/>
      <c r="M1002" s="40"/>
      <c r="N1002" s="40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</row>
    <row r="1003" ht="15.75" customHeight="1">
      <c r="A1003" s="287">
        <v>11853.0</v>
      </c>
      <c r="B1003" s="287" t="s">
        <v>2346</v>
      </c>
      <c r="C1003" s="287" t="s">
        <v>42</v>
      </c>
      <c r="D1003" s="287" t="s">
        <v>369</v>
      </c>
      <c r="E1003" s="287" t="b">
        <v>1</v>
      </c>
      <c r="F1003" s="287" t="b">
        <v>1</v>
      </c>
      <c r="G1003" s="287" t="s">
        <v>250</v>
      </c>
      <c r="H1003" s="40"/>
      <c r="I1003" s="40"/>
      <c r="J1003" s="40"/>
      <c r="K1003" s="286"/>
      <c r="L1003" s="286"/>
      <c r="M1003" s="40"/>
      <c r="N1003" s="40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</row>
    <row r="1004" ht="15.75" customHeight="1">
      <c r="A1004" s="287">
        <v>15471.0</v>
      </c>
      <c r="B1004" s="287" t="s">
        <v>2347</v>
      </c>
      <c r="C1004" s="287" t="s">
        <v>42</v>
      </c>
      <c r="D1004" s="287" t="s">
        <v>369</v>
      </c>
      <c r="E1004" s="287" t="b">
        <v>1</v>
      </c>
      <c r="F1004" s="287" t="b">
        <v>1</v>
      </c>
      <c r="G1004" s="287" t="s">
        <v>250</v>
      </c>
      <c r="H1004" s="40"/>
      <c r="I1004" s="40"/>
      <c r="J1004" s="40"/>
      <c r="K1004" s="286"/>
      <c r="L1004" s="286"/>
      <c r="M1004" s="40"/>
      <c r="N1004" s="40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</row>
    <row r="1005" ht="15.75" customHeight="1">
      <c r="A1005" s="287">
        <v>111049.0</v>
      </c>
      <c r="B1005" s="287" t="s">
        <v>2348</v>
      </c>
      <c r="C1005" s="287" t="s">
        <v>42</v>
      </c>
      <c r="D1005" s="287" t="s">
        <v>369</v>
      </c>
      <c r="E1005" s="287" t="b">
        <v>1</v>
      </c>
      <c r="F1005" s="287" t="b">
        <v>1</v>
      </c>
      <c r="G1005" s="287" t="s">
        <v>250</v>
      </c>
      <c r="H1005" s="40"/>
      <c r="I1005" s="40"/>
      <c r="J1005" s="40"/>
      <c r="K1005" s="286"/>
      <c r="L1005" s="286"/>
      <c r="M1005" s="40"/>
      <c r="N1005" s="40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</row>
    <row r="1006" ht="15.75" customHeight="1">
      <c r="A1006" s="287">
        <v>15475.0</v>
      </c>
      <c r="B1006" s="287" t="s">
        <v>2349</v>
      </c>
      <c r="C1006" s="287" t="s">
        <v>42</v>
      </c>
      <c r="D1006" s="287" t="s">
        <v>369</v>
      </c>
      <c r="E1006" s="287" t="b">
        <v>1</v>
      </c>
      <c r="F1006" s="287" t="b">
        <v>1</v>
      </c>
      <c r="G1006" s="287" t="s">
        <v>250</v>
      </c>
      <c r="H1006" s="40"/>
      <c r="I1006" s="40"/>
      <c r="J1006" s="40"/>
      <c r="K1006" s="286"/>
      <c r="L1006" s="286"/>
      <c r="M1006" s="40"/>
      <c r="N1006" s="40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</row>
    <row r="1007" ht="15.75" customHeight="1">
      <c r="A1007" s="287">
        <v>15608.0</v>
      </c>
      <c r="B1007" s="287" t="s">
        <v>2350</v>
      </c>
      <c r="C1007" s="287" t="s">
        <v>42</v>
      </c>
      <c r="D1007" s="287" t="s">
        <v>369</v>
      </c>
      <c r="E1007" s="287" t="b">
        <v>1</v>
      </c>
      <c r="F1007" s="287" t="b">
        <v>1</v>
      </c>
      <c r="G1007" s="287" t="s">
        <v>250</v>
      </c>
      <c r="H1007" s="40"/>
      <c r="I1007" s="40"/>
      <c r="J1007" s="40"/>
      <c r="K1007" s="286"/>
      <c r="L1007" s="286"/>
      <c r="M1007" s="40"/>
      <c r="N1007" s="40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</row>
    <row r="1008" ht="15.75" customHeight="1">
      <c r="A1008" s="287">
        <v>15498.0</v>
      </c>
      <c r="B1008" s="287" t="s">
        <v>2351</v>
      </c>
      <c r="C1008" s="287" t="s">
        <v>42</v>
      </c>
      <c r="D1008" s="287" t="s">
        <v>369</v>
      </c>
      <c r="E1008" s="287" t="b">
        <v>1</v>
      </c>
      <c r="F1008" s="287" t="b">
        <v>1</v>
      </c>
      <c r="G1008" s="287" t="s">
        <v>250</v>
      </c>
      <c r="H1008" s="40"/>
      <c r="I1008" s="40"/>
      <c r="J1008" s="40"/>
      <c r="K1008" s="286"/>
      <c r="L1008" s="286"/>
      <c r="M1008" s="40"/>
      <c r="N1008" s="40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</row>
    <row r="1009" ht="15.75" customHeight="1">
      <c r="A1009" s="287">
        <v>15473.0</v>
      </c>
      <c r="B1009" s="287" t="s">
        <v>2352</v>
      </c>
      <c r="C1009" s="287" t="s">
        <v>42</v>
      </c>
      <c r="D1009" s="287" t="s">
        <v>369</v>
      </c>
      <c r="E1009" s="287" t="b">
        <v>1</v>
      </c>
      <c r="F1009" s="287" t="b">
        <v>1</v>
      </c>
      <c r="G1009" s="287" t="s">
        <v>2353</v>
      </c>
      <c r="H1009" s="40"/>
      <c r="I1009" s="40"/>
      <c r="J1009" s="40"/>
      <c r="K1009" s="286"/>
      <c r="L1009" s="286"/>
      <c r="M1009" s="40"/>
      <c r="N1009" s="40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</row>
    <row r="1010" ht="15.75" customHeight="1">
      <c r="A1010" s="287">
        <v>15609.0</v>
      </c>
      <c r="B1010" s="287" t="s">
        <v>2354</v>
      </c>
      <c r="C1010" s="287" t="s">
        <v>42</v>
      </c>
      <c r="D1010" s="287" t="s">
        <v>369</v>
      </c>
      <c r="E1010" s="287" t="b">
        <v>1</v>
      </c>
      <c r="F1010" s="287" t="b">
        <v>1</v>
      </c>
      <c r="G1010" s="287" t="s">
        <v>250</v>
      </c>
      <c r="H1010" s="40"/>
      <c r="I1010" s="40"/>
      <c r="J1010" s="40"/>
      <c r="K1010" s="286"/>
      <c r="L1010" s="286"/>
      <c r="M1010" s="40"/>
      <c r="N1010" s="40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</row>
    <row r="1011" ht="15.75" customHeight="1">
      <c r="A1011" s="287">
        <v>15489.0</v>
      </c>
      <c r="B1011" s="287" t="s">
        <v>2355</v>
      </c>
      <c r="C1011" s="287" t="s">
        <v>42</v>
      </c>
      <c r="D1011" s="287" t="s">
        <v>369</v>
      </c>
      <c r="E1011" s="287" t="b">
        <v>1</v>
      </c>
      <c r="F1011" s="287" t="b">
        <v>1</v>
      </c>
      <c r="G1011" s="287" t="s">
        <v>250</v>
      </c>
      <c r="H1011" s="40"/>
      <c r="I1011" s="40"/>
      <c r="J1011" s="40"/>
      <c r="K1011" s="286"/>
      <c r="L1011" s="286"/>
      <c r="M1011" s="40"/>
      <c r="N1011" s="40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</row>
    <row r="1012" ht="15.75" customHeight="1">
      <c r="A1012" s="287">
        <v>15623.0</v>
      </c>
      <c r="B1012" s="287" t="s">
        <v>2356</v>
      </c>
      <c r="C1012" s="287" t="s">
        <v>42</v>
      </c>
      <c r="D1012" s="287" t="s">
        <v>369</v>
      </c>
      <c r="E1012" s="287" t="b">
        <v>1</v>
      </c>
      <c r="F1012" s="287" t="b">
        <v>1</v>
      </c>
      <c r="G1012" s="287" t="s">
        <v>250</v>
      </c>
      <c r="H1012" s="40"/>
      <c r="I1012" s="40"/>
      <c r="J1012" s="40"/>
      <c r="K1012" s="286"/>
      <c r="L1012" s="286"/>
      <c r="M1012" s="40"/>
      <c r="N1012" s="40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</row>
    <row r="1013" ht="15.75" customHeight="1">
      <c r="A1013" s="287">
        <v>19401.0</v>
      </c>
      <c r="B1013" s="287" t="s">
        <v>2357</v>
      </c>
      <c r="C1013" s="287" t="s">
        <v>42</v>
      </c>
      <c r="D1013" s="287" t="s">
        <v>369</v>
      </c>
      <c r="E1013" s="287" t="b">
        <v>1</v>
      </c>
      <c r="F1013" s="287" t="b">
        <v>1</v>
      </c>
      <c r="G1013" s="287" t="s">
        <v>2736</v>
      </c>
      <c r="H1013" s="40"/>
      <c r="I1013" s="40"/>
      <c r="J1013" s="40"/>
      <c r="K1013" s="286"/>
      <c r="L1013" s="286"/>
      <c r="M1013" s="40"/>
      <c r="N1013" s="40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</row>
    <row r="1014" ht="15.75" customHeight="1">
      <c r="A1014" s="287">
        <v>110068.0</v>
      </c>
      <c r="B1014" s="287" t="s">
        <v>2359</v>
      </c>
      <c r="C1014" s="287" t="s">
        <v>42</v>
      </c>
      <c r="D1014" s="287" t="s">
        <v>369</v>
      </c>
      <c r="E1014" s="287" t="b">
        <v>1</v>
      </c>
      <c r="F1014" s="287" t="b">
        <v>1</v>
      </c>
      <c r="G1014" s="287" t="s">
        <v>250</v>
      </c>
      <c r="H1014" s="40"/>
      <c r="I1014" s="40"/>
      <c r="J1014" s="40"/>
      <c r="K1014" s="286"/>
      <c r="L1014" s="286"/>
      <c r="M1014" s="40"/>
      <c r="N1014" s="40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</row>
    <row r="1015" ht="15.75" customHeight="1">
      <c r="A1015" s="287">
        <v>110908.0</v>
      </c>
      <c r="B1015" s="287" t="s">
        <v>2360</v>
      </c>
      <c r="C1015" s="287" t="s">
        <v>972</v>
      </c>
      <c r="D1015" s="287" t="s">
        <v>369</v>
      </c>
      <c r="E1015" s="287" t="b">
        <v>1</v>
      </c>
      <c r="F1015" s="287" t="b">
        <v>1</v>
      </c>
      <c r="G1015" s="287" t="s">
        <v>250</v>
      </c>
      <c r="H1015" s="40"/>
      <c r="I1015" s="40"/>
      <c r="J1015" s="40"/>
      <c r="K1015" s="286"/>
      <c r="L1015" s="286"/>
      <c r="M1015" s="40"/>
      <c r="N1015" s="40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</row>
    <row r="1016" ht="15.75" customHeight="1">
      <c r="A1016" s="287">
        <v>110915.0</v>
      </c>
      <c r="B1016" s="287" t="s">
        <v>2361</v>
      </c>
      <c r="C1016" s="287" t="s">
        <v>42</v>
      </c>
      <c r="D1016" s="287" t="s">
        <v>369</v>
      </c>
      <c r="E1016" s="287" t="b">
        <v>1</v>
      </c>
      <c r="F1016" s="287" t="b">
        <v>1</v>
      </c>
      <c r="G1016" s="287" t="s">
        <v>250</v>
      </c>
      <c r="H1016" s="40"/>
      <c r="I1016" s="40"/>
      <c r="J1016" s="40"/>
      <c r="K1016" s="286"/>
      <c r="L1016" s="286"/>
      <c r="M1016" s="40"/>
      <c r="N1016" s="40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</row>
    <row r="1017" ht="15.75" customHeight="1">
      <c r="A1017" s="287">
        <v>110916.0</v>
      </c>
      <c r="B1017" s="287" t="s">
        <v>2365</v>
      </c>
      <c r="C1017" s="287" t="s">
        <v>42</v>
      </c>
      <c r="D1017" s="287" t="s">
        <v>369</v>
      </c>
      <c r="E1017" s="287" t="b">
        <v>1</v>
      </c>
      <c r="F1017" s="287" t="b">
        <v>1</v>
      </c>
      <c r="G1017" s="287" t="s">
        <v>250</v>
      </c>
      <c r="H1017" s="40"/>
      <c r="I1017" s="40"/>
      <c r="J1017" s="40"/>
      <c r="K1017" s="286"/>
      <c r="L1017" s="286"/>
      <c r="M1017" s="40"/>
      <c r="N1017" s="40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</row>
    <row r="1018" ht="15.75" customHeight="1">
      <c r="A1018" s="287">
        <v>110919.0</v>
      </c>
      <c r="B1018" s="287" t="s">
        <v>2366</v>
      </c>
      <c r="C1018" s="287" t="s">
        <v>42</v>
      </c>
      <c r="D1018" s="287" t="s">
        <v>369</v>
      </c>
      <c r="E1018" s="287" t="b">
        <v>1</v>
      </c>
      <c r="F1018" s="287" t="b">
        <v>1</v>
      </c>
      <c r="G1018" s="287" t="s">
        <v>250</v>
      </c>
      <c r="H1018" s="40"/>
      <c r="I1018" s="40"/>
      <c r="J1018" s="40"/>
      <c r="K1018" s="286"/>
      <c r="L1018" s="286"/>
      <c r="M1018" s="40"/>
      <c r="N1018" s="40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</row>
    <row r="1019" ht="15.75" customHeight="1">
      <c r="A1019" s="287">
        <v>110911.0</v>
      </c>
      <c r="B1019" s="287" t="s">
        <v>2367</v>
      </c>
      <c r="C1019" s="287" t="s">
        <v>2364</v>
      </c>
      <c r="D1019" s="287" t="s">
        <v>369</v>
      </c>
      <c r="E1019" s="287" t="b">
        <v>1</v>
      </c>
      <c r="F1019" s="287" t="b">
        <v>1</v>
      </c>
      <c r="G1019" s="287" t="s">
        <v>250</v>
      </c>
      <c r="H1019" s="40"/>
      <c r="I1019" s="40"/>
      <c r="J1019" s="40"/>
      <c r="K1019" s="286"/>
      <c r="L1019" s="286"/>
      <c r="M1019" s="40"/>
      <c r="N1019" s="40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</row>
    <row r="1020" ht="15.75" customHeight="1">
      <c r="A1020" s="287">
        <v>111180.0</v>
      </c>
      <c r="B1020" s="287" t="s">
        <v>2369</v>
      </c>
      <c r="C1020" s="287" t="s">
        <v>972</v>
      </c>
      <c r="D1020" s="287" t="s">
        <v>369</v>
      </c>
      <c r="E1020" s="287" t="b">
        <v>1</v>
      </c>
      <c r="F1020" s="287" t="b">
        <v>1</v>
      </c>
      <c r="G1020" s="287" t="s">
        <v>250</v>
      </c>
      <c r="H1020" s="40"/>
      <c r="I1020" s="40"/>
      <c r="J1020" s="40"/>
      <c r="K1020" s="286"/>
      <c r="L1020" s="286"/>
      <c r="M1020" s="40"/>
      <c r="N1020" s="40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</row>
    <row r="1021" ht="15.75" customHeight="1">
      <c r="A1021" s="287">
        <v>110056.0</v>
      </c>
      <c r="B1021" s="287" t="s">
        <v>2370</v>
      </c>
      <c r="C1021" s="287" t="s">
        <v>42</v>
      </c>
      <c r="D1021" s="287" t="s">
        <v>369</v>
      </c>
      <c r="E1021" s="287" t="b">
        <v>1</v>
      </c>
      <c r="F1021" s="287" t="b">
        <v>1</v>
      </c>
      <c r="G1021" s="287" t="s">
        <v>250</v>
      </c>
      <c r="H1021" s="40"/>
      <c r="I1021" s="40"/>
      <c r="J1021" s="40"/>
      <c r="K1021" s="286"/>
      <c r="L1021" s="286"/>
      <c r="M1021" s="40"/>
      <c r="N1021" s="40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</row>
    <row r="1022" ht="15.75" customHeight="1">
      <c r="A1022" s="287">
        <v>110914.0</v>
      </c>
      <c r="B1022" s="287" t="s">
        <v>2371</v>
      </c>
      <c r="C1022" s="287" t="s">
        <v>2363</v>
      </c>
      <c r="D1022" s="287" t="s">
        <v>369</v>
      </c>
      <c r="E1022" s="287" t="b">
        <v>1</v>
      </c>
      <c r="F1022" s="287" t="b">
        <v>1</v>
      </c>
      <c r="G1022" s="287" t="s">
        <v>250</v>
      </c>
      <c r="H1022" s="40"/>
      <c r="I1022" s="40"/>
      <c r="J1022" s="40"/>
      <c r="K1022" s="286"/>
      <c r="L1022" s="286"/>
      <c r="M1022" s="40"/>
      <c r="N1022" s="40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</row>
    <row r="1023" ht="15.75" customHeight="1">
      <c r="A1023" s="287">
        <v>111046.0</v>
      </c>
      <c r="B1023" s="287" t="s">
        <v>2372</v>
      </c>
      <c r="C1023" s="287" t="s">
        <v>42</v>
      </c>
      <c r="D1023" s="287" t="s">
        <v>369</v>
      </c>
      <c r="E1023" s="287" t="b">
        <v>1</v>
      </c>
      <c r="F1023" s="287" t="b">
        <v>1</v>
      </c>
      <c r="G1023" s="287" t="s">
        <v>250</v>
      </c>
      <c r="H1023" s="40"/>
      <c r="I1023" s="40"/>
      <c r="J1023" s="40"/>
      <c r="K1023" s="286"/>
      <c r="L1023" s="286"/>
      <c r="M1023" s="40"/>
      <c r="N1023" s="40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</row>
    <row r="1024" ht="15.75" customHeight="1">
      <c r="A1024" s="287">
        <v>110069.0</v>
      </c>
      <c r="B1024" s="287" t="s">
        <v>2374</v>
      </c>
      <c r="C1024" s="287" t="s">
        <v>42</v>
      </c>
      <c r="D1024" s="287" t="s">
        <v>369</v>
      </c>
      <c r="E1024" s="287" t="b">
        <v>1</v>
      </c>
      <c r="F1024" s="287" t="b">
        <v>1</v>
      </c>
      <c r="G1024" s="287" t="s">
        <v>250</v>
      </c>
      <c r="H1024" s="40"/>
      <c r="I1024" s="40"/>
      <c r="J1024" s="40"/>
      <c r="K1024" s="286"/>
      <c r="L1024" s="286"/>
      <c r="M1024" s="40"/>
      <c r="N1024" s="40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</row>
    <row r="1025" ht="15.75" customHeight="1">
      <c r="A1025" s="287">
        <v>24459.0</v>
      </c>
      <c r="B1025" s="287" t="s">
        <v>2375</v>
      </c>
      <c r="C1025" s="287" t="s">
        <v>42</v>
      </c>
      <c r="D1025" s="287" t="s">
        <v>369</v>
      </c>
      <c r="E1025" s="287" t="b">
        <v>1</v>
      </c>
      <c r="F1025" s="287" t="b">
        <v>1</v>
      </c>
      <c r="G1025" s="287" t="s">
        <v>250</v>
      </c>
      <c r="H1025" s="40"/>
      <c r="I1025" s="40"/>
      <c r="J1025" s="40"/>
      <c r="K1025" s="286"/>
      <c r="L1025" s="286"/>
      <c r="M1025" s="40"/>
      <c r="N1025" s="40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</row>
    <row r="1026" ht="15.75" customHeight="1">
      <c r="A1026" s="287">
        <v>11741.0</v>
      </c>
      <c r="B1026" s="287" t="s">
        <v>2376</v>
      </c>
      <c r="C1026" s="287" t="s">
        <v>42</v>
      </c>
      <c r="D1026" s="287" t="s">
        <v>369</v>
      </c>
      <c r="E1026" s="287" t="b">
        <v>1</v>
      </c>
      <c r="F1026" s="287" t="b">
        <v>1</v>
      </c>
      <c r="G1026" s="287" t="s">
        <v>250</v>
      </c>
      <c r="H1026" s="40"/>
      <c r="I1026" s="40"/>
      <c r="J1026" s="40"/>
      <c r="K1026" s="286"/>
      <c r="L1026" s="286"/>
      <c r="M1026" s="40"/>
      <c r="N1026" s="40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</row>
    <row r="1027" ht="15.75" customHeight="1">
      <c r="A1027" s="287">
        <v>15585.0</v>
      </c>
      <c r="B1027" s="287" t="s">
        <v>2377</v>
      </c>
      <c r="C1027" s="287" t="s">
        <v>42</v>
      </c>
      <c r="D1027" s="287" t="s">
        <v>369</v>
      </c>
      <c r="E1027" s="287" t="b">
        <v>1</v>
      </c>
      <c r="F1027" s="287" t="b">
        <v>1</v>
      </c>
      <c r="G1027" s="287" t="s">
        <v>250</v>
      </c>
      <c r="H1027" s="40"/>
      <c r="I1027" s="40"/>
      <c r="J1027" s="40"/>
      <c r="K1027" s="286"/>
      <c r="L1027" s="286"/>
      <c r="M1027" s="40"/>
      <c r="N1027" s="40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</row>
    <row r="1028" ht="15.75" customHeight="1">
      <c r="A1028" s="287">
        <v>15551.0</v>
      </c>
      <c r="B1028" s="287" t="s">
        <v>2378</v>
      </c>
      <c r="C1028" s="287" t="s">
        <v>42</v>
      </c>
      <c r="D1028" s="287" t="s">
        <v>369</v>
      </c>
      <c r="E1028" s="287" t="b">
        <v>1</v>
      </c>
      <c r="F1028" s="287" t="b">
        <v>1</v>
      </c>
      <c r="G1028" s="287" t="s">
        <v>250</v>
      </c>
      <c r="H1028" s="40"/>
      <c r="I1028" s="40"/>
      <c r="J1028" s="40"/>
      <c r="K1028" s="286"/>
      <c r="L1028" s="286"/>
      <c r="M1028" s="40"/>
      <c r="N1028" s="40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</row>
    <row r="1029" ht="15.75" customHeight="1">
      <c r="A1029" s="287">
        <v>15556.0</v>
      </c>
      <c r="B1029" s="287" t="s">
        <v>2379</v>
      </c>
      <c r="C1029" s="287" t="s">
        <v>42</v>
      </c>
      <c r="D1029" s="287" t="s">
        <v>369</v>
      </c>
      <c r="E1029" s="287" t="b">
        <v>1</v>
      </c>
      <c r="F1029" s="287" t="b">
        <v>1</v>
      </c>
      <c r="G1029" s="287" t="s">
        <v>250</v>
      </c>
      <c r="H1029" s="40"/>
      <c r="I1029" s="40"/>
      <c r="J1029" s="40"/>
      <c r="K1029" s="286"/>
      <c r="L1029" s="286"/>
      <c r="M1029" s="40"/>
      <c r="N1029" s="40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</row>
    <row r="1030" ht="15.75" customHeight="1">
      <c r="A1030" s="287">
        <v>31638.0</v>
      </c>
      <c r="B1030" s="287" t="s">
        <v>2380</v>
      </c>
      <c r="C1030" s="287" t="s">
        <v>42</v>
      </c>
      <c r="D1030" s="287" t="s">
        <v>369</v>
      </c>
      <c r="E1030" s="287" t="b">
        <v>1</v>
      </c>
      <c r="F1030" s="287" t="b">
        <v>1</v>
      </c>
      <c r="G1030" s="287" t="s">
        <v>2737</v>
      </c>
      <c r="H1030" s="40"/>
      <c r="I1030" s="40"/>
      <c r="J1030" s="40"/>
      <c r="K1030" s="286"/>
      <c r="L1030" s="286"/>
      <c r="M1030" s="40"/>
      <c r="N1030" s="40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</row>
    <row r="1031" ht="15.75" customHeight="1">
      <c r="A1031" s="287">
        <v>110060.0</v>
      </c>
      <c r="B1031" s="287" t="s">
        <v>2382</v>
      </c>
      <c r="C1031" s="287" t="s">
        <v>42</v>
      </c>
      <c r="D1031" s="287" t="s">
        <v>369</v>
      </c>
      <c r="E1031" s="287" t="b">
        <v>1</v>
      </c>
      <c r="F1031" s="287" t="b">
        <v>1</v>
      </c>
      <c r="G1031" s="287" t="s">
        <v>250</v>
      </c>
      <c r="H1031" s="40"/>
      <c r="I1031" s="40"/>
      <c r="J1031" s="40"/>
      <c r="K1031" s="286"/>
      <c r="L1031" s="286"/>
      <c r="M1031" s="40"/>
      <c r="N1031" s="40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</row>
    <row r="1032" ht="15.75" customHeight="1">
      <c r="A1032" s="287">
        <v>15624.0</v>
      </c>
      <c r="B1032" s="287" t="s">
        <v>2383</v>
      </c>
      <c r="C1032" s="287" t="s">
        <v>42</v>
      </c>
      <c r="D1032" s="287" t="s">
        <v>369</v>
      </c>
      <c r="E1032" s="287" t="b">
        <v>1</v>
      </c>
      <c r="F1032" s="287" t="b">
        <v>1</v>
      </c>
      <c r="G1032" s="287" t="s">
        <v>250</v>
      </c>
      <c r="H1032" s="40"/>
      <c r="I1032" s="40"/>
      <c r="J1032" s="40"/>
      <c r="K1032" s="286"/>
      <c r="L1032" s="286"/>
      <c r="M1032" s="40"/>
      <c r="N1032" s="40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</row>
    <row r="1033" ht="15.75" customHeight="1">
      <c r="A1033" s="287">
        <v>46179.0</v>
      </c>
      <c r="B1033" s="287" t="s">
        <v>2385</v>
      </c>
      <c r="C1033" s="287" t="s">
        <v>42</v>
      </c>
      <c r="D1033" s="287" t="s">
        <v>369</v>
      </c>
      <c r="E1033" s="287" t="b">
        <v>1</v>
      </c>
      <c r="F1033" s="287" t="b">
        <v>1</v>
      </c>
      <c r="G1033" s="287" t="s">
        <v>250</v>
      </c>
      <c r="H1033" s="40"/>
      <c r="I1033" s="40"/>
      <c r="J1033" s="40"/>
      <c r="K1033" s="286"/>
      <c r="L1033" s="286"/>
      <c r="M1033" s="40"/>
      <c r="N1033" s="40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</row>
    <row r="1034" ht="15.75" customHeight="1">
      <c r="A1034" s="287">
        <v>15496.0</v>
      </c>
      <c r="B1034" s="287" t="s">
        <v>2386</v>
      </c>
      <c r="C1034" s="287" t="s">
        <v>42</v>
      </c>
      <c r="D1034" s="287" t="s">
        <v>369</v>
      </c>
      <c r="E1034" s="287" t="b">
        <v>1</v>
      </c>
      <c r="F1034" s="287" t="b">
        <v>1</v>
      </c>
      <c r="G1034" s="287" t="s">
        <v>250</v>
      </c>
      <c r="H1034" s="40"/>
      <c r="I1034" s="40"/>
      <c r="J1034" s="40"/>
      <c r="K1034" s="286"/>
      <c r="L1034" s="286"/>
      <c r="M1034" s="40"/>
      <c r="N1034" s="40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</row>
    <row r="1035" ht="15.75" customHeight="1">
      <c r="A1035" s="287">
        <v>111864.0</v>
      </c>
      <c r="B1035" s="287" t="s">
        <v>2387</v>
      </c>
      <c r="C1035" s="287" t="s">
        <v>42</v>
      </c>
      <c r="D1035" s="287" t="s">
        <v>369</v>
      </c>
      <c r="E1035" s="287" t="b">
        <v>1</v>
      </c>
      <c r="F1035" s="287" t="b">
        <v>1</v>
      </c>
      <c r="G1035" s="287" t="s">
        <v>250</v>
      </c>
      <c r="H1035" s="40"/>
      <c r="I1035" s="40"/>
      <c r="J1035" s="40"/>
      <c r="K1035" s="286"/>
      <c r="L1035" s="286"/>
      <c r="M1035" s="40"/>
      <c r="N1035" s="40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</row>
    <row r="1036" ht="15.75" customHeight="1">
      <c r="A1036" s="287">
        <v>15497.0</v>
      </c>
      <c r="B1036" s="287" t="s">
        <v>2388</v>
      </c>
      <c r="C1036" s="287" t="s">
        <v>42</v>
      </c>
      <c r="D1036" s="287" t="s">
        <v>369</v>
      </c>
      <c r="E1036" s="287" t="b">
        <v>1</v>
      </c>
      <c r="F1036" s="287" t="b">
        <v>1</v>
      </c>
      <c r="G1036" s="287" t="s">
        <v>250</v>
      </c>
      <c r="H1036" s="40"/>
      <c r="I1036" s="40"/>
      <c r="J1036" s="40"/>
      <c r="K1036" s="286"/>
      <c r="L1036" s="286"/>
      <c r="M1036" s="40"/>
      <c r="N1036" s="40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</row>
    <row r="1037" ht="15.75" customHeight="1">
      <c r="A1037" s="287">
        <v>23714.0</v>
      </c>
      <c r="B1037" s="287" t="s">
        <v>2389</v>
      </c>
      <c r="C1037" s="287" t="s">
        <v>42</v>
      </c>
      <c r="D1037" s="287" t="s">
        <v>369</v>
      </c>
      <c r="E1037" s="287" t="b">
        <v>1</v>
      </c>
      <c r="F1037" s="287" t="b">
        <v>1</v>
      </c>
      <c r="G1037" s="287" t="s">
        <v>250</v>
      </c>
      <c r="H1037" s="40"/>
      <c r="I1037" s="40"/>
      <c r="J1037" s="40"/>
      <c r="K1037" s="286"/>
      <c r="L1037" s="286"/>
      <c r="M1037" s="40"/>
      <c r="N1037" s="40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</row>
    <row r="1038" ht="15.75" customHeight="1">
      <c r="A1038" s="287">
        <v>110088.0</v>
      </c>
      <c r="B1038" s="287" t="s">
        <v>2390</v>
      </c>
      <c r="C1038" s="287" t="s">
        <v>42</v>
      </c>
      <c r="D1038" s="287" t="s">
        <v>369</v>
      </c>
      <c r="E1038" s="287" t="b">
        <v>1</v>
      </c>
      <c r="F1038" s="287" t="b">
        <v>1</v>
      </c>
      <c r="G1038" s="287" t="s">
        <v>250</v>
      </c>
      <c r="H1038" s="40"/>
      <c r="I1038" s="40"/>
      <c r="J1038" s="40"/>
      <c r="K1038" s="286"/>
      <c r="L1038" s="286"/>
      <c r="M1038" s="40"/>
      <c r="N1038" s="40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</row>
    <row r="1039" ht="15.75" customHeight="1">
      <c r="A1039" s="287">
        <v>109763.0</v>
      </c>
      <c r="B1039" s="287" t="s">
        <v>2391</v>
      </c>
      <c r="C1039" s="287" t="s">
        <v>42</v>
      </c>
      <c r="D1039" s="287" t="s">
        <v>369</v>
      </c>
      <c r="E1039" s="287" t="b">
        <v>1</v>
      </c>
      <c r="F1039" s="287" t="b">
        <v>1</v>
      </c>
      <c r="G1039" s="287" t="s">
        <v>250</v>
      </c>
      <c r="H1039" s="40"/>
      <c r="I1039" s="40"/>
      <c r="J1039" s="40"/>
      <c r="K1039" s="286"/>
      <c r="L1039" s="286"/>
      <c r="M1039" s="40"/>
      <c r="N1039" s="40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</row>
    <row r="1040" ht="15.75" customHeight="1">
      <c r="A1040" s="287">
        <v>110913.0</v>
      </c>
      <c r="B1040" s="287" t="s">
        <v>2392</v>
      </c>
      <c r="C1040" s="287" t="s">
        <v>389</v>
      </c>
      <c r="D1040" s="287" t="s">
        <v>369</v>
      </c>
      <c r="E1040" s="287" t="b">
        <v>1</v>
      </c>
      <c r="F1040" s="287" t="b">
        <v>1</v>
      </c>
      <c r="G1040" s="287" t="s">
        <v>250</v>
      </c>
      <c r="H1040" s="40"/>
      <c r="I1040" s="40"/>
      <c r="J1040" s="40"/>
      <c r="K1040" s="286"/>
      <c r="L1040" s="286"/>
      <c r="M1040" s="40"/>
      <c r="N1040" s="40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</row>
    <row r="1041" ht="15.75" customHeight="1">
      <c r="A1041" s="287">
        <v>112615.0</v>
      </c>
      <c r="B1041" s="287" t="s">
        <v>2393</v>
      </c>
      <c r="C1041" s="287" t="s">
        <v>42</v>
      </c>
      <c r="D1041" s="287" t="s">
        <v>369</v>
      </c>
      <c r="E1041" s="287" t="b">
        <v>1</v>
      </c>
      <c r="F1041" s="287" t="b">
        <v>1</v>
      </c>
      <c r="G1041" s="287" t="s">
        <v>250</v>
      </c>
      <c r="H1041" s="40"/>
      <c r="I1041" s="40"/>
      <c r="J1041" s="40"/>
      <c r="K1041" s="286"/>
      <c r="L1041" s="286"/>
      <c r="M1041" s="40"/>
      <c r="N1041" s="40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</row>
    <row r="1042" ht="15.75" customHeight="1">
      <c r="A1042" s="287">
        <v>111047.0</v>
      </c>
      <c r="B1042" s="287" t="s">
        <v>2394</v>
      </c>
      <c r="C1042" s="287" t="s">
        <v>42</v>
      </c>
      <c r="D1042" s="287" t="s">
        <v>369</v>
      </c>
      <c r="E1042" s="287" t="b">
        <v>1</v>
      </c>
      <c r="F1042" s="287" t="b">
        <v>1</v>
      </c>
      <c r="G1042" s="287" t="s">
        <v>250</v>
      </c>
      <c r="H1042" s="40"/>
      <c r="I1042" s="40"/>
      <c r="J1042" s="40"/>
      <c r="K1042" s="286"/>
      <c r="L1042" s="286"/>
      <c r="M1042" s="40"/>
      <c r="N1042" s="40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</row>
    <row r="1043" ht="15.75" customHeight="1">
      <c r="A1043" s="287">
        <v>15501.0</v>
      </c>
      <c r="B1043" s="287" t="s">
        <v>2395</v>
      </c>
      <c r="C1043" s="287" t="s">
        <v>42</v>
      </c>
      <c r="D1043" s="287" t="s">
        <v>369</v>
      </c>
      <c r="E1043" s="287" t="b">
        <v>1</v>
      </c>
      <c r="F1043" s="287" t="b">
        <v>1</v>
      </c>
      <c r="G1043" s="287" t="s">
        <v>250</v>
      </c>
      <c r="H1043" s="40"/>
      <c r="I1043" s="40"/>
      <c r="J1043" s="40"/>
      <c r="K1043" s="286"/>
      <c r="L1043" s="286"/>
      <c r="M1043" s="40"/>
      <c r="N1043" s="40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</row>
    <row r="1044" ht="15.75" customHeight="1">
      <c r="A1044" s="287">
        <v>15504.0</v>
      </c>
      <c r="B1044" s="287" t="s">
        <v>2396</v>
      </c>
      <c r="C1044" s="287" t="s">
        <v>42</v>
      </c>
      <c r="D1044" s="287" t="s">
        <v>369</v>
      </c>
      <c r="E1044" s="287" t="b">
        <v>1</v>
      </c>
      <c r="F1044" s="287" t="b">
        <v>1</v>
      </c>
      <c r="G1044" s="287" t="s">
        <v>250</v>
      </c>
      <c r="H1044" s="40"/>
      <c r="I1044" s="40"/>
      <c r="J1044" s="40"/>
      <c r="K1044" s="286"/>
      <c r="L1044" s="286"/>
      <c r="M1044" s="40"/>
      <c r="N1044" s="40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</row>
    <row r="1045" ht="15.75" customHeight="1">
      <c r="A1045" s="287">
        <v>15502.0</v>
      </c>
      <c r="B1045" s="287" t="s">
        <v>2397</v>
      </c>
      <c r="C1045" s="287" t="s">
        <v>42</v>
      </c>
      <c r="D1045" s="287" t="s">
        <v>369</v>
      </c>
      <c r="E1045" s="287" t="b">
        <v>1</v>
      </c>
      <c r="F1045" s="287" t="b">
        <v>1</v>
      </c>
      <c r="G1045" s="287" t="s">
        <v>250</v>
      </c>
      <c r="H1045" s="40"/>
      <c r="I1045" s="40"/>
      <c r="J1045" s="40"/>
      <c r="K1045" s="286"/>
      <c r="L1045" s="286"/>
      <c r="M1045" s="40"/>
      <c r="N1045" s="40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</row>
    <row r="1046" ht="15.75" customHeight="1">
      <c r="A1046" s="287">
        <v>15577.0</v>
      </c>
      <c r="B1046" s="287" t="s">
        <v>2398</v>
      </c>
      <c r="C1046" s="287" t="s">
        <v>42</v>
      </c>
      <c r="D1046" s="287" t="s">
        <v>369</v>
      </c>
      <c r="E1046" s="287" t="b">
        <v>1</v>
      </c>
      <c r="F1046" s="287" t="b">
        <v>1</v>
      </c>
      <c r="G1046" s="287" t="s">
        <v>250</v>
      </c>
      <c r="H1046" s="40"/>
      <c r="I1046" s="40"/>
      <c r="J1046" s="40"/>
      <c r="K1046" s="286"/>
      <c r="L1046" s="286"/>
      <c r="M1046" s="40"/>
      <c r="N1046" s="40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</row>
    <row r="1047" ht="15.75" customHeight="1">
      <c r="A1047" s="287">
        <v>33604.0</v>
      </c>
      <c r="B1047" s="287" t="s">
        <v>2399</v>
      </c>
      <c r="C1047" s="287" t="s">
        <v>42</v>
      </c>
      <c r="D1047" s="287" t="s">
        <v>369</v>
      </c>
      <c r="E1047" s="287" t="b">
        <v>1</v>
      </c>
      <c r="F1047" s="287" t="b">
        <v>1</v>
      </c>
      <c r="G1047" s="287" t="s">
        <v>250</v>
      </c>
      <c r="H1047" s="40"/>
      <c r="I1047" s="40"/>
      <c r="J1047" s="40"/>
      <c r="K1047" s="286"/>
      <c r="L1047" s="286"/>
      <c r="M1047" s="40"/>
      <c r="N1047" s="40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</row>
    <row r="1048" ht="15.75" customHeight="1">
      <c r="A1048" s="287">
        <v>110075.0</v>
      </c>
      <c r="B1048" s="287" t="s">
        <v>2400</v>
      </c>
      <c r="C1048" s="287" t="s">
        <v>42</v>
      </c>
      <c r="D1048" s="287" t="s">
        <v>369</v>
      </c>
      <c r="E1048" s="287" t="b">
        <v>1</v>
      </c>
      <c r="F1048" s="287" t="b">
        <v>1</v>
      </c>
      <c r="G1048" s="287" t="s">
        <v>250</v>
      </c>
      <c r="H1048" s="40"/>
      <c r="I1048" s="40"/>
      <c r="J1048" s="40"/>
      <c r="K1048" s="286"/>
      <c r="L1048" s="286"/>
      <c r="M1048" s="40"/>
      <c r="N1048" s="40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</row>
    <row r="1049" ht="15.75" customHeight="1">
      <c r="A1049" s="287">
        <v>109751.0</v>
      </c>
      <c r="B1049" s="287" t="s">
        <v>2401</v>
      </c>
      <c r="C1049" s="287" t="s">
        <v>42</v>
      </c>
      <c r="D1049" s="287" t="s">
        <v>369</v>
      </c>
      <c r="E1049" s="287" t="b">
        <v>1</v>
      </c>
      <c r="F1049" s="287" t="b">
        <v>1</v>
      </c>
      <c r="G1049" s="287" t="s">
        <v>250</v>
      </c>
      <c r="H1049" s="40"/>
      <c r="I1049" s="40"/>
      <c r="J1049" s="40"/>
      <c r="K1049" s="286"/>
      <c r="L1049" s="286"/>
      <c r="M1049" s="40"/>
      <c r="N1049" s="40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</row>
    <row r="1050" ht="15.75" customHeight="1">
      <c r="A1050" s="287">
        <v>15513.0</v>
      </c>
      <c r="B1050" s="287" t="s">
        <v>2402</v>
      </c>
      <c r="C1050" s="287" t="s">
        <v>42</v>
      </c>
      <c r="D1050" s="287" t="s">
        <v>369</v>
      </c>
      <c r="E1050" s="287" t="b">
        <v>1</v>
      </c>
      <c r="F1050" s="287" t="b">
        <v>1</v>
      </c>
      <c r="G1050" s="287" t="s">
        <v>250</v>
      </c>
      <c r="H1050" s="40"/>
      <c r="I1050" s="40"/>
      <c r="J1050" s="40"/>
      <c r="K1050" s="286"/>
      <c r="L1050" s="286"/>
      <c r="M1050" s="40"/>
      <c r="N1050" s="40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</row>
    <row r="1051" ht="15.75" customHeight="1">
      <c r="A1051" s="287">
        <v>15510.0</v>
      </c>
      <c r="B1051" s="287" t="s">
        <v>2403</v>
      </c>
      <c r="C1051" s="287" t="s">
        <v>42</v>
      </c>
      <c r="D1051" s="287" t="s">
        <v>369</v>
      </c>
      <c r="E1051" s="287" t="b">
        <v>1</v>
      </c>
      <c r="F1051" s="287" t="b">
        <v>1</v>
      </c>
      <c r="G1051" s="287" t="s">
        <v>250</v>
      </c>
      <c r="H1051" s="40"/>
      <c r="I1051" s="40"/>
      <c r="J1051" s="40"/>
      <c r="K1051" s="286"/>
      <c r="L1051" s="286"/>
      <c r="M1051" s="40"/>
      <c r="N1051" s="40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</row>
    <row r="1052" ht="15.75" customHeight="1">
      <c r="A1052" s="287">
        <v>11856.0</v>
      </c>
      <c r="B1052" s="287" t="s">
        <v>2404</v>
      </c>
      <c r="C1052" s="287" t="s">
        <v>42</v>
      </c>
      <c r="D1052" s="287" t="s">
        <v>369</v>
      </c>
      <c r="E1052" s="287" t="b">
        <v>1</v>
      </c>
      <c r="F1052" s="287" t="b">
        <v>1</v>
      </c>
      <c r="G1052" s="287" t="s">
        <v>250</v>
      </c>
      <c r="H1052" s="40"/>
      <c r="I1052" s="40"/>
      <c r="J1052" s="40"/>
      <c r="K1052" s="286"/>
      <c r="L1052" s="286"/>
      <c r="M1052" s="40"/>
      <c r="N1052" s="40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</row>
    <row r="1053" ht="15.75" customHeight="1">
      <c r="A1053" s="287">
        <v>15507.0</v>
      </c>
      <c r="B1053" s="287" t="s">
        <v>2405</v>
      </c>
      <c r="C1053" s="287" t="s">
        <v>42</v>
      </c>
      <c r="D1053" s="287" t="s">
        <v>369</v>
      </c>
      <c r="E1053" s="287" t="b">
        <v>1</v>
      </c>
      <c r="F1053" s="287" t="b">
        <v>1</v>
      </c>
      <c r="G1053" s="287" t="s">
        <v>250</v>
      </c>
      <c r="H1053" s="40"/>
      <c r="I1053" s="40"/>
      <c r="J1053" s="40"/>
      <c r="K1053" s="286"/>
      <c r="L1053" s="286"/>
      <c r="M1053" s="40"/>
      <c r="N1053" s="40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</row>
    <row r="1054" ht="15.75" customHeight="1">
      <c r="A1054" s="287">
        <v>15516.0</v>
      </c>
      <c r="B1054" s="287" t="s">
        <v>2406</v>
      </c>
      <c r="C1054" s="287" t="s">
        <v>42</v>
      </c>
      <c r="D1054" s="287" t="s">
        <v>369</v>
      </c>
      <c r="E1054" s="287" t="b">
        <v>1</v>
      </c>
      <c r="F1054" s="287" t="b">
        <v>1</v>
      </c>
      <c r="G1054" s="287" t="s">
        <v>250</v>
      </c>
      <c r="H1054" s="40"/>
      <c r="I1054" s="40"/>
      <c r="J1054" s="40"/>
      <c r="K1054" s="286"/>
      <c r="L1054" s="286"/>
      <c r="M1054" s="40"/>
      <c r="N1054" s="40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</row>
    <row r="1055" ht="15.75" customHeight="1">
      <c r="A1055" s="287">
        <v>15469.0</v>
      </c>
      <c r="B1055" s="287" t="s">
        <v>2407</v>
      </c>
      <c r="C1055" s="287" t="s">
        <v>42</v>
      </c>
      <c r="D1055" s="287" t="s">
        <v>369</v>
      </c>
      <c r="E1055" s="287" t="b">
        <v>1</v>
      </c>
      <c r="F1055" s="287" t="b">
        <v>1</v>
      </c>
      <c r="G1055" s="287" t="s">
        <v>250</v>
      </c>
      <c r="H1055" s="40"/>
      <c r="I1055" s="40"/>
      <c r="J1055" s="40"/>
      <c r="K1055" s="286"/>
      <c r="L1055" s="286"/>
      <c r="M1055" s="40"/>
      <c r="N1055" s="40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</row>
    <row r="1056" ht="15.75" customHeight="1">
      <c r="A1056" s="287">
        <v>110065.0</v>
      </c>
      <c r="B1056" s="287" t="s">
        <v>2408</v>
      </c>
      <c r="C1056" s="287" t="s">
        <v>42</v>
      </c>
      <c r="D1056" s="287" t="s">
        <v>369</v>
      </c>
      <c r="E1056" s="287" t="b">
        <v>1</v>
      </c>
      <c r="F1056" s="287" t="b">
        <v>1</v>
      </c>
      <c r="G1056" s="287" t="s">
        <v>250</v>
      </c>
      <c r="H1056" s="40"/>
      <c r="I1056" s="40"/>
      <c r="J1056" s="40"/>
      <c r="K1056" s="286"/>
      <c r="L1056" s="286"/>
      <c r="M1056" s="40"/>
      <c r="N1056" s="40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</row>
    <row r="1057" ht="15.75" customHeight="1">
      <c r="A1057" s="287">
        <v>15518.0</v>
      </c>
      <c r="B1057" s="287" t="s">
        <v>2409</v>
      </c>
      <c r="C1057" s="287" t="s">
        <v>42</v>
      </c>
      <c r="D1057" s="287" t="s">
        <v>369</v>
      </c>
      <c r="E1057" s="287" t="b">
        <v>1</v>
      </c>
      <c r="F1057" s="287" t="b">
        <v>1</v>
      </c>
      <c r="G1057" s="287" t="s">
        <v>250</v>
      </c>
      <c r="H1057" s="40"/>
      <c r="I1057" s="40"/>
      <c r="J1057" s="40"/>
      <c r="K1057" s="286"/>
      <c r="L1057" s="286"/>
      <c r="M1057" s="40"/>
      <c r="N1057" s="40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</row>
    <row r="1058" ht="15.75" customHeight="1">
      <c r="A1058" s="287">
        <v>110054.0</v>
      </c>
      <c r="B1058" s="287" t="s">
        <v>2410</v>
      </c>
      <c r="C1058" s="287" t="s">
        <v>42</v>
      </c>
      <c r="D1058" s="287" t="s">
        <v>369</v>
      </c>
      <c r="E1058" s="287" t="b">
        <v>1</v>
      </c>
      <c r="F1058" s="287" t="b">
        <v>1</v>
      </c>
      <c r="G1058" s="287" t="s">
        <v>250</v>
      </c>
      <c r="H1058" s="40"/>
      <c r="I1058" s="40"/>
      <c r="J1058" s="40"/>
      <c r="K1058" s="286"/>
      <c r="L1058" s="286"/>
      <c r="M1058" s="40"/>
      <c r="N1058" s="40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</row>
    <row r="1059" ht="15.75" customHeight="1">
      <c r="A1059" s="287">
        <v>24185.0</v>
      </c>
      <c r="B1059" s="287" t="s">
        <v>2411</v>
      </c>
      <c r="C1059" s="287" t="s">
        <v>42</v>
      </c>
      <c r="D1059" s="287" t="s">
        <v>369</v>
      </c>
      <c r="E1059" s="287" t="b">
        <v>1</v>
      </c>
      <c r="F1059" s="287" t="b">
        <v>1</v>
      </c>
      <c r="G1059" s="287" t="s">
        <v>250</v>
      </c>
      <c r="H1059" s="40"/>
      <c r="I1059" s="40"/>
      <c r="J1059" s="40"/>
      <c r="K1059" s="286"/>
      <c r="L1059" s="286"/>
      <c r="M1059" s="40"/>
      <c r="N1059" s="40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</row>
    <row r="1060" ht="15.75" customHeight="1">
      <c r="A1060" s="287">
        <v>148489.0</v>
      </c>
      <c r="B1060" s="287" t="s">
        <v>724</v>
      </c>
      <c r="C1060" s="287" t="s">
        <v>42</v>
      </c>
      <c r="D1060" s="287" t="s">
        <v>369</v>
      </c>
      <c r="E1060" s="287" t="b">
        <v>1</v>
      </c>
      <c r="F1060" s="287" t="b">
        <v>1</v>
      </c>
      <c r="G1060" s="287" t="s">
        <v>250</v>
      </c>
      <c r="H1060" s="40"/>
      <c r="I1060" s="40"/>
      <c r="J1060" s="40"/>
      <c r="K1060" s="286"/>
      <c r="L1060" s="286"/>
      <c r="M1060" s="40"/>
      <c r="N1060" s="40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</row>
    <row r="1061" ht="15.75" customHeight="1">
      <c r="A1061" s="287">
        <v>106885.0</v>
      </c>
      <c r="B1061" s="287" t="s">
        <v>2412</v>
      </c>
      <c r="C1061" s="287" t="s">
        <v>389</v>
      </c>
      <c r="D1061" s="287" t="s">
        <v>369</v>
      </c>
      <c r="E1061" s="287" t="b">
        <v>1</v>
      </c>
      <c r="F1061" s="287" t="b">
        <v>1</v>
      </c>
      <c r="G1061" s="287" t="s">
        <v>250</v>
      </c>
      <c r="H1061" s="40"/>
      <c r="I1061" s="40"/>
      <c r="J1061" s="40"/>
      <c r="K1061" s="286"/>
      <c r="L1061" s="286"/>
      <c r="M1061" s="40"/>
      <c r="N1061" s="40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</row>
    <row r="1062" ht="15.75" customHeight="1">
      <c r="A1062" s="287">
        <v>61705.0</v>
      </c>
      <c r="B1062" s="287" t="s">
        <v>2413</v>
      </c>
      <c r="C1062" s="287" t="s">
        <v>42</v>
      </c>
      <c r="D1062" s="287" t="s">
        <v>369</v>
      </c>
      <c r="E1062" s="287" t="b">
        <v>1</v>
      </c>
      <c r="F1062" s="287" t="b">
        <v>1</v>
      </c>
      <c r="G1062" s="287" t="s">
        <v>2414</v>
      </c>
      <c r="H1062" s="40"/>
      <c r="I1062" s="40"/>
      <c r="J1062" s="40"/>
      <c r="K1062" s="286"/>
      <c r="L1062" s="286"/>
      <c r="M1062" s="40"/>
      <c r="N1062" s="40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</row>
    <row r="1063" ht="15.75" customHeight="1">
      <c r="A1063" s="287">
        <v>15522.0</v>
      </c>
      <c r="B1063" s="287" t="s">
        <v>2415</v>
      </c>
      <c r="C1063" s="287" t="s">
        <v>42</v>
      </c>
      <c r="D1063" s="287" t="s">
        <v>369</v>
      </c>
      <c r="E1063" s="287" t="b">
        <v>1</v>
      </c>
      <c r="F1063" s="287" t="b">
        <v>1</v>
      </c>
      <c r="G1063" s="287" t="s">
        <v>250</v>
      </c>
      <c r="H1063" s="40"/>
      <c r="I1063" s="40"/>
      <c r="J1063" s="40"/>
      <c r="K1063" s="286"/>
      <c r="L1063" s="286"/>
      <c r="M1063" s="40"/>
      <c r="N1063" s="40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</row>
    <row r="1064" ht="15.75" customHeight="1">
      <c r="A1064" s="287">
        <v>110066.0</v>
      </c>
      <c r="B1064" s="287" t="s">
        <v>2416</v>
      </c>
      <c r="C1064" s="287" t="s">
        <v>42</v>
      </c>
      <c r="D1064" s="287" t="s">
        <v>369</v>
      </c>
      <c r="E1064" s="287" t="b">
        <v>1</v>
      </c>
      <c r="F1064" s="287" t="b">
        <v>1</v>
      </c>
      <c r="G1064" s="287" t="s">
        <v>250</v>
      </c>
      <c r="H1064" s="40"/>
      <c r="I1064" s="40"/>
      <c r="J1064" s="40"/>
      <c r="K1064" s="286"/>
      <c r="L1064" s="286"/>
      <c r="M1064" s="40"/>
      <c r="N1064" s="40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</row>
    <row r="1065" ht="15.75" customHeight="1">
      <c r="A1065" s="287">
        <v>18613.0</v>
      </c>
      <c r="B1065" s="287" t="s">
        <v>2417</v>
      </c>
      <c r="C1065" s="287" t="s">
        <v>42</v>
      </c>
      <c r="D1065" s="287" t="s">
        <v>369</v>
      </c>
      <c r="E1065" s="287" t="b">
        <v>1</v>
      </c>
      <c r="F1065" s="287" t="b">
        <v>1</v>
      </c>
      <c r="G1065" s="287" t="s">
        <v>250</v>
      </c>
      <c r="H1065" s="40"/>
      <c r="I1065" s="40"/>
      <c r="J1065" s="40"/>
      <c r="K1065" s="286"/>
      <c r="L1065" s="286"/>
      <c r="M1065" s="40"/>
      <c r="N1065" s="40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</row>
    <row r="1066" ht="15.75" customHeight="1">
      <c r="A1066" s="287">
        <v>15525.0</v>
      </c>
      <c r="B1066" s="287" t="s">
        <v>2419</v>
      </c>
      <c r="C1066" s="287" t="s">
        <v>42</v>
      </c>
      <c r="D1066" s="287" t="s">
        <v>369</v>
      </c>
      <c r="E1066" s="287" t="b">
        <v>1</v>
      </c>
      <c r="F1066" s="287" t="b">
        <v>1</v>
      </c>
      <c r="G1066" s="287" t="s">
        <v>250</v>
      </c>
      <c r="H1066" s="40"/>
      <c r="I1066" s="40"/>
      <c r="J1066" s="40"/>
      <c r="K1066" s="286"/>
      <c r="L1066" s="286"/>
      <c r="M1066" s="40"/>
      <c r="N1066" s="40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</row>
    <row r="1067" ht="15.75" customHeight="1">
      <c r="A1067" s="287">
        <v>15145.0</v>
      </c>
      <c r="B1067" s="287" t="s">
        <v>2420</v>
      </c>
      <c r="C1067" s="287" t="s">
        <v>42</v>
      </c>
      <c r="D1067" s="287" t="s">
        <v>369</v>
      </c>
      <c r="E1067" s="287" t="b">
        <v>1</v>
      </c>
      <c r="F1067" s="287" t="b">
        <v>1</v>
      </c>
      <c r="G1067" s="287" t="s">
        <v>250</v>
      </c>
      <c r="H1067" s="40"/>
      <c r="I1067" s="40"/>
      <c r="J1067" s="40"/>
      <c r="K1067" s="286"/>
      <c r="L1067" s="286"/>
      <c r="M1067" s="40"/>
      <c r="N1067" s="40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</row>
    <row r="1068" ht="15.75" customHeight="1">
      <c r="A1068" s="287">
        <v>110912.0</v>
      </c>
      <c r="B1068" s="287" t="s">
        <v>2421</v>
      </c>
      <c r="C1068" s="287" t="s">
        <v>42</v>
      </c>
      <c r="D1068" s="287" t="s">
        <v>369</v>
      </c>
      <c r="E1068" s="287" t="b">
        <v>1</v>
      </c>
      <c r="F1068" s="287" t="b">
        <v>1</v>
      </c>
      <c r="G1068" s="287" t="s">
        <v>250</v>
      </c>
      <c r="H1068" s="40"/>
      <c r="I1068" s="40"/>
      <c r="J1068" s="40"/>
      <c r="K1068" s="286"/>
      <c r="L1068" s="286"/>
      <c r="M1068" s="40"/>
      <c r="N1068" s="40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</row>
    <row r="1069" ht="15.75" customHeight="1">
      <c r="A1069" s="287">
        <v>110903.0</v>
      </c>
      <c r="B1069" s="287" t="s">
        <v>2423</v>
      </c>
      <c r="C1069" s="287" t="s">
        <v>42</v>
      </c>
      <c r="D1069" s="287" t="s">
        <v>369</v>
      </c>
      <c r="E1069" s="287" t="b">
        <v>1</v>
      </c>
      <c r="F1069" s="287" t="b">
        <v>1</v>
      </c>
      <c r="G1069" s="287" t="s">
        <v>250</v>
      </c>
      <c r="H1069" s="40"/>
      <c r="I1069" s="40"/>
      <c r="J1069" s="40"/>
      <c r="K1069" s="286"/>
      <c r="L1069" s="286"/>
      <c r="M1069" s="40"/>
      <c r="N1069" s="40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</row>
    <row r="1070" ht="15.75" customHeight="1">
      <c r="A1070" s="287">
        <v>148485.0</v>
      </c>
      <c r="B1070" s="287" t="s">
        <v>2424</v>
      </c>
      <c r="C1070" s="287" t="s">
        <v>289</v>
      </c>
      <c r="D1070" s="287" t="s">
        <v>369</v>
      </c>
      <c r="E1070" s="287" t="b">
        <v>1</v>
      </c>
      <c r="F1070" s="287" t="b">
        <v>1</v>
      </c>
      <c r="G1070" s="287" t="s">
        <v>250</v>
      </c>
      <c r="H1070" s="40"/>
      <c r="I1070" s="40"/>
      <c r="J1070" s="40"/>
      <c r="K1070" s="286"/>
      <c r="L1070" s="286"/>
      <c r="M1070" s="40"/>
      <c r="N1070" s="40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</row>
    <row r="1071" ht="15.75" customHeight="1">
      <c r="A1071" s="287">
        <v>15528.0</v>
      </c>
      <c r="B1071" s="287" t="s">
        <v>2425</v>
      </c>
      <c r="C1071" s="287" t="s">
        <v>42</v>
      </c>
      <c r="D1071" s="287" t="s">
        <v>369</v>
      </c>
      <c r="E1071" s="287" t="b">
        <v>1</v>
      </c>
      <c r="F1071" s="287" t="b">
        <v>1</v>
      </c>
      <c r="G1071" s="287" t="s">
        <v>250</v>
      </c>
      <c r="H1071" s="40"/>
      <c r="I1071" s="40"/>
      <c r="J1071" s="40"/>
      <c r="K1071" s="286"/>
      <c r="L1071" s="286"/>
      <c r="M1071" s="40"/>
      <c r="N1071" s="40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</row>
    <row r="1072" ht="15.75" customHeight="1">
      <c r="A1072" s="287">
        <v>110072.0</v>
      </c>
      <c r="B1072" s="287" t="s">
        <v>2426</v>
      </c>
      <c r="C1072" s="287" t="s">
        <v>42</v>
      </c>
      <c r="D1072" s="287" t="s">
        <v>369</v>
      </c>
      <c r="E1072" s="287" t="b">
        <v>1</v>
      </c>
      <c r="F1072" s="287" t="b">
        <v>1</v>
      </c>
      <c r="G1072" s="287" t="s">
        <v>250</v>
      </c>
      <c r="H1072" s="40"/>
      <c r="I1072" s="40"/>
      <c r="J1072" s="40"/>
      <c r="K1072" s="286"/>
      <c r="L1072" s="286"/>
      <c r="M1072" s="40"/>
      <c r="N1072" s="40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</row>
    <row r="1073" ht="15.75" customHeight="1">
      <c r="A1073" s="287">
        <v>15530.0</v>
      </c>
      <c r="B1073" s="287" t="s">
        <v>2427</v>
      </c>
      <c r="C1073" s="287" t="s">
        <v>349</v>
      </c>
      <c r="D1073" s="287" t="s">
        <v>369</v>
      </c>
      <c r="E1073" s="287" t="b">
        <v>1</v>
      </c>
      <c r="F1073" s="287" t="b">
        <v>1</v>
      </c>
      <c r="G1073" s="287" t="s">
        <v>250</v>
      </c>
      <c r="H1073" s="40"/>
      <c r="I1073" s="40"/>
      <c r="J1073" s="40"/>
      <c r="K1073" s="286"/>
      <c r="L1073" s="286"/>
      <c r="M1073" s="40"/>
      <c r="N1073" s="40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</row>
    <row r="1074" ht="15.75" customHeight="1">
      <c r="A1074" s="287">
        <v>11729.0</v>
      </c>
      <c r="B1074" s="287" t="s">
        <v>2428</v>
      </c>
      <c r="C1074" s="287" t="s">
        <v>42</v>
      </c>
      <c r="D1074" s="287" t="s">
        <v>369</v>
      </c>
      <c r="E1074" s="287" t="b">
        <v>1</v>
      </c>
      <c r="F1074" s="287" t="b">
        <v>1</v>
      </c>
      <c r="G1074" s="287" t="s">
        <v>1251</v>
      </c>
      <c r="H1074" s="40"/>
      <c r="I1074" s="40"/>
      <c r="J1074" s="40"/>
      <c r="K1074" s="286"/>
      <c r="L1074" s="286"/>
      <c r="M1074" s="40"/>
      <c r="N1074" s="40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</row>
    <row r="1075" ht="15.75" customHeight="1">
      <c r="A1075" s="287">
        <v>15531.0</v>
      </c>
      <c r="B1075" s="287" t="s">
        <v>2429</v>
      </c>
      <c r="C1075" s="287" t="s">
        <v>42</v>
      </c>
      <c r="D1075" s="287" t="s">
        <v>369</v>
      </c>
      <c r="E1075" s="287" t="b">
        <v>1</v>
      </c>
      <c r="F1075" s="287" t="b">
        <v>1</v>
      </c>
      <c r="G1075" s="287" t="s">
        <v>250</v>
      </c>
      <c r="H1075" s="40"/>
      <c r="I1075" s="40"/>
      <c r="J1075" s="40"/>
      <c r="K1075" s="286"/>
      <c r="L1075" s="286"/>
      <c r="M1075" s="40"/>
      <c r="N1075" s="40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</row>
    <row r="1076" ht="15.75" customHeight="1">
      <c r="A1076" s="287">
        <v>15571.0</v>
      </c>
      <c r="B1076" s="287" t="s">
        <v>2430</v>
      </c>
      <c r="C1076" s="287" t="s">
        <v>42</v>
      </c>
      <c r="D1076" s="287" t="s">
        <v>369</v>
      </c>
      <c r="E1076" s="287" t="b">
        <v>1</v>
      </c>
      <c r="F1076" s="287" t="b">
        <v>1</v>
      </c>
      <c r="G1076" s="287" t="s">
        <v>250</v>
      </c>
      <c r="H1076" s="40"/>
      <c r="I1076" s="40"/>
      <c r="J1076" s="40"/>
      <c r="K1076" s="286"/>
      <c r="L1076" s="286"/>
      <c r="M1076" s="40"/>
      <c r="N1076" s="40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</row>
    <row r="1077" ht="15.75" customHeight="1">
      <c r="A1077" s="287">
        <v>109755.0</v>
      </c>
      <c r="B1077" s="287" t="s">
        <v>2431</v>
      </c>
      <c r="C1077" s="287" t="s">
        <v>42</v>
      </c>
      <c r="D1077" s="287" t="s">
        <v>369</v>
      </c>
      <c r="E1077" s="287" t="b">
        <v>1</v>
      </c>
      <c r="F1077" s="287" t="b">
        <v>1</v>
      </c>
      <c r="G1077" s="287" t="s">
        <v>250</v>
      </c>
      <c r="H1077" s="40"/>
      <c r="I1077" s="40"/>
      <c r="J1077" s="40"/>
      <c r="K1077" s="286"/>
      <c r="L1077" s="286"/>
      <c r="M1077" s="40"/>
      <c r="N1077" s="40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</row>
    <row r="1078" ht="15.75" customHeight="1">
      <c r="A1078" s="287">
        <v>15575.0</v>
      </c>
      <c r="B1078" s="287" t="s">
        <v>2432</v>
      </c>
      <c r="C1078" s="287" t="s">
        <v>42</v>
      </c>
      <c r="D1078" s="287" t="s">
        <v>369</v>
      </c>
      <c r="E1078" s="287" t="b">
        <v>1</v>
      </c>
      <c r="F1078" s="287" t="b">
        <v>1</v>
      </c>
      <c r="G1078" s="287" t="s">
        <v>250</v>
      </c>
      <c r="H1078" s="40"/>
      <c r="I1078" s="40"/>
      <c r="J1078" s="40"/>
      <c r="K1078" s="286"/>
      <c r="L1078" s="286"/>
      <c r="M1078" s="40"/>
      <c r="N1078" s="40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</row>
    <row r="1079" ht="15.75" customHeight="1">
      <c r="A1079" s="287">
        <v>15537.0</v>
      </c>
      <c r="B1079" s="287" t="s">
        <v>2433</v>
      </c>
      <c r="C1079" s="287" t="s">
        <v>42</v>
      </c>
      <c r="D1079" s="287" t="s">
        <v>369</v>
      </c>
      <c r="E1079" s="287" t="b">
        <v>1</v>
      </c>
      <c r="F1079" s="287" t="b">
        <v>1</v>
      </c>
      <c r="G1079" s="287" t="s">
        <v>2434</v>
      </c>
      <c r="H1079" s="40"/>
      <c r="I1079" s="40"/>
      <c r="J1079" s="40"/>
      <c r="K1079" s="286"/>
      <c r="L1079" s="286"/>
      <c r="M1079" s="40"/>
      <c r="N1079" s="40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</row>
    <row r="1080" ht="15.75" customHeight="1">
      <c r="A1080" s="287">
        <v>15534.0</v>
      </c>
      <c r="B1080" s="287" t="s">
        <v>2435</v>
      </c>
      <c r="C1080" s="287" t="s">
        <v>42</v>
      </c>
      <c r="D1080" s="287" t="s">
        <v>369</v>
      </c>
      <c r="E1080" s="287" t="b">
        <v>1</v>
      </c>
      <c r="F1080" s="287" t="b">
        <v>1</v>
      </c>
      <c r="G1080" s="287" t="s">
        <v>250</v>
      </c>
      <c r="H1080" s="40"/>
      <c r="I1080" s="40"/>
      <c r="J1080" s="40"/>
      <c r="K1080" s="286"/>
      <c r="L1080" s="286"/>
      <c r="M1080" s="40"/>
      <c r="N1080" s="40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</row>
    <row r="1081" ht="15.75" customHeight="1">
      <c r="A1081" s="287">
        <v>109765.0</v>
      </c>
      <c r="B1081" s="287" t="s">
        <v>2436</v>
      </c>
      <c r="C1081" s="287" t="s">
        <v>42</v>
      </c>
      <c r="D1081" s="287" t="s">
        <v>369</v>
      </c>
      <c r="E1081" s="287" t="b">
        <v>1</v>
      </c>
      <c r="F1081" s="287" t="b">
        <v>1</v>
      </c>
      <c r="G1081" s="287" t="s">
        <v>250</v>
      </c>
      <c r="H1081" s="40"/>
      <c r="I1081" s="40"/>
      <c r="J1081" s="40"/>
      <c r="K1081" s="286"/>
      <c r="L1081" s="286"/>
      <c r="M1081" s="40"/>
      <c r="N1081" s="40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</row>
    <row r="1082" ht="15.75" customHeight="1">
      <c r="A1082" s="287">
        <v>110073.0</v>
      </c>
      <c r="B1082" s="287" t="s">
        <v>2738</v>
      </c>
      <c r="C1082" s="287" t="s">
        <v>42</v>
      </c>
      <c r="D1082" s="287" t="s">
        <v>369</v>
      </c>
      <c r="E1082" s="287" t="b">
        <v>1</v>
      </c>
      <c r="F1082" s="287" t="b">
        <v>1</v>
      </c>
      <c r="G1082" s="287" t="s">
        <v>250</v>
      </c>
      <c r="H1082" s="40"/>
      <c r="I1082" s="40"/>
      <c r="J1082" s="40"/>
      <c r="K1082" s="286"/>
      <c r="L1082" s="286"/>
      <c r="M1082" s="40"/>
      <c r="N1082" s="40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</row>
    <row r="1083" ht="15.75" customHeight="1">
      <c r="A1083" s="287">
        <v>105771.0</v>
      </c>
      <c r="B1083" s="287" t="s">
        <v>2739</v>
      </c>
      <c r="C1083" s="287" t="s">
        <v>42</v>
      </c>
      <c r="D1083" s="287" t="s">
        <v>369</v>
      </c>
      <c r="E1083" s="287" t="b">
        <v>1</v>
      </c>
      <c r="F1083" s="287" t="b">
        <v>1</v>
      </c>
      <c r="G1083" s="287" t="s">
        <v>250</v>
      </c>
      <c r="H1083" s="40"/>
      <c r="I1083" s="40"/>
      <c r="J1083" s="40"/>
      <c r="K1083" s="286"/>
      <c r="L1083" s="286"/>
      <c r="M1083" s="40"/>
      <c r="N1083" s="40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</row>
    <row r="1084" ht="15.75" customHeight="1">
      <c r="A1084" s="287">
        <v>35223.0</v>
      </c>
      <c r="B1084" s="287" t="s">
        <v>2439</v>
      </c>
      <c r="C1084" s="287" t="s">
        <v>42</v>
      </c>
      <c r="D1084" s="287" t="s">
        <v>369</v>
      </c>
      <c r="E1084" s="287" t="b">
        <v>1</v>
      </c>
      <c r="F1084" s="287" t="b">
        <v>1</v>
      </c>
      <c r="G1084" s="287" t="s">
        <v>250</v>
      </c>
      <c r="H1084" s="40"/>
      <c r="I1084" s="40"/>
      <c r="J1084" s="40"/>
      <c r="K1084" s="286"/>
      <c r="L1084" s="286"/>
      <c r="M1084" s="40"/>
      <c r="N1084" s="40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</row>
    <row r="1085" ht="15.75" customHeight="1">
      <c r="A1085" s="287">
        <v>15568.0</v>
      </c>
      <c r="B1085" s="287" t="s">
        <v>2440</v>
      </c>
      <c r="C1085" s="287" t="s">
        <v>42</v>
      </c>
      <c r="D1085" s="287" t="s">
        <v>369</v>
      </c>
      <c r="E1085" s="287" t="b">
        <v>1</v>
      </c>
      <c r="F1085" s="287" t="b">
        <v>1</v>
      </c>
      <c r="G1085" s="287" t="s">
        <v>250</v>
      </c>
      <c r="H1085" s="40"/>
      <c r="I1085" s="40"/>
      <c r="J1085" s="40"/>
      <c r="K1085" s="286"/>
      <c r="L1085" s="286"/>
      <c r="M1085" s="40"/>
      <c r="N1085" s="40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</row>
    <row r="1086" ht="15.75" customHeight="1">
      <c r="A1086" s="287">
        <v>102794.0</v>
      </c>
      <c r="B1086" s="287" t="s">
        <v>2740</v>
      </c>
      <c r="C1086" s="287" t="s">
        <v>42</v>
      </c>
      <c r="D1086" s="287" t="s">
        <v>369</v>
      </c>
      <c r="E1086" s="287" t="b">
        <v>1</v>
      </c>
      <c r="F1086" s="287" t="b">
        <v>1</v>
      </c>
      <c r="G1086" s="287" t="s">
        <v>250</v>
      </c>
      <c r="H1086" s="40"/>
      <c r="I1086" s="40"/>
      <c r="J1086" s="40"/>
      <c r="K1086" s="286"/>
      <c r="L1086" s="286"/>
      <c r="M1086" s="40"/>
      <c r="N1086" s="40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</row>
    <row r="1087" ht="15.75" customHeight="1">
      <c r="A1087" s="287">
        <v>15539.0</v>
      </c>
      <c r="B1087" s="287" t="s">
        <v>2442</v>
      </c>
      <c r="C1087" s="287" t="s">
        <v>42</v>
      </c>
      <c r="D1087" s="287" t="s">
        <v>369</v>
      </c>
      <c r="E1087" s="287" t="b">
        <v>1</v>
      </c>
      <c r="F1087" s="287" t="b">
        <v>1</v>
      </c>
      <c r="G1087" s="287" t="s">
        <v>250</v>
      </c>
      <c r="H1087" s="40"/>
      <c r="I1087" s="40"/>
      <c r="J1087" s="40"/>
      <c r="K1087" s="286"/>
      <c r="L1087" s="286"/>
      <c r="M1087" s="40"/>
      <c r="N1087" s="40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</row>
    <row r="1088" ht="15.75" customHeight="1">
      <c r="A1088" s="287">
        <v>110101.0</v>
      </c>
      <c r="B1088" s="287" t="s">
        <v>2443</v>
      </c>
      <c r="C1088" s="287" t="s">
        <v>972</v>
      </c>
      <c r="D1088" s="287" t="s">
        <v>369</v>
      </c>
      <c r="E1088" s="287" t="b">
        <v>1</v>
      </c>
      <c r="F1088" s="287" t="b">
        <v>1</v>
      </c>
      <c r="G1088" s="287" t="s">
        <v>250</v>
      </c>
      <c r="H1088" s="40"/>
      <c r="I1088" s="40"/>
      <c r="J1088" s="40"/>
      <c r="K1088" s="286"/>
      <c r="L1088" s="286"/>
      <c r="M1088" s="40"/>
      <c r="N1088" s="40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</row>
    <row r="1089" ht="15.75" customHeight="1">
      <c r="A1089" s="288">
        <v>15542.0</v>
      </c>
      <c r="B1089" s="288" t="s">
        <v>2444</v>
      </c>
      <c r="C1089" s="288" t="s">
        <v>42</v>
      </c>
      <c r="D1089" s="288" t="s">
        <v>369</v>
      </c>
      <c r="E1089" s="287" t="b">
        <v>1</v>
      </c>
      <c r="F1089" s="287" t="b">
        <v>1</v>
      </c>
      <c r="G1089" s="287" t="s">
        <v>250</v>
      </c>
      <c r="H1089" s="40"/>
      <c r="I1089" s="40"/>
      <c r="J1089" s="40"/>
      <c r="K1089" s="286"/>
      <c r="L1089" s="286"/>
      <c r="M1089" s="40"/>
      <c r="N1089" s="40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</row>
    <row r="1090" ht="15.75" customHeight="1">
      <c r="A1090" s="287">
        <v>24182.0</v>
      </c>
      <c r="B1090" s="287" t="s">
        <v>2446</v>
      </c>
      <c r="C1090" s="287" t="s">
        <v>42</v>
      </c>
      <c r="D1090" s="287" t="s">
        <v>369</v>
      </c>
      <c r="E1090" s="287" t="b">
        <v>1</v>
      </c>
      <c r="F1090" s="287" t="b">
        <v>1</v>
      </c>
      <c r="G1090" s="287" t="s">
        <v>2741</v>
      </c>
      <c r="H1090" s="40"/>
      <c r="I1090" s="40"/>
      <c r="J1090" s="40"/>
      <c r="K1090" s="286"/>
      <c r="L1090" s="286"/>
      <c r="M1090" s="40"/>
      <c r="N1090" s="40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</row>
    <row r="1091" ht="15.75" customHeight="1">
      <c r="A1091" s="287">
        <v>15429.0</v>
      </c>
      <c r="B1091" s="287" t="s">
        <v>2448</v>
      </c>
      <c r="C1091" s="287" t="s">
        <v>42</v>
      </c>
      <c r="D1091" s="287" t="s">
        <v>369</v>
      </c>
      <c r="E1091" s="287" t="b">
        <v>1</v>
      </c>
      <c r="F1091" s="287" t="b">
        <v>1</v>
      </c>
      <c r="G1091" s="287" t="s">
        <v>250</v>
      </c>
      <c r="H1091" s="40"/>
      <c r="I1091" s="40"/>
      <c r="J1091" s="40"/>
      <c r="K1091" s="286"/>
      <c r="L1091" s="286"/>
      <c r="M1091" s="40"/>
      <c r="N1091" s="40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</row>
    <row r="1092" ht="15.75" customHeight="1">
      <c r="A1092" s="287">
        <v>111119.0</v>
      </c>
      <c r="B1092" s="287" t="s">
        <v>2449</v>
      </c>
      <c r="C1092" s="287" t="s">
        <v>42</v>
      </c>
      <c r="D1092" s="287" t="s">
        <v>369</v>
      </c>
      <c r="E1092" s="287" t="b">
        <v>1</v>
      </c>
      <c r="F1092" s="287" t="b">
        <v>1</v>
      </c>
      <c r="G1092" s="287" t="s">
        <v>250</v>
      </c>
      <c r="H1092" s="40"/>
      <c r="I1092" s="40"/>
      <c r="J1092" s="40"/>
      <c r="K1092" s="286"/>
      <c r="L1092" s="286"/>
      <c r="M1092" s="40"/>
      <c r="N1092" s="40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</row>
    <row r="1093" ht="15.75" customHeight="1">
      <c r="A1093" s="287">
        <v>15543.0</v>
      </c>
      <c r="B1093" s="287" t="s">
        <v>2451</v>
      </c>
      <c r="C1093" s="287" t="s">
        <v>42</v>
      </c>
      <c r="D1093" s="287" t="s">
        <v>369</v>
      </c>
      <c r="E1093" s="287" t="b">
        <v>1</v>
      </c>
      <c r="F1093" s="287" t="b">
        <v>1</v>
      </c>
      <c r="G1093" s="287" t="s">
        <v>250</v>
      </c>
      <c r="H1093" s="40"/>
      <c r="I1093" s="40"/>
      <c r="J1093" s="40"/>
      <c r="K1093" s="286"/>
      <c r="L1093" s="286"/>
      <c r="M1093" s="40"/>
      <c r="N1093" s="40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</row>
    <row r="1094" ht="15.75" customHeight="1">
      <c r="A1094" s="287">
        <v>15438.0</v>
      </c>
      <c r="B1094" s="287" t="s">
        <v>2452</v>
      </c>
      <c r="C1094" s="287" t="s">
        <v>42</v>
      </c>
      <c r="D1094" s="287" t="s">
        <v>369</v>
      </c>
      <c r="E1094" s="287" t="b">
        <v>1</v>
      </c>
      <c r="F1094" s="287" t="b">
        <v>1</v>
      </c>
      <c r="G1094" s="287" t="s">
        <v>250</v>
      </c>
      <c r="H1094" s="40"/>
      <c r="I1094" s="40"/>
      <c r="J1094" s="40"/>
      <c r="K1094" s="286"/>
      <c r="L1094" s="286"/>
      <c r="M1094" s="40"/>
      <c r="N1094" s="40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</row>
    <row r="1095" ht="15.75" customHeight="1">
      <c r="A1095" s="287">
        <v>15431.0</v>
      </c>
      <c r="B1095" s="287" t="s">
        <v>2453</v>
      </c>
      <c r="C1095" s="287" t="s">
        <v>42</v>
      </c>
      <c r="D1095" s="287" t="s">
        <v>369</v>
      </c>
      <c r="E1095" s="287" t="b">
        <v>1</v>
      </c>
      <c r="F1095" s="287" t="b">
        <v>1</v>
      </c>
      <c r="G1095" s="287" t="s">
        <v>250</v>
      </c>
      <c r="H1095" s="40"/>
      <c r="I1095" s="40"/>
      <c r="J1095" s="40"/>
      <c r="K1095" s="286"/>
      <c r="L1095" s="286"/>
      <c r="M1095" s="40"/>
      <c r="N1095" s="40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</row>
    <row r="1096" ht="15.75" customHeight="1">
      <c r="A1096" s="287">
        <v>111175.0</v>
      </c>
      <c r="B1096" s="287" t="s">
        <v>2454</v>
      </c>
      <c r="C1096" s="287" t="s">
        <v>972</v>
      </c>
      <c r="D1096" s="287" t="s">
        <v>369</v>
      </c>
      <c r="E1096" s="287" t="b">
        <v>1</v>
      </c>
      <c r="F1096" s="287" t="b">
        <v>1</v>
      </c>
      <c r="G1096" s="287" t="s">
        <v>250</v>
      </c>
      <c r="H1096" s="40"/>
      <c r="I1096" s="40"/>
      <c r="J1096" s="40"/>
      <c r="K1096" s="286"/>
      <c r="L1096" s="286"/>
      <c r="M1096" s="40"/>
      <c r="N1096" s="40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</row>
    <row r="1097" ht="15.75" customHeight="1">
      <c r="A1097" s="287">
        <v>30024.0</v>
      </c>
      <c r="B1097" s="287" t="s">
        <v>2455</v>
      </c>
      <c r="C1097" s="287" t="s">
        <v>389</v>
      </c>
      <c r="D1097" s="287" t="s">
        <v>369</v>
      </c>
      <c r="E1097" s="287" t="b">
        <v>1</v>
      </c>
      <c r="F1097" s="287" t="b">
        <v>1</v>
      </c>
      <c r="G1097" s="287" t="s">
        <v>2456</v>
      </c>
      <c r="H1097" s="40"/>
      <c r="I1097" s="40"/>
      <c r="J1097" s="40"/>
      <c r="K1097" s="286"/>
      <c r="L1097" s="286"/>
      <c r="M1097" s="40"/>
      <c r="N1097" s="40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</row>
    <row r="1098" ht="15.75" customHeight="1">
      <c r="A1098" s="287">
        <v>15433.0</v>
      </c>
      <c r="B1098" s="287" t="s">
        <v>2457</v>
      </c>
      <c r="C1098" s="287" t="s">
        <v>42</v>
      </c>
      <c r="D1098" s="287" t="s">
        <v>369</v>
      </c>
      <c r="E1098" s="287" t="b">
        <v>1</v>
      </c>
      <c r="F1098" s="287" t="b">
        <v>1</v>
      </c>
      <c r="G1098" s="287" t="s">
        <v>250</v>
      </c>
      <c r="H1098" s="40"/>
      <c r="I1098" s="40"/>
      <c r="J1098" s="40"/>
      <c r="K1098" s="286"/>
      <c r="L1098" s="286"/>
      <c r="M1098" s="40"/>
      <c r="N1098" s="40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</row>
    <row r="1099" ht="15.75" customHeight="1">
      <c r="A1099" s="287">
        <v>15478.0</v>
      </c>
      <c r="B1099" s="287" t="s">
        <v>2458</v>
      </c>
      <c r="C1099" s="287" t="s">
        <v>42</v>
      </c>
      <c r="D1099" s="287" t="s">
        <v>369</v>
      </c>
      <c r="E1099" s="287" t="b">
        <v>1</v>
      </c>
      <c r="F1099" s="287" t="b">
        <v>1</v>
      </c>
      <c r="G1099" s="287" t="s">
        <v>250</v>
      </c>
      <c r="H1099" s="40"/>
      <c r="I1099" s="40"/>
      <c r="J1099" s="40"/>
      <c r="K1099" s="286"/>
      <c r="L1099" s="286"/>
      <c r="M1099" s="40"/>
      <c r="N1099" s="40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</row>
    <row r="1100" ht="15.75" customHeight="1">
      <c r="A1100" s="287">
        <v>15434.0</v>
      </c>
      <c r="B1100" s="287" t="s">
        <v>2459</v>
      </c>
      <c r="C1100" s="287" t="s">
        <v>42</v>
      </c>
      <c r="D1100" s="287" t="s">
        <v>369</v>
      </c>
      <c r="E1100" s="287" t="b">
        <v>1</v>
      </c>
      <c r="F1100" s="287" t="b">
        <v>1</v>
      </c>
      <c r="G1100" s="287" t="s">
        <v>250</v>
      </c>
      <c r="H1100" s="40"/>
      <c r="I1100" s="40"/>
      <c r="J1100" s="40"/>
      <c r="K1100" s="286"/>
      <c r="L1100" s="286"/>
      <c r="M1100" s="40"/>
      <c r="N1100" s="40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</row>
    <row r="1101" ht="15.75" customHeight="1">
      <c r="A1101" s="287">
        <v>15436.0</v>
      </c>
      <c r="B1101" s="287" t="s">
        <v>2460</v>
      </c>
      <c r="C1101" s="287" t="s">
        <v>42</v>
      </c>
      <c r="D1101" s="287" t="s">
        <v>369</v>
      </c>
      <c r="E1101" s="287" t="b">
        <v>1</v>
      </c>
      <c r="F1101" s="287" t="b">
        <v>1</v>
      </c>
      <c r="G1101" s="287" t="s">
        <v>250</v>
      </c>
      <c r="H1101" s="40"/>
      <c r="I1101" s="40"/>
      <c r="J1101" s="40"/>
      <c r="K1101" s="286"/>
      <c r="L1101" s="286"/>
      <c r="M1101" s="40"/>
      <c r="N1101" s="40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</row>
    <row r="1102" ht="15.75" customHeight="1">
      <c r="A1102" s="287">
        <v>15447.0</v>
      </c>
      <c r="B1102" s="287" t="s">
        <v>2461</v>
      </c>
      <c r="C1102" s="287" t="s">
        <v>42</v>
      </c>
      <c r="D1102" s="287" t="s">
        <v>369</v>
      </c>
      <c r="E1102" s="287" t="b">
        <v>1</v>
      </c>
      <c r="F1102" s="287" t="b">
        <v>1</v>
      </c>
      <c r="G1102" s="287" t="s">
        <v>250</v>
      </c>
      <c r="H1102" s="40"/>
      <c r="I1102" s="40"/>
      <c r="J1102" s="40"/>
      <c r="K1102" s="286"/>
      <c r="L1102" s="286"/>
      <c r="M1102" s="40"/>
      <c r="N1102" s="40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</row>
    <row r="1103" ht="15.75" customHeight="1">
      <c r="A1103" s="287">
        <v>15500.0</v>
      </c>
      <c r="B1103" s="287" t="s">
        <v>2462</v>
      </c>
      <c r="C1103" s="287" t="s">
        <v>42</v>
      </c>
      <c r="D1103" s="287" t="s">
        <v>369</v>
      </c>
      <c r="E1103" s="287" t="b">
        <v>1</v>
      </c>
      <c r="F1103" s="287" t="b">
        <v>1</v>
      </c>
      <c r="G1103" s="287" t="s">
        <v>250</v>
      </c>
      <c r="H1103" s="40"/>
      <c r="I1103" s="40"/>
      <c r="J1103" s="40"/>
      <c r="K1103" s="286"/>
      <c r="L1103" s="286"/>
      <c r="M1103" s="40"/>
      <c r="N1103" s="40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</row>
    <row r="1104" ht="15.75" customHeight="1">
      <c r="A1104" s="287">
        <v>111808.0</v>
      </c>
      <c r="B1104" s="287" t="s">
        <v>2463</v>
      </c>
      <c r="C1104" s="287" t="s">
        <v>972</v>
      </c>
      <c r="D1104" s="287" t="s">
        <v>369</v>
      </c>
      <c r="E1104" s="287" t="b">
        <v>1</v>
      </c>
      <c r="F1104" s="287" t="b">
        <v>1</v>
      </c>
      <c r="G1104" s="287" t="s">
        <v>250</v>
      </c>
      <c r="H1104" s="40"/>
      <c r="I1104" s="40"/>
      <c r="J1104" s="40"/>
      <c r="K1104" s="286"/>
      <c r="L1104" s="286"/>
      <c r="M1104" s="40"/>
      <c r="N1104" s="40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</row>
    <row r="1105" ht="15.75" customHeight="1">
      <c r="A1105" s="287">
        <v>11838.0</v>
      </c>
      <c r="B1105" s="287" t="s">
        <v>2464</v>
      </c>
      <c r="C1105" s="287" t="s">
        <v>42</v>
      </c>
      <c r="D1105" s="287" t="s">
        <v>369</v>
      </c>
      <c r="E1105" s="287" t="b">
        <v>1</v>
      </c>
      <c r="F1105" s="287" t="b">
        <v>1</v>
      </c>
      <c r="G1105" s="287" t="s">
        <v>250</v>
      </c>
      <c r="H1105" s="40"/>
      <c r="I1105" s="40"/>
      <c r="J1105" s="40"/>
      <c r="K1105" s="286"/>
      <c r="L1105" s="286"/>
      <c r="M1105" s="40"/>
      <c r="N1105" s="40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</row>
    <row r="1106" ht="15.75" customHeight="1">
      <c r="A1106" s="287">
        <v>15427.0</v>
      </c>
      <c r="B1106" s="287" t="s">
        <v>2465</v>
      </c>
      <c r="C1106" s="287" t="s">
        <v>42</v>
      </c>
      <c r="D1106" s="287" t="s">
        <v>369</v>
      </c>
      <c r="E1106" s="287" t="b">
        <v>1</v>
      </c>
      <c r="F1106" s="287" t="b">
        <v>1</v>
      </c>
      <c r="G1106" s="287" t="s">
        <v>250</v>
      </c>
      <c r="H1106" s="40"/>
      <c r="I1106" s="40"/>
      <c r="J1106" s="40"/>
      <c r="K1106" s="286"/>
      <c r="L1106" s="286"/>
      <c r="M1106" s="40"/>
      <c r="N1106" s="40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</row>
    <row r="1107" ht="15.75" customHeight="1">
      <c r="A1107" s="287">
        <v>15444.0</v>
      </c>
      <c r="B1107" s="287" t="s">
        <v>2466</v>
      </c>
      <c r="C1107" s="287" t="s">
        <v>42</v>
      </c>
      <c r="D1107" s="287" t="s">
        <v>369</v>
      </c>
      <c r="E1107" s="287" t="b">
        <v>1</v>
      </c>
      <c r="F1107" s="287" t="b">
        <v>1</v>
      </c>
      <c r="G1107" s="287" t="s">
        <v>250</v>
      </c>
      <c r="H1107" s="40"/>
      <c r="I1107" s="40"/>
      <c r="J1107" s="40"/>
      <c r="K1107" s="286"/>
      <c r="L1107" s="286"/>
      <c r="M1107" s="40"/>
      <c r="N1107" s="40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</row>
    <row r="1108" ht="15.75" customHeight="1">
      <c r="A1108" s="287">
        <v>11842.0</v>
      </c>
      <c r="B1108" s="287" t="s">
        <v>2467</v>
      </c>
      <c r="C1108" s="287" t="s">
        <v>42</v>
      </c>
      <c r="D1108" s="287" t="s">
        <v>369</v>
      </c>
      <c r="E1108" s="287" t="b">
        <v>1</v>
      </c>
      <c r="F1108" s="287" t="b">
        <v>1</v>
      </c>
      <c r="G1108" s="287" t="s">
        <v>250</v>
      </c>
      <c r="H1108" s="40"/>
      <c r="I1108" s="40"/>
      <c r="J1108" s="40"/>
      <c r="K1108" s="286"/>
      <c r="L1108" s="286"/>
      <c r="M1108" s="40"/>
      <c r="N1108" s="40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</row>
    <row r="1109" ht="15.75" customHeight="1">
      <c r="A1109" s="287">
        <v>15442.0</v>
      </c>
      <c r="B1109" s="287" t="s">
        <v>2468</v>
      </c>
      <c r="C1109" s="287" t="s">
        <v>42</v>
      </c>
      <c r="D1109" s="287" t="s">
        <v>369</v>
      </c>
      <c r="E1109" s="287" t="b">
        <v>1</v>
      </c>
      <c r="F1109" s="287" t="b">
        <v>1</v>
      </c>
      <c r="G1109" s="287" t="s">
        <v>250</v>
      </c>
      <c r="H1109" s="40"/>
      <c r="I1109" s="40"/>
      <c r="J1109" s="40"/>
      <c r="K1109" s="286"/>
      <c r="L1109" s="286"/>
      <c r="M1109" s="40"/>
      <c r="N1109" s="40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</row>
    <row r="1110" ht="15.75" customHeight="1">
      <c r="A1110" s="287">
        <v>15446.0</v>
      </c>
      <c r="B1110" s="287" t="s">
        <v>2469</v>
      </c>
      <c r="C1110" s="287" t="s">
        <v>42</v>
      </c>
      <c r="D1110" s="287" t="s">
        <v>369</v>
      </c>
      <c r="E1110" s="287" t="b">
        <v>1</v>
      </c>
      <c r="F1110" s="287" t="b">
        <v>1</v>
      </c>
      <c r="G1110" s="287" t="s">
        <v>250</v>
      </c>
      <c r="H1110" s="40"/>
      <c r="I1110" s="40"/>
      <c r="J1110" s="40"/>
      <c r="K1110" s="286"/>
      <c r="L1110" s="286"/>
      <c r="M1110" s="40"/>
      <c r="N1110" s="40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</row>
    <row r="1111" ht="15.75" customHeight="1">
      <c r="A1111" s="287">
        <v>15540.0</v>
      </c>
      <c r="B1111" s="287" t="s">
        <v>2470</v>
      </c>
      <c r="C1111" s="287" t="s">
        <v>42</v>
      </c>
      <c r="D1111" s="287" t="s">
        <v>369</v>
      </c>
      <c r="E1111" s="287" t="b">
        <v>1</v>
      </c>
      <c r="F1111" s="287" t="b">
        <v>1</v>
      </c>
      <c r="G1111" s="287" t="s">
        <v>250</v>
      </c>
      <c r="H1111" s="40"/>
      <c r="I1111" s="40"/>
      <c r="J1111" s="40"/>
      <c r="K1111" s="286"/>
      <c r="L1111" s="286"/>
      <c r="M1111" s="40"/>
      <c r="N1111" s="40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</row>
    <row r="1112" ht="15.75" customHeight="1">
      <c r="A1112" s="287">
        <v>148644.0</v>
      </c>
      <c r="B1112" s="287" t="s">
        <v>2742</v>
      </c>
      <c r="C1112" s="287" t="s">
        <v>289</v>
      </c>
      <c r="D1112" s="287" t="s">
        <v>518</v>
      </c>
      <c r="E1112" s="287" t="b">
        <v>1</v>
      </c>
      <c r="F1112" s="287" t="b">
        <v>0</v>
      </c>
      <c r="G1112" s="287" t="s">
        <v>2743</v>
      </c>
      <c r="H1112" s="40"/>
      <c r="I1112" s="40"/>
      <c r="J1112" s="40"/>
      <c r="K1112" s="286"/>
      <c r="L1112" s="286"/>
      <c r="M1112" s="40"/>
      <c r="N1112" s="40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</row>
    <row r="1113" ht="15.75" customHeight="1">
      <c r="A1113" s="287">
        <v>24431.0</v>
      </c>
      <c r="B1113" s="287" t="s">
        <v>2474</v>
      </c>
      <c r="C1113" s="287" t="s">
        <v>2744</v>
      </c>
      <c r="D1113" s="287" t="s">
        <v>249</v>
      </c>
      <c r="E1113" s="287" t="b">
        <v>1</v>
      </c>
      <c r="F1113" s="287" t="b">
        <v>1</v>
      </c>
      <c r="G1113" s="287" t="s">
        <v>250</v>
      </c>
      <c r="H1113" s="40"/>
      <c r="I1113" s="40"/>
      <c r="J1113" s="40"/>
      <c r="K1113" s="286"/>
      <c r="L1113" s="286"/>
      <c r="M1113" s="40"/>
      <c r="N1113" s="40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</row>
    <row r="1114" ht="15.75" customHeight="1">
      <c r="A1114" s="287">
        <v>14831.0</v>
      </c>
      <c r="B1114" s="287" t="s">
        <v>2476</v>
      </c>
      <c r="C1114" s="287" t="s">
        <v>42</v>
      </c>
      <c r="D1114" s="287" t="s">
        <v>518</v>
      </c>
      <c r="E1114" s="287" t="b">
        <v>1</v>
      </c>
      <c r="F1114" s="287" t="b">
        <v>1</v>
      </c>
      <c r="G1114" s="287" t="s">
        <v>250</v>
      </c>
      <c r="H1114" s="40"/>
      <c r="I1114" s="40"/>
      <c r="J1114" s="40"/>
      <c r="K1114" s="286"/>
      <c r="L1114" s="286"/>
      <c r="M1114" s="40"/>
      <c r="N1114" s="40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</row>
    <row r="1115" ht="15.75" customHeight="1">
      <c r="A1115" s="287">
        <v>106604.0</v>
      </c>
      <c r="B1115" s="287" t="s">
        <v>2745</v>
      </c>
      <c r="C1115" s="287" t="s">
        <v>42</v>
      </c>
      <c r="D1115" s="287" t="s">
        <v>249</v>
      </c>
      <c r="E1115" s="287" t="b">
        <v>1</v>
      </c>
      <c r="F1115" s="287" t="b">
        <v>1</v>
      </c>
      <c r="G1115" s="287" t="s">
        <v>250</v>
      </c>
      <c r="H1115" s="40"/>
      <c r="I1115" s="40"/>
      <c r="J1115" s="40"/>
      <c r="K1115" s="286"/>
      <c r="L1115" s="286"/>
      <c r="M1115" s="40"/>
      <c r="N1115" s="40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</row>
    <row r="1116" ht="15.75" customHeight="1">
      <c r="A1116" s="287">
        <v>20880.0</v>
      </c>
      <c r="B1116" s="287" t="s">
        <v>2485</v>
      </c>
      <c r="C1116" s="287" t="s">
        <v>42</v>
      </c>
      <c r="D1116" s="287" t="s">
        <v>518</v>
      </c>
      <c r="E1116" s="287" t="b">
        <v>1</v>
      </c>
      <c r="F1116" s="287" t="b">
        <v>1</v>
      </c>
      <c r="G1116" s="287" t="s">
        <v>250</v>
      </c>
      <c r="H1116" s="40"/>
      <c r="I1116" s="40"/>
      <c r="J1116" s="40"/>
      <c r="K1116" s="286"/>
      <c r="L1116" s="286"/>
      <c r="M1116" s="40"/>
      <c r="N1116" s="40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</row>
    <row r="1117" ht="15.75" customHeight="1">
      <c r="A1117" s="287">
        <v>101990.0</v>
      </c>
      <c r="B1117" s="287" t="s">
        <v>2486</v>
      </c>
      <c r="C1117" s="287" t="s">
        <v>2038</v>
      </c>
      <c r="D1117" s="287" t="s">
        <v>518</v>
      </c>
      <c r="E1117" s="287" t="b">
        <v>1</v>
      </c>
      <c r="F1117" s="287" t="b">
        <v>1</v>
      </c>
      <c r="G1117" s="287" t="s">
        <v>250</v>
      </c>
      <c r="H1117" s="40"/>
      <c r="I1117" s="40"/>
      <c r="J1117" s="40"/>
      <c r="K1117" s="286"/>
      <c r="L1117" s="286"/>
      <c r="M1117" s="40"/>
      <c r="N1117" s="40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</row>
    <row r="1118" ht="15.75" customHeight="1">
      <c r="A1118" s="287">
        <v>101991.0</v>
      </c>
      <c r="B1118" s="287" t="s">
        <v>2746</v>
      </c>
      <c r="C1118" s="287" t="s">
        <v>2747</v>
      </c>
      <c r="D1118" s="287" t="s">
        <v>518</v>
      </c>
      <c r="E1118" s="287" t="b">
        <v>1</v>
      </c>
      <c r="F1118" s="287" t="b">
        <v>0</v>
      </c>
      <c r="G1118" s="287" t="s">
        <v>250</v>
      </c>
      <c r="H1118" s="40"/>
      <c r="I1118" s="40"/>
      <c r="J1118" s="40"/>
      <c r="K1118" s="286"/>
      <c r="L1118" s="286"/>
      <c r="M1118" s="40"/>
      <c r="N1118" s="40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</row>
    <row r="1119" ht="15.75" customHeight="1">
      <c r="A1119" s="287">
        <v>145537.0</v>
      </c>
      <c r="B1119" s="287" t="s">
        <v>2489</v>
      </c>
      <c r="C1119" s="287" t="s">
        <v>2491</v>
      </c>
      <c r="D1119" s="287" t="s">
        <v>369</v>
      </c>
      <c r="E1119" s="287" t="b">
        <v>1</v>
      </c>
      <c r="F1119" s="287" t="b">
        <v>1</v>
      </c>
      <c r="G1119" s="287" t="s">
        <v>250</v>
      </c>
      <c r="H1119" s="40"/>
      <c r="I1119" s="40"/>
      <c r="J1119" s="40"/>
      <c r="K1119" s="286"/>
      <c r="L1119" s="286"/>
      <c r="M1119" s="40"/>
      <c r="N1119" s="40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</row>
    <row r="1120" ht="15.75" customHeight="1">
      <c r="A1120" s="287">
        <v>145538.0</v>
      </c>
      <c r="B1120" s="287" t="s">
        <v>2492</v>
      </c>
      <c r="C1120" s="287" t="s">
        <v>2748</v>
      </c>
      <c r="D1120" s="287" t="s">
        <v>369</v>
      </c>
      <c r="E1120" s="287" t="b">
        <v>1</v>
      </c>
      <c r="F1120" s="287" t="b">
        <v>1</v>
      </c>
      <c r="G1120" s="287" t="s">
        <v>250</v>
      </c>
      <c r="H1120" s="40"/>
      <c r="I1120" s="40"/>
      <c r="J1120" s="40"/>
      <c r="K1120" s="286"/>
      <c r="L1120" s="286"/>
      <c r="M1120" s="40"/>
      <c r="N1120" s="40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</row>
    <row r="1121" ht="15.75" customHeight="1">
      <c r="A1121" s="287">
        <v>51247.0</v>
      </c>
      <c r="B1121" s="287" t="s">
        <v>2498</v>
      </c>
      <c r="C1121" s="287" t="s">
        <v>2749</v>
      </c>
      <c r="D1121" s="287" t="s">
        <v>518</v>
      </c>
      <c r="E1121" s="287" t="b">
        <v>1</v>
      </c>
      <c r="F1121" s="287" t="b">
        <v>1</v>
      </c>
      <c r="G1121" s="287" t="s">
        <v>2501</v>
      </c>
      <c r="H1121" s="40"/>
      <c r="I1121" s="40"/>
      <c r="J1121" s="40"/>
      <c r="K1121" s="286"/>
      <c r="L1121" s="286"/>
      <c r="M1121" s="40"/>
      <c r="N1121" s="40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</row>
    <row r="1122" ht="15.75" customHeight="1">
      <c r="A1122" s="287">
        <v>10275.0</v>
      </c>
      <c r="B1122" s="287" t="s">
        <v>2503</v>
      </c>
      <c r="C1122" s="287" t="s">
        <v>42</v>
      </c>
      <c r="D1122" s="287" t="s">
        <v>518</v>
      </c>
      <c r="E1122" s="287" t="b">
        <v>1</v>
      </c>
      <c r="F1122" s="287" t="b">
        <v>1</v>
      </c>
      <c r="G1122" s="287" t="s">
        <v>250</v>
      </c>
      <c r="H1122" s="40"/>
      <c r="I1122" s="40"/>
      <c r="J1122" s="40"/>
      <c r="K1122" s="286"/>
      <c r="L1122" s="286"/>
      <c r="M1122" s="40"/>
      <c r="N1122" s="40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</row>
    <row r="1123" ht="15.75" customHeight="1">
      <c r="A1123" s="287">
        <v>10217.0</v>
      </c>
      <c r="B1123" s="287" t="s">
        <v>2505</v>
      </c>
      <c r="C1123" s="287" t="s">
        <v>2750</v>
      </c>
      <c r="D1123" s="287" t="s">
        <v>518</v>
      </c>
      <c r="E1123" s="287" t="b">
        <v>1</v>
      </c>
      <c r="F1123" s="287" t="b">
        <v>1</v>
      </c>
      <c r="G1123" s="287" t="s">
        <v>250</v>
      </c>
      <c r="H1123" s="40"/>
      <c r="I1123" s="40"/>
      <c r="J1123" s="40"/>
      <c r="K1123" s="286"/>
      <c r="L1123" s="286"/>
      <c r="M1123" s="40"/>
      <c r="N1123" s="40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</row>
    <row r="1124" ht="15.75" customHeight="1">
      <c r="A1124" s="287">
        <v>142741.0</v>
      </c>
      <c r="B1124" s="287" t="s">
        <v>2507</v>
      </c>
      <c r="C1124" s="287" t="s">
        <v>1925</v>
      </c>
      <c r="D1124" s="287" t="s">
        <v>518</v>
      </c>
      <c r="E1124" s="287" t="b">
        <v>1</v>
      </c>
      <c r="F1124" s="287" t="b">
        <v>1</v>
      </c>
      <c r="G1124" s="287" t="s">
        <v>2510</v>
      </c>
      <c r="H1124" s="40"/>
      <c r="I1124" s="40"/>
      <c r="J1124" s="40"/>
      <c r="K1124" s="286"/>
      <c r="L1124" s="286"/>
      <c r="M1124" s="40"/>
      <c r="N1124" s="40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</row>
    <row r="1125" ht="15.75" customHeight="1">
      <c r="A1125" s="287">
        <v>42304.0</v>
      </c>
      <c r="B1125" s="287" t="s">
        <v>1846</v>
      </c>
      <c r="C1125" s="287" t="s">
        <v>65</v>
      </c>
      <c r="D1125" s="287" t="s">
        <v>369</v>
      </c>
      <c r="E1125" s="287" t="b">
        <v>1</v>
      </c>
      <c r="F1125" s="287" t="b">
        <v>1</v>
      </c>
      <c r="G1125" s="287" t="s">
        <v>250</v>
      </c>
      <c r="H1125" s="40"/>
      <c r="I1125" s="40"/>
      <c r="J1125" s="40"/>
      <c r="K1125" s="286"/>
      <c r="L1125" s="286"/>
      <c r="M1125" s="40"/>
      <c r="N1125" s="40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</row>
    <row r="1126" ht="15.75" customHeight="1">
      <c r="A1126" s="287">
        <v>142536.0</v>
      </c>
      <c r="B1126" s="287" t="s">
        <v>2513</v>
      </c>
      <c r="C1126" s="287" t="s">
        <v>42</v>
      </c>
      <c r="D1126" s="287" t="s">
        <v>369</v>
      </c>
      <c r="E1126" s="287" t="b">
        <v>1</v>
      </c>
      <c r="F1126" s="287" t="b">
        <v>1</v>
      </c>
      <c r="G1126" s="287" t="s">
        <v>250</v>
      </c>
      <c r="H1126" s="40"/>
      <c r="I1126" s="40"/>
      <c r="J1126" s="40"/>
      <c r="K1126" s="286"/>
      <c r="L1126" s="286"/>
      <c r="M1126" s="40"/>
      <c r="N1126" s="40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</row>
    <row r="1127" ht="15.75" customHeight="1">
      <c r="A1127" s="287">
        <v>42445.0</v>
      </c>
      <c r="B1127" s="287" t="s">
        <v>2515</v>
      </c>
      <c r="C1127" s="287" t="s">
        <v>972</v>
      </c>
      <c r="D1127" s="287" t="s">
        <v>369</v>
      </c>
      <c r="E1127" s="287" t="b">
        <v>1</v>
      </c>
      <c r="F1127" s="287" t="b">
        <v>1</v>
      </c>
      <c r="G1127" s="287" t="s">
        <v>250</v>
      </c>
      <c r="H1127" s="40"/>
      <c r="I1127" s="40"/>
      <c r="J1127" s="40"/>
      <c r="K1127" s="286"/>
      <c r="L1127" s="286"/>
      <c r="M1127" s="40"/>
      <c r="N1127" s="40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</row>
    <row r="1128" ht="15.75" customHeight="1">
      <c r="A1128" s="287">
        <v>107428.0</v>
      </c>
      <c r="B1128" s="287" t="s">
        <v>2518</v>
      </c>
      <c r="C1128" s="287" t="s">
        <v>972</v>
      </c>
      <c r="D1128" s="287" t="s">
        <v>518</v>
      </c>
      <c r="E1128" s="287" t="b">
        <v>1</v>
      </c>
      <c r="F1128" s="287" t="b">
        <v>1</v>
      </c>
      <c r="G1128" s="287" t="s">
        <v>250</v>
      </c>
      <c r="H1128" s="40"/>
      <c r="I1128" s="40"/>
      <c r="J1128" s="40"/>
      <c r="K1128" s="286"/>
      <c r="L1128" s="286"/>
      <c r="M1128" s="40"/>
      <c r="N1128" s="40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</row>
    <row r="1129" ht="15.75" customHeight="1">
      <c r="A1129" s="287">
        <v>110076.0</v>
      </c>
      <c r="B1129" s="287">
        <v>16320.0</v>
      </c>
      <c r="C1129" s="287" t="s">
        <v>1511</v>
      </c>
      <c r="D1129" s="287" t="s">
        <v>42</v>
      </c>
      <c r="E1129" s="287" t="s">
        <v>518</v>
      </c>
      <c r="F1129" s="287" t="b">
        <v>1</v>
      </c>
      <c r="G1129" s="287" t="b">
        <v>1</v>
      </c>
      <c r="H1129" s="287" t="s">
        <v>1074</v>
      </c>
      <c r="I1129" s="40"/>
      <c r="J1129" s="40"/>
      <c r="K1129" s="286"/>
      <c r="L1129" s="286"/>
      <c r="M1129" s="40"/>
      <c r="N1129" s="40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</row>
    <row r="1130" ht="15.75" customHeight="1">
      <c r="A1130" s="287">
        <v>15462.0</v>
      </c>
      <c r="B1130" s="287">
        <v>142509.0</v>
      </c>
      <c r="C1130" s="287" t="s">
        <v>2652</v>
      </c>
      <c r="D1130" s="287" t="s">
        <v>42</v>
      </c>
      <c r="E1130" s="287" t="s">
        <v>518</v>
      </c>
      <c r="F1130" s="287" t="b">
        <v>1</v>
      </c>
      <c r="G1130" s="287" t="b">
        <v>1</v>
      </c>
      <c r="H1130" s="287" t="s">
        <v>250</v>
      </c>
      <c r="I1130" s="40"/>
      <c r="J1130" s="40"/>
      <c r="K1130" s="286"/>
      <c r="L1130" s="286"/>
      <c r="M1130" s="40"/>
      <c r="N1130" s="40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</row>
    <row r="1131" ht="15.75" customHeight="1">
      <c r="A1131" s="287">
        <v>15619.0</v>
      </c>
      <c r="B1131" s="287">
        <v>16266.0</v>
      </c>
      <c r="C1131" s="287" t="s">
        <v>1515</v>
      </c>
      <c r="D1131" s="287" t="s">
        <v>1428</v>
      </c>
      <c r="E1131" s="287" t="s">
        <v>518</v>
      </c>
      <c r="F1131" s="287" t="b">
        <v>1</v>
      </c>
      <c r="G1131" s="287" t="b">
        <v>1</v>
      </c>
      <c r="H1131" s="287" t="s">
        <v>1074</v>
      </c>
      <c r="I1131" s="40"/>
      <c r="J1131" s="40"/>
      <c r="K1131" s="286"/>
      <c r="L1131" s="286"/>
      <c r="M1131" s="40"/>
      <c r="N1131" s="40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</row>
    <row r="1132" ht="15.75" customHeight="1">
      <c r="A1132" s="287">
        <v>110052.0</v>
      </c>
      <c r="B1132" s="287">
        <v>18644.0</v>
      </c>
      <c r="C1132" s="287" t="s">
        <v>1516</v>
      </c>
      <c r="D1132" s="287" t="s">
        <v>1520</v>
      </c>
      <c r="E1132" s="287" t="s">
        <v>518</v>
      </c>
      <c r="F1132" s="287" t="b">
        <v>1</v>
      </c>
      <c r="G1132" s="287" t="b">
        <v>1</v>
      </c>
      <c r="H1132" s="287" t="s">
        <v>1074</v>
      </c>
      <c r="I1132" s="40"/>
      <c r="J1132" s="40"/>
      <c r="K1132" s="286"/>
      <c r="L1132" s="286"/>
      <c r="M1132" s="40"/>
      <c r="N1132" s="40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</row>
    <row r="1133" ht="15.75" customHeight="1">
      <c r="A1133" s="287">
        <v>36433.0</v>
      </c>
      <c r="B1133" s="287">
        <v>142069.0</v>
      </c>
      <c r="C1133" s="287" t="s">
        <v>1521</v>
      </c>
      <c r="D1133" s="287" t="s">
        <v>42</v>
      </c>
      <c r="E1133" s="287" t="s">
        <v>518</v>
      </c>
      <c r="F1133" s="287" t="b">
        <v>1</v>
      </c>
      <c r="G1133" s="287" t="b">
        <v>1</v>
      </c>
      <c r="H1133" s="287" t="s">
        <v>250</v>
      </c>
      <c r="I1133" s="40"/>
      <c r="J1133" s="40"/>
      <c r="K1133" s="286"/>
      <c r="L1133" s="286"/>
      <c r="M1133" s="40"/>
      <c r="N1133" s="40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</row>
    <row r="1134" ht="15.75" customHeight="1">
      <c r="A1134" s="287">
        <v>15464.0</v>
      </c>
      <c r="B1134" s="287">
        <v>62951.0</v>
      </c>
      <c r="C1134" s="287" t="s">
        <v>1522</v>
      </c>
      <c r="D1134" s="287" t="s">
        <v>42</v>
      </c>
      <c r="E1134" s="287" t="s">
        <v>518</v>
      </c>
      <c r="F1134" s="287" t="b">
        <v>1</v>
      </c>
      <c r="G1134" s="287" t="b">
        <v>1</v>
      </c>
      <c r="H1134" s="287" t="s">
        <v>250</v>
      </c>
      <c r="I1134" s="40"/>
      <c r="J1134" s="40"/>
      <c r="K1134" s="286"/>
      <c r="L1134" s="286"/>
      <c r="M1134" s="40"/>
      <c r="N1134" s="40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</row>
    <row r="1135" ht="15.75" customHeight="1">
      <c r="A1135" s="287">
        <v>111089.0</v>
      </c>
      <c r="B1135" s="287">
        <v>16268.0</v>
      </c>
      <c r="C1135" s="287" t="s">
        <v>1523</v>
      </c>
      <c r="D1135" s="287" t="s">
        <v>1524</v>
      </c>
      <c r="E1135" s="287" t="s">
        <v>518</v>
      </c>
      <c r="F1135" s="287" t="b">
        <v>1</v>
      </c>
      <c r="G1135" s="287" t="b">
        <v>1</v>
      </c>
      <c r="H1135" s="287" t="s">
        <v>250</v>
      </c>
      <c r="I1135" s="40"/>
      <c r="J1135" s="40"/>
      <c r="K1135" s="286"/>
      <c r="L1135" s="286"/>
      <c r="M1135" s="40"/>
      <c r="N1135" s="40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</row>
    <row r="1136" ht="15.75" customHeight="1">
      <c r="A1136" s="287">
        <v>104559.0</v>
      </c>
      <c r="B1136" s="287">
        <v>106302.0</v>
      </c>
      <c r="C1136" s="287" t="s">
        <v>1525</v>
      </c>
      <c r="D1136" s="287" t="s">
        <v>65</v>
      </c>
      <c r="E1136" s="287" t="s">
        <v>518</v>
      </c>
      <c r="F1136" s="287" t="b">
        <v>1</v>
      </c>
      <c r="G1136" s="287" t="b">
        <v>1</v>
      </c>
      <c r="H1136" s="287" t="s">
        <v>1251</v>
      </c>
      <c r="I1136" s="40"/>
      <c r="J1136" s="40"/>
      <c r="K1136" s="286"/>
      <c r="L1136" s="286"/>
      <c r="M1136" s="40"/>
      <c r="N1136" s="40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</row>
    <row r="1137" ht="15.75" customHeight="1">
      <c r="A1137" s="287">
        <v>15547.0</v>
      </c>
      <c r="B1137" s="287">
        <v>111038.0</v>
      </c>
      <c r="C1137" s="287" t="s">
        <v>2653</v>
      </c>
      <c r="D1137" s="287" t="s">
        <v>972</v>
      </c>
      <c r="E1137" s="287" t="s">
        <v>518</v>
      </c>
      <c r="F1137" s="287" t="b">
        <v>1</v>
      </c>
      <c r="G1137" s="287" t="b">
        <v>0</v>
      </c>
      <c r="H1137" s="287" t="s">
        <v>250</v>
      </c>
      <c r="I1137" s="40"/>
      <c r="J1137" s="40"/>
      <c r="K1137" s="286"/>
      <c r="L1137" s="286"/>
      <c r="M1137" s="40"/>
      <c r="N1137" s="40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</row>
    <row r="1138" ht="15.75" customHeight="1">
      <c r="A1138" s="287">
        <v>15508.0</v>
      </c>
      <c r="B1138" s="287">
        <v>142507.0</v>
      </c>
      <c r="C1138" s="287" t="s">
        <v>1527</v>
      </c>
      <c r="D1138" s="287" t="s">
        <v>42</v>
      </c>
      <c r="E1138" s="287" t="s">
        <v>518</v>
      </c>
      <c r="F1138" s="287" t="b">
        <v>1</v>
      </c>
      <c r="G1138" s="287" t="b">
        <v>1</v>
      </c>
      <c r="H1138" s="287" t="s">
        <v>2613</v>
      </c>
      <c r="I1138" s="40"/>
      <c r="J1138" s="40"/>
      <c r="K1138" s="286"/>
      <c r="L1138" s="286"/>
      <c r="M1138" s="40"/>
      <c r="N1138" s="40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</row>
    <row r="1139" ht="15.75" customHeight="1">
      <c r="A1139" s="287">
        <v>30479.0</v>
      </c>
      <c r="B1139" s="287">
        <v>109697.0</v>
      </c>
      <c r="C1139" s="287" t="s">
        <v>1529</v>
      </c>
      <c r="D1139" s="287" t="s">
        <v>389</v>
      </c>
      <c r="E1139" s="287" t="s">
        <v>518</v>
      </c>
      <c r="F1139" s="287" t="b">
        <v>1</v>
      </c>
      <c r="G1139" s="287" t="b">
        <v>1</v>
      </c>
      <c r="H1139" s="287" t="s">
        <v>250</v>
      </c>
      <c r="I1139" s="40"/>
      <c r="J1139" s="40"/>
      <c r="K1139" s="286"/>
      <c r="L1139" s="286"/>
      <c r="M1139" s="40"/>
      <c r="N1139" s="40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</row>
    <row r="1140" ht="15.75" customHeight="1">
      <c r="A1140" s="287">
        <v>109766.0</v>
      </c>
      <c r="B1140" s="287">
        <v>16269.0</v>
      </c>
      <c r="C1140" s="287" t="s">
        <v>1531</v>
      </c>
      <c r="D1140" s="287" t="s">
        <v>42</v>
      </c>
      <c r="E1140" s="287" t="s">
        <v>518</v>
      </c>
      <c r="F1140" s="287" t="b">
        <v>1</v>
      </c>
      <c r="G1140" s="287" t="b">
        <v>1</v>
      </c>
      <c r="H1140" s="287" t="s">
        <v>250</v>
      </c>
      <c r="I1140" s="40"/>
      <c r="J1140" s="40"/>
      <c r="K1140" s="286"/>
      <c r="L1140" s="286"/>
      <c r="M1140" s="40"/>
      <c r="N1140" s="40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</row>
    <row r="1141" ht="15.75" customHeight="1">
      <c r="A1141" s="287">
        <v>15466.0</v>
      </c>
      <c r="B1141" s="287">
        <v>112723.0</v>
      </c>
      <c r="C1141" s="287" t="s">
        <v>1532</v>
      </c>
      <c r="D1141" s="287" t="s">
        <v>1534</v>
      </c>
      <c r="E1141" s="287" t="s">
        <v>518</v>
      </c>
      <c r="F1141" s="287" t="b">
        <v>1</v>
      </c>
      <c r="G1141" s="287" t="b">
        <v>1</v>
      </c>
      <c r="H1141" s="287" t="s">
        <v>2654</v>
      </c>
      <c r="I1141" s="40"/>
      <c r="J1141" s="40"/>
      <c r="K1141" s="286"/>
      <c r="L1141" s="286"/>
      <c r="M1141" s="40"/>
      <c r="N1141" s="40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</row>
    <row r="1142" ht="15.75" customHeight="1">
      <c r="A1142" s="287">
        <v>30639.0</v>
      </c>
      <c r="B1142" s="287">
        <v>16239.0</v>
      </c>
      <c r="C1142" s="287" t="s">
        <v>1536</v>
      </c>
      <c r="D1142" s="287" t="s">
        <v>2655</v>
      </c>
      <c r="E1142" s="287" t="s">
        <v>518</v>
      </c>
      <c r="F1142" s="287" t="b">
        <v>1</v>
      </c>
      <c r="G1142" s="287" t="b">
        <v>1</v>
      </c>
      <c r="H1142" s="287" t="s">
        <v>250</v>
      </c>
      <c r="I1142" s="40"/>
      <c r="J1142" s="40"/>
      <c r="K1142" s="286"/>
      <c r="L1142" s="286"/>
      <c r="M1142" s="40"/>
      <c r="N1142" s="40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</row>
    <row r="1143" ht="15.75" customHeight="1">
      <c r="A1143" s="287">
        <v>38392.0</v>
      </c>
      <c r="B1143" s="287">
        <v>16238.0</v>
      </c>
      <c r="C1143" s="287" t="s">
        <v>1539</v>
      </c>
      <c r="D1143" s="287" t="s">
        <v>2655</v>
      </c>
      <c r="E1143" s="287" t="s">
        <v>518</v>
      </c>
      <c r="F1143" s="287" t="b">
        <v>1</v>
      </c>
      <c r="G1143" s="287" t="b">
        <v>1</v>
      </c>
      <c r="H1143" s="287" t="s">
        <v>1074</v>
      </c>
      <c r="I1143" s="40"/>
      <c r="J1143" s="40"/>
      <c r="K1143" s="286"/>
      <c r="L1143" s="286"/>
      <c r="M1143" s="40"/>
      <c r="N1143" s="40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</row>
    <row r="1144" ht="15.75" customHeight="1">
      <c r="A1144" s="287">
        <v>61703.0</v>
      </c>
      <c r="B1144" s="287">
        <v>108553.0</v>
      </c>
      <c r="C1144" s="287" t="s">
        <v>1540</v>
      </c>
      <c r="D1144" s="287" t="s">
        <v>389</v>
      </c>
      <c r="E1144" s="287" t="s">
        <v>518</v>
      </c>
      <c r="F1144" s="287" t="b">
        <v>1</v>
      </c>
      <c r="G1144" s="287" t="b">
        <v>1</v>
      </c>
      <c r="H1144" s="287" t="s">
        <v>250</v>
      </c>
      <c r="I1144" s="40"/>
      <c r="J1144" s="40"/>
      <c r="K1144" s="286"/>
      <c r="L1144" s="286"/>
      <c r="M1144" s="40"/>
      <c r="N1144" s="40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</row>
    <row r="1145" ht="15.75" customHeight="1">
      <c r="A1145" s="287">
        <v>15426.0</v>
      </c>
      <c r="B1145" s="287">
        <v>33681.0</v>
      </c>
      <c r="C1145" s="287" t="s">
        <v>1541</v>
      </c>
      <c r="D1145" s="287" t="s">
        <v>42</v>
      </c>
      <c r="E1145" s="287" t="s">
        <v>518</v>
      </c>
      <c r="F1145" s="287" t="b">
        <v>1</v>
      </c>
      <c r="G1145" s="287" t="b">
        <v>1</v>
      </c>
      <c r="H1145" s="287" t="s">
        <v>250</v>
      </c>
      <c r="I1145" s="40"/>
      <c r="J1145" s="40"/>
      <c r="K1145" s="286"/>
      <c r="L1145" s="286"/>
      <c r="M1145" s="40"/>
      <c r="N1145" s="40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</row>
    <row r="1146" ht="15.75" customHeight="1">
      <c r="A1146" s="287">
        <v>15463.0</v>
      </c>
      <c r="B1146" s="287">
        <v>16302.0</v>
      </c>
      <c r="C1146" s="287" t="s">
        <v>1542</v>
      </c>
      <c r="D1146" s="287" t="s">
        <v>42</v>
      </c>
      <c r="E1146" s="287" t="s">
        <v>518</v>
      </c>
      <c r="F1146" s="287" t="b">
        <v>1</v>
      </c>
      <c r="G1146" s="287" t="b">
        <v>1</v>
      </c>
      <c r="H1146" s="287" t="s">
        <v>250</v>
      </c>
      <c r="I1146" s="40"/>
      <c r="J1146" s="40"/>
      <c r="K1146" s="286"/>
      <c r="L1146" s="286"/>
      <c r="M1146" s="40"/>
      <c r="N1146" s="40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</row>
    <row r="1147" ht="15.75" customHeight="1">
      <c r="A1147" s="287">
        <v>30025.0</v>
      </c>
      <c r="B1147" s="287">
        <v>111695.0</v>
      </c>
      <c r="C1147" s="287" t="s">
        <v>1543</v>
      </c>
      <c r="D1147" s="287" t="s">
        <v>42</v>
      </c>
      <c r="E1147" s="287" t="s">
        <v>518</v>
      </c>
      <c r="F1147" s="287" t="b">
        <v>1</v>
      </c>
      <c r="G1147" s="287" t="b">
        <v>1</v>
      </c>
      <c r="H1147" s="287" t="s">
        <v>250</v>
      </c>
      <c r="I1147" s="40"/>
      <c r="J1147" s="40"/>
      <c r="K1147" s="286"/>
      <c r="L1147" s="286"/>
      <c r="M1147" s="40"/>
      <c r="N1147" s="40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</row>
    <row r="1148" ht="15.75" customHeight="1">
      <c r="A1148" s="287">
        <v>110907.0</v>
      </c>
      <c r="B1148" s="287">
        <v>111696.0</v>
      </c>
      <c r="C1148" s="287" t="s">
        <v>1545</v>
      </c>
      <c r="D1148" s="287" t="s">
        <v>42</v>
      </c>
      <c r="E1148" s="287" t="s">
        <v>518</v>
      </c>
      <c r="F1148" s="287" t="b">
        <v>1</v>
      </c>
      <c r="G1148" s="287" t="b">
        <v>1</v>
      </c>
      <c r="H1148" s="287" t="s">
        <v>250</v>
      </c>
      <c r="I1148" s="40"/>
      <c r="J1148" s="40"/>
      <c r="K1148" s="286"/>
      <c r="L1148" s="286"/>
      <c r="M1148" s="40"/>
      <c r="N1148" s="40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</row>
    <row r="1149" ht="15.75" customHeight="1">
      <c r="A1149" s="287">
        <v>11853.0</v>
      </c>
      <c r="B1149" s="287">
        <v>111701.0</v>
      </c>
      <c r="C1149" s="287" t="s">
        <v>1546</v>
      </c>
      <c r="D1149" s="287" t="s">
        <v>42</v>
      </c>
      <c r="E1149" s="287" t="s">
        <v>518</v>
      </c>
      <c r="F1149" s="287" t="b">
        <v>1</v>
      </c>
      <c r="G1149" s="287" t="b">
        <v>1</v>
      </c>
      <c r="H1149" s="287" t="s">
        <v>250</v>
      </c>
      <c r="I1149" s="40"/>
      <c r="J1149" s="40"/>
      <c r="K1149" s="286"/>
      <c r="L1149" s="286"/>
      <c r="M1149" s="40"/>
      <c r="N1149" s="40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</row>
    <row r="1150" ht="15.75" customHeight="1">
      <c r="A1150" s="287">
        <v>15471.0</v>
      </c>
      <c r="B1150" s="287">
        <v>16272.0</v>
      </c>
      <c r="C1150" s="287" t="s">
        <v>1548</v>
      </c>
      <c r="D1150" s="287" t="s">
        <v>42</v>
      </c>
      <c r="E1150" s="287" t="s">
        <v>518</v>
      </c>
      <c r="F1150" s="287" t="b">
        <v>1</v>
      </c>
      <c r="G1150" s="287" t="b">
        <v>1</v>
      </c>
      <c r="H1150" s="287" t="s">
        <v>250</v>
      </c>
      <c r="I1150" s="40"/>
      <c r="J1150" s="40"/>
      <c r="K1150" s="286"/>
      <c r="L1150" s="286"/>
      <c r="M1150" s="40"/>
      <c r="N1150" s="40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</row>
    <row r="1151" ht="15.75" customHeight="1">
      <c r="A1151" s="287">
        <v>111049.0</v>
      </c>
      <c r="B1151" s="287">
        <v>16271.0</v>
      </c>
      <c r="C1151" s="287" t="s">
        <v>2656</v>
      </c>
      <c r="D1151" s="287" t="s">
        <v>2657</v>
      </c>
      <c r="E1151" s="287" t="s">
        <v>518</v>
      </c>
      <c r="F1151" s="287" t="b">
        <v>1</v>
      </c>
      <c r="G1151" s="287" t="b">
        <v>1</v>
      </c>
      <c r="H1151" s="287" t="s">
        <v>250</v>
      </c>
      <c r="I1151" s="40"/>
      <c r="J1151" s="40"/>
      <c r="K1151" s="286"/>
      <c r="L1151" s="286"/>
      <c r="M1151" s="40"/>
      <c r="N1151" s="40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</row>
    <row r="1152" ht="15.75" customHeight="1">
      <c r="A1152" s="287">
        <v>15475.0</v>
      </c>
      <c r="B1152" s="287">
        <v>16314.0</v>
      </c>
      <c r="C1152" s="287" t="s">
        <v>1549</v>
      </c>
      <c r="D1152" s="287" t="s">
        <v>42</v>
      </c>
      <c r="E1152" s="287" t="s">
        <v>518</v>
      </c>
      <c r="F1152" s="287" t="b">
        <v>1</v>
      </c>
      <c r="G1152" s="287" t="b">
        <v>1</v>
      </c>
      <c r="H1152" s="287" t="s">
        <v>250</v>
      </c>
      <c r="I1152" s="40"/>
      <c r="J1152" s="40"/>
      <c r="K1152" s="286"/>
      <c r="L1152" s="286"/>
      <c r="M1152" s="40"/>
      <c r="N1152" s="40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</row>
    <row r="1153" ht="15.75" customHeight="1">
      <c r="A1153" s="287">
        <v>15608.0</v>
      </c>
      <c r="B1153" s="287">
        <v>30052.0</v>
      </c>
      <c r="C1153" s="287" t="s">
        <v>1551</v>
      </c>
      <c r="D1153" s="287" t="s">
        <v>42</v>
      </c>
      <c r="E1153" s="287" t="s">
        <v>518</v>
      </c>
      <c r="F1153" s="287" t="b">
        <v>1</v>
      </c>
      <c r="G1153" s="287" t="b">
        <v>1</v>
      </c>
      <c r="H1153" s="287" t="s">
        <v>250</v>
      </c>
      <c r="I1153" s="40"/>
      <c r="J1153" s="40"/>
      <c r="K1153" s="286"/>
      <c r="L1153" s="286"/>
      <c r="M1153" s="40"/>
      <c r="N1153" s="40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</row>
    <row r="1154" ht="15.75" customHeight="1">
      <c r="A1154" s="287">
        <v>15498.0</v>
      </c>
      <c r="B1154" s="287">
        <v>16305.0</v>
      </c>
      <c r="C1154" s="287" t="s">
        <v>1553</v>
      </c>
      <c r="D1154" s="287" t="s">
        <v>42</v>
      </c>
      <c r="E1154" s="287" t="s">
        <v>518</v>
      </c>
      <c r="F1154" s="287" t="b">
        <v>1</v>
      </c>
      <c r="G1154" s="287" t="b">
        <v>1</v>
      </c>
      <c r="H1154" s="287" t="s">
        <v>250</v>
      </c>
      <c r="I1154" s="40"/>
      <c r="J1154" s="40"/>
      <c r="K1154" s="286"/>
      <c r="L1154" s="286"/>
      <c r="M1154" s="40"/>
      <c r="N1154" s="40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</row>
    <row r="1155" ht="15.75" customHeight="1">
      <c r="A1155" s="287">
        <v>15473.0</v>
      </c>
      <c r="B1155" s="287">
        <v>16300.0</v>
      </c>
      <c r="C1155" s="287" t="s">
        <v>1554</v>
      </c>
      <c r="D1155" s="287" t="s">
        <v>1556</v>
      </c>
      <c r="E1155" s="287" t="s">
        <v>518</v>
      </c>
      <c r="F1155" s="287" t="b">
        <v>1</v>
      </c>
      <c r="G1155" s="287" t="b">
        <v>1</v>
      </c>
      <c r="H1155" s="287" t="s">
        <v>250</v>
      </c>
      <c r="I1155" s="40"/>
      <c r="J1155" s="40"/>
      <c r="K1155" s="286"/>
      <c r="L1155" s="286"/>
      <c r="M1155" s="40"/>
      <c r="N1155" s="40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</row>
    <row r="1156" ht="15.75" customHeight="1">
      <c r="A1156" s="287">
        <v>15609.0</v>
      </c>
      <c r="B1156" s="287">
        <v>16285.0</v>
      </c>
      <c r="C1156" s="287" t="s">
        <v>1557</v>
      </c>
      <c r="D1156" s="287" t="s">
        <v>42</v>
      </c>
      <c r="E1156" s="287" t="s">
        <v>518</v>
      </c>
      <c r="F1156" s="287" t="b">
        <v>1</v>
      </c>
      <c r="G1156" s="287" t="b">
        <v>1</v>
      </c>
      <c r="H1156" s="287" t="s">
        <v>250</v>
      </c>
      <c r="I1156" s="40"/>
      <c r="J1156" s="40"/>
      <c r="K1156" s="286"/>
      <c r="L1156" s="286"/>
      <c r="M1156" s="40"/>
      <c r="N1156" s="40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</row>
    <row r="1157" ht="15.75" customHeight="1">
      <c r="A1157" s="287">
        <v>15489.0</v>
      </c>
      <c r="B1157" s="287">
        <v>142523.0</v>
      </c>
      <c r="C1157" s="287" t="s">
        <v>1558</v>
      </c>
      <c r="D1157" s="287" t="s">
        <v>65</v>
      </c>
      <c r="E1157" s="287" t="s">
        <v>518</v>
      </c>
      <c r="F1157" s="287" t="b">
        <v>1</v>
      </c>
      <c r="G1157" s="287" t="b">
        <v>1</v>
      </c>
      <c r="H1157" s="287" t="s">
        <v>2613</v>
      </c>
      <c r="I1157" s="40"/>
      <c r="J1157" s="40"/>
      <c r="K1157" s="286"/>
      <c r="L1157" s="286"/>
      <c r="M1157" s="40"/>
      <c r="N1157" s="40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</row>
    <row r="1158" ht="15.75" customHeight="1">
      <c r="A1158" s="287">
        <v>15623.0</v>
      </c>
      <c r="B1158" s="287">
        <v>109709.0</v>
      </c>
      <c r="C1158" s="287" t="s">
        <v>1560</v>
      </c>
      <c r="D1158" s="287" t="s">
        <v>1561</v>
      </c>
      <c r="E1158" s="287" t="s">
        <v>518</v>
      </c>
      <c r="F1158" s="287" t="b">
        <v>1</v>
      </c>
      <c r="G1158" s="287" t="b">
        <v>1</v>
      </c>
      <c r="H1158" s="287" t="s">
        <v>250</v>
      </c>
      <c r="I1158" s="40"/>
      <c r="J1158" s="40"/>
      <c r="K1158" s="286"/>
      <c r="L1158" s="286"/>
      <c r="M1158" s="40"/>
      <c r="N1158" s="40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</row>
    <row r="1159" ht="15.75" customHeight="1">
      <c r="A1159" s="287">
        <v>19401.0</v>
      </c>
      <c r="B1159" s="287">
        <v>111037.0</v>
      </c>
      <c r="C1159" s="287" t="s">
        <v>1562</v>
      </c>
      <c r="D1159" s="287" t="s">
        <v>972</v>
      </c>
      <c r="E1159" s="287" t="s">
        <v>518</v>
      </c>
      <c r="F1159" s="287" t="b">
        <v>1</v>
      </c>
      <c r="G1159" s="287" t="b">
        <v>1</v>
      </c>
      <c r="H1159" s="287" t="s">
        <v>250</v>
      </c>
      <c r="I1159" s="40"/>
      <c r="J1159" s="40"/>
      <c r="K1159" s="286"/>
      <c r="L1159" s="286"/>
      <c r="M1159" s="40"/>
      <c r="N1159" s="40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</row>
    <row r="1160" ht="15.75" customHeight="1">
      <c r="A1160" s="287">
        <v>110068.0</v>
      </c>
      <c r="B1160" s="287">
        <v>53368.0</v>
      </c>
      <c r="C1160" s="287" t="s">
        <v>1564</v>
      </c>
      <c r="D1160" s="287" t="s">
        <v>42</v>
      </c>
      <c r="E1160" s="287" t="s">
        <v>518</v>
      </c>
      <c r="F1160" s="287" t="b">
        <v>1</v>
      </c>
      <c r="G1160" s="287" t="b">
        <v>1</v>
      </c>
      <c r="H1160" s="287" t="s">
        <v>2613</v>
      </c>
      <c r="I1160" s="40"/>
      <c r="J1160" s="40"/>
      <c r="K1160" s="286"/>
      <c r="L1160" s="286"/>
      <c r="M1160" s="40"/>
      <c r="N1160" s="40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</row>
    <row r="1161" ht="15.75" customHeight="1">
      <c r="A1161" s="287">
        <v>110908.0</v>
      </c>
      <c r="B1161" s="287">
        <v>111019.0</v>
      </c>
      <c r="C1161" s="287" t="s">
        <v>1566</v>
      </c>
      <c r="D1161" s="287" t="s">
        <v>1568</v>
      </c>
      <c r="E1161" s="287" t="s">
        <v>518</v>
      </c>
      <c r="F1161" s="287" t="b">
        <v>1</v>
      </c>
      <c r="G1161" s="287" t="b">
        <v>1</v>
      </c>
      <c r="H1161" s="287" t="s">
        <v>250</v>
      </c>
      <c r="I1161" s="40"/>
      <c r="J1161" s="40"/>
      <c r="K1161" s="286"/>
      <c r="L1161" s="286"/>
      <c r="M1161" s="40"/>
      <c r="N1161" s="40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</row>
    <row r="1162" ht="15.75" customHeight="1">
      <c r="A1162" s="287">
        <v>110915.0</v>
      </c>
      <c r="B1162" s="287">
        <v>16276.0</v>
      </c>
      <c r="C1162" s="287" t="s">
        <v>1569</v>
      </c>
      <c r="D1162" s="287" t="s">
        <v>1570</v>
      </c>
      <c r="E1162" s="287" t="s">
        <v>518</v>
      </c>
      <c r="F1162" s="287" t="b">
        <v>1</v>
      </c>
      <c r="G1162" s="287" t="b">
        <v>1</v>
      </c>
      <c r="H1162" s="287" t="s">
        <v>250</v>
      </c>
      <c r="I1162" s="40"/>
      <c r="J1162" s="40"/>
      <c r="K1162" s="286"/>
      <c r="L1162" s="286"/>
      <c r="M1162" s="40"/>
      <c r="N1162" s="40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</row>
    <row r="1163" ht="15.75" customHeight="1">
      <c r="A1163" s="287">
        <v>110916.0</v>
      </c>
      <c r="B1163" s="287">
        <v>33324.0</v>
      </c>
      <c r="C1163" s="287" t="s">
        <v>1571</v>
      </c>
      <c r="D1163" s="287" t="s">
        <v>1573</v>
      </c>
      <c r="E1163" s="287" t="s">
        <v>518</v>
      </c>
      <c r="F1163" s="287" t="b">
        <v>1</v>
      </c>
      <c r="G1163" s="287" t="b">
        <v>1</v>
      </c>
      <c r="H1163" s="287" t="s">
        <v>250</v>
      </c>
      <c r="I1163" s="40"/>
      <c r="J1163" s="40"/>
      <c r="K1163" s="286"/>
      <c r="L1163" s="286"/>
      <c r="M1163" s="40"/>
      <c r="N1163" s="40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</row>
    <row r="1164" ht="15.75" customHeight="1">
      <c r="A1164" s="287">
        <v>110919.0</v>
      </c>
      <c r="B1164" s="287">
        <v>142891.0</v>
      </c>
      <c r="C1164" s="287" t="s">
        <v>1574</v>
      </c>
      <c r="D1164" s="287" t="s">
        <v>42</v>
      </c>
      <c r="E1164" s="287" t="s">
        <v>518</v>
      </c>
      <c r="F1164" s="287" t="b">
        <v>1</v>
      </c>
      <c r="G1164" s="287" t="b">
        <v>1</v>
      </c>
      <c r="H1164" s="287" t="s">
        <v>250</v>
      </c>
      <c r="I1164" s="40"/>
      <c r="J1164" s="40"/>
      <c r="K1164" s="286"/>
      <c r="L1164" s="286"/>
      <c r="M1164" s="40"/>
      <c r="N1164" s="40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</row>
    <row r="1165" ht="15.75" customHeight="1">
      <c r="A1165" s="287">
        <v>110911.0</v>
      </c>
      <c r="B1165" s="287">
        <v>21043.0</v>
      </c>
      <c r="C1165" s="287" t="s">
        <v>2658</v>
      </c>
      <c r="D1165" s="287" t="s">
        <v>42</v>
      </c>
      <c r="E1165" s="287" t="s">
        <v>518</v>
      </c>
      <c r="F1165" s="287" t="b">
        <v>1</v>
      </c>
      <c r="G1165" s="287" t="b">
        <v>1</v>
      </c>
      <c r="H1165" s="287" t="s">
        <v>2659</v>
      </c>
      <c r="I1165" s="40"/>
      <c r="J1165" s="40"/>
      <c r="K1165" s="286"/>
      <c r="L1165" s="286"/>
      <c r="M1165" s="40"/>
      <c r="N1165" s="40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</row>
    <row r="1166" ht="15.75" customHeight="1">
      <c r="A1166" s="287">
        <v>111180.0</v>
      </c>
      <c r="B1166" s="287">
        <v>16307.0</v>
      </c>
      <c r="C1166" s="287" t="s">
        <v>1577</v>
      </c>
      <c r="D1166" s="287" t="s">
        <v>42</v>
      </c>
      <c r="E1166" s="287" t="s">
        <v>518</v>
      </c>
      <c r="F1166" s="287" t="b">
        <v>1</v>
      </c>
      <c r="G1166" s="287" t="b">
        <v>1</v>
      </c>
      <c r="H1166" s="287" t="s">
        <v>250</v>
      </c>
      <c r="I1166" s="40"/>
      <c r="J1166" s="40"/>
      <c r="K1166" s="286"/>
      <c r="L1166" s="286"/>
      <c r="M1166" s="40"/>
      <c r="N1166" s="40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</row>
    <row r="1167" ht="15.75" customHeight="1">
      <c r="A1167" s="287">
        <v>110056.0</v>
      </c>
      <c r="B1167" s="287">
        <v>27243.0</v>
      </c>
      <c r="C1167" s="287" t="s">
        <v>1579</v>
      </c>
      <c r="D1167" s="287" t="s">
        <v>42</v>
      </c>
      <c r="E1167" s="287" t="s">
        <v>518</v>
      </c>
      <c r="F1167" s="287" t="b">
        <v>1</v>
      </c>
      <c r="G1167" s="287" t="b">
        <v>1</v>
      </c>
      <c r="H1167" s="287" t="s">
        <v>250</v>
      </c>
      <c r="I1167" s="40"/>
      <c r="J1167" s="40"/>
      <c r="K1167" s="286"/>
      <c r="L1167" s="286"/>
      <c r="M1167" s="40"/>
      <c r="N1167" s="40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</row>
    <row r="1168" ht="15.75" customHeight="1">
      <c r="A1168" s="287">
        <v>110914.0</v>
      </c>
      <c r="B1168" s="287">
        <v>16280.0</v>
      </c>
      <c r="C1168" s="287" t="s">
        <v>1581</v>
      </c>
      <c r="D1168" s="287" t="s">
        <v>42</v>
      </c>
      <c r="E1168" s="287" t="s">
        <v>518</v>
      </c>
      <c r="F1168" s="287" t="b">
        <v>1</v>
      </c>
      <c r="G1168" s="287" t="b">
        <v>1</v>
      </c>
      <c r="H1168" s="287" t="s">
        <v>250</v>
      </c>
      <c r="I1168" s="40"/>
      <c r="J1168" s="40"/>
      <c r="K1168" s="286"/>
      <c r="L1168" s="286"/>
      <c r="M1168" s="40"/>
      <c r="N1168" s="40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</row>
    <row r="1169" ht="15.75" customHeight="1">
      <c r="A1169" s="287">
        <v>111046.0</v>
      </c>
      <c r="B1169" s="287">
        <v>40614.0</v>
      </c>
      <c r="C1169" s="287" t="s">
        <v>1583</v>
      </c>
      <c r="D1169" s="287" t="s">
        <v>42</v>
      </c>
      <c r="E1169" s="287" t="s">
        <v>518</v>
      </c>
      <c r="F1169" s="287" t="b">
        <v>1</v>
      </c>
      <c r="G1169" s="287" t="b">
        <v>1</v>
      </c>
      <c r="H1169" s="287" t="s">
        <v>1584</v>
      </c>
      <c r="I1169" s="40"/>
      <c r="J1169" s="40"/>
      <c r="K1169" s="286"/>
      <c r="L1169" s="286"/>
      <c r="M1169" s="40"/>
      <c r="N1169" s="40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</row>
    <row r="1170" ht="15.75" customHeight="1">
      <c r="A1170" s="287">
        <v>110069.0</v>
      </c>
      <c r="B1170" s="287">
        <v>16595.0</v>
      </c>
      <c r="C1170" s="287" t="s">
        <v>1585</v>
      </c>
      <c r="D1170" s="287" t="s">
        <v>1587</v>
      </c>
      <c r="E1170" s="287" t="s">
        <v>369</v>
      </c>
      <c r="F1170" s="287" t="b">
        <v>1</v>
      </c>
      <c r="G1170" s="287" t="b">
        <v>1</v>
      </c>
      <c r="H1170" s="287" t="s">
        <v>2613</v>
      </c>
      <c r="I1170" s="40"/>
      <c r="J1170" s="40"/>
      <c r="K1170" s="286"/>
      <c r="L1170" s="286"/>
      <c r="M1170" s="40"/>
      <c r="N1170" s="40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</row>
    <row r="1171" ht="15.75" customHeight="1">
      <c r="A1171" s="287">
        <v>24459.0</v>
      </c>
      <c r="B1171" s="287">
        <v>20887.0</v>
      </c>
      <c r="C1171" s="287" t="s">
        <v>1590</v>
      </c>
      <c r="D1171" s="287" t="s">
        <v>42</v>
      </c>
      <c r="E1171" s="287" t="s">
        <v>518</v>
      </c>
      <c r="F1171" s="287" t="b">
        <v>1</v>
      </c>
      <c r="G1171" s="287" t="b">
        <v>1</v>
      </c>
      <c r="H1171" s="287" t="s">
        <v>1074</v>
      </c>
      <c r="I1171" s="40"/>
      <c r="J1171" s="40"/>
      <c r="K1171" s="286"/>
      <c r="L1171" s="286"/>
      <c r="M1171" s="40"/>
      <c r="N1171" s="40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</row>
    <row r="1172" ht="15.75" customHeight="1">
      <c r="A1172" s="287">
        <v>11741.0</v>
      </c>
      <c r="B1172" s="287">
        <v>109695.0</v>
      </c>
      <c r="C1172" s="287" t="s">
        <v>1591</v>
      </c>
      <c r="D1172" s="287" t="s">
        <v>42</v>
      </c>
      <c r="E1172" s="287" t="s">
        <v>518</v>
      </c>
      <c r="F1172" s="287" t="b">
        <v>1</v>
      </c>
      <c r="G1172" s="287" t="b">
        <v>1</v>
      </c>
      <c r="H1172" s="287" t="s">
        <v>250</v>
      </c>
      <c r="I1172" s="40"/>
      <c r="J1172" s="40"/>
      <c r="K1172" s="286"/>
      <c r="L1172" s="286"/>
      <c r="M1172" s="40"/>
      <c r="N1172" s="40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</row>
    <row r="1173" ht="15.75" customHeight="1">
      <c r="A1173" s="287">
        <v>15585.0</v>
      </c>
      <c r="B1173" s="287">
        <v>109689.0</v>
      </c>
      <c r="C1173" s="287" t="s">
        <v>1593</v>
      </c>
      <c r="D1173" s="287" t="s">
        <v>2660</v>
      </c>
      <c r="E1173" s="287" t="s">
        <v>518</v>
      </c>
      <c r="F1173" s="287" t="b">
        <v>1</v>
      </c>
      <c r="G1173" s="287" t="b">
        <v>1</v>
      </c>
      <c r="H1173" s="287" t="s">
        <v>250</v>
      </c>
      <c r="I1173" s="40"/>
      <c r="J1173" s="40"/>
      <c r="K1173" s="286"/>
      <c r="L1173" s="286"/>
      <c r="M1173" s="40"/>
      <c r="N1173" s="40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</row>
    <row r="1174" ht="15.75" customHeight="1">
      <c r="A1174" s="287">
        <v>15551.0</v>
      </c>
      <c r="B1174" s="287">
        <v>111759.0</v>
      </c>
      <c r="C1174" s="287" t="s">
        <v>1594</v>
      </c>
      <c r="D1174" s="287" t="s">
        <v>389</v>
      </c>
      <c r="E1174" s="287" t="s">
        <v>518</v>
      </c>
      <c r="F1174" s="287" t="b">
        <v>1</v>
      </c>
      <c r="G1174" s="287" t="b">
        <v>1</v>
      </c>
      <c r="H1174" s="287" t="s">
        <v>2661</v>
      </c>
      <c r="I1174" s="40"/>
      <c r="J1174" s="40"/>
      <c r="K1174" s="286"/>
      <c r="L1174" s="286"/>
      <c r="M1174" s="40"/>
      <c r="N1174" s="40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</row>
    <row r="1175" ht="15.75" customHeight="1">
      <c r="A1175" s="287">
        <v>15556.0</v>
      </c>
      <c r="B1175" s="287">
        <v>111762.0</v>
      </c>
      <c r="C1175" s="287" t="s">
        <v>1597</v>
      </c>
      <c r="D1175" s="287" t="s">
        <v>389</v>
      </c>
      <c r="E1175" s="287" t="s">
        <v>518</v>
      </c>
      <c r="F1175" s="287" t="b">
        <v>1</v>
      </c>
      <c r="G1175" s="287" t="b">
        <v>1</v>
      </c>
      <c r="H1175" s="287" t="s">
        <v>250</v>
      </c>
      <c r="I1175" s="40"/>
      <c r="J1175" s="40"/>
      <c r="K1175" s="286"/>
      <c r="L1175" s="286"/>
      <c r="M1175" s="40"/>
      <c r="N1175" s="40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</row>
    <row r="1176" ht="15.75" customHeight="1">
      <c r="A1176" s="287">
        <v>31638.0</v>
      </c>
      <c r="B1176" s="287">
        <v>107138.0</v>
      </c>
      <c r="C1176" s="287" t="s">
        <v>1599</v>
      </c>
      <c r="D1176" s="287" t="s">
        <v>1573</v>
      </c>
      <c r="E1176" s="287" t="s">
        <v>518</v>
      </c>
      <c r="F1176" s="287" t="b">
        <v>1</v>
      </c>
      <c r="G1176" s="287" t="b">
        <v>1</v>
      </c>
      <c r="H1176" s="287" t="s">
        <v>250</v>
      </c>
      <c r="I1176" s="40"/>
      <c r="J1176" s="40"/>
      <c r="K1176" s="286"/>
      <c r="L1176" s="286"/>
      <c r="M1176" s="40"/>
      <c r="N1176" s="40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</row>
    <row r="1177" ht="15.75" customHeight="1">
      <c r="A1177" s="287">
        <v>110060.0</v>
      </c>
      <c r="B1177" s="287">
        <v>19407.0</v>
      </c>
      <c r="C1177" s="287" t="s">
        <v>1600</v>
      </c>
      <c r="D1177" s="287" t="s">
        <v>42</v>
      </c>
      <c r="E1177" s="287" t="s">
        <v>518</v>
      </c>
      <c r="F1177" s="287" t="b">
        <v>1</v>
      </c>
      <c r="G1177" s="287" t="b">
        <v>1</v>
      </c>
      <c r="H1177" s="287" t="s">
        <v>250</v>
      </c>
      <c r="I1177" s="40"/>
      <c r="J1177" s="40"/>
      <c r="K1177" s="286"/>
      <c r="L1177" s="286"/>
      <c r="M1177" s="40"/>
      <c r="N1177" s="40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</row>
    <row r="1178" ht="15.75" customHeight="1">
      <c r="A1178" s="287">
        <v>46179.0</v>
      </c>
      <c r="B1178" s="287">
        <v>40229.0</v>
      </c>
      <c r="C1178" s="287" t="s">
        <v>1602</v>
      </c>
      <c r="D1178" s="287" t="s">
        <v>2662</v>
      </c>
      <c r="E1178" s="287" t="s">
        <v>518</v>
      </c>
      <c r="F1178" s="287" t="b">
        <v>1</v>
      </c>
      <c r="G1178" s="287" t="b">
        <v>1</v>
      </c>
      <c r="H1178" s="287" t="s">
        <v>250</v>
      </c>
      <c r="I1178" s="40"/>
      <c r="J1178" s="40"/>
      <c r="K1178" s="286"/>
      <c r="L1178" s="286"/>
      <c r="M1178" s="40"/>
      <c r="N1178" s="40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</row>
    <row r="1179" ht="15.75" customHeight="1">
      <c r="A1179" s="287">
        <v>15496.0</v>
      </c>
      <c r="B1179" s="287">
        <v>40230.0</v>
      </c>
      <c r="C1179" s="287" t="s">
        <v>1605</v>
      </c>
      <c r="D1179" s="287" t="s">
        <v>1606</v>
      </c>
      <c r="E1179" s="287" t="s">
        <v>518</v>
      </c>
      <c r="F1179" s="287" t="b">
        <v>1</v>
      </c>
      <c r="G1179" s="287" t="b">
        <v>1</v>
      </c>
      <c r="H1179" s="287" t="s">
        <v>250</v>
      </c>
      <c r="I1179" s="40"/>
      <c r="J1179" s="40"/>
      <c r="K1179" s="286"/>
      <c r="L1179" s="286"/>
      <c r="M1179" s="40"/>
      <c r="N1179" s="40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</row>
    <row r="1180" ht="15.75" customHeight="1">
      <c r="A1180" s="287">
        <v>111864.0</v>
      </c>
      <c r="B1180" s="287">
        <v>16310.0</v>
      </c>
      <c r="C1180" s="287" t="s">
        <v>1608</v>
      </c>
      <c r="D1180" s="287" t="s">
        <v>42</v>
      </c>
      <c r="E1180" s="287" t="s">
        <v>518</v>
      </c>
      <c r="F1180" s="287" t="b">
        <v>1</v>
      </c>
      <c r="G1180" s="287" t="b">
        <v>1</v>
      </c>
      <c r="H1180" s="287" t="s">
        <v>250</v>
      </c>
      <c r="I1180" s="40"/>
      <c r="J1180" s="40"/>
      <c r="K1180" s="286"/>
      <c r="L1180" s="286"/>
      <c r="M1180" s="40"/>
      <c r="N1180" s="40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</row>
    <row r="1181" ht="15.75" customHeight="1">
      <c r="A1181" s="287">
        <v>15497.0</v>
      </c>
      <c r="B1181" s="287">
        <v>111082.0</v>
      </c>
      <c r="C1181" s="287" t="s">
        <v>1609</v>
      </c>
      <c r="D1181" s="287" t="s">
        <v>42</v>
      </c>
      <c r="E1181" s="287" t="s">
        <v>518</v>
      </c>
      <c r="F1181" s="287" t="b">
        <v>1</v>
      </c>
      <c r="G1181" s="287" t="b">
        <v>1</v>
      </c>
      <c r="H1181" s="287" t="s">
        <v>250</v>
      </c>
      <c r="I1181" s="40"/>
      <c r="J1181" s="40"/>
      <c r="K1181" s="286"/>
      <c r="L1181" s="286"/>
      <c r="M1181" s="40"/>
      <c r="N1181" s="40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</row>
    <row r="1182" ht="15.75" customHeight="1">
      <c r="A1182" s="287">
        <v>23714.0</v>
      </c>
      <c r="B1182" s="287">
        <v>38071.0</v>
      </c>
      <c r="C1182" s="287" t="s">
        <v>1610</v>
      </c>
      <c r="D1182" s="287" t="s">
        <v>389</v>
      </c>
      <c r="E1182" s="287" t="s">
        <v>518</v>
      </c>
      <c r="F1182" s="287" t="b">
        <v>1</v>
      </c>
      <c r="G1182" s="287" t="b">
        <v>1</v>
      </c>
      <c r="H1182" s="287" t="s">
        <v>250</v>
      </c>
      <c r="I1182" s="40"/>
      <c r="J1182" s="40"/>
      <c r="K1182" s="286"/>
      <c r="L1182" s="286"/>
      <c r="M1182" s="40"/>
      <c r="N1182" s="40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</row>
    <row r="1183" ht="15.75" customHeight="1">
      <c r="A1183" s="287">
        <v>110088.0</v>
      </c>
      <c r="B1183" s="287">
        <v>111706.0</v>
      </c>
      <c r="C1183" s="287" t="s">
        <v>1612</v>
      </c>
      <c r="D1183" s="287" t="s">
        <v>42</v>
      </c>
      <c r="E1183" s="287" t="s">
        <v>518</v>
      </c>
      <c r="F1183" s="287" t="b">
        <v>1</v>
      </c>
      <c r="G1183" s="287" t="b">
        <v>1</v>
      </c>
      <c r="H1183" s="287" t="s">
        <v>250</v>
      </c>
      <c r="I1183" s="40"/>
      <c r="J1183" s="40"/>
      <c r="K1183" s="286"/>
      <c r="L1183" s="286"/>
      <c r="M1183" s="40"/>
      <c r="N1183" s="40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</row>
    <row r="1184" ht="15.75" customHeight="1">
      <c r="A1184" s="287">
        <v>109763.0</v>
      </c>
      <c r="B1184" s="287">
        <v>16501.0</v>
      </c>
      <c r="C1184" s="287" t="s">
        <v>1615</v>
      </c>
      <c r="D1184" s="287" t="s">
        <v>1617</v>
      </c>
      <c r="E1184" s="287" t="s">
        <v>518</v>
      </c>
      <c r="F1184" s="287" t="b">
        <v>1</v>
      </c>
      <c r="G1184" s="287" t="b">
        <v>1</v>
      </c>
      <c r="H1184" s="287" t="s">
        <v>250</v>
      </c>
      <c r="I1184" s="40"/>
      <c r="J1184" s="40"/>
      <c r="K1184" s="286"/>
      <c r="L1184" s="286"/>
      <c r="M1184" s="40"/>
      <c r="N1184" s="40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</row>
    <row r="1185" ht="15.75" customHeight="1">
      <c r="A1185" s="287">
        <v>110913.0</v>
      </c>
      <c r="B1185" s="287">
        <v>12284.0</v>
      </c>
      <c r="C1185" s="287" t="s">
        <v>1618</v>
      </c>
      <c r="D1185" s="287" t="s">
        <v>64</v>
      </c>
      <c r="E1185" s="287" t="s">
        <v>518</v>
      </c>
      <c r="F1185" s="287" t="b">
        <v>1</v>
      </c>
      <c r="G1185" s="287" t="b">
        <v>1</v>
      </c>
      <c r="H1185" s="287" t="s">
        <v>1619</v>
      </c>
      <c r="I1185" s="40"/>
      <c r="J1185" s="40"/>
      <c r="K1185" s="286"/>
      <c r="L1185" s="286"/>
      <c r="M1185" s="40"/>
      <c r="N1185" s="40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</row>
    <row r="1186" ht="15.75" customHeight="1">
      <c r="A1186" s="287">
        <v>112615.0</v>
      </c>
      <c r="B1186" s="287">
        <v>100449.0</v>
      </c>
      <c r="C1186" s="287" t="s">
        <v>1620</v>
      </c>
      <c r="D1186" s="287" t="s">
        <v>42</v>
      </c>
      <c r="E1186" s="287" t="s">
        <v>518</v>
      </c>
      <c r="F1186" s="287" t="b">
        <v>1</v>
      </c>
      <c r="G1186" s="287" t="b">
        <v>1</v>
      </c>
      <c r="H1186" s="287" t="s">
        <v>250</v>
      </c>
      <c r="I1186" s="40"/>
      <c r="J1186" s="40"/>
      <c r="K1186" s="286"/>
      <c r="L1186" s="286"/>
      <c r="M1186" s="40"/>
      <c r="N1186" s="40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</row>
    <row r="1187" ht="15.75" customHeight="1">
      <c r="A1187" s="287">
        <v>111047.0</v>
      </c>
      <c r="B1187" s="287">
        <v>35667.0</v>
      </c>
      <c r="C1187" s="287" t="s">
        <v>1621</v>
      </c>
      <c r="D1187" s="287" t="s">
        <v>389</v>
      </c>
      <c r="E1187" s="287" t="s">
        <v>518</v>
      </c>
      <c r="F1187" s="287" t="b">
        <v>1</v>
      </c>
      <c r="G1187" s="287" t="b">
        <v>1</v>
      </c>
      <c r="H1187" s="287" t="s">
        <v>250</v>
      </c>
      <c r="I1187" s="40"/>
      <c r="J1187" s="40"/>
      <c r="K1187" s="286"/>
      <c r="L1187" s="286"/>
      <c r="M1187" s="40"/>
      <c r="N1187" s="40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</row>
    <row r="1188" ht="15.75" customHeight="1">
      <c r="A1188" s="287">
        <v>15501.0</v>
      </c>
      <c r="B1188" s="287">
        <v>112138.0</v>
      </c>
      <c r="C1188" s="287" t="s">
        <v>1624</v>
      </c>
      <c r="D1188" s="287" t="s">
        <v>65</v>
      </c>
      <c r="E1188" s="287" t="s">
        <v>369</v>
      </c>
      <c r="F1188" s="287" t="b">
        <v>1</v>
      </c>
      <c r="G1188" s="287" t="b">
        <v>1</v>
      </c>
      <c r="H1188" s="287" t="s">
        <v>250</v>
      </c>
      <c r="I1188" s="40"/>
      <c r="J1188" s="40"/>
      <c r="K1188" s="286"/>
      <c r="L1188" s="286"/>
      <c r="M1188" s="40"/>
      <c r="N1188" s="40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</row>
    <row r="1189" ht="15.75" customHeight="1">
      <c r="A1189" s="287">
        <v>15504.0</v>
      </c>
      <c r="B1189" s="287">
        <v>112137.0</v>
      </c>
      <c r="C1189" s="287" t="s">
        <v>1625</v>
      </c>
      <c r="D1189" s="287" t="s">
        <v>1626</v>
      </c>
      <c r="E1189" s="287" t="s">
        <v>518</v>
      </c>
      <c r="F1189" s="287" t="b">
        <v>1</v>
      </c>
      <c r="G1189" s="287" t="b">
        <v>1</v>
      </c>
      <c r="H1189" s="287" t="s">
        <v>250</v>
      </c>
      <c r="I1189" s="40"/>
      <c r="J1189" s="40"/>
      <c r="K1189" s="286"/>
      <c r="L1189" s="286"/>
      <c r="M1189" s="40"/>
      <c r="N1189" s="40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</row>
    <row r="1190" ht="15.75" customHeight="1">
      <c r="A1190" s="287">
        <v>15502.0</v>
      </c>
      <c r="B1190" s="287">
        <v>109681.0</v>
      </c>
      <c r="C1190" s="287" t="s">
        <v>1627</v>
      </c>
      <c r="D1190" s="287" t="s">
        <v>1630</v>
      </c>
      <c r="E1190" s="287" t="s">
        <v>518</v>
      </c>
      <c r="F1190" s="287" t="b">
        <v>1</v>
      </c>
      <c r="G1190" s="287" t="b">
        <v>1</v>
      </c>
      <c r="H1190" s="287" t="s">
        <v>250</v>
      </c>
      <c r="I1190" s="40"/>
      <c r="J1190" s="40"/>
      <c r="K1190" s="286"/>
      <c r="L1190" s="286"/>
      <c r="M1190" s="40"/>
      <c r="N1190" s="40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</row>
    <row r="1191" ht="15.75" customHeight="1">
      <c r="A1191" s="287">
        <v>15577.0</v>
      </c>
      <c r="B1191" s="287">
        <v>16343.0</v>
      </c>
      <c r="C1191" s="287" t="s">
        <v>1631</v>
      </c>
      <c r="D1191" s="287" t="s">
        <v>1617</v>
      </c>
      <c r="E1191" s="287" t="s">
        <v>518</v>
      </c>
      <c r="F1191" s="287" t="b">
        <v>1</v>
      </c>
      <c r="G1191" s="287" t="b">
        <v>1</v>
      </c>
      <c r="H1191" s="287" t="s">
        <v>1633</v>
      </c>
      <c r="I1191" s="40"/>
      <c r="J1191" s="40"/>
      <c r="K1191" s="286"/>
      <c r="L1191" s="286"/>
      <c r="M1191" s="40"/>
      <c r="N1191" s="40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</row>
    <row r="1192" ht="15.75" customHeight="1">
      <c r="A1192" s="287">
        <v>33604.0</v>
      </c>
      <c r="B1192" s="287">
        <v>16167.0</v>
      </c>
      <c r="C1192" s="287" t="s">
        <v>1636</v>
      </c>
      <c r="D1192" s="287" t="s">
        <v>2663</v>
      </c>
      <c r="E1192" s="287" t="s">
        <v>518</v>
      </c>
      <c r="F1192" s="287" t="b">
        <v>1</v>
      </c>
      <c r="G1192" s="287" t="b">
        <v>1</v>
      </c>
      <c r="H1192" s="287" t="s">
        <v>250</v>
      </c>
      <c r="I1192" s="40"/>
      <c r="J1192" s="40"/>
      <c r="K1192" s="286"/>
      <c r="L1192" s="286"/>
      <c r="M1192" s="40"/>
      <c r="N1192" s="40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</row>
    <row r="1193" ht="15.75" customHeight="1">
      <c r="A1193" s="287">
        <v>110075.0</v>
      </c>
      <c r="B1193" s="287">
        <v>40628.0</v>
      </c>
      <c r="C1193" s="287" t="s">
        <v>2664</v>
      </c>
      <c r="D1193" s="287" t="s">
        <v>2665</v>
      </c>
      <c r="E1193" s="287" t="s">
        <v>518</v>
      </c>
      <c r="F1193" s="287" t="b">
        <v>1</v>
      </c>
      <c r="G1193" s="287" t="b">
        <v>1</v>
      </c>
      <c r="H1193" s="287" t="s">
        <v>2666</v>
      </c>
      <c r="I1193" s="40"/>
      <c r="J1193" s="40"/>
      <c r="K1193" s="286"/>
      <c r="L1193" s="286"/>
      <c r="M1193" s="40"/>
      <c r="N1193" s="40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</row>
    <row r="1194" ht="15.75" customHeight="1">
      <c r="A1194" s="287">
        <v>109751.0</v>
      </c>
      <c r="B1194" s="287">
        <v>111106.0</v>
      </c>
      <c r="C1194" s="287" t="s">
        <v>1639</v>
      </c>
      <c r="D1194" s="287" t="s">
        <v>42</v>
      </c>
      <c r="E1194" s="287" t="s">
        <v>518</v>
      </c>
      <c r="F1194" s="287" t="b">
        <v>1</v>
      </c>
      <c r="G1194" s="287" t="b">
        <v>1</v>
      </c>
      <c r="H1194" s="287" t="s">
        <v>250</v>
      </c>
      <c r="I1194" s="40"/>
      <c r="J1194" s="40"/>
      <c r="K1194" s="286"/>
      <c r="L1194" s="286"/>
      <c r="M1194" s="40"/>
      <c r="N1194" s="40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</row>
    <row r="1195" ht="15.75" customHeight="1">
      <c r="A1195" s="287">
        <v>15513.0</v>
      </c>
      <c r="B1195" s="287">
        <v>16535.0</v>
      </c>
      <c r="C1195" s="287" t="s">
        <v>1642</v>
      </c>
      <c r="D1195" s="287" t="s">
        <v>2667</v>
      </c>
      <c r="E1195" s="287" t="s">
        <v>518</v>
      </c>
      <c r="F1195" s="287" t="b">
        <v>1</v>
      </c>
      <c r="G1195" s="287" t="b">
        <v>1</v>
      </c>
      <c r="H1195" s="287" t="s">
        <v>1645</v>
      </c>
      <c r="I1195" s="40"/>
      <c r="J1195" s="40"/>
      <c r="K1195" s="286"/>
      <c r="L1195" s="286"/>
      <c r="M1195" s="40"/>
      <c r="N1195" s="40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</row>
    <row r="1196" ht="15.75" customHeight="1">
      <c r="A1196" s="287">
        <v>15510.0</v>
      </c>
      <c r="B1196" s="287">
        <v>105726.0</v>
      </c>
      <c r="C1196" s="287" t="s">
        <v>1646</v>
      </c>
      <c r="D1196" s="287" t="s">
        <v>2668</v>
      </c>
      <c r="E1196" s="287" t="s">
        <v>518</v>
      </c>
      <c r="F1196" s="287" t="b">
        <v>1</v>
      </c>
      <c r="G1196" s="287" t="b">
        <v>1</v>
      </c>
      <c r="H1196" s="287" t="s">
        <v>1648</v>
      </c>
      <c r="I1196" s="40"/>
      <c r="J1196" s="40"/>
      <c r="K1196" s="286"/>
      <c r="L1196" s="286"/>
      <c r="M1196" s="40"/>
      <c r="N1196" s="40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</row>
    <row r="1197" ht="15.75" customHeight="1">
      <c r="A1197" s="287">
        <v>11856.0</v>
      </c>
      <c r="B1197" s="287">
        <v>109680.0</v>
      </c>
      <c r="C1197" s="287" t="s">
        <v>1649</v>
      </c>
      <c r="D1197" s="287" t="s">
        <v>2669</v>
      </c>
      <c r="E1197" s="287" t="s">
        <v>518</v>
      </c>
      <c r="F1197" s="287" t="b">
        <v>1</v>
      </c>
      <c r="G1197" s="287" t="b">
        <v>1</v>
      </c>
      <c r="H1197" s="287" t="s">
        <v>250</v>
      </c>
      <c r="I1197" s="40"/>
      <c r="J1197" s="40"/>
      <c r="K1197" s="286"/>
      <c r="L1197" s="286"/>
      <c r="M1197" s="40"/>
      <c r="N1197" s="40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</row>
    <row r="1198" ht="15.75" customHeight="1">
      <c r="A1198" s="287">
        <v>15507.0</v>
      </c>
      <c r="B1198" s="287">
        <v>16518.0</v>
      </c>
      <c r="C1198" s="287" t="s">
        <v>2670</v>
      </c>
      <c r="D1198" s="287" t="s">
        <v>1617</v>
      </c>
      <c r="E1198" s="287" t="s">
        <v>518</v>
      </c>
      <c r="F1198" s="287" t="b">
        <v>1</v>
      </c>
      <c r="G1198" s="287" t="b">
        <v>1</v>
      </c>
      <c r="H1198" s="287" t="s">
        <v>1635</v>
      </c>
      <c r="I1198" s="40"/>
      <c r="J1198" s="40"/>
      <c r="K1198" s="286"/>
      <c r="L1198" s="286"/>
      <c r="M1198" s="40"/>
      <c r="N1198" s="40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</row>
    <row r="1199" ht="15.75" customHeight="1">
      <c r="A1199" s="287">
        <v>15516.0</v>
      </c>
      <c r="B1199" s="287">
        <v>111972.0</v>
      </c>
      <c r="C1199" s="287" t="s">
        <v>1652</v>
      </c>
      <c r="D1199" s="287" t="s">
        <v>42</v>
      </c>
      <c r="E1199" s="287" t="s">
        <v>518</v>
      </c>
      <c r="F1199" s="287" t="b">
        <v>1</v>
      </c>
      <c r="G1199" s="287" t="b">
        <v>1</v>
      </c>
      <c r="H1199" s="287" t="s">
        <v>250</v>
      </c>
      <c r="I1199" s="40"/>
      <c r="J1199" s="40"/>
      <c r="K1199" s="286"/>
      <c r="L1199" s="286"/>
      <c r="M1199" s="40"/>
      <c r="N1199" s="40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</row>
    <row r="1200" ht="15.75" customHeight="1">
      <c r="A1200" s="287">
        <v>15469.0</v>
      </c>
      <c r="B1200" s="287">
        <v>16316.0</v>
      </c>
      <c r="C1200" s="287" t="s">
        <v>1653</v>
      </c>
      <c r="D1200" s="287" t="s">
        <v>64</v>
      </c>
      <c r="E1200" s="287" t="s">
        <v>518</v>
      </c>
      <c r="F1200" s="287" t="b">
        <v>1</v>
      </c>
      <c r="G1200" s="287" t="b">
        <v>1</v>
      </c>
      <c r="H1200" s="287" t="s">
        <v>250</v>
      </c>
      <c r="I1200" s="40"/>
      <c r="J1200" s="40"/>
      <c r="K1200" s="286"/>
      <c r="L1200" s="286"/>
      <c r="M1200" s="40"/>
      <c r="N1200" s="40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</row>
    <row r="1201" ht="15.75" customHeight="1">
      <c r="A1201" s="287">
        <v>110065.0</v>
      </c>
      <c r="B1201" s="287">
        <v>111990.0</v>
      </c>
      <c r="C1201" s="287" t="s">
        <v>1655</v>
      </c>
      <c r="D1201" s="287" t="s">
        <v>42</v>
      </c>
      <c r="E1201" s="287" t="s">
        <v>518</v>
      </c>
      <c r="F1201" s="287" t="b">
        <v>1</v>
      </c>
      <c r="G1201" s="287" t="b">
        <v>1</v>
      </c>
      <c r="H1201" s="287" t="s">
        <v>250</v>
      </c>
      <c r="I1201" s="40"/>
      <c r="J1201" s="40"/>
      <c r="K1201" s="286"/>
      <c r="L1201" s="286"/>
      <c r="M1201" s="40"/>
      <c r="N1201" s="40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</row>
    <row r="1202" ht="15.75" customHeight="1">
      <c r="A1202" s="287">
        <v>15518.0</v>
      </c>
      <c r="B1202" s="287">
        <v>16345.0</v>
      </c>
      <c r="C1202" s="287" t="s">
        <v>1656</v>
      </c>
      <c r="D1202" s="287" t="s">
        <v>2669</v>
      </c>
      <c r="E1202" s="287" t="s">
        <v>518</v>
      </c>
      <c r="F1202" s="287" t="b">
        <v>1</v>
      </c>
      <c r="G1202" s="287" t="b">
        <v>1</v>
      </c>
      <c r="H1202" s="287" t="s">
        <v>1658</v>
      </c>
      <c r="I1202" s="40"/>
      <c r="J1202" s="40"/>
      <c r="K1202" s="286"/>
      <c r="L1202" s="286"/>
      <c r="M1202" s="40"/>
      <c r="N1202" s="40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</row>
    <row r="1203" ht="15.75" customHeight="1">
      <c r="A1203" s="287">
        <v>110054.0</v>
      </c>
      <c r="B1203" s="287">
        <v>112699.0</v>
      </c>
      <c r="C1203" s="287" t="s">
        <v>1659</v>
      </c>
      <c r="D1203" s="287" t="s">
        <v>42</v>
      </c>
      <c r="E1203" s="287" t="s">
        <v>369</v>
      </c>
      <c r="F1203" s="287" t="b">
        <v>1</v>
      </c>
      <c r="G1203" s="287" t="b">
        <v>1</v>
      </c>
      <c r="H1203" s="287" t="s">
        <v>250</v>
      </c>
      <c r="I1203" s="40"/>
      <c r="J1203" s="40"/>
      <c r="K1203" s="286"/>
      <c r="L1203" s="286"/>
      <c r="M1203" s="40"/>
      <c r="N1203" s="40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</row>
    <row r="1204" ht="15.75" customHeight="1">
      <c r="A1204" s="287">
        <v>24185.0</v>
      </c>
      <c r="B1204" s="287">
        <v>106293.0</v>
      </c>
      <c r="C1204" s="287" t="s">
        <v>1661</v>
      </c>
      <c r="D1204" s="287" t="s">
        <v>64</v>
      </c>
      <c r="E1204" s="287" t="s">
        <v>518</v>
      </c>
      <c r="F1204" s="287" t="b">
        <v>1</v>
      </c>
      <c r="G1204" s="287" t="b">
        <v>1</v>
      </c>
      <c r="H1204" s="287" t="s">
        <v>250</v>
      </c>
      <c r="I1204" s="40"/>
      <c r="J1204" s="40"/>
      <c r="K1204" s="286"/>
      <c r="L1204" s="286"/>
      <c r="M1204" s="40"/>
      <c r="N1204" s="40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</row>
    <row r="1205" ht="15.75" customHeight="1">
      <c r="A1205" s="287">
        <v>148489.0</v>
      </c>
      <c r="B1205" s="287">
        <v>105727.0</v>
      </c>
      <c r="C1205" s="287" t="s">
        <v>1662</v>
      </c>
      <c r="D1205" s="287" t="s">
        <v>2671</v>
      </c>
      <c r="E1205" s="287" t="s">
        <v>518</v>
      </c>
      <c r="F1205" s="287" t="b">
        <v>1</v>
      </c>
      <c r="G1205" s="287" t="b">
        <v>1</v>
      </c>
      <c r="H1205" s="287" t="s">
        <v>1663</v>
      </c>
      <c r="I1205" s="40"/>
      <c r="J1205" s="40"/>
      <c r="K1205" s="286"/>
      <c r="L1205" s="286"/>
      <c r="M1205" s="40"/>
      <c r="N1205" s="40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</row>
    <row r="1206" ht="15.75" customHeight="1">
      <c r="A1206" s="287">
        <v>106885.0</v>
      </c>
      <c r="B1206" s="287">
        <v>112190.0</v>
      </c>
      <c r="C1206" s="287" t="s">
        <v>1664</v>
      </c>
      <c r="D1206" s="287" t="s">
        <v>65</v>
      </c>
      <c r="E1206" s="287" t="s">
        <v>369</v>
      </c>
      <c r="F1206" s="287" t="b">
        <v>1</v>
      </c>
      <c r="G1206" s="287" t="b">
        <v>1</v>
      </c>
      <c r="H1206" s="287" t="s">
        <v>250</v>
      </c>
      <c r="I1206" s="40"/>
      <c r="J1206" s="40"/>
      <c r="K1206" s="286"/>
      <c r="L1206" s="286"/>
      <c r="M1206" s="40"/>
      <c r="N1206" s="40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</row>
    <row r="1207" ht="15.75" customHeight="1">
      <c r="A1207" s="287">
        <v>61705.0</v>
      </c>
      <c r="B1207" s="287">
        <v>112195.0</v>
      </c>
      <c r="C1207" s="287" t="s">
        <v>1666</v>
      </c>
      <c r="D1207" s="287" t="s">
        <v>1668</v>
      </c>
      <c r="E1207" s="287" t="s">
        <v>369</v>
      </c>
      <c r="F1207" s="287" t="b">
        <v>1</v>
      </c>
      <c r="G1207" s="287" t="b">
        <v>1</v>
      </c>
      <c r="H1207" s="287" t="s">
        <v>250</v>
      </c>
      <c r="I1207" s="40"/>
      <c r="J1207" s="40"/>
      <c r="K1207" s="286"/>
      <c r="L1207" s="286"/>
      <c r="M1207" s="40"/>
      <c r="N1207" s="40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</row>
    <row r="1208" ht="15.75" customHeight="1">
      <c r="A1208" s="287">
        <v>15522.0</v>
      </c>
      <c r="B1208" s="287">
        <v>16409.0</v>
      </c>
      <c r="C1208" s="287" t="s">
        <v>1669</v>
      </c>
      <c r="D1208" s="287" t="s">
        <v>2672</v>
      </c>
      <c r="E1208" s="287" t="s">
        <v>518</v>
      </c>
      <c r="F1208" s="287" t="b">
        <v>1</v>
      </c>
      <c r="G1208" s="287" t="b">
        <v>1</v>
      </c>
      <c r="H1208" s="287" t="s">
        <v>1672</v>
      </c>
      <c r="I1208" s="40"/>
      <c r="J1208" s="40"/>
      <c r="K1208" s="286"/>
      <c r="L1208" s="286"/>
      <c r="M1208" s="40"/>
      <c r="N1208" s="40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</row>
    <row r="1209" ht="15.75" customHeight="1">
      <c r="A1209" s="287">
        <v>110066.0</v>
      </c>
      <c r="B1209" s="287">
        <v>16357.0</v>
      </c>
      <c r="C1209" s="287" t="s">
        <v>1673</v>
      </c>
      <c r="D1209" s="287" t="s">
        <v>2673</v>
      </c>
      <c r="E1209" s="287" t="s">
        <v>518</v>
      </c>
      <c r="F1209" s="287" t="b">
        <v>1</v>
      </c>
      <c r="G1209" s="287" t="b">
        <v>1</v>
      </c>
      <c r="H1209" s="287" t="s">
        <v>250</v>
      </c>
      <c r="I1209" s="40"/>
      <c r="J1209" s="40"/>
      <c r="K1209" s="286"/>
      <c r="L1209" s="286"/>
      <c r="M1209" s="40"/>
      <c r="N1209" s="40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</row>
    <row r="1210" ht="15.75" customHeight="1">
      <c r="A1210" s="287">
        <v>18613.0</v>
      </c>
      <c r="B1210" s="287">
        <v>16354.0</v>
      </c>
      <c r="C1210" s="287" t="s">
        <v>1676</v>
      </c>
      <c r="D1210" s="287" t="s">
        <v>64</v>
      </c>
      <c r="E1210" s="287" t="s">
        <v>518</v>
      </c>
      <c r="F1210" s="287" t="b">
        <v>1</v>
      </c>
      <c r="G1210" s="287" t="b">
        <v>1</v>
      </c>
      <c r="H1210" s="287" t="s">
        <v>1677</v>
      </c>
      <c r="I1210" s="40"/>
      <c r="J1210" s="40"/>
      <c r="K1210" s="286"/>
      <c r="L1210" s="286"/>
      <c r="M1210" s="40"/>
      <c r="N1210" s="40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</row>
    <row r="1211" ht="15.75" customHeight="1">
      <c r="A1211" s="289">
        <v>15525.0</v>
      </c>
      <c r="B1211" s="289">
        <v>51001.0</v>
      </c>
      <c r="C1211" s="289" t="s">
        <v>1678</v>
      </c>
      <c r="D1211" s="289" t="s">
        <v>542</v>
      </c>
      <c r="E1211" s="289" t="s">
        <v>518</v>
      </c>
      <c r="F1211" s="289" t="b">
        <v>1</v>
      </c>
      <c r="G1211" s="287" t="b">
        <v>1</v>
      </c>
      <c r="H1211" s="287" t="s">
        <v>1680</v>
      </c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</row>
    <row r="1212" ht="15.75" customHeight="1">
      <c r="A1212" s="289">
        <v>15145.0</v>
      </c>
      <c r="B1212" s="289">
        <v>100451.0</v>
      </c>
      <c r="C1212" s="289" t="s">
        <v>1681</v>
      </c>
      <c r="D1212" s="289" t="s">
        <v>42</v>
      </c>
      <c r="E1212" s="289" t="s">
        <v>518</v>
      </c>
      <c r="F1212" s="289" t="b">
        <v>1</v>
      </c>
      <c r="G1212" s="287" t="b">
        <v>1</v>
      </c>
      <c r="H1212" s="287" t="s">
        <v>250</v>
      </c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</row>
    <row r="1213" ht="15.75" customHeight="1">
      <c r="A1213" s="289">
        <v>110912.0</v>
      </c>
      <c r="B1213" s="289">
        <v>110954.0</v>
      </c>
      <c r="C1213" s="289" t="s">
        <v>1683</v>
      </c>
      <c r="D1213" s="289" t="s">
        <v>42</v>
      </c>
      <c r="E1213" s="289" t="s">
        <v>518</v>
      </c>
      <c r="F1213" s="289" t="b">
        <v>1</v>
      </c>
      <c r="G1213" s="287" t="b">
        <v>1</v>
      </c>
      <c r="H1213" s="287" t="s">
        <v>250</v>
      </c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</row>
    <row r="1214" ht="15.75" customHeight="1">
      <c r="A1214" s="289">
        <v>110903.0</v>
      </c>
      <c r="B1214" s="289">
        <v>111141.0</v>
      </c>
      <c r="C1214" s="289" t="s">
        <v>1685</v>
      </c>
      <c r="D1214" s="289" t="s">
        <v>42</v>
      </c>
      <c r="E1214" s="289" t="s">
        <v>518</v>
      </c>
      <c r="F1214" s="289" t="b">
        <v>1</v>
      </c>
      <c r="G1214" s="287" t="b">
        <v>1</v>
      </c>
      <c r="H1214" s="287" t="s">
        <v>250</v>
      </c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</row>
    <row r="1215" ht="15.75" customHeight="1">
      <c r="A1215" s="289">
        <v>148485.0</v>
      </c>
      <c r="B1215" s="289">
        <v>111844.0</v>
      </c>
      <c r="C1215" s="289" t="s">
        <v>1686</v>
      </c>
      <c r="D1215" s="289" t="s">
        <v>42</v>
      </c>
      <c r="E1215" s="289" t="s">
        <v>518</v>
      </c>
      <c r="F1215" s="289" t="b">
        <v>1</v>
      </c>
      <c r="G1215" s="287" t="b">
        <v>1</v>
      </c>
      <c r="H1215" s="287" t="s">
        <v>250</v>
      </c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</row>
    <row r="1216" ht="15.75" customHeight="1">
      <c r="A1216" s="289">
        <v>15528.0</v>
      </c>
      <c r="B1216" s="289">
        <v>20150.0</v>
      </c>
      <c r="C1216" s="289" t="s">
        <v>1688</v>
      </c>
      <c r="D1216" s="289" t="s">
        <v>64</v>
      </c>
      <c r="E1216" s="289" t="s">
        <v>518</v>
      </c>
      <c r="F1216" s="289" t="b">
        <v>1</v>
      </c>
      <c r="G1216" s="287" t="b">
        <v>1</v>
      </c>
      <c r="H1216" s="287" t="s">
        <v>250</v>
      </c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</row>
    <row r="1217" ht="15.75" customHeight="1">
      <c r="A1217" s="289">
        <v>110072.0</v>
      </c>
      <c r="B1217" s="289">
        <v>111107.0</v>
      </c>
      <c r="C1217" s="289" t="s">
        <v>1689</v>
      </c>
      <c r="D1217" s="289" t="s">
        <v>1692</v>
      </c>
      <c r="E1217" s="289" t="s">
        <v>518</v>
      </c>
      <c r="F1217" s="289" t="b">
        <v>1</v>
      </c>
      <c r="G1217" s="287" t="b">
        <v>1</v>
      </c>
      <c r="H1217" s="287" t="s">
        <v>250</v>
      </c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</row>
    <row r="1218" ht="15.75" customHeight="1">
      <c r="A1218" s="289">
        <v>15530.0</v>
      </c>
      <c r="B1218" s="289">
        <v>16355.0</v>
      </c>
      <c r="C1218" s="289" t="s">
        <v>1696</v>
      </c>
      <c r="D1218" s="289" t="s">
        <v>1698</v>
      </c>
      <c r="E1218" s="289" t="s">
        <v>518</v>
      </c>
      <c r="F1218" s="289" t="b">
        <v>1</v>
      </c>
      <c r="G1218" s="287" t="b">
        <v>1</v>
      </c>
      <c r="H1218" s="287" t="s">
        <v>250</v>
      </c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</row>
    <row r="1219" ht="15.75" customHeight="1">
      <c r="A1219" s="289">
        <v>11729.0</v>
      </c>
      <c r="B1219" s="289">
        <v>20151.0</v>
      </c>
      <c r="C1219" s="289" t="s">
        <v>1699</v>
      </c>
      <c r="D1219" s="289" t="s">
        <v>2674</v>
      </c>
      <c r="E1219" s="289" t="s">
        <v>518</v>
      </c>
      <c r="F1219" s="289" t="b">
        <v>1</v>
      </c>
      <c r="G1219" s="287" t="b">
        <v>1</v>
      </c>
      <c r="H1219" s="287" t="s">
        <v>250</v>
      </c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</row>
    <row r="1220" ht="15.75" customHeight="1">
      <c r="A1220" s="289">
        <v>15531.0</v>
      </c>
      <c r="B1220" s="289">
        <v>20149.0</v>
      </c>
      <c r="C1220" s="289" t="s">
        <v>1700</v>
      </c>
      <c r="D1220" s="289" t="s">
        <v>1701</v>
      </c>
      <c r="E1220" s="289" t="s">
        <v>518</v>
      </c>
      <c r="F1220" s="289" t="b">
        <v>1</v>
      </c>
      <c r="G1220" s="287" t="b">
        <v>1</v>
      </c>
      <c r="H1220" s="287" t="s">
        <v>250</v>
      </c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</row>
    <row r="1221" ht="15.75" customHeight="1">
      <c r="A1221" s="289">
        <v>15571.0</v>
      </c>
      <c r="B1221" s="289">
        <v>20224.0</v>
      </c>
      <c r="C1221" s="289" t="s">
        <v>1702</v>
      </c>
      <c r="D1221" s="289" t="s">
        <v>1701</v>
      </c>
      <c r="E1221" s="289" t="s">
        <v>518</v>
      </c>
      <c r="F1221" s="289" t="b">
        <v>1</v>
      </c>
      <c r="G1221" s="287" t="b">
        <v>1</v>
      </c>
      <c r="H1221" s="287" t="s">
        <v>250</v>
      </c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</row>
    <row r="1222" ht="15.75" customHeight="1">
      <c r="A1222" s="289">
        <v>109755.0</v>
      </c>
      <c r="B1222" s="289">
        <v>110881.0</v>
      </c>
      <c r="C1222" s="289" t="s">
        <v>1704</v>
      </c>
      <c r="D1222" s="289" t="s">
        <v>1707</v>
      </c>
      <c r="E1222" s="289" t="s">
        <v>518</v>
      </c>
      <c r="F1222" s="289" t="b">
        <v>1</v>
      </c>
      <c r="G1222" s="287" t="b">
        <v>1</v>
      </c>
      <c r="H1222" s="287" t="s">
        <v>250</v>
      </c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</row>
    <row r="1223" ht="15.75" customHeight="1">
      <c r="A1223" s="289">
        <v>15575.0</v>
      </c>
      <c r="B1223" s="289">
        <v>148491.0</v>
      </c>
      <c r="C1223" s="289" t="s">
        <v>1708</v>
      </c>
      <c r="D1223" s="289" t="s">
        <v>2675</v>
      </c>
      <c r="E1223" s="289" t="s">
        <v>518</v>
      </c>
      <c r="F1223" s="289" t="b">
        <v>1</v>
      </c>
      <c r="G1223" s="287" t="b">
        <v>1</v>
      </c>
      <c r="H1223" s="287" t="s">
        <v>250</v>
      </c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</row>
    <row r="1224" ht="15.75" customHeight="1">
      <c r="A1224" s="289">
        <v>15537.0</v>
      </c>
      <c r="B1224" s="289">
        <v>20879.0</v>
      </c>
      <c r="C1224" s="289" t="s">
        <v>1710</v>
      </c>
      <c r="D1224" s="289" t="s">
        <v>1711</v>
      </c>
      <c r="E1224" s="289" t="s">
        <v>518</v>
      </c>
      <c r="F1224" s="289" t="b">
        <v>1</v>
      </c>
      <c r="G1224" s="287" t="b">
        <v>1</v>
      </c>
      <c r="H1224" s="287" t="s">
        <v>1712</v>
      </c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</row>
    <row r="1225" ht="15.75" customHeight="1">
      <c r="A1225" s="289">
        <v>15534.0</v>
      </c>
      <c r="B1225" s="289">
        <v>16340.0</v>
      </c>
      <c r="C1225" s="289" t="s">
        <v>1713</v>
      </c>
      <c r="D1225" s="289" t="s">
        <v>1101</v>
      </c>
      <c r="E1225" s="289" t="s">
        <v>518</v>
      </c>
      <c r="F1225" s="289" t="b">
        <v>1</v>
      </c>
      <c r="G1225" s="287" t="b">
        <v>1</v>
      </c>
      <c r="H1225" s="287" t="s">
        <v>250</v>
      </c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</row>
    <row r="1226" ht="15.75" customHeight="1">
      <c r="A1226" s="289">
        <v>109765.0</v>
      </c>
      <c r="B1226" s="289">
        <v>16451.0</v>
      </c>
      <c r="C1226" s="289" t="s">
        <v>2676</v>
      </c>
      <c r="D1226" s="289" t="s">
        <v>1101</v>
      </c>
      <c r="E1226" s="289" t="s">
        <v>518</v>
      </c>
      <c r="F1226" s="289" t="b">
        <v>1</v>
      </c>
      <c r="G1226" s="287" t="b">
        <v>1</v>
      </c>
      <c r="H1226" s="287" t="s">
        <v>250</v>
      </c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</row>
    <row r="1227" ht="15.75" customHeight="1">
      <c r="A1227" s="289">
        <v>110073.0</v>
      </c>
      <c r="B1227" s="289">
        <v>112637.0</v>
      </c>
      <c r="C1227" s="289" t="s">
        <v>1716</v>
      </c>
      <c r="D1227" s="289" t="s">
        <v>1017</v>
      </c>
      <c r="E1227" s="289" t="s">
        <v>518</v>
      </c>
      <c r="F1227" s="289" t="b">
        <v>1</v>
      </c>
      <c r="G1227" s="287" t="b">
        <v>1</v>
      </c>
      <c r="H1227" s="287" t="s">
        <v>250</v>
      </c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</row>
    <row r="1228" ht="15.75" customHeight="1">
      <c r="A1228" s="289">
        <v>105771.0</v>
      </c>
      <c r="B1228" s="289">
        <v>143140.0</v>
      </c>
      <c r="C1228" s="289" t="s">
        <v>1718</v>
      </c>
      <c r="D1228" s="289" t="s">
        <v>1256</v>
      </c>
      <c r="E1228" s="289" t="s">
        <v>518</v>
      </c>
      <c r="F1228" s="289" t="b">
        <v>1</v>
      </c>
      <c r="G1228" s="287" t="b">
        <v>1</v>
      </c>
      <c r="H1228" s="287" t="s">
        <v>250</v>
      </c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</row>
    <row r="1229" ht="15.75" customHeight="1">
      <c r="A1229" s="289">
        <v>35223.0</v>
      </c>
      <c r="B1229" s="289">
        <v>111933.0</v>
      </c>
      <c r="C1229" s="289" t="s">
        <v>1719</v>
      </c>
      <c r="D1229" s="289" t="s">
        <v>946</v>
      </c>
      <c r="E1229" s="289" t="s">
        <v>518</v>
      </c>
      <c r="F1229" s="289" t="b">
        <v>1</v>
      </c>
      <c r="G1229" s="287" t="b">
        <v>1</v>
      </c>
      <c r="H1229" s="287" t="s">
        <v>250</v>
      </c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</row>
    <row r="1230" ht="15.75" customHeight="1">
      <c r="A1230" s="289">
        <v>15568.0</v>
      </c>
      <c r="B1230" s="289">
        <v>16358.0</v>
      </c>
      <c r="C1230" s="289" t="s">
        <v>1720</v>
      </c>
      <c r="D1230" s="289" t="s">
        <v>1701</v>
      </c>
      <c r="E1230" s="289" t="s">
        <v>518</v>
      </c>
      <c r="F1230" s="289" t="b">
        <v>1</v>
      </c>
      <c r="G1230" s="287" t="b">
        <v>1</v>
      </c>
      <c r="H1230" s="287" t="s">
        <v>1723</v>
      </c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</row>
    <row r="1231" ht="15.75" customHeight="1">
      <c r="A1231" s="289">
        <v>102794.0</v>
      </c>
      <c r="B1231" s="289">
        <v>109664.0</v>
      </c>
      <c r="C1231" s="289" t="s">
        <v>1725</v>
      </c>
      <c r="D1231" s="289" t="s">
        <v>64</v>
      </c>
      <c r="E1231" s="289" t="s">
        <v>518</v>
      </c>
      <c r="F1231" s="289" t="b">
        <v>1</v>
      </c>
      <c r="G1231" s="287" t="b">
        <v>1</v>
      </c>
      <c r="H1231" s="287" t="s">
        <v>250</v>
      </c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</row>
    <row r="1232" ht="15.75" customHeight="1">
      <c r="A1232" s="289">
        <v>15539.0</v>
      </c>
      <c r="B1232" s="289">
        <v>110879.0</v>
      </c>
      <c r="C1232" s="289" t="s">
        <v>1727</v>
      </c>
      <c r="D1232" s="289" t="s">
        <v>1017</v>
      </c>
      <c r="E1232" s="289" t="s">
        <v>518</v>
      </c>
      <c r="F1232" s="289" t="b">
        <v>1</v>
      </c>
      <c r="G1232" s="287" t="b">
        <v>1</v>
      </c>
      <c r="H1232" s="287" t="s">
        <v>250</v>
      </c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</row>
    <row r="1233" ht="15.75" customHeight="1">
      <c r="A1233" s="289">
        <v>110101.0</v>
      </c>
      <c r="B1233" s="289">
        <v>16344.0</v>
      </c>
      <c r="C1233" s="289" t="s">
        <v>1729</v>
      </c>
      <c r="D1233" s="289" t="s">
        <v>64</v>
      </c>
      <c r="E1233" s="289" t="s">
        <v>369</v>
      </c>
      <c r="F1233" s="289" t="b">
        <v>1</v>
      </c>
      <c r="G1233" s="287" t="b">
        <v>1</v>
      </c>
      <c r="H1233" s="287" t="s">
        <v>1730</v>
      </c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</row>
    <row r="1234" ht="15.75" customHeight="1">
      <c r="A1234" s="289">
        <v>15542.0</v>
      </c>
      <c r="B1234" s="289">
        <v>100435.0</v>
      </c>
      <c r="C1234" s="289" t="s">
        <v>1731</v>
      </c>
      <c r="D1234" s="289" t="s">
        <v>1617</v>
      </c>
      <c r="E1234" s="289" t="s">
        <v>518</v>
      </c>
      <c r="F1234" s="289" t="b">
        <v>1</v>
      </c>
      <c r="G1234" s="287" t="b">
        <v>1</v>
      </c>
      <c r="H1234" s="287" t="s">
        <v>250</v>
      </c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</row>
    <row r="1235" ht="15.75" customHeight="1">
      <c r="A1235" s="290" t="s">
        <v>2751</v>
      </c>
      <c r="B1235" s="289">
        <v>16349.0</v>
      </c>
      <c r="C1235" s="289" t="s">
        <v>1733</v>
      </c>
      <c r="D1235" s="289" t="s">
        <v>1617</v>
      </c>
      <c r="E1235" s="289" t="s">
        <v>518</v>
      </c>
      <c r="F1235" s="289" t="b">
        <v>1</v>
      </c>
      <c r="G1235" s="287" t="b">
        <v>1</v>
      </c>
      <c r="H1235" s="287" t="s">
        <v>2677</v>
      </c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</row>
    <row r="1236" ht="15.75" customHeight="1">
      <c r="A1236" s="289">
        <v>24182.0</v>
      </c>
      <c r="B1236" s="289">
        <v>111822.0</v>
      </c>
      <c r="C1236" s="289" t="s">
        <v>1735</v>
      </c>
      <c r="D1236" s="289" t="s">
        <v>64</v>
      </c>
      <c r="E1236" s="289" t="s">
        <v>518</v>
      </c>
      <c r="F1236" s="289" t="b">
        <v>1</v>
      </c>
      <c r="G1236" s="287" t="b">
        <v>1</v>
      </c>
      <c r="H1236" s="287" t="s">
        <v>250</v>
      </c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</row>
    <row r="1237" ht="15.75" customHeight="1">
      <c r="A1237" s="289">
        <v>15429.0</v>
      </c>
      <c r="B1237" s="289">
        <v>16380.0</v>
      </c>
      <c r="C1237" s="289" t="s">
        <v>1737</v>
      </c>
      <c r="D1237" s="289" t="s">
        <v>64</v>
      </c>
      <c r="E1237" s="289" t="s">
        <v>518</v>
      </c>
      <c r="F1237" s="289" t="b">
        <v>1</v>
      </c>
      <c r="G1237" s="287" t="b">
        <v>1</v>
      </c>
      <c r="H1237" s="287" t="s">
        <v>1740</v>
      </c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</row>
    <row r="1238" ht="15.75" customHeight="1">
      <c r="A1238" s="289">
        <v>111119.0</v>
      </c>
      <c r="B1238" s="289">
        <v>109668.0</v>
      </c>
      <c r="C1238" s="289" t="s">
        <v>1741</v>
      </c>
      <c r="D1238" s="289" t="s">
        <v>64</v>
      </c>
      <c r="E1238" s="289" t="s">
        <v>518</v>
      </c>
      <c r="F1238" s="289" t="b">
        <v>1</v>
      </c>
      <c r="G1238" s="287" t="b">
        <v>1</v>
      </c>
      <c r="H1238" s="287" t="s">
        <v>250</v>
      </c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</row>
    <row r="1239" ht="15.75" customHeight="1">
      <c r="A1239" s="289">
        <v>15543.0</v>
      </c>
      <c r="B1239" s="289">
        <v>109667.0</v>
      </c>
      <c r="C1239" s="289" t="s">
        <v>1743</v>
      </c>
      <c r="D1239" s="289" t="s">
        <v>64</v>
      </c>
      <c r="E1239" s="289" t="s">
        <v>518</v>
      </c>
      <c r="F1239" s="289" t="b">
        <v>1</v>
      </c>
      <c r="G1239" s="287" t="b">
        <v>1</v>
      </c>
      <c r="H1239" s="287" t="s">
        <v>250</v>
      </c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</row>
    <row r="1240" ht="15.75" customHeight="1">
      <c r="A1240" s="289">
        <v>15438.0</v>
      </c>
      <c r="B1240" s="289">
        <v>16426.0</v>
      </c>
      <c r="C1240" s="289" t="s">
        <v>1746</v>
      </c>
      <c r="D1240" s="289" t="s">
        <v>2678</v>
      </c>
      <c r="E1240" s="289" t="s">
        <v>518</v>
      </c>
      <c r="F1240" s="289" t="b">
        <v>1</v>
      </c>
      <c r="G1240" s="287" t="b">
        <v>1</v>
      </c>
      <c r="H1240" s="287" t="s">
        <v>250</v>
      </c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</row>
    <row r="1241" ht="15.75" customHeight="1">
      <c r="A1241" s="289">
        <v>15431.0</v>
      </c>
      <c r="B1241" s="289">
        <v>12275.0</v>
      </c>
      <c r="C1241" s="289" t="s">
        <v>1749</v>
      </c>
      <c r="D1241" s="289" t="s">
        <v>64</v>
      </c>
      <c r="E1241" s="289" t="s">
        <v>518</v>
      </c>
      <c r="F1241" s="289" t="b">
        <v>1</v>
      </c>
      <c r="G1241" s="287" t="b">
        <v>1</v>
      </c>
      <c r="H1241" s="287" t="s">
        <v>250</v>
      </c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</row>
    <row r="1242" ht="15.75" customHeight="1">
      <c r="A1242" s="289">
        <v>111175.0</v>
      </c>
      <c r="B1242" s="289">
        <v>16350.0</v>
      </c>
      <c r="C1242" s="289" t="s">
        <v>1751</v>
      </c>
      <c r="D1242" s="289" t="s">
        <v>64</v>
      </c>
      <c r="E1242" s="289" t="s">
        <v>518</v>
      </c>
      <c r="F1242" s="289" t="b">
        <v>1</v>
      </c>
      <c r="G1242" s="287" t="b">
        <v>1</v>
      </c>
      <c r="H1242" s="287" t="s">
        <v>1753</v>
      </c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</row>
    <row r="1243" ht="15.75" customHeight="1">
      <c r="A1243" s="289">
        <v>30024.0</v>
      </c>
      <c r="B1243" s="289">
        <v>16534.0</v>
      </c>
      <c r="C1243" s="289" t="s">
        <v>1754</v>
      </c>
      <c r="D1243" s="289" t="s">
        <v>2679</v>
      </c>
      <c r="E1243" s="289" t="s">
        <v>518</v>
      </c>
      <c r="F1243" s="289" t="b">
        <v>1</v>
      </c>
      <c r="G1243" s="287" t="b">
        <v>1</v>
      </c>
      <c r="H1243" s="287" t="s">
        <v>1756</v>
      </c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</row>
    <row r="1244" ht="15.75" customHeight="1">
      <c r="A1244" s="289">
        <v>15433.0</v>
      </c>
      <c r="B1244" s="289">
        <v>111125.0</v>
      </c>
      <c r="C1244" s="289" t="s">
        <v>1757</v>
      </c>
      <c r="D1244" s="289" t="s">
        <v>1759</v>
      </c>
      <c r="E1244" s="289" t="s">
        <v>518</v>
      </c>
      <c r="F1244" s="289" t="b">
        <v>1</v>
      </c>
      <c r="G1244" s="287" t="b">
        <v>1</v>
      </c>
      <c r="H1244" s="287" t="s">
        <v>250</v>
      </c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</row>
    <row r="1245" ht="15.75" customHeight="1">
      <c r="A1245" s="289">
        <v>15478.0</v>
      </c>
      <c r="B1245" s="289">
        <v>109665.0</v>
      </c>
      <c r="C1245" s="289" t="s">
        <v>1760</v>
      </c>
      <c r="D1245" s="289" t="s">
        <v>64</v>
      </c>
      <c r="E1245" s="289" t="s">
        <v>518</v>
      </c>
      <c r="F1245" s="289" t="b">
        <v>1</v>
      </c>
      <c r="G1245" s="287" t="b">
        <v>1</v>
      </c>
      <c r="H1245" s="287" t="s">
        <v>250</v>
      </c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</row>
    <row r="1246" ht="15.75" customHeight="1">
      <c r="A1246" s="289">
        <v>15434.0</v>
      </c>
      <c r="B1246" s="289">
        <v>109666.0</v>
      </c>
      <c r="C1246" s="289" t="s">
        <v>1761</v>
      </c>
      <c r="D1246" s="289" t="s">
        <v>64</v>
      </c>
      <c r="E1246" s="289" t="s">
        <v>518</v>
      </c>
      <c r="F1246" s="289" t="b">
        <v>1</v>
      </c>
      <c r="G1246" s="287" t="b">
        <v>1</v>
      </c>
      <c r="H1246" s="287" t="s">
        <v>250</v>
      </c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</row>
    <row r="1247" ht="15.75" customHeight="1">
      <c r="A1247" s="289">
        <v>15436.0</v>
      </c>
      <c r="B1247" s="289">
        <v>112015.0</v>
      </c>
      <c r="C1247" s="289" t="s">
        <v>1762</v>
      </c>
      <c r="D1247" s="289" t="s">
        <v>64</v>
      </c>
      <c r="E1247" s="289" t="s">
        <v>518</v>
      </c>
      <c r="F1247" s="289" t="b">
        <v>1</v>
      </c>
      <c r="G1247" s="287" t="b">
        <v>1</v>
      </c>
      <c r="H1247" s="287" t="s">
        <v>250</v>
      </c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</row>
    <row r="1248" ht="15.75" customHeight="1">
      <c r="A1248" s="289">
        <v>15447.0</v>
      </c>
      <c r="B1248" s="289">
        <v>112013.0</v>
      </c>
      <c r="C1248" s="289" t="s">
        <v>1763</v>
      </c>
      <c r="D1248" s="289" t="s">
        <v>64</v>
      </c>
      <c r="E1248" s="289" t="s">
        <v>518</v>
      </c>
      <c r="F1248" s="289" t="b">
        <v>1</v>
      </c>
      <c r="G1248" s="287" t="b">
        <v>1</v>
      </c>
      <c r="H1248" s="287" t="s">
        <v>250</v>
      </c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</row>
    <row r="1249" ht="15.75" customHeight="1">
      <c r="A1249" s="289">
        <v>15500.0</v>
      </c>
      <c r="B1249" s="289">
        <v>148488.0</v>
      </c>
      <c r="C1249" s="289" t="s">
        <v>1764</v>
      </c>
      <c r="D1249" s="289" t="s">
        <v>2680</v>
      </c>
      <c r="E1249" s="289" t="s">
        <v>518</v>
      </c>
      <c r="F1249" s="289" t="b">
        <v>1</v>
      </c>
      <c r="G1249" s="287" t="b">
        <v>1</v>
      </c>
      <c r="H1249" s="287" t="s">
        <v>1766</v>
      </c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</row>
    <row r="1250" ht="15.75" customHeight="1">
      <c r="A1250" s="289">
        <v>111808.0</v>
      </c>
      <c r="B1250" s="289">
        <v>16399.0</v>
      </c>
      <c r="C1250" s="289" t="s">
        <v>1767</v>
      </c>
      <c r="D1250" s="289" t="s">
        <v>2681</v>
      </c>
      <c r="E1250" s="289" t="s">
        <v>518</v>
      </c>
      <c r="F1250" s="289" t="b">
        <v>1</v>
      </c>
      <c r="G1250" s="287" t="b">
        <v>1</v>
      </c>
      <c r="H1250" s="287" t="s">
        <v>250</v>
      </c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</row>
    <row r="1251" ht="15.75" customHeight="1">
      <c r="A1251" s="289">
        <v>11838.0</v>
      </c>
      <c r="B1251" s="289">
        <v>110931.0</v>
      </c>
      <c r="C1251" s="289" t="s">
        <v>1769</v>
      </c>
      <c r="D1251" s="289" t="s">
        <v>2682</v>
      </c>
      <c r="E1251" s="289" t="s">
        <v>518</v>
      </c>
      <c r="F1251" s="289" t="b">
        <v>1</v>
      </c>
      <c r="G1251" s="287" t="b">
        <v>1</v>
      </c>
      <c r="H1251" s="287" t="s">
        <v>250</v>
      </c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</row>
    <row r="1252" ht="15.75" customHeight="1">
      <c r="A1252" s="289">
        <v>15427.0</v>
      </c>
      <c r="B1252" s="289">
        <v>16402.0</v>
      </c>
      <c r="C1252" s="289" t="s">
        <v>1772</v>
      </c>
      <c r="D1252" s="289" t="s">
        <v>1707</v>
      </c>
      <c r="E1252" s="289" t="s">
        <v>518</v>
      </c>
      <c r="F1252" s="289" t="b">
        <v>1</v>
      </c>
      <c r="G1252" s="287" t="b">
        <v>1</v>
      </c>
      <c r="H1252" s="287" t="s">
        <v>250</v>
      </c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</row>
    <row r="1253" ht="15.75" customHeight="1">
      <c r="A1253" s="289">
        <v>15444.0</v>
      </c>
      <c r="B1253" s="289">
        <v>16427.0</v>
      </c>
      <c r="C1253" s="289" t="s">
        <v>1773</v>
      </c>
      <c r="D1253" s="289" t="s">
        <v>2683</v>
      </c>
      <c r="E1253" s="289" t="s">
        <v>518</v>
      </c>
      <c r="F1253" s="289" t="b">
        <v>1</v>
      </c>
      <c r="G1253" s="287" t="b">
        <v>1</v>
      </c>
      <c r="H1253" s="287" t="s">
        <v>1775</v>
      </c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</row>
    <row r="1254" ht="15.75" customHeight="1">
      <c r="A1254" s="289">
        <v>11842.0</v>
      </c>
      <c r="B1254" s="289">
        <v>10033.0</v>
      </c>
      <c r="C1254" s="289" t="s">
        <v>1776</v>
      </c>
      <c r="D1254" s="289" t="s">
        <v>1778</v>
      </c>
      <c r="E1254" s="289" t="s">
        <v>518</v>
      </c>
      <c r="F1254" s="289" t="b">
        <v>1</v>
      </c>
      <c r="G1254" s="287" t="b">
        <v>1</v>
      </c>
      <c r="H1254" s="287" t="s">
        <v>250</v>
      </c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</row>
    <row r="1255" ht="15.75" customHeight="1">
      <c r="A1255" s="289">
        <v>15442.0</v>
      </c>
      <c r="B1255" s="289">
        <v>16413.0</v>
      </c>
      <c r="C1255" s="289" t="s">
        <v>1779</v>
      </c>
      <c r="D1255" s="289" t="s">
        <v>64</v>
      </c>
      <c r="E1255" s="289" t="s">
        <v>518</v>
      </c>
      <c r="F1255" s="289" t="b">
        <v>1</v>
      </c>
      <c r="G1255" s="287" t="b">
        <v>1</v>
      </c>
      <c r="H1255" s="287" t="s">
        <v>1781</v>
      </c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</row>
    <row r="1256" ht="15.75" customHeight="1">
      <c r="A1256" s="289">
        <v>15446.0</v>
      </c>
      <c r="B1256" s="289">
        <v>16374.0</v>
      </c>
      <c r="C1256" s="289" t="s">
        <v>1782</v>
      </c>
      <c r="D1256" s="289" t="s">
        <v>1778</v>
      </c>
      <c r="E1256" s="289" t="s">
        <v>518</v>
      </c>
      <c r="F1256" s="289" t="b">
        <v>1</v>
      </c>
      <c r="G1256" s="287" t="b">
        <v>1</v>
      </c>
      <c r="H1256" s="287" t="s">
        <v>250</v>
      </c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</row>
    <row r="1257" ht="15.75" customHeight="1">
      <c r="A1257" s="289">
        <v>15540.0</v>
      </c>
      <c r="B1257" s="289">
        <v>110951.0</v>
      </c>
      <c r="C1257" s="289" t="s">
        <v>1784</v>
      </c>
      <c r="D1257" s="289" t="s">
        <v>42</v>
      </c>
      <c r="E1257" s="289" t="s">
        <v>518</v>
      </c>
      <c r="F1257" s="289" t="b">
        <v>1</v>
      </c>
      <c r="G1257" s="287" t="b">
        <v>1</v>
      </c>
      <c r="H1257" s="287" t="s">
        <v>250</v>
      </c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</row>
    <row r="1258" ht="15.75" customHeight="1">
      <c r="A1258" s="290" t="s">
        <v>2752</v>
      </c>
      <c r="B1258" s="289">
        <v>16011.0</v>
      </c>
      <c r="C1258" s="289" t="s">
        <v>1787</v>
      </c>
      <c r="D1258" s="289" t="s">
        <v>1789</v>
      </c>
      <c r="E1258" s="289" t="s">
        <v>369</v>
      </c>
      <c r="F1258" s="289" t="b">
        <v>1</v>
      </c>
      <c r="G1258" s="287" t="b">
        <v>1</v>
      </c>
      <c r="H1258" s="287" t="s">
        <v>1790</v>
      </c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</row>
    <row r="1259" ht="15.75" customHeight="1">
      <c r="A1259" s="290" t="s">
        <v>2753</v>
      </c>
      <c r="B1259" s="289">
        <v>16013.0</v>
      </c>
      <c r="C1259" s="289" t="s">
        <v>1791</v>
      </c>
      <c r="D1259" s="289" t="s">
        <v>2684</v>
      </c>
      <c r="E1259" s="289" t="s">
        <v>518</v>
      </c>
      <c r="F1259" s="289" t="b">
        <v>1</v>
      </c>
      <c r="G1259" s="287" t="b">
        <v>1</v>
      </c>
      <c r="H1259" s="287" t="s">
        <v>250</v>
      </c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</row>
    <row r="1260" ht="15.75" customHeight="1">
      <c r="A1260" s="289">
        <v>148644.0</v>
      </c>
      <c r="B1260" s="289">
        <v>111962.0</v>
      </c>
      <c r="C1260" s="289" t="s">
        <v>1792</v>
      </c>
      <c r="D1260" s="289" t="s">
        <v>42</v>
      </c>
      <c r="E1260" s="289" t="s">
        <v>369</v>
      </c>
      <c r="F1260" s="289" t="b">
        <v>1</v>
      </c>
      <c r="G1260" s="287" t="b">
        <v>1</v>
      </c>
      <c r="H1260" s="287" t="s">
        <v>250</v>
      </c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</row>
    <row r="1261" ht="15.75" customHeight="1">
      <c r="A1261" s="290" t="s">
        <v>2754</v>
      </c>
      <c r="B1261" s="289">
        <v>16085.0</v>
      </c>
      <c r="C1261" s="289" t="s">
        <v>1794</v>
      </c>
      <c r="D1261" s="289" t="s">
        <v>2685</v>
      </c>
      <c r="E1261" s="289" t="s">
        <v>518</v>
      </c>
      <c r="F1261" s="289" t="b">
        <v>1</v>
      </c>
      <c r="G1261" s="287" t="b">
        <v>1</v>
      </c>
      <c r="H1261" s="287" t="s">
        <v>250</v>
      </c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</row>
    <row r="1262" ht="15.75" customHeight="1">
      <c r="A1262" s="289">
        <v>33329.0</v>
      </c>
      <c r="B1262" s="289">
        <v>16088.0</v>
      </c>
      <c r="C1262" s="289" t="s">
        <v>1797</v>
      </c>
      <c r="D1262" s="289" t="s">
        <v>2686</v>
      </c>
      <c r="E1262" s="289" t="s">
        <v>518</v>
      </c>
      <c r="F1262" s="289" t="b">
        <v>1</v>
      </c>
      <c r="G1262" s="287" t="b">
        <v>1</v>
      </c>
      <c r="H1262" s="287" t="s">
        <v>250</v>
      </c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</row>
    <row r="1263" ht="15.75" customHeight="1">
      <c r="A1263" s="290" t="s">
        <v>2755</v>
      </c>
      <c r="B1263" s="289">
        <v>16064.0</v>
      </c>
      <c r="C1263" s="289" t="s">
        <v>1800</v>
      </c>
      <c r="D1263" s="289" t="s">
        <v>2687</v>
      </c>
      <c r="E1263" s="289" t="s">
        <v>518</v>
      </c>
      <c r="F1263" s="289" t="b">
        <v>1</v>
      </c>
      <c r="G1263" s="287" t="b">
        <v>1</v>
      </c>
      <c r="H1263" s="287" t="s">
        <v>250</v>
      </c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</row>
    <row r="1264" ht="15.75" customHeight="1">
      <c r="A1264" s="290" t="s">
        <v>2756</v>
      </c>
      <c r="B1264" s="289">
        <v>16508.0</v>
      </c>
      <c r="C1264" s="289" t="s">
        <v>1804</v>
      </c>
      <c r="D1264" s="289" t="s">
        <v>1617</v>
      </c>
      <c r="E1264" s="289" t="s">
        <v>518</v>
      </c>
      <c r="F1264" s="289" t="b">
        <v>1</v>
      </c>
      <c r="G1264" s="287" t="b">
        <v>1</v>
      </c>
      <c r="H1264" s="287" t="s">
        <v>1805</v>
      </c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</row>
    <row r="1265" ht="15.75" customHeight="1">
      <c r="A1265" s="289">
        <v>145481.0</v>
      </c>
      <c r="B1265" s="289">
        <v>16495.0</v>
      </c>
      <c r="C1265" s="289" t="s">
        <v>1806</v>
      </c>
      <c r="D1265" s="289" t="s">
        <v>1626</v>
      </c>
      <c r="E1265" s="289" t="s">
        <v>518</v>
      </c>
      <c r="F1265" s="289" t="b">
        <v>1</v>
      </c>
      <c r="G1265" s="287" t="b">
        <v>1</v>
      </c>
      <c r="H1265" s="287" t="s">
        <v>1808</v>
      </c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</row>
    <row r="1266" ht="15.75" customHeight="1">
      <c r="A1266" s="290" t="s">
        <v>2757</v>
      </c>
      <c r="B1266" s="289">
        <v>16500.0</v>
      </c>
      <c r="C1266" s="289" t="s">
        <v>1809</v>
      </c>
      <c r="D1266" s="289" t="s">
        <v>2688</v>
      </c>
      <c r="E1266" s="289" t="s">
        <v>518</v>
      </c>
      <c r="F1266" s="289" t="b">
        <v>1</v>
      </c>
      <c r="G1266" s="287" t="b">
        <v>1</v>
      </c>
      <c r="H1266" s="287" t="s">
        <v>1812</v>
      </c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</row>
    <row r="1267" ht="15.75" customHeight="1">
      <c r="A1267" s="289">
        <v>112010.0</v>
      </c>
      <c r="B1267" s="289">
        <v>109517.0</v>
      </c>
      <c r="C1267" s="289" t="s">
        <v>1813</v>
      </c>
      <c r="D1267" s="289" t="s">
        <v>42</v>
      </c>
      <c r="E1267" s="289" t="s">
        <v>518</v>
      </c>
      <c r="F1267" s="289" t="b">
        <v>1</v>
      </c>
      <c r="G1267" s="287" t="b">
        <v>1</v>
      </c>
      <c r="H1267" s="287" t="s">
        <v>2613</v>
      </c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</row>
    <row r="1268" ht="15.75" customHeight="1">
      <c r="A1268" s="290" t="s">
        <v>2758</v>
      </c>
      <c r="B1268" s="289">
        <v>16490.0</v>
      </c>
      <c r="C1268" s="289" t="s">
        <v>1822</v>
      </c>
      <c r="D1268" s="289" t="s">
        <v>2688</v>
      </c>
      <c r="E1268" s="289" t="s">
        <v>518</v>
      </c>
      <c r="F1268" s="289" t="b">
        <v>1</v>
      </c>
      <c r="G1268" s="287" t="b">
        <v>1</v>
      </c>
      <c r="H1268" s="287" t="s">
        <v>1823</v>
      </c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</row>
    <row r="1269" ht="15.75" customHeight="1">
      <c r="A1269" s="289">
        <v>24431.0</v>
      </c>
      <c r="B1269" s="289">
        <v>16492.0</v>
      </c>
      <c r="C1269" s="289" t="s">
        <v>1824</v>
      </c>
      <c r="D1269" s="289" t="s">
        <v>2688</v>
      </c>
      <c r="E1269" s="289" t="s">
        <v>518</v>
      </c>
      <c r="F1269" s="289" t="b">
        <v>1</v>
      </c>
      <c r="G1269" s="287" t="b">
        <v>1</v>
      </c>
      <c r="H1269" s="287" t="s">
        <v>1825</v>
      </c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</row>
    <row r="1270" ht="15.75" customHeight="1">
      <c r="A1270" s="289">
        <v>14831.0</v>
      </c>
      <c r="B1270" s="289">
        <v>16487.0</v>
      </c>
      <c r="C1270" s="289" t="s">
        <v>1826</v>
      </c>
      <c r="D1270" s="289" t="s">
        <v>1617</v>
      </c>
      <c r="E1270" s="289" t="s">
        <v>518</v>
      </c>
      <c r="F1270" s="289" t="b">
        <v>1</v>
      </c>
      <c r="G1270" s="287" t="b">
        <v>1</v>
      </c>
      <c r="H1270" s="287" t="s">
        <v>1827</v>
      </c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</row>
    <row r="1271" ht="15.75" customHeight="1">
      <c r="A1271" s="290" t="s">
        <v>2759</v>
      </c>
      <c r="B1271" s="289">
        <v>16186.0</v>
      </c>
      <c r="C1271" s="289" t="s">
        <v>1828</v>
      </c>
      <c r="D1271" s="289" t="s">
        <v>1617</v>
      </c>
      <c r="E1271" s="289" t="s">
        <v>518</v>
      </c>
      <c r="F1271" s="289" t="b">
        <v>1</v>
      </c>
      <c r="G1271" s="287" t="b">
        <v>1</v>
      </c>
      <c r="H1271" s="287" t="s">
        <v>250</v>
      </c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</row>
    <row r="1272" ht="15.75" customHeight="1">
      <c r="A1272" s="289">
        <v>46078.0</v>
      </c>
      <c r="B1272" s="289">
        <v>112749.0</v>
      </c>
      <c r="C1272" s="289" t="s">
        <v>2689</v>
      </c>
      <c r="D1272" s="289" t="s">
        <v>2690</v>
      </c>
      <c r="E1272" s="289" t="s">
        <v>518</v>
      </c>
      <c r="F1272" s="289" t="b">
        <v>1</v>
      </c>
      <c r="G1272" s="287" t="b">
        <v>1</v>
      </c>
      <c r="H1272" s="287" t="s">
        <v>2613</v>
      </c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</row>
    <row r="1273" ht="15.75" customHeight="1">
      <c r="A1273" s="289">
        <v>106604.0</v>
      </c>
      <c r="B1273" s="289">
        <v>111121.0</v>
      </c>
      <c r="C1273" s="289" t="s">
        <v>1831</v>
      </c>
      <c r="D1273" s="289" t="s">
        <v>42</v>
      </c>
      <c r="E1273" s="289" t="s">
        <v>518</v>
      </c>
      <c r="F1273" s="289" t="b">
        <v>1</v>
      </c>
      <c r="G1273" s="287" t="b">
        <v>1</v>
      </c>
      <c r="H1273" s="287" t="s">
        <v>250</v>
      </c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</row>
    <row r="1274" ht="15.75" customHeight="1">
      <c r="A1274" s="289">
        <v>20880.0</v>
      </c>
      <c r="B1274" s="289">
        <v>40492.0</v>
      </c>
      <c r="C1274" s="289" t="s">
        <v>1835</v>
      </c>
      <c r="D1274" s="289" t="s">
        <v>1641</v>
      </c>
      <c r="E1274" s="289" t="s">
        <v>518</v>
      </c>
      <c r="F1274" s="289" t="b">
        <v>1</v>
      </c>
      <c r="G1274" s="287" t="b">
        <v>1</v>
      </c>
      <c r="H1274" s="287" t="s">
        <v>1837</v>
      </c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</row>
    <row r="1275" ht="15.75" customHeight="1">
      <c r="A1275" s="289">
        <v>101991.0</v>
      </c>
      <c r="B1275" s="289">
        <v>32730.0</v>
      </c>
      <c r="C1275" s="289" t="s">
        <v>1841</v>
      </c>
      <c r="D1275" s="289" t="s">
        <v>1617</v>
      </c>
      <c r="E1275" s="289" t="s">
        <v>518</v>
      </c>
      <c r="F1275" s="289" t="b">
        <v>1</v>
      </c>
      <c r="G1275" s="287" t="b">
        <v>1</v>
      </c>
      <c r="H1275" s="287" t="s">
        <v>1251</v>
      </c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</row>
    <row r="1276" ht="15.75" customHeight="1">
      <c r="A1276" s="289">
        <v>101990.0</v>
      </c>
      <c r="B1276" s="289">
        <v>16579.0</v>
      </c>
      <c r="C1276" s="289" t="s">
        <v>1842</v>
      </c>
      <c r="D1276" s="289" t="s">
        <v>1617</v>
      </c>
      <c r="E1276" s="289" t="s">
        <v>518</v>
      </c>
      <c r="F1276" s="289" t="b">
        <v>1</v>
      </c>
      <c r="G1276" s="287" t="b">
        <v>1</v>
      </c>
      <c r="H1276" s="287" t="s">
        <v>250</v>
      </c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</row>
    <row r="1277" ht="15.75" customHeight="1">
      <c r="A1277" s="290" t="s">
        <v>2760</v>
      </c>
      <c r="B1277" s="289">
        <v>16530.0</v>
      </c>
      <c r="C1277" s="289" t="s">
        <v>1838</v>
      </c>
      <c r="D1277" s="289" t="s">
        <v>1617</v>
      </c>
      <c r="E1277" s="289" t="s">
        <v>518</v>
      </c>
      <c r="F1277" s="289" t="b">
        <v>1</v>
      </c>
      <c r="G1277" s="287" t="b">
        <v>1</v>
      </c>
      <c r="H1277" s="287" t="s">
        <v>1840</v>
      </c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</row>
    <row r="1278" ht="15.75" customHeight="1">
      <c r="A1278" s="289">
        <v>11909.0</v>
      </c>
      <c r="B1278" s="289">
        <v>40504.0</v>
      </c>
      <c r="C1278" s="289" t="s">
        <v>1844</v>
      </c>
      <c r="D1278" s="289" t="s">
        <v>2688</v>
      </c>
      <c r="E1278" s="289" t="s">
        <v>518</v>
      </c>
      <c r="F1278" s="289" t="b">
        <v>1</v>
      </c>
      <c r="G1278" s="287" t="b">
        <v>1</v>
      </c>
      <c r="H1278" s="287" t="s">
        <v>1845</v>
      </c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</row>
    <row r="1279" ht="15.75" customHeight="1">
      <c r="A1279" s="289">
        <v>145537.0</v>
      </c>
      <c r="B1279" s="289">
        <v>111126.0</v>
      </c>
      <c r="C1279" s="289" t="s">
        <v>1847</v>
      </c>
      <c r="D1279" s="289" t="s">
        <v>2691</v>
      </c>
      <c r="E1279" s="289" t="s">
        <v>518</v>
      </c>
      <c r="F1279" s="289" t="b">
        <v>1</v>
      </c>
      <c r="G1279" s="287" t="b">
        <v>1</v>
      </c>
      <c r="H1279" s="287" t="s">
        <v>250</v>
      </c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</row>
    <row r="1280" ht="15.75" customHeight="1">
      <c r="A1280" s="289">
        <v>145538.0</v>
      </c>
      <c r="B1280" s="289">
        <v>16570.0</v>
      </c>
      <c r="C1280" s="289" t="s">
        <v>1849</v>
      </c>
      <c r="D1280" s="289" t="s">
        <v>1617</v>
      </c>
      <c r="E1280" s="289" t="s">
        <v>518</v>
      </c>
      <c r="F1280" s="289" t="b">
        <v>1</v>
      </c>
      <c r="G1280" s="287" t="b">
        <v>1</v>
      </c>
      <c r="H1280" s="287" t="s">
        <v>1850</v>
      </c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</row>
    <row r="1281" ht="15.75" customHeight="1">
      <c r="A1281" s="290" t="s">
        <v>2761</v>
      </c>
      <c r="B1281" s="289">
        <v>16527.0</v>
      </c>
      <c r="C1281" s="289" t="s">
        <v>1851</v>
      </c>
      <c r="D1281" s="289" t="s">
        <v>1617</v>
      </c>
      <c r="E1281" s="289" t="s">
        <v>518</v>
      </c>
      <c r="F1281" s="289" t="b">
        <v>1</v>
      </c>
      <c r="G1281" s="287" t="b">
        <v>1</v>
      </c>
      <c r="H1281" s="287" t="s">
        <v>250</v>
      </c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</row>
    <row r="1282" ht="15.75" customHeight="1">
      <c r="A1282" s="289">
        <v>51247.0</v>
      </c>
      <c r="B1282" s="289">
        <v>16555.0</v>
      </c>
      <c r="C1282" s="289" t="s">
        <v>1853</v>
      </c>
      <c r="D1282" s="289" t="s">
        <v>1617</v>
      </c>
      <c r="E1282" s="289" t="s">
        <v>518</v>
      </c>
      <c r="F1282" s="289" t="b">
        <v>1</v>
      </c>
      <c r="G1282" s="287" t="b">
        <v>1</v>
      </c>
      <c r="H1282" s="287" t="s">
        <v>250</v>
      </c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</row>
    <row r="1283" ht="15.75" customHeight="1">
      <c r="A1283" s="290" t="s">
        <v>2762</v>
      </c>
      <c r="B1283" s="289">
        <v>111698.0</v>
      </c>
      <c r="C1283" s="289" t="s">
        <v>1855</v>
      </c>
      <c r="D1283" s="289" t="s">
        <v>42</v>
      </c>
      <c r="E1283" s="289" t="s">
        <v>518</v>
      </c>
      <c r="F1283" s="289" t="b">
        <v>1</v>
      </c>
      <c r="G1283" s="287" t="b">
        <v>1</v>
      </c>
      <c r="H1283" s="287" t="s">
        <v>1857</v>
      </c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</row>
    <row r="1284" ht="15.75" customHeight="1">
      <c r="A1284" s="289">
        <v>10275.0</v>
      </c>
      <c r="B1284" s="289">
        <v>16578.0</v>
      </c>
      <c r="C1284" s="289" t="s">
        <v>1858</v>
      </c>
      <c r="D1284" s="289" t="s">
        <v>1617</v>
      </c>
      <c r="E1284" s="289" t="s">
        <v>518</v>
      </c>
      <c r="F1284" s="289" t="b">
        <v>1</v>
      </c>
      <c r="G1284" s="287" t="b">
        <v>1</v>
      </c>
      <c r="H1284" s="287" t="s">
        <v>250</v>
      </c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</row>
    <row r="1285" ht="15.75" customHeight="1">
      <c r="A1285" s="290" t="s">
        <v>2763</v>
      </c>
      <c r="B1285" s="289">
        <v>112201.0</v>
      </c>
      <c r="C1285" s="289" t="s">
        <v>1861</v>
      </c>
      <c r="D1285" s="289" t="s">
        <v>42</v>
      </c>
      <c r="E1285" s="289" t="s">
        <v>369</v>
      </c>
      <c r="F1285" s="289" t="b">
        <v>1</v>
      </c>
      <c r="G1285" s="287" t="b">
        <v>1</v>
      </c>
      <c r="H1285" s="287" t="s">
        <v>250</v>
      </c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</row>
    <row r="1286" ht="15.75" customHeight="1">
      <c r="A1286" s="289">
        <v>45344.0</v>
      </c>
      <c r="B1286" s="289">
        <v>111123.0</v>
      </c>
      <c r="C1286" s="289" t="s">
        <v>1865</v>
      </c>
      <c r="D1286" s="289" t="s">
        <v>42</v>
      </c>
      <c r="E1286" s="289" t="s">
        <v>518</v>
      </c>
      <c r="F1286" s="289" t="b">
        <v>1</v>
      </c>
      <c r="G1286" s="287" t="b">
        <v>1</v>
      </c>
      <c r="H1286" s="287" t="s">
        <v>250</v>
      </c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</row>
    <row r="1287" ht="15.75" customHeight="1">
      <c r="A1287" s="289">
        <v>10217.0</v>
      </c>
      <c r="B1287" s="289">
        <v>16598.0</v>
      </c>
      <c r="C1287" s="289" t="s">
        <v>1866</v>
      </c>
      <c r="D1287" s="289" t="s">
        <v>42</v>
      </c>
      <c r="E1287" s="289" t="s">
        <v>518</v>
      </c>
      <c r="F1287" s="289" t="b">
        <v>1</v>
      </c>
      <c r="G1287" s="287" t="b">
        <v>1</v>
      </c>
      <c r="H1287" s="287" t="s">
        <v>250</v>
      </c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</row>
    <row r="1288" ht="15.75" customHeight="1">
      <c r="A1288" s="289">
        <v>142741.0</v>
      </c>
      <c r="B1288" s="289">
        <v>77928.0</v>
      </c>
      <c r="C1288" s="289" t="s">
        <v>1868</v>
      </c>
      <c r="D1288" s="289" t="s">
        <v>1617</v>
      </c>
      <c r="E1288" s="289" t="s">
        <v>518</v>
      </c>
      <c r="F1288" s="289" t="b">
        <v>1</v>
      </c>
      <c r="G1288" s="287" t="b">
        <v>1</v>
      </c>
      <c r="H1288" s="287" t="s">
        <v>250</v>
      </c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</row>
    <row r="1289" ht="15.75" customHeight="1">
      <c r="A1289" s="290" t="s">
        <v>2764</v>
      </c>
      <c r="B1289" s="289">
        <v>111122.0</v>
      </c>
      <c r="C1289" s="289" t="s">
        <v>1871</v>
      </c>
      <c r="D1289" s="289" t="s">
        <v>42</v>
      </c>
      <c r="E1289" s="289" t="s">
        <v>518</v>
      </c>
      <c r="F1289" s="289" t="b">
        <v>1</v>
      </c>
      <c r="G1289" s="287" t="b">
        <v>1</v>
      </c>
      <c r="H1289" s="287" t="s">
        <v>250</v>
      </c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</row>
    <row r="1290" ht="15.75" customHeight="1">
      <c r="A1290" s="290" t="s">
        <v>2765</v>
      </c>
      <c r="B1290" s="289">
        <v>16384.0</v>
      </c>
      <c r="C1290" s="289" t="s">
        <v>1873</v>
      </c>
      <c r="D1290" s="289" t="s">
        <v>1617</v>
      </c>
      <c r="E1290" s="289" t="s">
        <v>518</v>
      </c>
      <c r="F1290" s="289" t="b">
        <v>1</v>
      </c>
      <c r="G1290" s="287" t="b">
        <v>1</v>
      </c>
      <c r="H1290" s="287" t="s">
        <v>250</v>
      </c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</row>
    <row r="1291" ht="15.75" customHeight="1">
      <c r="A1291" s="289">
        <v>142536.0</v>
      </c>
      <c r="B1291" s="289">
        <v>16392.0</v>
      </c>
      <c r="C1291" s="289" t="s">
        <v>1875</v>
      </c>
      <c r="D1291" s="289" t="s">
        <v>2692</v>
      </c>
      <c r="E1291" s="289" t="s">
        <v>518</v>
      </c>
      <c r="F1291" s="289" t="b">
        <v>1</v>
      </c>
      <c r="G1291" s="287" t="b">
        <v>1</v>
      </c>
      <c r="H1291" s="287" t="s">
        <v>1876</v>
      </c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</row>
    <row r="1292" ht="15.75" customHeight="1">
      <c r="A1292" s="290" t="s">
        <v>2766</v>
      </c>
      <c r="B1292" s="289">
        <v>53666.0</v>
      </c>
      <c r="C1292" s="289" t="s">
        <v>1883</v>
      </c>
      <c r="D1292" s="289" t="s">
        <v>2688</v>
      </c>
      <c r="E1292" s="289" t="s">
        <v>518</v>
      </c>
      <c r="F1292" s="289" t="b">
        <v>1</v>
      </c>
      <c r="G1292" s="287" t="b">
        <v>1</v>
      </c>
      <c r="H1292" s="287" t="s">
        <v>1884</v>
      </c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</row>
    <row r="1293" ht="15.75" customHeight="1">
      <c r="A1293" s="290" t="s">
        <v>2756</v>
      </c>
      <c r="B1293" s="289">
        <v>16561.0</v>
      </c>
      <c r="C1293" s="289" t="s">
        <v>1885</v>
      </c>
      <c r="D1293" s="289" t="s">
        <v>1887</v>
      </c>
      <c r="E1293" s="289" t="s">
        <v>518</v>
      </c>
      <c r="F1293" s="289" t="b">
        <v>1</v>
      </c>
      <c r="G1293" s="287" t="b">
        <v>1</v>
      </c>
      <c r="H1293" s="287" t="s">
        <v>250</v>
      </c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</row>
    <row r="1294" ht="15.75" customHeight="1">
      <c r="A1294" s="289">
        <v>42445.0</v>
      </c>
      <c r="B1294" s="289">
        <v>16581.0</v>
      </c>
      <c r="C1294" s="289" t="s">
        <v>1888</v>
      </c>
      <c r="D1294" s="289" t="s">
        <v>1617</v>
      </c>
      <c r="E1294" s="289" t="s">
        <v>518</v>
      </c>
      <c r="F1294" s="289" t="b">
        <v>1</v>
      </c>
      <c r="G1294" s="287" t="b">
        <v>1</v>
      </c>
      <c r="H1294" s="287" t="s">
        <v>250</v>
      </c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</row>
    <row r="1295" ht="15.75" customHeight="1">
      <c r="A1295" s="17">
        <v>24136.0</v>
      </c>
      <c r="B1295" s="287">
        <v>15583.0</v>
      </c>
      <c r="C1295" s="289" t="s">
        <v>1889</v>
      </c>
      <c r="D1295" s="289" t="s">
        <v>42</v>
      </c>
      <c r="E1295" s="289" t="s">
        <v>518</v>
      </c>
      <c r="F1295" s="289" t="b">
        <v>1</v>
      </c>
      <c r="G1295" s="287" t="b">
        <v>1</v>
      </c>
      <c r="H1295" s="287" t="s">
        <v>250</v>
      </c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</row>
    <row r="1296" ht="15.75" customHeight="1">
      <c r="A1296" s="17">
        <v>24137.0</v>
      </c>
      <c r="B1296" s="287">
        <v>102793.0</v>
      </c>
      <c r="C1296" s="289" t="s">
        <v>1900</v>
      </c>
      <c r="D1296" s="289" t="s">
        <v>946</v>
      </c>
      <c r="E1296" s="289" t="s">
        <v>518</v>
      </c>
      <c r="F1296" s="289" t="b">
        <v>1</v>
      </c>
      <c r="G1296" s="287" t="b">
        <v>1</v>
      </c>
      <c r="H1296" s="287" t="s">
        <v>250</v>
      </c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</row>
    <row r="1297" ht="15.75" customHeight="1">
      <c r="A1297" s="289"/>
      <c r="B1297" s="289">
        <v>39757.0</v>
      </c>
      <c r="C1297" s="289" t="s">
        <v>1898</v>
      </c>
      <c r="D1297" s="289" t="s">
        <v>946</v>
      </c>
      <c r="E1297" s="289" t="s">
        <v>518</v>
      </c>
      <c r="F1297" s="289" t="b">
        <v>1</v>
      </c>
      <c r="G1297" s="287" t="b">
        <v>1</v>
      </c>
      <c r="H1297" s="287" t="s">
        <v>1899</v>
      </c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</row>
    <row r="1298" ht="15.75" customHeight="1">
      <c r="A1298" s="289">
        <v>112011.0</v>
      </c>
      <c r="B1298" s="289">
        <v>16528.0</v>
      </c>
      <c r="C1298" s="289" t="s">
        <v>1893</v>
      </c>
      <c r="D1298" s="289" t="s">
        <v>946</v>
      </c>
      <c r="E1298" s="289" t="s">
        <v>518</v>
      </c>
      <c r="F1298" s="289" t="b">
        <v>1</v>
      </c>
      <c r="G1298" s="287" t="b">
        <v>1</v>
      </c>
      <c r="H1298" s="287" t="s">
        <v>1895</v>
      </c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</row>
    <row r="1299" ht="15.75" customHeight="1">
      <c r="A1299" s="289"/>
      <c r="B1299" s="289">
        <v>16463.0</v>
      </c>
      <c r="C1299" s="289" t="s">
        <v>1896</v>
      </c>
      <c r="D1299" s="289" t="s">
        <v>946</v>
      </c>
      <c r="E1299" s="289" t="s">
        <v>518</v>
      </c>
      <c r="F1299" s="289" t="b">
        <v>1</v>
      </c>
      <c r="G1299" s="287" t="b">
        <v>1</v>
      </c>
      <c r="H1299" s="287" t="s">
        <v>1897</v>
      </c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</row>
    <row r="1300" ht="15.75" customHeight="1">
      <c r="B1300" s="289">
        <v>19409.0</v>
      </c>
      <c r="C1300" s="289" t="s">
        <v>1891</v>
      </c>
      <c r="D1300" s="289" t="s">
        <v>1707</v>
      </c>
      <c r="E1300" s="289" t="s">
        <v>518</v>
      </c>
      <c r="F1300" s="289" t="b">
        <v>1</v>
      </c>
      <c r="G1300" s="287" t="b">
        <v>1</v>
      </c>
      <c r="H1300" s="287" t="s">
        <v>250</v>
      </c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</row>
    <row r="1301" ht="15.75" customHeight="1">
      <c r="B1301" s="289">
        <v>109675.0</v>
      </c>
      <c r="C1301" s="289" t="s">
        <v>1903</v>
      </c>
      <c r="D1301" s="289" t="s">
        <v>64</v>
      </c>
      <c r="E1301" s="289" t="s">
        <v>518</v>
      </c>
      <c r="F1301" s="289" t="b">
        <v>1</v>
      </c>
      <c r="G1301" s="287" t="b">
        <v>1</v>
      </c>
      <c r="H1301" s="287" t="s">
        <v>250</v>
      </c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</row>
    <row r="1302" ht="15.75" customHeight="1">
      <c r="B1302" s="289">
        <v>111948.0</v>
      </c>
      <c r="C1302" s="289" t="s">
        <v>1905</v>
      </c>
      <c r="D1302" s="289" t="s">
        <v>2693</v>
      </c>
      <c r="E1302" s="289" t="s">
        <v>518</v>
      </c>
      <c r="F1302" s="289" t="b">
        <v>1</v>
      </c>
      <c r="G1302" s="287" t="b">
        <v>1</v>
      </c>
      <c r="H1302" s="287" t="s">
        <v>250</v>
      </c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</row>
    <row r="1303" ht="15.75" customHeight="1">
      <c r="B1303" s="289">
        <v>16420.0</v>
      </c>
      <c r="C1303" s="289" t="s">
        <v>1908</v>
      </c>
      <c r="D1303" s="289" t="s">
        <v>2694</v>
      </c>
      <c r="E1303" s="289" t="s">
        <v>518</v>
      </c>
      <c r="F1303" s="289" t="b">
        <v>1</v>
      </c>
      <c r="G1303" s="287" t="b">
        <v>1</v>
      </c>
      <c r="H1303" s="287" t="s">
        <v>250</v>
      </c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</row>
    <row r="1304" ht="15.75" customHeight="1">
      <c r="B1304" s="289">
        <v>148646.0</v>
      </c>
      <c r="C1304" s="289" t="s">
        <v>2695</v>
      </c>
      <c r="D1304" s="289" t="s">
        <v>2164</v>
      </c>
      <c r="E1304" s="289" t="s">
        <v>518</v>
      </c>
      <c r="F1304" s="289" t="b">
        <v>1</v>
      </c>
      <c r="G1304" s="287" t="b">
        <v>1</v>
      </c>
      <c r="H1304" s="287" t="s">
        <v>250</v>
      </c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</row>
    <row r="1305" ht="15.75" customHeight="1">
      <c r="B1305" s="289">
        <v>111871.0</v>
      </c>
      <c r="C1305" s="289" t="s">
        <v>2696</v>
      </c>
      <c r="D1305" s="289" t="s">
        <v>2697</v>
      </c>
      <c r="E1305" s="289" t="s">
        <v>518</v>
      </c>
      <c r="F1305" s="289" t="b">
        <v>1</v>
      </c>
      <c r="G1305" s="287" t="b">
        <v>1</v>
      </c>
      <c r="H1305" s="287" t="s">
        <v>2698</v>
      </c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</row>
    <row r="1306" ht="15.75" customHeight="1">
      <c r="B1306" s="289">
        <v>110938.0</v>
      </c>
      <c r="C1306" s="289" t="s">
        <v>1910</v>
      </c>
      <c r="D1306" s="289" t="s">
        <v>946</v>
      </c>
      <c r="E1306" s="289" t="s">
        <v>518</v>
      </c>
      <c r="F1306" s="289" t="b">
        <v>1</v>
      </c>
      <c r="G1306" s="287" t="b">
        <v>1</v>
      </c>
      <c r="H1306" s="287" t="s">
        <v>250</v>
      </c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</row>
    <row r="1307" ht="15.75" customHeight="1">
      <c r="B1307" s="289">
        <v>52602.0</v>
      </c>
      <c r="C1307" s="289" t="s">
        <v>1913</v>
      </c>
      <c r="D1307" s="289" t="s">
        <v>946</v>
      </c>
      <c r="E1307" s="289" t="s">
        <v>518</v>
      </c>
      <c r="F1307" s="289" t="b">
        <v>1</v>
      </c>
      <c r="G1307" s="287" t="b">
        <v>1</v>
      </c>
      <c r="H1307" s="287" t="s">
        <v>1257</v>
      </c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</row>
    <row r="1308" ht="15.75" customHeight="1">
      <c r="B1308" s="289">
        <v>16346.0</v>
      </c>
      <c r="C1308" s="289" t="s">
        <v>1915</v>
      </c>
      <c r="D1308" s="289" t="s">
        <v>1916</v>
      </c>
      <c r="E1308" s="289" t="s">
        <v>518</v>
      </c>
      <c r="F1308" s="289" t="b">
        <v>1</v>
      </c>
      <c r="G1308" s="287" t="b">
        <v>1</v>
      </c>
      <c r="H1308" s="287" t="s">
        <v>250</v>
      </c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</row>
    <row r="1309" ht="15.75" customHeight="1">
      <c r="B1309" s="289">
        <v>16377.0</v>
      </c>
      <c r="C1309" s="289" t="s">
        <v>1917</v>
      </c>
      <c r="D1309" s="289" t="s">
        <v>2699</v>
      </c>
      <c r="E1309" s="289" t="s">
        <v>518</v>
      </c>
      <c r="F1309" s="289" t="b">
        <v>1</v>
      </c>
      <c r="G1309" s="287" t="b">
        <v>1</v>
      </c>
      <c r="H1309" s="287" t="s">
        <v>250</v>
      </c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</row>
    <row r="1310" ht="15.75" customHeight="1">
      <c r="B1310" s="289">
        <v>10265.0</v>
      </c>
      <c r="C1310" s="289" t="s">
        <v>1920</v>
      </c>
      <c r="D1310" s="289" t="s">
        <v>1914</v>
      </c>
      <c r="E1310" s="289" t="s">
        <v>518</v>
      </c>
      <c r="F1310" s="289" t="b">
        <v>1</v>
      </c>
      <c r="G1310" s="287" t="b">
        <v>1</v>
      </c>
      <c r="H1310" s="287" t="s">
        <v>250</v>
      </c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</row>
    <row r="1311" ht="15.75" customHeight="1">
      <c r="B1311" s="289">
        <v>102133.0</v>
      </c>
      <c r="C1311" s="289" t="s">
        <v>1922</v>
      </c>
      <c r="D1311" s="289" t="s">
        <v>1925</v>
      </c>
      <c r="E1311" s="289" t="s">
        <v>518</v>
      </c>
      <c r="F1311" s="289" t="b">
        <v>1</v>
      </c>
      <c r="G1311" s="287" t="b">
        <v>1</v>
      </c>
      <c r="H1311" s="287" t="s">
        <v>250</v>
      </c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</row>
    <row r="1312" ht="15.75" customHeight="1">
      <c r="B1312" s="289">
        <v>52603.0</v>
      </c>
      <c r="C1312" s="289" t="s">
        <v>2700</v>
      </c>
      <c r="D1312" s="289" t="s">
        <v>946</v>
      </c>
      <c r="E1312" s="289" t="s">
        <v>518</v>
      </c>
      <c r="F1312" s="289" t="b">
        <v>1</v>
      </c>
      <c r="G1312" s="287" t="b">
        <v>1</v>
      </c>
      <c r="H1312" s="287" t="s">
        <v>250</v>
      </c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</row>
    <row r="1313" ht="15.75" customHeight="1">
      <c r="B1313" s="289">
        <v>16439.0</v>
      </c>
      <c r="C1313" s="289" t="s">
        <v>1928</v>
      </c>
      <c r="D1313" s="289" t="s">
        <v>2701</v>
      </c>
      <c r="E1313" s="289" t="s">
        <v>518</v>
      </c>
      <c r="F1313" s="289" t="b">
        <v>1</v>
      </c>
      <c r="G1313" s="287" t="b">
        <v>1</v>
      </c>
      <c r="H1313" s="287" t="s">
        <v>250</v>
      </c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</row>
    <row r="1314" ht="15.75" customHeight="1">
      <c r="B1314" s="289">
        <v>16387.0</v>
      </c>
      <c r="C1314" s="289" t="s">
        <v>1930</v>
      </c>
      <c r="D1314" s="289" t="s">
        <v>1932</v>
      </c>
      <c r="E1314" s="289" t="s">
        <v>518</v>
      </c>
      <c r="F1314" s="289" t="b">
        <v>1</v>
      </c>
      <c r="G1314" s="287" t="b">
        <v>1</v>
      </c>
      <c r="H1314" s="287" t="s">
        <v>250</v>
      </c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</row>
    <row r="1315" ht="15.75" customHeight="1">
      <c r="B1315" s="289">
        <v>16182.0</v>
      </c>
      <c r="C1315" s="289" t="s">
        <v>1934</v>
      </c>
      <c r="D1315" s="289" t="s">
        <v>42</v>
      </c>
      <c r="E1315" s="289" t="s">
        <v>518</v>
      </c>
      <c r="F1315" s="289" t="b">
        <v>1</v>
      </c>
      <c r="G1315" s="287" t="b">
        <v>1</v>
      </c>
      <c r="H1315" s="287" t="s">
        <v>250</v>
      </c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</row>
    <row r="1316" ht="15.75" customHeight="1">
      <c r="B1316" s="289">
        <v>102500.0</v>
      </c>
      <c r="C1316" s="289" t="s">
        <v>1935</v>
      </c>
      <c r="D1316" s="289" t="s">
        <v>1936</v>
      </c>
      <c r="E1316" s="289" t="s">
        <v>369</v>
      </c>
      <c r="F1316" s="289" t="b">
        <v>1</v>
      </c>
      <c r="G1316" s="287" t="b">
        <v>1</v>
      </c>
      <c r="H1316" s="287" t="s">
        <v>250</v>
      </c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</row>
    <row r="1317" ht="15.75" customHeight="1">
      <c r="B1317" s="289">
        <v>110032.0</v>
      </c>
      <c r="C1317" s="289" t="s">
        <v>1937</v>
      </c>
      <c r="D1317" s="289" t="s">
        <v>42</v>
      </c>
      <c r="E1317" s="289" t="s">
        <v>518</v>
      </c>
      <c r="F1317" s="289" t="b">
        <v>1</v>
      </c>
      <c r="G1317" s="287" t="b">
        <v>1</v>
      </c>
      <c r="H1317" s="287" t="s">
        <v>250</v>
      </c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</row>
    <row r="1318" ht="15.75" customHeight="1">
      <c r="B1318" s="289">
        <v>109671.0</v>
      </c>
      <c r="C1318" s="289" t="s">
        <v>1940</v>
      </c>
      <c r="D1318" s="289" t="s">
        <v>42</v>
      </c>
      <c r="E1318" s="289" t="s">
        <v>518</v>
      </c>
      <c r="F1318" s="289" t="b">
        <v>1</v>
      </c>
      <c r="G1318" s="287" t="b">
        <v>1</v>
      </c>
      <c r="H1318" s="287" t="s">
        <v>250</v>
      </c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</row>
    <row r="1319" ht="15.75" customHeight="1">
      <c r="B1319" s="289">
        <v>15936.0</v>
      </c>
      <c r="C1319" s="289" t="s">
        <v>1941</v>
      </c>
      <c r="D1319" s="289" t="s">
        <v>42</v>
      </c>
      <c r="E1319" s="289" t="s">
        <v>518</v>
      </c>
      <c r="F1319" s="289" t="b">
        <v>1</v>
      </c>
      <c r="G1319" s="287" t="b">
        <v>1</v>
      </c>
      <c r="H1319" s="287" t="s">
        <v>250</v>
      </c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</row>
    <row r="1320" ht="15.75" customHeight="1">
      <c r="B1320" s="289">
        <v>15879.0</v>
      </c>
      <c r="C1320" s="289" t="s">
        <v>1942</v>
      </c>
      <c r="D1320" s="289" t="s">
        <v>2702</v>
      </c>
      <c r="E1320" s="289" t="s">
        <v>518</v>
      </c>
      <c r="F1320" s="289" t="b">
        <v>1</v>
      </c>
      <c r="G1320" s="287" t="b">
        <v>1</v>
      </c>
      <c r="H1320" s="287" t="s">
        <v>250</v>
      </c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</row>
    <row r="1321" ht="15.75" customHeight="1">
      <c r="B1321" s="289">
        <v>101505.0</v>
      </c>
      <c r="C1321" s="289" t="s">
        <v>1944</v>
      </c>
      <c r="D1321" s="289" t="s">
        <v>42</v>
      </c>
      <c r="E1321" s="289" t="s">
        <v>518</v>
      </c>
      <c r="F1321" s="289" t="b">
        <v>1</v>
      </c>
      <c r="G1321" s="287" t="b">
        <v>1</v>
      </c>
      <c r="H1321" s="287" t="s">
        <v>2613</v>
      </c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</row>
    <row r="1322" ht="15.75" customHeight="1">
      <c r="B1322" s="289">
        <v>30053.0</v>
      </c>
      <c r="C1322" s="289" t="s">
        <v>1947</v>
      </c>
      <c r="D1322" s="289" t="s">
        <v>1948</v>
      </c>
      <c r="E1322" s="289" t="s">
        <v>518</v>
      </c>
      <c r="F1322" s="289" t="b">
        <v>1</v>
      </c>
      <c r="G1322" s="287" t="b">
        <v>1</v>
      </c>
      <c r="H1322" s="287" t="s">
        <v>250</v>
      </c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</row>
    <row r="1323" ht="15.75" customHeight="1">
      <c r="B1323" s="289">
        <v>100464.0</v>
      </c>
      <c r="C1323" s="289" t="s">
        <v>1949</v>
      </c>
      <c r="D1323" s="289" t="s">
        <v>389</v>
      </c>
      <c r="E1323" s="289" t="s">
        <v>518</v>
      </c>
      <c r="F1323" s="289" t="b">
        <v>1</v>
      </c>
      <c r="G1323" s="287" t="b">
        <v>1</v>
      </c>
      <c r="H1323" s="287" t="s">
        <v>250</v>
      </c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</row>
    <row r="1324" ht="15.75" customHeight="1">
      <c r="B1324" s="289">
        <v>16949.0</v>
      </c>
      <c r="C1324" s="289" t="s">
        <v>1952</v>
      </c>
      <c r="D1324" s="289" t="s">
        <v>1953</v>
      </c>
      <c r="E1324" s="289" t="s">
        <v>518</v>
      </c>
      <c r="F1324" s="289" t="b">
        <v>1</v>
      </c>
      <c r="G1324" s="287" t="b">
        <v>1</v>
      </c>
      <c r="H1324" s="287" t="s">
        <v>1954</v>
      </c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</row>
    <row r="1325" ht="15.75" customHeight="1">
      <c r="B1325" s="289">
        <v>15661.0</v>
      </c>
      <c r="C1325" s="289" t="s">
        <v>1955</v>
      </c>
      <c r="D1325" s="289" t="s">
        <v>2703</v>
      </c>
      <c r="E1325" s="289" t="s">
        <v>518</v>
      </c>
      <c r="F1325" s="289" t="b">
        <v>1</v>
      </c>
      <c r="G1325" s="287" t="b">
        <v>1</v>
      </c>
      <c r="H1325" s="287" t="s">
        <v>2704</v>
      </c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</row>
    <row r="1326" ht="15.75" customHeight="1">
      <c r="B1326" s="289">
        <v>110962.0</v>
      </c>
      <c r="C1326" s="289" t="s">
        <v>1959</v>
      </c>
      <c r="D1326" s="289" t="s">
        <v>42</v>
      </c>
      <c r="E1326" s="289" t="s">
        <v>518</v>
      </c>
      <c r="F1326" s="289" t="b">
        <v>1</v>
      </c>
      <c r="G1326" s="287" t="b">
        <v>1</v>
      </c>
      <c r="H1326" s="287" t="s">
        <v>250</v>
      </c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</row>
    <row r="1327" ht="15.75" customHeight="1">
      <c r="B1327" s="289">
        <v>40533.0</v>
      </c>
      <c r="C1327" s="289" t="s">
        <v>1961</v>
      </c>
      <c r="D1327" s="289" t="s">
        <v>42</v>
      </c>
      <c r="E1327" s="289" t="s">
        <v>518</v>
      </c>
      <c r="F1327" s="289" t="b">
        <v>1</v>
      </c>
      <c r="G1327" s="287" t="b">
        <v>1</v>
      </c>
      <c r="H1327" s="287" t="s">
        <v>250</v>
      </c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</row>
    <row r="1328" ht="15.75" customHeight="1">
      <c r="B1328" s="289">
        <v>16241.0</v>
      </c>
      <c r="C1328" s="289" t="s">
        <v>1962</v>
      </c>
      <c r="D1328" s="289" t="s">
        <v>1965</v>
      </c>
      <c r="E1328" s="289" t="s">
        <v>249</v>
      </c>
      <c r="F1328" s="289" t="b">
        <v>1</v>
      </c>
      <c r="G1328" s="287" t="b">
        <v>1</v>
      </c>
      <c r="H1328" s="287" t="s">
        <v>250</v>
      </c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</row>
    <row r="1329" ht="15.75" customHeight="1">
      <c r="B1329" s="289">
        <v>16948.0</v>
      </c>
      <c r="C1329" s="289" t="s">
        <v>1964</v>
      </c>
      <c r="D1329" s="289" t="s">
        <v>1965</v>
      </c>
      <c r="E1329" s="289" t="s">
        <v>249</v>
      </c>
      <c r="F1329" s="289" t="b">
        <v>1</v>
      </c>
      <c r="G1329" s="287" t="b">
        <v>1</v>
      </c>
      <c r="H1329" s="287" t="s">
        <v>1966</v>
      </c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</row>
    <row r="1330" ht="15.75" customHeight="1">
      <c r="B1330" s="289">
        <v>112200.0</v>
      </c>
      <c r="C1330" s="289" t="s">
        <v>1967</v>
      </c>
      <c r="D1330" s="289" t="s">
        <v>42</v>
      </c>
      <c r="E1330" s="289" t="s">
        <v>518</v>
      </c>
      <c r="F1330" s="289" t="b">
        <v>1</v>
      </c>
      <c r="G1330" s="287" t="b">
        <v>1</v>
      </c>
      <c r="H1330" s="287" t="s">
        <v>250</v>
      </c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</row>
    <row r="1331" ht="15.75" customHeight="1">
      <c r="B1331" s="289">
        <v>16414.0</v>
      </c>
      <c r="C1331" s="289" t="s">
        <v>1968</v>
      </c>
      <c r="D1331" s="289" t="s">
        <v>42</v>
      </c>
      <c r="E1331" s="289" t="s">
        <v>518</v>
      </c>
      <c r="F1331" s="289" t="b">
        <v>1</v>
      </c>
      <c r="G1331" s="287" t="b">
        <v>1</v>
      </c>
      <c r="H1331" s="287" t="s">
        <v>250</v>
      </c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</row>
    <row r="1332" ht="15.75" customHeight="1">
      <c r="B1332" s="289">
        <v>16418.0</v>
      </c>
      <c r="C1332" s="289" t="s">
        <v>1969</v>
      </c>
      <c r="D1332" s="289" t="s">
        <v>42</v>
      </c>
      <c r="E1332" s="289" t="s">
        <v>518</v>
      </c>
      <c r="F1332" s="289" t="b">
        <v>1</v>
      </c>
      <c r="G1332" s="287" t="b">
        <v>1</v>
      </c>
      <c r="H1332" s="287" t="s">
        <v>250</v>
      </c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</row>
    <row r="1333" ht="15.75" customHeight="1">
      <c r="B1333" s="289">
        <v>11940.0</v>
      </c>
      <c r="C1333" s="289" t="s">
        <v>1971</v>
      </c>
      <c r="D1333" s="289" t="s">
        <v>42</v>
      </c>
      <c r="E1333" s="289" t="s">
        <v>518</v>
      </c>
      <c r="F1333" s="289" t="b">
        <v>1</v>
      </c>
      <c r="G1333" s="287" t="b">
        <v>1</v>
      </c>
      <c r="H1333" s="287" t="s">
        <v>250</v>
      </c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</row>
    <row r="1334" ht="15.75" customHeight="1">
      <c r="B1334" s="289">
        <v>149875.0</v>
      </c>
      <c r="C1334" s="289" t="s">
        <v>1973</v>
      </c>
      <c r="D1334" s="289" t="s">
        <v>2705</v>
      </c>
      <c r="E1334" s="289" t="s">
        <v>518</v>
      </c>
      <c r="F1334" s="289" t="b">
        <v>1</v>
      </c>
      <c r="G1334" s="287" t="b">
        <v>1</v>
      </c>
      <c r="H1334" s="287" t="s">
        <v>250</v>
      </c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</row>
    <row r="1335" ht="15.75" customHeight="1">
      <c r="B1335" s="289">
        <v>37627.0</v>
      </c>
      <c r="C1335" s="289" t="s">
        <v>1976</v>
      </c>
      <c r="D1335" s="289" t="s">
        <v>2706</v>
      </c>
      <c r="E1335" s="289" t="s">
        <v>518</v>
      </c>
      <c r="F1335" s="289" t="b">
        <v>1</v>
      </c>
      <c r="G1335" s="287" t="b">
        <v>1</v>
      </c>
      <c r="H1335" s="287" t="s">
        <v>1979</v>
      </c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</row>
    <row r="1336" ht="15.75" customHeight="1">
      <c r="B1336" s="289">
        <v>15985.0</v>
      </c>
      <c r="C1336" s="289" t="s">
        <v>1980</v>
      </c>
      <c r="D1336" s="289" t="s">
        <v>2707</v>
      </c>
      <c r="E1336" s="289" t="s">
        <v>518</v>
      </c>
      <c r="F1336" s="289" t="b">
        <v>1</v>
      </c>
      <c r="G1336" s="287" t="b">
        <v>1</v>
      </c>
      <c r="H1336" s="287" t="s">
        <v>250</v>
      </c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</row>
    <row r="1337" ht="15.75" customHeight="1">
      <c r="B1337" s="289">
        <v>16539.0</v>
      </c>
      <c r="C1337" s="289" t="s">
        <v>1982</v>
      </c>
      <c r="D1337" s="289" t="s">
        <v>2708</v>
      </c>
      <c r="E1337" s="289" t="s">
        <v>518</v>
      </c>
      <c r="F1337" s="289" t="b">
        <v>1</v>
      </c>
      <c r="G1337" s="287" t="b">
        <v>1</v>
      </c>
      <c r="H1337" s="287" t="s">
        <v>250</v>
      </c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</row>
    <row r="1338" ht="15.75" customHeight="1">
      <c r="B1338" s="289">
        <v>20893.0</v>
      </c>
      <c r="C1338" s="289" t="s">
        <v>1985</v>
      </c>
      <c r="D1338" s="289" t="s">
        <v>42</v>
      </c>
      <c r="E1338" s="289" t="s">
        <v>249</v>
      </c>
      <c r="F1338" s="289" t="b">
        <v>1</v>
      </c>
      <c r="G1338" s="287" t="b">
        <v>1</v>
      </c>
      <c r="H1338" s="287" t="s">
        <v>250</v>
      </c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</row>
    <row r="1339" ht="15.75" customHeight="1">
      <c r="B1339" s="289">
        <v>16114.0</v>
      </c>
      <c r="C1339" s="289" t="s">
        <v>1987</v>
      </c>
      <c r="D1339" s="289" t="s">
        <v>2709</v>
      </c>
      <c r="E1339" s="289" t="s">
        <v>518</v>
      </c>
      <c r="F1339" s="289" t="b">
        <v>1</v>
      </c>
      <c r="G1339" s="287" t="b">
        <v>1</v>
      </c>
      <c r="H1339" s="287" t="s">
        <v>1990</v>
      </c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</row>
    <row r="1340" ht="15.75" customHeight="1">
      <c r="B1340" s="289">
        <v>16538.0</v>
      </c>
      <c r="C1340" s="289" t="s">
        <v>1991</v>
      </c>
      <c r="D1340" s="289" t="s">
        <v>2626</v>
      </c>
      <c r="E1340" s="289" t="s">
        <v>518</v>
      </c>
      <c r="F1340" s="289" t="b">
        <v>1</v>
      </c>
      <c r="G1340" s="287" t="b">
        <v>1</v>
      </c>
      <c r="H1340" s="287" t="s">
        <v>1993</v>
      </c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</row>
    <row r="1341" ht="15.75" customHeight="1">
      <c r="B1341" s="289">
        <v>110935.0</v>
      </c>
      <c r="C1341" s="289" t="s">
        <v>1998</v>
      </c>
      <c r="D1341" s="289" t="s">
        <v>42</v>
      </c>
      <c r="E1341" s="289" t="s">
        <v>518</v>
      </c>
      <c r="F1341" s="289" t="b">
        <v>1</v>
      </c>
      <c r="G1341" s="287" t="b">
        <v>1</v>
      </c>
      <c r="H1341" s="287" t="s">
        <v>1999</v>
      </c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</row>
    <row r="1342" ht="15.75" customHeight="1">
      <c r="B1342" s="289">
        <v>16946.0</v>
      </c>
      <c r="C1342" s="289" t="s">
        <v>2000</v>
      </c>
      <c r="D1342" s="289" t="s">
        <v>2710</v>
      </c>
      <c r="E1342" s="289" t="s">
        <v>518</v>
      </c>
      <c r="F1342" s="289" t="b">
        <v>1</v>
      </c>
      <c r="G1342" s="287" t="b">
        <v>1</v>
      </c>
      <c r="H1342" s="287" t="s">
        <v>250</v>
      </c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</row>
    <row r="1343" ht="15.75" customHeight="1">
      <c r="B1343" s="289">
        <v>15908.0</v>
      </c>
      <c r="C1343" s="289" t="s">
        <v>2001</v>
      </c>
      <c r="D1343" s="289" t="s">
        <v>2711</v>
      </c>
      <c r="E1343" s="289" t="s">
        <v>518</v>
      </c>
      <c r="F1343" s="289" t="b">
        <v>1</v>
      </c>
      <c r="G1343" s="287" t="b">
        <v>1</v>
      </c>
      <c r="H1343" s="287" t="s">
        <v>2712</v>
      </c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</row>
    <row r="1344" ht="15.75" customHeight="1">
      <c r="B1344" s="289">
        <v>150114.0</v>
      </c>
      <c r="C1344" s="289" t="s">
        <v>2004</v>
      </c>
      <c r="D1344" s="289" t="s">
        <v>2713</v>
      </c>
      <c r="E1344" s="289" t="s">
        <v>518</v>
      </c>
      <c r="F1344" s="289" t="b">
        <v>1</v>
      </c>
      <c r="G1344" s="287" t="b">
        <v>1</v>
      </c>
      <c r="H1344" s="287" t="s">
        <v>250</v>
      </c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</row>
    <row r="1345" ht="15.75" customHeight="1">
      <c r="B1345" s="289">
        <v>111932.0</v>
      </c>
      <c r="C1345" s="289" t="s">
        <v>2006</v>
      </c>
      <c r="D1345" s="289" t="s">
        <v>42</v>
      </c>
      <c r="E1345" s="289" t="s">
        <v>518</v>
      </c>
      <c r="F1345" s="289" t="b">
        <v>1</v>
      </c>
      <c r="G1345" s="287" t="b">
        <v>1</v>
      </c>
      <c r="H1345" s="287" t="s">
        <v>250</v>
      </c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</row>
    <row r="1346" ht="15.75" customHeight="1">
      <c r="B1346" s="289">
        <v>112896.0</v>
      </c>
      <c r="C1346" s="289" t="s">
        <v>2008</v>
      </c>
      <c r="D1346" s="289" t="s">
        <v>42</v>
      </c>
      <c r="E1346" s="289" t="s">
        <v>518</v>
      </c>
      <c r="F1346" s="289" t="b">
        <v>1</v>
      </c>
      <c r="G1346" s="287" t="b">
        <v>1</v>
      </c>
      <c r="H1346" s="287" t="s">
        <v>250</v>
      </c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</row>
    <row r="1347" ht="15.75" customHeight="1">
      <c r="B1347" s="289">
        <v>15865.0</v>
      </c>
      <c r="C1347" s="289" t="s">
        <v>2009</v>
      </c>
      <c r="D1347" s="289" t="s">
        <v>289</v>
      </c>
      <c r="E1347" s="289" t="s">
        <v>518</v>
      </c>
      <c r="F1347" s="289" t="b">
        <v>1</v>
      </c>
      <c r="G1347" s="287" t="b">
        <v>1</v>
      </c>
      <c r="H1347" s="287" t="s">
        <v>2011</v>
      </c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</row>
    <row r="1348" ht="15.75" customHeight="1">
      <c r="B1348" s="289">
        <v>40567.0</v>
      </c>
      <c r="C1348" s="289" t="s">
        <v>2012</v>
      </c>
      <c r="D1348" s="289" t="s">
        <v>2013</v>
      </c>
      <c r="E1348" s="289" t="s">
        <v>518</v>
      </c>
      <c r="F1348" s="289" t="b">
        <v>1</v>
      </c>
      <c r="G1348" s="287" t="b">
        <v>1</v>
      </c>
      <c r="H1348" s="287" t="s">
        <v>250</v>
      </c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</row>
    <row r="1349" ht="15.75" customHeight="1">
      <c r="B1349" s="289">
        <v>110928.0</v>
      </c>
      <c r="C1349" s="289" t="s">
        <v>2016</v>
      </c>
      <c r="D1349" s="289" t="s">
        <v>42</v>
      </c>
      <c r="E1349" s="289" t="s">
        <v>518</v>
      </c>
      <c r="F1349" s="289" t="b">
        <v>1</v>
      </c>
      <c r="G1349" s="287" t="b">
        <v>1</v>
      </c>
      <c r="H1349" s="287" t="s">
        <v>250</v>
      </c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</row>
    <row r="1350" ht="15.75" customHeight="1">
      <c r="B1350" s="289">
        <v>16939.0</v>
      </c>
      <c r="C1350" s="289" t="s">
        <v>2018</v>
      </c>
      <c r="D1350" s="289" t="s">
        <v>2714</v>
      </c>
      <c r="E1350" s="289" t="s">
        <v>518</v>
      </c>
      <c r="F1350" s="289" t="b">
        <v>1</v>
      </c>
      <c r="G1350" s="287" t="b">
        <v>1</v>
      </c>
      <c r="H1350" s="287" t="s">
        <v>2715</v>
      </c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</row>
    <row r="1351" ht="15.75" customHeight="1">
      <c r="B1351" s="289">
        <v>24829.0</v>
      </c>
      <c r="C1351" s="289" t="s">
        <v>2024</v>
      </c>
      <c r="D1351" s="289" t="s">
        <v>42</v>
      </c>
      <c r="E1351" s="289" t="s">
        <v>518</v>
      </c>
      <c r="F1351" s="289" t="b">
        <v>1</v>
      </c>
      <c r="G1351" s="287" t="b">
        <v>1</v>
      </c>
      <c r="H1351" s="287" t="s">
        <v>1074</v>
      </c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</row>
    <row r="1352" ht="15.75" customHeight="1">
      <c r="B1352" s="289">
        <v>11938.0</v>
      </c>
      <c r="C1352" s="289" t="s">
        <v>2029</v>
      </c>
      <c r="D1352" s="289" t="s">
        <v>2716</v>
      </c>
      <c r="E1352" s="289" t="s">
        <v>518</v>
      </c>
      <c r="F1352" s="289" t="b">
        <v>1</v>
      </c>
      <c r="G1352" s="287" t="b">
        <v>1</v>
      </c>
      <c r="H1352" s="287" t="s">
        <v>250</v>
      </c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</row>
    <row r="1353" ht="15.75" customHeight="1">
      <c r="B1353" s="289">
        <v>16015.0</v>
      </c>
      <c r="C1353" s="289" t="s">
        <v>2031</v>
      </c>
      <c r="D1353" s="289" t="s">
        <v>2717</v>
      </c>
      <c r="E1353" s="289" t="s">
        <v>518</v>
      </c>
      <c r="F1353" s="289" t="b">
        <v>1</v>
      </c>
      <c r="G1353" s="287" t="b">
        <v>1</v>
      </c>
      <c r="H1353" s="287" t="s">
        <v>2033</v>
      </c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</row>
    <row r="1354" ht="15.75" customHeight="1">
      <c r="B1354" s="289">
        <v>111993.0</v>
      </c>
      <c r="C1354" s="289" t="s">
        <v>2034</v>
      </c>
      <c r="D1354" s="289" t="s">
        <v>389</v>
      </c>
      <c r="E1354" s="289" t="s">
        <v>518</v>
      </c>
      <c r="F1354" s="289" t="b">
        <v>1</v>
      </c>
      <c r="G1354" s="287" t="b">
        <v>1</v>
      </c>
      <c r="H1354" s="287" t="s">
        <v>250</v>
      </c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</row>
    <row r="1355" ht="15.75" customHeight="1">
      <c r="B1355" s="289">
        <v>19408.0</v>
      </c>
      <c r="C1355" s="289" t="s">
        <v>2036</v>
      </c>
      <c r="D1355" s="289" t="s">
        <v>2038</v>
      </c>
      <c r="E1355" s="289" t="s">
        <v>518</v>
      </c>
      <c r="F1355" s="289" t="b">
        <v>1</v>
      </c>
      <c r="G1355" s="287" t="b">
        <v>1</v>
      </c>
      <c r="H1355" s="287" t="s">
        <v>250</v>
      </c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</row>
    <row r="1356" ht="15.75" customHeight="1">
      <c r="B1356" s="289">
        <v>16318.0</v>
      </c>
      <c r="C1356" s="289" t="s">
        <v>2039</v>
      </c>
      <c r="D1356" s="289" t="s">
        <v>42</v>
      </c>
      <c r="E1356" s="289" t="s">
        <v>369</v>
      </c>
      <c r="F1356" s="289" t="b">
        <v>1</v>
      </c>
      <c r="G1356" s="287" t="b">
        <v>1</v>
      </c>
      <c r="H1356" s="287" t="s">
        <v>250</v>
      </c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</row>
    <row r="1357" ht="15.75" customHeight="1">
      <c r="B1357" s="289">
        <v>16431.0</v>
      </c>
      <c r="C1357" s="289" t="s">
        <v>2040</v>
      </c>
      <c r="D1357" s="289" t="s">
        <v>2718</v>
      </c>
      <c r="E1357" s="289" t="s">
        <v>518</v>
      </c>
      <c r="F1357" s="289" t="b">
        <v>1</v>
      </c>
      <c r="G1357" s="287" t="b">
        <v>1</v>
      </c>
      <c r="H1357" s="287" t="s">
        <v>250</v>
      </c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</row>
    <row r="1358" ht="15.75" customHeight="1">
      <c r="B1358" s="289">
        <v>41451.0</v>
      </c>
      <c r="C1358" s="289" t="s">
        <v>2041</v>
      </c>
      <c r="D1358" s="289" t="s">
        <v>64</v>
      </c>
      <c r="E1358" s="289" t="s">
        <v>518</v>
      </c>
      <c r="F1358" s="289" t="b">
        <v>1</v>
      </c>
      <c r="G1358" s="287" t="b">
        <v>1</v>
      </c>
      <c r="H1358" s="287" t="s">
        <v>250</v>
      </c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</row>
    <row r="1359" ht="15.75" customHeight="1">
      <c r="B1359" s="289">
        <v>16432.0</v>
      </c>
      <c r="C1359" s="289" t="s">
        <v>2043</v>
      </c>
      <c r="D1359" s="289" t="s">
        <v>1617</v>
      </c>
      <c r="E1359" s="289" t="s">
        <v>518</v>
      </c>
      <c r="F1359" s="289" t="b">
        <v>1</v>
      </c>
      <c r="G1359" s="287" t="b">
        <v>1</v>
      </c>
      <c r="H1359" s="287" t="s">
        <v>250</v>
      </c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</row>
    <row r="1360" ht="15.75" customHeight="1">
      <c r="B1360" s="289">
        <v>16571.0</v>
      </c>
      <c r="C1360" s="289" t="s">
        <v>2045</v>
      </c>
      <c r="D1360" s="289" t="s">
        <v>2719</v>
      </c>
      <c r="E1360" s="289" t="s">
        <v>518</v>
      </c>
      <c r="F1360" s="289" t="b">
        <v>1</v>
      </c>
      <c r="G1360" s="287" t="b">
        <v>1</v>
      </c>
      <c r="H1360" s="287" t="s">
        <v>2046</v>
      </c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</row>
    <row r="1361" ht="15.75" customHeight="1">
      <c r="B1361" s="289">
        <v>109679.0</v>
      </c>
      <c r="C1361" s="289" t="s">
        <v>2047</v>
      </c>
      <c r="D1361" s="289" t="s">
        <v>64</v>
      </c>
      <c r="E1361" s="289" t="s">
        <v>518</v>
      </c>
      <c r="F1361" s="289" t="b">
        <v>1</v>
      </c>
      <c r="G1361" s="287" t="b">
        <v>1</v>
      </c>
      <c r="H1361" s="287" t="s">
        <v>250</v>
      </c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</row>
    <row r="1362" ht="15.75" customHeight="1">
      <c r="B1362" s="289">
        <v>16366.0</v>
      </c>
      <c r="C1362" s="289" t="s">
        <v>2049</v>
      </c>
      <c r="D1362" s="289" t="s">
        <v>64</v>
      </c>
      <c r="E1362" s="289" t="s">
        <v>518</v>
      </c>
      <c r="F1362" s="289" t="b">
        <v>1</v>
      </c>
      <c r="G1362" s="287" t="b">
        <v>1</v>
      </c>
      <c r="H1362" s="287" t="s">
        <v>250</v>
      </c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</row>
    <row r="1363" ht="15.75" customHeight="1">
      <c r="B1363" s="289">
        <v>16408.0</v>
      </c>
      <c r="C1363" s="289" t="s">
        <v>2051</v>
      </c>
      <c r="D1363" s="289" t="s">
        <v>389</v>
      </c>
      <c r="E1363" s="289" t="s">
        <v>518</v>
      </c>
      <c r="F1363" s="289" t="b">
        <v>1</v>
      </c>
      <c r="G1363" s="287" t="b">
        <v>1</v>
      </c>
      <c r="H1363" s="287" t="s">
        <v>2053</v>
      </c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</row>
    <row r="1364" ht="15.75" customHeight="1">
      <c r="B1364" s="289">
        <v>47893.0</v>
      </c>
      <c r="C1364" s="289" t="s">
        <v>2054</v>
      </c>
      <c r="D1364" s="289" t="s">
        <v>64</v>
      </c>
      <c r="E1364" s="289" t="s">
        <v>518</v>
      </c>
      <c r="F1364" s="289" t="b">
        <v>1</v>
      </c>
      <c r="G1364" s="287" t="b">
        <v>1</v>
      </c>
      <c r="H1364" s="287" t="s">
        <v>250</v>
      </c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</row>
    <row r="1365" ht="15.75" customHeight="1">
      <c r="B1365" s="289">
        <v>109676.0</v>
      </c>
      <c r="C1365" s="289" t="s">
        <v>2055</v>
      </c>
      <c r="D1365" s="289" t="s">
        <v>42</v>
      </c>
      <c r="E1365" s="289" t="s">
        <v>518</v>
      </c>
      <c r="F1365" s="289" t="b">
        <v>1</v>
      </c>
      <c r="G1365" s="287" t="b">
        <v>1</v>
      </c>
      <c r="H1365" s="287" t="s">
        <v>250</v>
      </c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</row>
    <row r="1366" ht="15.75" customHeight="1">
      <c r="B1366" s="289">
        <v>112750.0</v>
      </c>
      <c r="C1366" s="289" t="s">
        <v>2061</v>
      </c>
      <c r="D1366" s="289" t="s">
        <v>42</v>
      </c>
      <c r="E1366" s="289" t="s">
        <v>249</v>
      </c>
      <c r="F1366" s="289" t="b">
        <v>1</v>
      </c>
      <c r="G1366" s="287" t="b">
        <v>1</v>
      </c>
      <c r="H1366" s="287" t="s">
        <v>250</v>
      </c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</row>
    <row r="1367" ht="15.75" customHeight="1">
      <c r="B1367" s="289">
        <v>111997.0</v>
      </c>
      <c r="C1367" s="289" t="s">
        <v>2064</v>
      </c>
      <c r="D1367" s="289" t="s">
        <v>2067</v>
      </c>
      <c r="E1367" s="289" t="s">
        <v>518</v>
      </c>
      <c r="F1367" s="289" t="b">
        <v>1</v>
      </c>
      <c r="G1367" s="287" t="b">
        <v>1</v>
      </c>
      <c r="H1367" s="287" t="s">
        <v>250</v>
      </c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</row>
    <row r="1368" ht="15.75" customHeight="1">
      <c r="B1368" s="289">
        <v>109522.0</v>
      </c>
      <c r="C1368" s="289" t="s">
        <v>2068</v>
      </c>
      <c r="D1368" s="289" t="s">
        <v>42</v>
      </c>
      <c r="E1368" s="289" t="s">
        <v>518</v>
      </c>
      <c r="F1368" s="289" t="b">
        <v>1</v>
      </c>
      <c r="G1368" s="287" t="b">
        <v>1</v>
      </c>
      <c r="H1368" s="287" t="s">
        <v>250</v>
      </c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</row>
    <row r="1369" ht="15.75" customHeight="1">
      <c r="B1369" s="289">
        <v>112620.0</v>
      </c>
      <c r="C1369" s="289" t="s">
        <v>2070</v>
      </c>
      <c r="D1369" s="289" t="s">
        <v>42</v>
      </c>
      <c r="E1369" s="289" t="s">
        <v>518</v>
      </c>
      <c r="F1369" s="289" t="b">
        <v>1</v>
      </c>
      <c r="G1369" s="287" t="b">
        <v>1</v>
      </c>
      <c r="H1369" s="287" t="s">
        <v>250</v>
      </c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</row>
    <row r="1370" ht="15.75" customHeight="1">
      <c r="B1370" s="289">
        <v>109967.0</v>
      </c>
      <c r="C1370" s="289" t="s">
        <v>2071</v>
      </c>
      <c r="D1370" s="289" t="s">
        <v>42</v>
      </c>
      <c r="E1370" s="289" t="s">
        <v>369</v>
      </c>
      <c r="F1370" s="289" t="b">
        <v>1</v>
      </c>
      <c r="G1370" s="287" t="b">
        <v>1</v>
      </c>
      <c r="H1370" s="287" t="s">
        <v>250</v>
      </c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</row>
    <row r="1371" ht="15.75" customHeight="1">
      <c r="B1371" s="289">
        <v>15060.0</v>
      </c>
      <c r="C1371" s="289" t="s">
        <v>2072</v>
      </c>
      <c r="D1371" s="289" t="s">
        <v>2710</v>
      </c>
      <c r="E1371" s="289" t="s">
        <v>369</v>
      </c>
      <c r="F1371" s="289" t="b">
        <v>1</v>
      </c>
      <c r="G1371" s="287" t="b">
        <v>1</v>
      </c>
      <c r="H1371" s="287" t="s">
        <v>2073</v>
      </c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</row>
    <row r="1372" ht="15.75" customHeight="1">
      <c r="B1372" s="289">
        <v>16951.0</v>
      </c>
      <c r="C1372" s="289" t="s">
        <v>2720</v>
      </c>
      <c r="D1372" s="289" t="s">
        <v>2710</v>
      </c>
      <c r="E1372" s="289" t="s">
        <v>369</v>
      </c>
      <c r="F1372" s="289" t="b">
        <v>1</v>
      </c>
      <c r="G1372" s="287" t="b">
        <v>1</v>
      </c>
      <c r="H1372" s="287" t="s">
        <v>250</v>
      </c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</row>
    <row r="1373" ht="15.75" customHeight="1">
      <c r="B1373" s="289">
        <v>101420.0</v>
      </c>
      <c r="C1373" s="289" t="s">
        <v>2076</v>
      </c>
      <c r="D1373" s="289" t="s">
        <v>972</v>
      </c>
      <c r="E1373" s="289" t="s">
        <v>249</v>
      </c>
      <c r="F1373" s="289" t="b">
        <v>1</v>
      </c>
      <c r="G1373" s="287" t="b">
        <v>1</v>
      </c>
      <c r="H1373" s="287" t="s">
        <v>250</v>
      </c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</row>
    <row r="1374" ht="15.75" customHeight="1">
      <c r="B1374" s="289">
        <v>147847.0</v>
      </c>
      <c r="C1374" s="289" t="s">
        <v>2080</v>
      </c>
      <c r="D1374" s="289" t="s">
        <v>42</v>
      </c>
      <c r="E1374" s="289" t="s">
        <v>518</v>
      </c>
      <c r="F1374" s="289" t="b">
        <v>1</v>
      </c>
      <c r="G1374" s="287" t="b">
        <v>1</v>
      </c>
      <c r="H1374" s="287" t="s">
        <v>250</v>
      </c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</row>
    <row r="1375" ht="15.75" customHeight="1">
      <c r="B1375" s="289">
        <v>20883.0</v>
      </c>
      <c r="C1375" s="289" t="s">
        <v>2082</v>
      </c>
      <c r="D1375" s="289" t="s">
        <v>42</v>
      </c>
      <c r="E1375" s="289" t="s">
        <v>518</v>
      </c>
      <c r="F1375" s="289" t="b">
        <v>1</v>
      </c>
      <c r="G1375" s="287" t="b">
        <v>1</v>
      </c>
      <c r="H1375" s="287" t="s">
        <v>250</v>
      </c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</row>
    <row r="1376" ht="15.75" customHeight="1">
      <c r="B1376" s="289">
        <v>12672.0</v>
      </c>
      <c r="C1376" s="289" t="s">
        <v>2083</v>
      </c>
      <c r="D1376" s="289" t="s">
        <v>42</v>
      </c>
      <c r="E1376" s="289" t="s">
        <v>518</v>
      </c>
      <c r="F1376" s="289" t="b">
        <v>1</v>
      </c>
      <c r="G1376" s="287" t="b">
        <v>1</v>
      </c>
      <c r="H1376" s="287" t="s">
        <v>2085</v>
      </c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</row>
    <row r="1377" ht="15.75" customHeight="1">
      <c r="B1377" s="289">
        <v>12666.0</v>
      </c>
      <c r="C1377" s="289" t="s">
        <v>2086</v>
      </c>
      <c r="D1377" s="289" t="s">
        <v>42</v>
      </c>
      <c r="E1377" s="289" t="s">
        <v>518</v>
      </c>
      <c r="F1377" s="289" t="b">
        <v>1</v>
      </c>
      <c r="G1377" s="287" t="b">
        <v>1</v>
      </c>
      <c r="H1377" s="287" t="s">
        <v>2087</v>
      </c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</row>
    <row r="1378" ht="15.75" customHeight="1">
      <c r="B1378" s="289">
        <v>30034.0</v>
      </c>
      <c r="C1378" s="289" t="s">
        <v>2088</v>
      </c>
      <c r="D1378" s="289" t="s">
        <v>42</v>
      </c>
      <c r="E1378" s="289" t="s">
        <v>518</v>
      </c>
      <c r="F1378" s="289" t="b">
        <v>1</v>
      </c>
      <c r="G1378" s="287" t="b">
        <v>1</v>
      </c>
      <c r="H1378" s="287" t="s">
        <v>250</v>
      </c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</row>
    <row r="1379" ht="15.75" customHeight="1">
      <c r="B1379" s="289">
        <v>30032.0</v>
      </c>
      <c r="C1379" s="289" t="s">
        <v>2090</v>
      </c>
      <c r="D1379" s="289" t="s">
        <v>1471</v>
      </c>
      <c r="E1379" s="289" t="s">
        <v>518</v>
      </c>
      <c r="F1379" s="289" t="b">
        <v>1</v>
      </c>
      <c r="G1379" s="287" t="b">
        <v>1</v>
      </c>
      <c r="H1379" s="287" t="s">
        <v>250</v>
      </c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</row>
    <row r="1380" ht="15.75" customHeight="1">
      <c r="B1380" s="289">
        <v>16958.0</v>
      </c>
      <c r="C1380" s="289" t="s">
        <v>2094</v>
      </c>
      <c r="D1380" s="289" t="s">
        <v>2721</v>
      </c>
      <c r="E1380" s="289" t="s">
        <v>249</v>
      </c>
      <c r="F1380" s="289" t="b">
        <v>1</v>
      </c>
      <c r="G1380" s="287" t="b">
        <v>1</v>
      </c>
      <c r="H1380" s="287" t="s">
        <v>250</v>
      </c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</row>
    <row r="1381" ht="15.75" customHeight="1">
      <c r="B1381" s="289">
        <v>142014.0</v>
      </c>
      <c r="C1381" s="289" t="s">
        <v>2096</v>
      </c>
      <c r="D1381" s="289" t="s">
        <v>2020</v>
      </c>
      <c r="E1381" s="289" t="s">
        <v>249</v>
      </c>
      <c r="F1381" s="289" t="b">
        <v>1</v>
      </c>
      <c r="G1381" s="287" t="b">
        <v>1</v>
      </c>
      <c r="H1381" s="287" t="s">
        <v>250</v>
      </c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</row>
    <row r="1382" ht="15.75" customHeight="1">
      <c r="B1382" s="289">
        <v>142009.0</v>
      </c>
      <c r="C1382" s="289" t="s">
        <v>2097</v>
      </c>
      <c r="D1382" s="289" t="s">
        <v>2098</v>
      </c>
      <c r="E1382" s="289" t="s">
        <v>249</v>
      </c>
      <c r="F1382" s="289" t="b">
        <v>1</v>
      </c>
      <c r="G1382" s="287" t="b">
        <v>1</v>
      </c>
      <c r="H1382" s="287" t="s">
        <v>250</v>
      </c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</row>
    <row r="1383" ht="15.75" customHeight="1">
      <c r="B1383" s="289">
        <v>142011.0</v>
      </c>
      <c r="C1383" s="289" t="s">
        <v>2099</v>
      </c>
      <c r="D1383" s="289" t="s">
        <v>2100</v>
      </c>
      <c r="E1383" s="289" t="s">
        <v>249</v>
      </c>
      <c r="F1383" s="289" t="b">
        <v>1</v>
      </c>
      <c r="G1383" s="287" t="b">
        <v>1</v>
      </c>
      <c r="H1383" s="287" t="s">
        <v>250</v>
      </c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</row>
    <row r="1384" ht="15.75" customHeight="1">
      <c r="B1384" s="289">
        <v>146514.0</v>
      </c>
      <c r="C1384" s="289" t="s">
        <v>2101</v>
      </c>
      <c r="D1384" s="289" t="s">
        <v>42</v>
      </c>
      <c r="E1384" s="289" t="s">
        <v>518</v>
      </c>
      <c r="F1384" s="289" t="b">
        <v>1</v>
      </c>
      <c r="G1384" s="287" t="b">
        <v>1</v>
      </c>
      <c r="H1384" s="287" t="s">
        <v>250</v>
      </c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</row>
    <row r="1385" ht="15.75" customHeight="1">
      <c r="B1385" s="289">
        <v>146513.0</v>
      </c>
      <c r="C1385" s="289" t="s">
        <v>2103</v>
      </c>
      <c r="D1385" s="289" t="s">
        <v>289</v>
      </c>
      <c r="E1385" s="289" t="s">
        <v>249</v>
      </c>
      <c r="F1385" s="289" t="b">
        <v>1</v>
      </c>
      <c r="G1385" s="287" t="b">
        <v>1</v>
      </c>
      <c r="H1385" s="287" t="s">
        <v>2104</v>
      </c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</row>
    <row r="1386" ht="15.75" customHeight="1">
      <c r="B1386" s="289">
        <v>110102.0</v>
      </c>
      <c r="C1386" s="289" t="s">
        <v>2106</v>
      </c>
      <c r="D1386" s="289" t="s">
        <v>42</v>
      </c>
      <c r="E1386" s="289" t="s">
        <v>518</v>
      </c>
      <c r="F1386" s="289" t="b">
        <v>1</v>
      </c>
      <c r="G1386" s="287" t="b">
        <v>1</v>
      </c>
      <c r="H1386" s="287" t="s">
        <v>250</v>
      </c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</row>
    <row r="1387" ht="15.75" customHeight="1">
      <c r="B1387" s="289">
        <v>109520.0</v>
      </c>
      <c r="C1387" s="289" t="s">
        <v>2108</v>
      </c>
      <c r="D1387" s="289" t="s">
        <v>946</v>
      </c>
      <c r="E1387" s="289" t="s">
        <v>518</v>
      </c>
      <c r="F1387" s="289" t="b">
        <v>1</v>
      </c>
      <c r="G1387" s="287" t="b">
        <v>1</v>
      </c>
      <c r="H1387" s="287" t="s">
        <v>250</v>
      </c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</row>
    <row r="1388" ht="15.75" customHeight="1">
      <c r="B1388" s="289">
        <v>109224.0</v>
      </c>
      <c r="C1388" s="289" t="s">
        <v>2110</v>
      </c>
      <c r="D1388" s="289" t="s">
        <v>2722</v>
      </c>
      <c r="E1388" s="289" t="s">
        <v>518</v>
      </c>
      <c r="F1388" s="289" t="b">
        <v>1</v>
      </c>
      <c r="G1388" s="287" t="b">
        <v>1</v>
      </c>
      <c r="H1388" s="287" t="s">
        <v>250</v>
      </c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</row>
    <row r="1389" ht="15.75" customHeight="1">
      <c r="B1389" s="289">
        <v>109933.0</v>
      </c>
      <c r="C1389" s="289" t="s">
        <v>2116</v>
      </c>
      <c r="D1389" s="289" t="s">
        <v>42</v>
      </c>
      <c r="E1389" s="289" t="s">
        <v>249</v>
      </c>
      <c r="F1389" s="289" t="b">
        <v>1</v>
      </c>
      <c r="G1389" s="287" t="b">
        <v>1</v>
      </c>
      <c r="H1389" s="287" t="s">
        <v>250</v>
      </c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</row>
    <row r="1390" ht="15.75" customHeight="1">
      <c r="B1390" s="289">
        <v>109925.0</v>
      </c>
      <c r="C1390" s="289" t="s">
        <v>2119</v>
      </c>
      <c r="D1390" s="289" t="s">
        <v>42</v>
      </c>
      <c r="E1390" s="289" t="s">
        <v>369</v>
      </c>
      <c r="F1390" s="289" t="b">
        <v>1</v>
      </c>
      <c r="G1390" s="287" t="b">
        <v>1</v>
      </c>
      <c r="H1390" s="287" t="s">
        <v>250</v>
      </c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</row>
    <row r="1391" ht="15.75" customHeight="1">
      <c r="B1391" s="289">
        <v>109527.0</v>
      </c>
      <c r="C1391" s="289" t="s">
        <v>2121</v>
      </c>
      <c r="D1391" s="289" t="s">
        <v>42</v>
      </c>
      <c r="E1391" s="289" t="s">
        <v>369</v>
      </c>
      <c r="F1391" s="289" t="b">
        <v>1</v>
      </c>
      <c r="G1391" s="287" t="b">
        <v>1</v>
      </c>
      <c r="H1391" s="287" t="s">
        <v>250</v>
      </c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</row>
    <row r="1392" ht="15.75" customHeight="1">
      <c r="B1392" s="289">
        <v>109529.0</v>
      </c>
      <c r="C1392" s="289" t="s">
        <v>2122</v>
      </c>
      <c r="D1392" s="289" t="s">
        <v>42</v>
      </c>
      <c r="E1392" s="289" t="s">
        <v>369</v>
      </c>
      <c r="F1392" s="289" t="b">
        <v>1</v>
      </c>
      <c r="G1392" s="287" t="b">
        <v>1</v>
      </c>
      <c r="H1392" s="287" t="s">
        <v>250</v>
      </c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</row>
    <row r="1393" ht="15.75" customHeight="1">
      <c r="B1393" s="289">
        <v>111686.0</v>
      </c>
      <c r="C1393" s="289" t="s">
        <v>2125</v>
      </c>
      <c r="D1393" s="289" t="s">
        <v>42</v>
      </c>
      <c r="E1393" s="289" t="s">
        <v>369</v>
      </c>
      <c r="F1393" s="289" t="b">
        <v>1</v>
      </c>
      <c r="G1393" s="287" t="b">
        <v>1</v>
      </c>
      <c r="H1393" s="287" t="s">
        <v>250</v>
      </c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</row>
    <row r="1394" ht="15.75" customHeight="1">
      <c r="B1394" s="289">
        <v>102468.0</v>
      </c>
      <c r="C1394" s="289" t="s">
        <v>2129</v>
      </c>
      <c r="D1394" s="289" t="s">
        <v>42</v>
      </c>
      <c r="E1394" s="289" t="s">
        <v>249</v>
      </c>
      <c r="F1394" s="289" t="b">
        <v>1</v>
      </c>
      <c r="G1394" s="287" t="b">
        <v>1</v>
      </c>
      <c r="H1394" s="287" t="s">
        <v>250</v>
      </c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</row>
    <row r="1395" ht="15.75" customHeight="1">
      <c r="B1395" s="289">
        <v>109227.0</v>
      </c>
      <c r="C1395" s="289" t="s">
        <v>2131</v>
      </c>
      <c r="D1395" s="289" t="s">
        <v>2132</v>
      </c>
      <c r="E1395" s="289" t="s">
        <v>518</v>
      </c>
      <c r="F1395" s="289" t="b">
        <v>1</v>
      </c>
      <c r="G1395" s="287" t="b">
        <v>1</v>
      </c>
      <c r="H1395" s="287" t="s">
        <v>250</v>
      </c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</row>
    <row r="1396" ht="15.75" customHeight="1">
      <c r="B1396" s="289">
        <v>14967.0</v>
      </c>
      <c r="C1396" s="289" t="s">
        <v>2133</v>
      </c>
      <c r="D1396" s="289" t="s">
        <v>2723</v>
      </c>
      <c r="E1396" s="289" t="s">
        <v>369</v>
      </c>
      <c r="F1396" s="289" t="b">
        <v>1</v>
      </c>
      <c r="G1396" s="287" t="b">
        <v>1</v>
      </c>
      <c r="H1396" s="287" t="s">
        <v>250</v>
      </c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</row>
    <row r="1397" ht="15.75" customHeight="1">
      <c r="B1397" s="289">
        <v>109936.0</v>
      </c>
      <c r="C1397" s="289" t="s">
        <v>2135</v>
      </c>
      <c r="D1397" s="289" t="s">
        <v>42</v>
      </c>
      <c r="E1397" s="289" t="s">
        <v>249</v>
      </c>
      <c r="F1397" s="289" t="b">
        <v>1</v>
      </c>
      <c r="G1397" s="287" t="b">
        <v>1</v>
      </c>
      <c r="H1397" s="287" t="s">
        <v>2724</v>
      </c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</row>
    <row r="1398" ht="15.75" customHeight="1">
      <c r="B1398" s="289">
        <v>79607.0</v>
      </c>
      <c r="C1398" s="289" t="s">
        <v>2143</v>
      </c>
      <c r="D1398" s="289" t="s">
        <v>2144</v>
      </c>
      <c r="E1398" s="289" t="s">
        <v>518</v>
      </c>
      <c r="F1398" s="289" t="b">
        <v>1</v>
      </c>
      <c r="G1398" s="287" t="b">
        <v>1</v>
      </c>
      <c r="H1398" s="287" t="s">
        <v>2725</v>
      </c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</row>
    <row r="1399" ht="15.75" customHeight="1">
      <c r="B1399" s="289">
        <v>109927.0</v>
      </c>
      <c r="C1399" s="289" t="s">
        <v>2136</v>
      </c>
      <c r="D1399" s="289" t="s">
        <v>42</v>
      </c>
      <c r="E1399" s="289" t="s">
        <v>249</v>
      </c>
      <c r="F1399" s="289" t="b">
        <v>1</v>
      </c>
      <c r="G1399" s="287" t="b">
        <v>1</v>
      </c>
      <c r="H1399" s="287" t="s">
        <v>250</v>
      </c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</row>
    <row r="1400" ht="15.75" customHeight="1">
      <c r="B1400" s="289">
        <v>79609.0</v>
      </c>
      <c r="C1400" s="289" t="s">
        <v>2139</v>
      </c>
      <c r="D1400" s="289" t="s">
        <v>42</v>
      </c>
      <c r="E1400" s="289" t="s">
        <v>518</v>
      </c>
      <c r="F1400" s="289" t="b">
        <v>1</v>
      </c>
      <c r="G1400" s="287" t="b">
        <v>1</v>
      </c>
      <c r="H1400" s="287" t="s">
        <v>2726</v>
      </c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</row>
    <row r="1401" ht="15.75" customHeight="1">
      <c r="B1401" s="289">
        <v>109611.0</v>
      </c>
      <c r="C1401" s="289" t="s">
        <v>2141</v>
      </c>
      <c r="D1401" s="289" t="s">
        <v>42</v>
      </c>
      <c r="E1401" s="289" t="s">
        <v>249</v>
      </c>
      <c r="F1401" s="289" t="b">
        <v>1</v>
      </c>
      <c r="G1401" s="287" t="b">
        <v>1</v>
      </c>
      <c r="H1401" s="287" t="s">
        <v>2727</v>
      </c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</row>
    <row r="1402" ht="15.75" customHeight="1">
      <c r="B1402" s="289">
        <v>110031.0</v>
      </c>
      <c r="C1402" s="289" t="s">
        <v>2146</v>
      </c>
      <c r="D1402" s="289" t="s">
        <v>42</v>
      </c>
      <c r="E1402" s="289" t="s">
        <v>518</v>
      </c>
      <c r="F1402" s="289" t="b">
        <v>1</v>
      </c>
      <c r="G1402" s="287" t="b">
        <v>1</v>
      </c>
      <c r="H1402" s="287" t="s">
        <v>250</v>
      </c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</row>
    <row r="1403" ht="15.75" customHeight="1">
      <c r="B1403" s="289">
        <v>110025.0</v>
      </c>
      <c r="C1403" s="289" t="s">
        <v>2148</v>
      </c>
      <c r="D1403" s="289" t="s">
        <v>42</v>
      </c>
      <c r="E1403" s="289" t="s">
        <v>518</v>
      </c>
      <c r="F1403" s="289" t="b">
        <v>1</v>
      </c>
      <c r="G1403" s="287" t="b">
        <v>1</v>
      </c>
      <c r="H1403" s="287" t="s">
        <v>250</v>
      </c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</row>
    <row r="1404" ht="15.75" customHeight="1">
      <c r="B1404" s="289">
        <v>110029.0</v>
      </c>
      <c r="C1404" s="289" t="s">
        <v>2154</v>
      </c>
      <c r="D1404" s="289" t="s">
        <v>42</v>
      </c>
      <c r="E1404" s="289" t="s">
        <v>518</v>
      </c>
      <c r="F1404" s="289" t="b">
        <v>1</v>
      </c>
      <c r="G1404" s="287" t="b">
        <v>1</v>
      </c>
      <c r="H1404" s="287" t="s">
        <v>250</v>
      </c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</row>
    <row r="1405" ht="15.75" customHeight="1">
      <c r="B1405" s="289">
        <v>148487.0</v>
      </c>
      <c r="C1405" s="289" t="s">
        <v>2157</v>
      </c>
      <c r="D1405" s="289" t="s">
        <v>42</v>
      </c>
      <c r="E1405" s="289" t="s">
        <v>518</v>
      </c>
      <c r="F1405" s="289" t="b">
        <v>1</v>
      </c>
      <c r="G1405" s="287" t="b">
        <v>1</v>
      </c>
      <c r="H1405" s="287" t="s">
        <v>250</v>
      </c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</row>
    <row r="1406" ht="15.75" customHeight="1">
      <c r="B1406" s="289">
        <v>110018.0</v>
      </c>
      <c r="C1406" s="289" t="s">
        <v>2158</v>
      </c>
      <c r="D1406" s="289" t="s">
        <v>1482</v>
      </c>
      <c r="E1406" s="289" t="s">
        <v>369</v>
      </c>
      <c r="F1406" s="289" t="b">
        <v>1</v>
      </c>
      <c r="G1406" s="287" t="b">
        <v>1</v>
      </c>
      <c r="H1406" s="287" t="s">
        <v>250</v>
      </c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</row>
    <row r="1407" ht="15.75" customHeight="1">
      <c r="B1407" s="289">
        <v>112795.0</v>
      </c>
      <c r="C1407" s="289" t="s">
        <v>2160</v>
      </c>
      <c r="D1407" s="289" t="s">
        <v>972</v>
      </c>
      <c r="E1407" s="289" t="s">
        <v>518</v>
      </c>
      <c r="F1407" s="289" t="b">
        <v>1</v>
      </c>
      <c r="G1407" s="287" t="b">
        <v>1</v>
      </c>
      <c r="H1407" s="287" t="s">
        <v>250</v>
      </c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</row>
    <row r="1408" ht="15.75" customHeight="1">
      <c r="B1408" s="289">
        <v>110037.0</v>
      </c>
      <c r="C1408" s="289" t="s">
        <v>2162</v>
      </c>
      <c r="D1408" s="289" t="s">
        <v>2728</v>
      </c>
      <c r="E1408" s="289" t="s">
        <v>518</v>
      </c>
      <c r="F1408" s="289" t="b">
        <v>1</v>
      </c>
      <c r="G1408" s="287" t="b">
        <v>1</v>
      </c>
      <c r="H1408" s="287" t="s">
        <v>250</v>
      </c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</row>
    <row r="1409" ht="15.75" customHeight="1">
      <c r="B1409" s="289">
        <v>100775.0</v>
      </c>
      <c r="C1409" s="289" t="s">
        <v>2165</v>
      </c>
      <c r="D1409" s="289" t="s">
        <v>42</v>
      </c>
      <c r="E1409" s="289" t="s">
        <v>518</v>
      </c>
      <c r="F1409" s="289" t="b">
        <v>1</v>
      </c>
      <c r="G1409" s="287" t="b">
        <v>1</v>
      </c>
      <c r="H1409" s="287" t="s">
        <v>2729</v>
      </c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</row>
    <row r="1410" ht="15.75" customHeight="1">
      <c r="B1410" s="289">
        <v>110035.0</v>
      </c>
      <c r="C1410" s="289" t="s">
        <v>2167</v>
      </c>
      <c r="D1410" s="289" t="s">
        <v>2092</v>
      </c>
      <c r="E1410" s="289" t="s">
        <v>518</v>
      </c>
      <c r="F1410" s="289" t="b">
        <v>1</v>
      </c>
      <c r="G1410" s="287" t="b">
        <v>1</v>
      </c>
      <c r="H1410" s="287" t="s">
        <v>250</v>
      </c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</row>
    <row r="1411" ht="15.75" customHeight="1">
      <c r="B1411" s="289">
        <v>111228.0</v>
      </c>
      <c r="C1411" s="289" t="s">
        <v>2171</v>
      </c>
      <c r="D1411" s="289" t="s">
        <v>2174</v>
      </c>
      <c r="E1411" s="289" t="s">
        <v>249</v>
      </c>
      <c r="F1411" s="289" t="b">
        <v>1</v>
      </c>
      <c r="G1411" s="287" t="b">
        <v>1</v>
      </c>
      <c r="H1411" s="287" t="s">
        <v>250</v>
      </c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</row>
    <row r="1412" ht="15.75" customHeight="1">
      <c r="B1412" s="289">
        <v>111227.0</v>
      </c>
      <c r="C1412" s="289" t="s">
        <v>2175</v>
      </c>
      <c r="D1412" s="289" t="s">
        <v>2174</v>
      </c>
      <c r="E1412" s="289" t="s">
        <v>249</v>
      </c>
      <c r="F1412" s="289" t="b">
        <v>1</v>
      </c>
      <c r="G1412" s="287" t="b">
        <v>1</v>
      </c>
      <c r="H1412" s="287" t="s">
        <v>250</v>
      </c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</row>
    <row r="1413" ht="15.75" customHeight="1">
      <c r="B1413" s="289">
        <v>111233.0</v>
      </c>
      <c r="C1413" s="289" t="s">
        <v>2177</v>
      </c>
      <c r="D1413" s="289" t="s">
        <v>2174</v>
      </c>
      <c r="E1413" s="289" t="s">
        <v>249</v>
      </c>
      <c r="F1413" s="289" t="b">
        <v>1</v>
      </c>
      <c r="G1413" s="287" t="b">
        <v>1</v>
      </c>
      <c r="H1413" s="287" t="s">
        <v>250</v>
      </c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</row>
    <row r="1414" ht="15.75" customHeight="1">
      <c r="B1414" s="289">
        <v>111230.0</v>
      </c>
      <c r="C1414" s="289" t="s">
        <v>2179</v>
      </c>
      <c r="D1414" s="289" t="s">
        <v>2174</v>
      </c>
      <c r="E1414" s="289" t="s">
        <v>249</v>
      </c>
      <c r="F1414" s="289" t="b">
        <v>1</v>
      </c>
      <c r="G1414" s="287" t="b">
        <v>1</v>
      </c>
      <c r="H1414" s="287" t="s">
        <v>250</v>
      </c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</row>
    <row r="1415" ht="15.75" customHeight="1">
      <c r="B1415" s="289">
        <v>111226.0</v>
      </c>
      <c r="C1415" s="289" t="s">
        <v>2181</v>
      </c>
      <c r="D1415" s="289" t="s">
        <v>2174</v>
      </c>
      <c r="E1415" s="289" t="s">
        <v>249</v>
      </c>
      <c r="F1415" s="289" t="b">
        <v>1</v>
      </c>
      <c r="G1415" s="287" t="b">
        <v>1</v>
      </c>
      <c r="H1415" s="287" t="s">
        <v>250</v>
      </c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</row>
    <row r="1416" ht="15.75" customHeight="1">
      <c r="B1416" s="289">
        <v>111310.0</v>
      </c>
      <c r="C1416" s="289" t="s">
        <v>2183</v>
      </c>
      <c r="D1416" s="289" t="s">
        <v>2174</v>
      </c>
      <c r="E1416" s="289" t="s">
        <v>249</v>
      </c>
      <c r="F1416" s="289" t="b">
        <v>1</v>
      </c>
      <c r="G1416" s="287" t="b">
        <v>1</v>
      </c>
      <c r="H1416" s="287" t="s">
        <v>250</v>
      </c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</row>
    <row r="1417" ht="15.75" customHeight="1">
      <c r="B1417" s="289">
        <v>111232.0</v>
      </c>
      <c r="C1417" s="289" t="s">
        <v>2185</v>
      </c>
      <c r="D1417" s="289" t="s">
        <v>2174</v>
      </c>
      <c r="E1417" s="289" t="s">
        <v>249</v>
      </c>
      <c r="F1417" s="289" t="b">
        <v>1</v>
      </c>
      <c r="G1417" s="287" t="b">
        <v>1</v>
      </c>
      <c r="H1417" s="287" t="s">
        <v>250</v>
      </c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</row>
    <row r="1418" ht="15.75" customHeight="1">
      <c r="B1418" s="289">
        <v>111312.0</v>
      </c>
      <c r="C1418" s="289" t="s">
        <v>2187</v>
      </c>
      <c r="D1418" s="289" t="s">
        <v>2174</v>
      </c>
      <c r="E1418" s="289" t="s">
        <v>249</v>
      </c>
      <c r="F1418" s="289" t="b">
        <v>1</v>
      </c>
      <c r="G1418" s="287" t="b">
        <v>1</v>
      </c>
      <c r="H1418" s="287" t="s">
        <v>250</v>
      </c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</row>
    <row r="1419" ht="15.75" customHeight="1">
      <c r="B1419" s="289">
        <v>111311.0</v>
      </c>
      <c r="C1419" s="289" t="s">
        <v>2189</v>
      </c>
      <c r="D1419" s="289" t="s">
        <v>2174</v>
      </c>
      <c r="E1419" s="289" t="s">
        <v>249</v>
      </c>
      <c r="F1419" s="289" t="b">
        <v>1</v>
      </c>
      <c r="G1419" s="287" t="b">
        <v>1</v>
      </c>
      <c r="H1419" s="287" t="s">
        <v>250</v>
      </c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</row>
    <row r="1420" ht="15.75" customHeight="1">
      <c r="B1420" s="289">
        <v>15030.0</v>
      </c>
      <c r="C1420" s="289" t="s">
        <v>2191</v>
      </c>
      <c r="D1420" s="289" t="s">
        <v>42</v>
      </c>
      <c r="E1420" s="289" t="s">
        <v>249</v>
      </c>
      <c r="F1420" s="289" t="b">
        <v>1</v>
      </c>
      <c r="G1420" s="287" t="b">
        <v>1</v>
      </c>
      <c r="H1420" s="287" t="s">
        <v>250</v>
      </c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</row>
    <row r="1421" ht="15.75" customHeight="1">
      <c r="B1421" s="289">
        <v>111063.0</v>
      </c>
      <c r="C1421" s="289" t="s">
        <v>2193</v>
      </c>
      <c r="D1421" s="289" t="s">
        <v>646</v>
      </c>
      <c r="E1421" s="289" t="s">
        <v>249</v>
      </c>
      <c r="F1421" s="289" t="b">
        <v>1</v>
      </c>
      <c r="G1421" s="287" t="b">
        <v>1</v>
      </c>
      <c r="H1421" s="287" t="s">
        <v>250</v>
      </c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</row>
    <row r="1422" ht="15.75" customHeight="1">
      <c r="B1422" s="289">
        <v>111064.0</v>
      </c>
      <c r="C1422" s="289" t="s">
        <v>2195</v>
      </c>
      <c r="D1422" s="289" t="s">
        <v>646</v>
      </c>
      <c r="E1422" s="289" t="s">
        <v>249</v>
      </c>
      <c r="F1422" s="289" t="b">
        <v>1</v>
      </c>
      <c r="G1422" s="287" t="b">
        <v>1</v>
      </c>
      <c r="H1422" s="287" t="s">
        <v>250</v>
      </c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</row>
    <row r="1423" ht="15.75" customHeight="1">
      <c r="B1423" s="289">
        <v>111060.0</v>
      </c>
      <c r="C1423" s="289" t="s">
        <v>2197</v>
      </c>
      <c r="D1423" s="289" t="s">
        <v>646</v>
      </c>
      <c r="E1423" s="289" t="s">
        <v>249</v>
      </c>
      <c r="F1423" s="289" t="b">
        <v>1</v>
      </c>
      <c r="G1423" s="287" t="b">
        <v>1</v>
      </c>
      <c r="H1423" s="287" t="s">
        <v>250</v>
      </c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</row>
    <row r="1424" ht="15.75" customHeight="1">
      <c r="B1424" s="289">
        <v>111061.0</v>
      </c>
      <c r="C1424" s="289" t="s">
        <v>2198</v>
      </c>
      <c r="D1424" s="289" t="s">
        <v>646</v>
      </c>
      <c r="E1424" s="289" t="s">
        <v>249</v>
      </c>
      <c r="F1424" s="289" t="b">
        <v>1</v>
      </c>
      <c r="G1424" s="287" t="b">
        <v>1</v>
      </c>
      <c r="H1424" s="287" t="s">
        <v>250</v>
      </c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</row>
    <row r="1425" ht="15.75" customHeight="1">
      <c r="B1425" s="289">
        <v>111062.0</v>
      </c>
      <c r="C1425" s="289" t="s">
        <v>2200</v>
      </c>
      <c r="D1425" s="289" t="s">
        <v>646</v>
      </c>
      <c r="E1425" s="289" t="s">
        <v>249</v>
      </c>
      <c r="F1425" s="289" t="b">
        <v>1</v>
      </c>
      <c r="G1425" s="287" t="b">
        <v>1</v>
      </c>
      <c r="H1425" s="287" t="s">
        <v>250</v>
      </c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</row>
    <row r="1426" ht="15.75" customHeight="1">
      <c r="B1426" s="289">
        <v>111675.0</v>
      </c>
      <c r="C1426" s="289" t="s">
        <v>2202</v>
      </c>
      <c r="D1426" s="289" t="s">
        <v>42</v>
      </c>
      <c r="E1426" s="289" t="s">
        <v>249</v>
      </c>
      <c r="F1426" s="289" t="b">
        <v>1</v>
      </c>
      <c r="G1426" s="287" t="b">
        <v>1</v>
      </c>
      <c r="H1426" s="287" t="s">
        <v>250</v>
      </c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</row>
    <row r="1427" ht="15.75" customHeight="1">
      <c r="B1427" s="289">
        <v>111676.0</v>
      </c>
      <c r="C1427" s="289" t="s">
        <v>2205</v>
      </c>
      <c r="D1427" s="289" t="s">
        <v>42</v>
      </c>
      <c r="E1427" s="289" t="s">
        <v>249</v>
      </c>
      <c r="F1427" s="289" t="b">
        <v>1</v>
      </c>
      <c r="G1427" s="287" t="b">
        <v>1</v>
      </c>
      <c r="H1427" s="287" t="s">
        <v>250</v>
      </c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</row>
    <row r="1428" ht="15.75" customHeight="1">
      <c r="B1428" s="289">
        <v>15029.0</v>
      </c>
      <c r="C1428" s="289" t="s">
        <v>2206</v>
      </c>
      <c r="D1428" s="289" t="s">
        <v>42</v>
      </c>
      <c r="E1428" s="289" t="s">
        <v>249</v>
      </c>
      <c r="F1428" s="289" t="b">
        <v>1</v>
      </c>
      <c r="G1428" s="287" t="b">
        <v>1</v>
      </c>
      <c r="H1428" s="287" t="s">
        <v>250</v>
      </c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</row>
    <row r="1429" ht="15.75" customHeight="1">
      <c r="B1429" s="289">
        <v>100466.0</v>
      </c>
      <c r="C1429" s="289" t="s">
        <v>2210</v>
      </c>
      <c r="D1429" s="289" t="s">
        <v>2730</v>
      </c>
      <c r="E1429" s="289" t="s">
        <v>249</v>
      </c>
      <c r="F1429" s="289" t="b">
        <v>1</v>
      </c>
      <c r="G1429" s="287" t="b">
        <v>1</v>
      </c>
      <c r="H1429" s="287" t="s">
        <v>250</v>
      </c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</row>
    <row r="1430" ht="15.75" customHeight="1">
      <c r="B1430" s="289">
        <v>15239.0</v>
      </c>
      <c r="C1430" s="289" t="s">
        <v>2212</v>
      </c>
      <c r="D1430" s="289" t="s">
        <v>42</v>
      </c>
      <c r="E1430" s="289" t="s">
        <v>249</v>
      </c>
      <c r="F1430" s="289" t="b">
        <v>1</v>
      </c>
      <c r="G1430" s="287" t="b">
        <v>0</v>
      </c>
      <c r="H1430" s="287" t="s">
        <v>2214</v>
      </c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</row>
    <row r="1431" ht="15.75" customHeight="1">
      <c r="B1431" s="289">
        <v>149548.0</v>
      </c>
      <c r="C1431" s="289" t="s">
        <v>2215</v>
      </c>
      <c r="D1431" s="289" t="s">
        <v>42</v>
      </c>
      <c r="E1431" s="289" t="s">
        <v>249</v>
      </c>
      <c r="F1431" s="289" t="b">
        <v>1</v>
      </c>
      <c r="G1431" s="287" t="b">
        <v>1</v>
      </c>
      <c r="H1431" s="287" t="s">
        <v>2731</v>
      </c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</row>
    <row r="1432" ht="15.75" customHeight="1">
      <c r="B1432" s="289">
        <v>18640.0</v>
      </c>
      <c r="C1432" s="289" t="s">
        <v>2218</v>
      </c>
      <c r="D1432" s="289" t="s">
        <v>972</v>
      </c>
      <c r="E1432" s="289" t="s">
        <v>249</v>
      </c>
      <c r="F1432" s="289" t="b">
        <v>1</v>
      </c>
      <c r="G1432" s="287" t="b">
        <v>1</v>
      </c>
      <c r="H1432" s="287" t="s">
        <v>250</v>
      </c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</row>
    <row r="1433" ht="15.75" customHeight="1">
      <c r="B1433" s="289">
        <v>18641.0</v>
      </c>
      <c r="C1433" s="289" t="s">
        <v>2220</v>
      </c>
      <c r="D1433" s="289" t="s">
        <v>972</v>
      </c>
      <c r="E1433" s="289" t="s">
        <v>249</v>
      </c>
      <c r="F1433" s="289" t="b">
        <v>1</v>
      </c>
      <c r="G1433" s="287" t="b">
        <v>1</v>
      </c>
      <c r="H1433" s="287" t="s">
        <v>250</v>
      </c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</row>
    <row r="1434" ht="15.75" customHeight="1">
      <c r="B1434" s="289">
        <v>15910.0</v>
      </c>
      <c r="C1434" s="289" t="s">
        <v>2221</v>
      </c>
      <c r="D1434" s="289" t="s">
        <v>972</v>
      </c>
      <c r="E1434" s="289" t="s">
        <v>249</v>
      </c>
      <c r="F1434" s="289" t="b">
        <v>1</v>
      </c>
      <c r="G1434" s="287" t="b">
        <v>1</v>
      </c>
      <c r="H1434" s="287" t="s">
        <v>2222</v>
      </c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</row>
    <row r="1435" ht="15.75" customHeight="1">
      <c r="B1435" s="289">
        <v>109712.0</v>
      </c>
      <c r="C1435" s="289" t="s">
        <v>2223</v>
      </c>
      <c r="D1435" s="289" t="s">
        <v>2226</v>
      </c>
      <c r="E1435" s="289" t="s">
        <v>249</v>
      </c>
      <c r="F1435" s="289" t="b">
        <v>1</v>
      </c>
      <c r="G1435" s="287" t="b">
        <v>1</v>
      </c>
      <c r="H1435" s="287" t="s">
        <v>250</v>
      </c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</row>
    <row r="1436" ht="15.75" customHeight="1">
      <c r="B1436" s="289">
        <v>20916.0</v>
      </c>
      <c r="C1436" s="289" t="s">
        <v>2234</v>
      </c>
      <c r="D1436" s="289" t="s">
        <v>2732</v>
      </c>
      <c r="E1436" s="289" t="s">
        <v>249</v>
      </c>
      <c r="F1436" s="289" t="b">
        <v>1</v>
      </c>
      <c r="G1436" s="287" t="b">
        <v>0</v>
      </c>
      <c r="H1436" s="287" t="s">
        <v>250</v>
      </c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</row>
    <row r="1437" ht="15.75" customHeight="1">
      <c r="B1437" s="289">
        <v>15912.0</v>
      </c>
      <c r="C1437" s="289" t="s">
        <v>2227</v>
      </c>
      <c r="D1437" s="289" t="s">
        <v>289</v>
      </c>
      <c r="E1437" s="289" t="s">
        <v>249</v>
      </c>
      <c r="F1437" s="289" t="b">
        <v>1</v>
      </c>
      <c r="G1437" s="287" t="b">
        <v>1</v>
      </c>
      <c r="H1437" s="287" t="s">
        <v>250</v>
      </c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</row>
    <row r="1438" ht="15.75" customHeight="1">
      <c r="B1438" s="289">
        <v>15913.0</v>
      </c>
      <c r="C1438" s="289" t="s">
        <v>2229</v>
      </c>
      <c r="D1438" s="289" t="s">
        <v>289</v>
      </c>
      <c r="E1438" s="289" t="s">
        <v>249</v>
      </c>
      <c r="F1438" s="289" t="b">
        <v>1</v>
      </c>
      <c r="G1438" s="287" t="b">
        <v>1</v>
      </c>
      <c r="H1438" s="287" t="s">
        <v>250</v>
      </c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</row>
    <row r="1439" ht="15.75" customHeight="1">
      <c r="B1439" s="289">
        <v>15911.0</v>
      </c>
      <c r="C1439" s="289" t="s">
        <v>2231</v>
      </c>
      <c r="D1439" s="289" t="s">
        <v>2733</v>
      </c>
      <c r="E1439" s="289" t="s">
        <v>249</v>
      </c>
      <c r="F1439" s="289" t="b">
        <v>1</v>
      </c>
      <c r="G1439" s="287" t="b">
        <v>1</v>
      </c>
      <c r="H1439" s="287" t="s">
        <v>250</v>
      </c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</row>
    <row r="1440" ht="15.75" customHeight="1">
      <c r="B1440" s="289">
        <v>111690.0</v>
      </c>
      <c r="C1440" s="289" t="s">
        <v>2236</v>
      </c>
      <c r="D1440" s="289" t="s">
        <v>289</v>
      </c>
      <c r="E1440" s="289" t="s">
        <v>249</v>
      </c>
      <c r="F1440" s="289" t="b">
        <v>1</v>
      </c>
      <c r="G1440" s="287" t="b">
        <v>1</v>
      </c>
      <c r="H1440" s="287" t="s">
        <v>250</v>
      </c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</row>
    <row r="1441" ht="15.75" customHeight="1">
      <c r="B1441" s="289">
        <v>15194.0</v>
      </c>
      <c r="C1441" s="289" t="s">
        <v>2239</v>
      </c>
      <c r="D1441" s="289" t="s">
        <v>289</v>
      </c>
      <c r="E1441" s="289" t="s">
        <v>249</v>
      </c>
      <c r="F1441" s="289" t="b">
        <v>1</v>
      </c>
      <c r="G1441" s="287" t="b">
        <v>1</v>
      </c>
      <c r="H1441" s="287" t="s">
        <v>2240</v>
      </c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</row>
    <row r="1442" ht="15.75" customHeight="1">
      <c r="B1442" s="289">
        <v>15333.0</v>
      </c>
      <c r="C1442" s="289" t="s">
        <v>2243</v>
      </c>
      <c r="D1442" s="289" t="s">
        <v>42</v>
      </c>
      <c r="E1442" s="289" t="s">
        <v>369</v>
      </c>
      <c r="F1442" s="289" t="b">
        <v>1</v>
      </c>
      <c r="G1442" s="287" t="b">
        <v>1</v>
      </c>
      <c r="H1442" s="287" t="s">
        <v>250</v>
      </c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</row>
    <row r="1443" ht="15.75" customHeight="1">
      <c r="B1443" s="289">
        <v>15335.0</v>
      </c>
      <c r="C1443" s="289" t="s">
        <v>2244</v>
      </c>
      <c r="D1443" s="289" t="s">
        <v>42</v>
      </c>
      <c r="E1443" s="289" t="s">
        <v>369</v>
      </c>
      <c r="F1443" s="289" t="b">
        <v>1</v>
      </c>
      <c r="G1443" s="287" t="b">
        <v>1</v>
      </c>
      <c r="H1443" s="287" t="s">
        <v>250</v>
      </c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</row>
    <row r="1444" ht="15.75" customHeight="1">
      <c r="B1444" s="289">
        <v>15381.0</v>
      </c>
      <c r="C1444" s="289" t="s">
        <v>2245</v>
      </c>
      <c r="D1444" s="289" t="s">
        <v>42</v>
      </c>
      <c r="E1444" s="289" t="s">
        <v>369</v>
      </c>
      <c r="F1444" s="289" t="b">
        <v>1</v>
      </c>
      <c r="G1444" s="287" t="b">
        <v>1</v>
      </c>
      <c r="H1444" s="287" t="s">
        <v>250</v>
      </c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</row>
    <row r="1445" ht="15.75" customHeight="1">
      <c r="B1445" s="289">
        <v>15308.0</v>
      </c>
      <c r="C1445" s="289" t="s">
        <v>2246</v>
      </c>
      <c r="D1445" s="289" t="s">
        <v>42</v>
      </c>
      <c r="E1445" s="289" t="s">
        <v>369</v>
      </c>
      <c r="F1445" s="289" t="b">
        <v>1</v>
      </c>
      <c r="G1445" s="287" t="b">
        <v>1</v>
      </c>
      <c r="H1445" s="287" t="s">
        <v>250</v>
      </c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</row>
    <row r="1446" ht="15.75" customHeight="1">
      <c r="B1446" s="289">
        <v>15318.0</v>
      </c>
      <c r="C1446" s="289" t="s">
        <v>2247</v>
      </c>
      <c r="D1446" s="289" t="s">
        <v>42</v>
      </c>
      <c r="E1446" s="289" t="s">
        <v>369</v>
      </c>
      <c r="F1446" s="289" t="b">
        <v>1</v>
      </c>
      <c r="G1446" s="287" t="b">
        <v>1</v>
      </c>
      <c r="H1446" s="287" t="s">
        <v>250</v>
      </c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</row>
    <row r="1447" ht="15.75" customHeight="1">
      <c r="B1447" s="289">
        <v>15319.0</v>
      </c>
      <c r="C1447" s="289" t="s">
        <v>2248</v>
      </c>
      <c r="D1447" s="289" t="s">
        <v>42</v>
      </c>
      <c r="E1447" s="289" t="s">
        <v>369</v>
      </c>
      <c r="F1447" s="289" t="b">
        <v>1</v>
      </c>
      <c r="G1447" s="287" t="b">
        <v>1</v>
      </c>
      <c r="H1447" s="287" t="s">
        <v>250</v>
      </c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</row>
    <row r="1448" ht="15.75" customHeight="1">
      <c r="B1448" s="289">
        <v>15334.0</v>
      </c>
      <c r="C1448" s="289" t="s">
        <v>2249</v>
      </c>
      <c r="D1448" s="289" t="s">
        <v>42</v>
      </c>
      <c r="E1448" s="289" t="s">
        <v>369</v>
      </c>
      <c r="F1448" s="289" t="b">
        <v>1</v>
      </c>
      <c r="G1448" s="287" t="b">
        <v>1</v>
      </c>
      <c r="H1448" s="287" t="s">
        <v>250</v>
      </c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</row>
    <row r="1449" ht="15.75" customHeight="1">
      <c r="B1449" s="289">
        <v>15323.0</v>
      </c>
      <c r="C1449" s="289" t="s">
        <v>2250</v>
      </c>
      <c r="D1449" s="289" t="s">
        <v>42</v>
      </c>
      <c r="E1449" s="289" t="s">
        <v>369</v>
      </c>
      <c r="F1449" s="289" t="b">
        <v>1</v>
      </c>
      <c r="G1449" s="287" t="b">
        <v>1</v>
      </c>
      <c r="H1449" s="287" t="s">
        <v>250</v>
      </c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</row>
    <row r="1450" ht="15.75" customHeight="1">
      <c r="B1450" s="289">
        <v>15420.0</v>
      </c>
      <c r="C1450" s="289" t="s">
        <v>2252</v>
      </c>
      <c r="D1450" s="289" t="s">
        <v>42</v>
      </c>
      <c r="E1450" s="289" t="s">
        <v>369</v>
      </c>
      <c r="F1450" s="289" t="b">
        <v>1</v>
      </c>
      <c r="G1450" s="287" t="b">
        <v>1</v>
      </c>
      <c r="H1450" s="287" t="s">
        <v>250</v>
      </c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</row>
    <row r="1451" ht="15.75" customHeight="1">
      <c r="B1451" s="289">
        <v>110061.0</v>
      </c>
      <c r="C1451" s="289" t="s">
        <v>2254</v>
      </c>
      <c r="D1451" s="289" t="s">
        <v>42</v>
      </c>
      <c r="E1451" s="289" t="s">
        <v>369</v>
      </c>
      <c r="F1451" s="289" t="b">
        <v>1</v>
      </c>
      <c r="G1451" s="287" t="b">
        <v>1</v>
      </c>
      <c r="H1451" s="287" t="s">
        <v>250</v>
      </c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</row>
    <row r="1452" ht="15.75" customHeight="1">
      <c r="B1452" s="289">
        <v>15370.0</v>
      </c>
      <c r="C1452" s="289" t="s">
        <v>2255</v>
      </c>
      <c r="D1452" s="289" t="s">
        <v>42</v>
      </c>
      <c r="E1452" s="289" t="s">
        <v>369</v>
      </c>
      <c r="F1452" s="289" t="b">
        <v>1</v>
      </c>
      <c r="G1452" s="287" t="b">
        <v>1</v>
      </c>
      <c r="H1452" s="287" t="s">
        <v>250</v>
      </c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</row>
    <row r="1453" ht="15.75" customHeight="1">
      <c r="B1453" s="289">
        <v>23757.0</v>
      </c>
      <c r="C1453" s="289" t="s">
        <v>2256</v>
      </c>
      <c r="D1453" s="289" t="s">
        <v>42</v>
      </c>
      <c r="E1453" s="289" t="s">
        <v>369</v>
      </c>
      <c r="F1453" s="289" t="b">
        <v>1</v>
      </c>
      <c r="G1453" s="287" t="b">
        <v>1</v>
      </c>
      <c r="H1453" s="287" t="s">
        <v>2257</v>
      </c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</row>
    <row r="1454" ht="15.75" customHeight="1">
      <c r="B1454" s="289">
        <v>15375.0</v>
      </c>
      <c r="C1454" s="289" t="s">
        <v>2258</v>
      </c>
      <c r="D1454" s="289" t="s">
        <v>42</v>
      </c>
      <c r="E1454" s="289" t="s">
        <v>369</v>
      </c>
      <c r="F1454" s="289" t="b">
        <v>1</v>
      </c>
      <c r="G1454" s="287" t="b">
        <v>1</v>
      </c>
      <c r="H1454" s="287" t="s">
        <v>250</v>
      </c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</row>
    <row r="1455" ht="15.75" customHeight="1">
      <c r="B1455" s="289">
        <v>15378.0</v>
      </c>
      <c r="C1455" s="289" t="s">
        <v>2259</v>
      </c>
      <c r="D1455" s="289" t="s">
        <v>42</v>
      </c>
      <c r="E1455" s="289" t="s">
        <v>369</v>
      </c>
      <c r="F1455" s="289" t="b">
        <v>1</v>
      </c>
      <c r="G1455" s="287" t="b">
        <v>1</v>
      </c>
      <c r="H1455" s="287" t="s">
        <v>250</v>
      </c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</row>
    <row r="1456" ht="15.75" customHeight="1">
      <c r="B1456" s="289">
        <v>43516.0</v>
      </c>
      <c r="C1456" s="289" t="s">
        <v>2260</v>
      </c>
      <c r="D1456" s="289" t="s">
        <v>42</v>
      </c>
      <c r="E1456" s="289" t="s">
        <v>369</v>
      </c>
      <c r="F1456" s="289" t="b">
        <v>1</v>
      </c>
      <c r="G1456" s="287" t="b">
        <v>1</v>
      </c>
      <c r="H1456" s="287" t="s">
        <v>250</v>
      </c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</row>
    <row r="1457" ht="15.75" customHeight="1">
      <c r="B1457" s="289">
        <v>43517.0</v>
      </c>
      <c r="C1457" s="289" t="s">
        <v>2261</v>
      </c>
      <c r="D1457" s="289" t="s">
        <v>42</v>
      </c>
      <c r="E1457" s="289" t="s">
        <v>369</v>
      </c>
      <c r="F1457" s="289" t="b">
        <v>1</v>
      </c>
      <c r="G1457" s="287" t="b">
        <v>1</v>
      </c>
      <c r="H1457" s="287" t="s">
        <v>250</v>
      </c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</row>
    <row r="1458" ht="15.75" customHeight="1">
      <c r="B1458" s="289">
        <v>15390.0</v>
      </c>
      <c r="C1458" s="289" t="s">
        <v>2262</v>
      </c>
      <c r="D1458" s="289" t="s">
        <v>42</v>
      </c>
      <c r="E1458" s="289" t="s">
        <v>369</v>
      </c>
      <c r="F1458" s="289" t="b">
        <v>1</v>
      </c>
      <c r="G1458" s="287" t="b">
        <v>1</v>
      </c>
      <c r="H1458" s="287" t="s">
        <v>250</v>
      </c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</row>
    <row r="1459" ht="15.75" customHeight="1">
      <c r="B1459" s="289">
        <v>15389.0</v>
      </c>
      <c r="C1459" s="289" t="s">
        <v>2263</v>
      </c>
      <c r="D1459" s="289" t="s">
        <v>42</v>
      </c>
      <c r="E1459" s="289" t="s">
        <v>369</v>
      </c>
      <c r="F1459" s="289" t="b">
        <v>1</v>
      </c>
      <c r="G1459" s="287" t="b">
        <v>1</v>
      </c>
      <c r="H1459" s="287" t="s">
        <v>250</v>
      </c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</row>
    <row r="1460" ht="15.75" customHeight="1">
      <c r="B1460" s="289">
        <v>15387.0</v>
      </c>
      <c r="C1460" s="289" t="s">
        <v>2264</v>
      </c>
      <c r="D1460" s="289" t="s">
        <v>42</v>
      </c>
      <c r="E1460" s="289" t="s">
        <v>369</v>
      </c>
      <c r="F1460" s="289" t="b">
        <v>1</v>
      </c>
      <c r="G1460" s="287" t="b">
        <v>1</v>
      </c>
      <c r="H1460" s="287" t="s">
        <v>250</v>
      </c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</row>
    <row r="1461" ht="15.75" customHeight="1">
      <c r="B1461" s="289">
        <v>15395.0</v>
      </c>
      <c r="C1461" s="289" t="s">
        <v>2265</v>
      </c>
      <c r="D1461" s="289" t="s">
        <v>42</v>
      </c>
      <c r="E1461" s="289" t="s">
        <v>369</v>
      </c>
      <c r="F1461" s="289" t="b">
        <v>1</v>
      </c>
      <c r="G1461" s="287" t="b">
        <v>1</v>
      </c>
      <c r="H1461" s="287" t="s">
        <v>250</v>
      </c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</row>
    <row r="1462" ht="15.75" customHeight="1">
      <c r="B1462" s="289">
        <v>15397.0</v>
      </c>
      <c r="C1462" s="289" t="s">
        <v>2266</v>
      </c>
      <c r="D1462" s="289" t="s">
        <v>42</v>
      </c>
      <c r="E1462" s="289" t="s">
        <v>369</v>
      </c>
      <c r="F1462" s="289" t="b">
        <v>1</v>
      </c>
      <c r="G1462" s="287" t="b">
        <v>1</v>
      </c>
      <c r="H1462" s="287" t="s">
        <v>250</v>
      </c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</row>
    <row r="1463" ht="15.75" customHeight="1">
      <c r="B1463" s="289">
        <v>108947.0</v>
      </c>
      <c r="C1463" s="289" t="s">
        <v>2267</v>
      </c>
      <c r="D1463" s="289" t="s">
        <v>42</v>
      </c>
      <c r="E1463" s="289" t="s">
        <v>369</v>
      </c>
      <c r="F1463" s="289" t="b">
        <v>1</v>
      </c>
      <c r="G1463" s="287" t="b">
        <v>1</v>
      </c>
      <c r="H1463" s="287" t="s">
        <v>250</v>
      </c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</row>
    <row r="1464" ht="15.75" customHeight="1">
      <c r="B1464" s="289">
        <v>15399.0</v>
      </c>
      <c r="C1464" s="289" t="s">
        <v>2268</v>
      </c>
      <c r="D1464" s="289" t="s">
        <v>42</v>
      </c>
      <c r="E1464" s="289" t="s">
        <v>369</v>
      </c>
      <c r="F1464" s="289" t="b">
        <v>1</v>
      </c>
      <c r="G1464" s="287" t="b">
        <v>1</v>
      </c>
      <c r="H1464" s="287" t="s">
        <v>250</v>
      </c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</row>
    <row r="1465" ht="15.75" customHeight="1">
      <c r="B1465" s="289">
        <v>31631.0</v>
      </c>
      <c r="C1465" s="289" t="s">
        <v>2269</v>
      </c>
      <c r="D1465" s="289" t="s">
        <v>42</v>
      </c>
      <c r="E1465" s="289" t="s">
        <v>369</v>
      </c>
      <c r="F1465" s="289" t="b">
        <v>1</v>
      </c>
      <c r="G1465" s="287" t="b">
        <v>1</v>
      </c>
      <c r="H1465" s="287" t="s">
        <v>250</v>
      </c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</row>
    <row r="1466" ht="15.75" customHeight="1">
      <c r="B1466" s="289">
        <v>15400.0</v>
      </c>
      <c r="C1466" s="289" t="s">
        <v>2270</v>
      </c>
      <c r="D1466" s="289" t="s">
        <v>42</v>
      </c>
      <c r="E1466" s="289" t="s">
        <v>369</v>
      </c>
      <c r="F1466" s="289" t="b">
        <v>1</v>
      </c>
      <c r="G1466" s="287" t="b">
        <v>1</v>
      </c>
      <c r="H1466" s="287" t="s">
        <v>250</v>
      </c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</row>
    <row r="1467" ht="15.75" customHeight="1">
      <c r="B1467" s="289">
        <v>15402.0</v>
      </c>
      <c r="C1467" s="289" t="s">
        <v>2271</v>
      </c>
      <c r="D1467" s="289" t="s">
        <v>42</v>
      </c>
      <c r="E1467" s="289" t="s">
        <v>369</v>
      </c>
      <c r="F1467" s="289" t="b">
        <v>1</v>
      </c>
      <c r="G1467" s="287" t="b">
        <v>1</v>
      </c>
      <c r="H1467" s="287" t="s">
        <v>2272</v>
      </c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</row>
    <row r="1468" ht="15.75" customHeight="1">
      <c r="B1468" s="289">
        <v>15404.0</v>
      </c>
      <c r="C1468" s="289" t="s">
        <v>2273</v>
      </c>
      <c r="D1468" s="289" t="s">
        <v>42</v>
      </c>
      <c r="E1468" s="289" t="s">
        <v>369</v>
      </c>
      <c r="F1468" s="289" t="b">
        <v>1</v>
      </c>
      <c r="G1468" s="287" t="b">
        <v>1</v>
      </c>
      <c r="H1468" s="287" t="s">
        <v>250</v>
      </c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</row>
    <row r="1469" ht="15.75" customHeight="1">
      <c r="B1469" s="289">
        <v>15408.0</v>
      </c>
      <c r="C1469" s="289" t="s">
        <v>2274</v>
      </c>
      <c r="D1469" s="289" t="s">
        <v>42</v>
      </c>
      <c r="E1469" s="289" t="s">
        <v>369</v>
      </c>
      <c r="F1469" s="289" t="b">
        <v>1</v>
      </c>
      <c r="G1469" s="287" t="b">
        <v>1</v>
      </c>
      <c r="H1469" s="287" t="s">
        <v>250</v>
      </c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</row>
    <row r="1470" ht="15.75" customHeight="1">
      <c r="B1470" s="289">
        <v>15305.0</v>
      </c>
      <c r="C1470" s="289" t="s">
        <v>2276</v>
      </c>
      <c r="D1470" s="289" t="s">
        <v>42</v>
      </c>
      <c r="E1470" s="289" t="s">
        <v>369</v>
      </c>
      <c r="F1470" s="289" t="b">
        <v>1</v>
      </c>
      <c r="G1470" s="287" t="b">
        <v>1</v>
      </c>
      <c r="H1470" s="287" t="s">
        <v>250</v>
      </c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</row>
    <row r="1471" ht="15.75" customHeight="1">
      <c r="B1471" s="289">
        <v>15412.0</v>
      </c>
      <c r="C1471" s="289" t="s">
        <v>2278</v>
      </c>
      <c r="D1471" s="289" t="s">
        <v>42</v>
      </c>
      <c r="E1471" s="289" t="s">
        <v>369</v>
      </c>
      <c r="F1471" s="289" t="b">
        <v>1</v>
      </c>
      <c r="G1471" s="287" t="b">
        <v>1</v>
      </c>
      <c r="H1471" s="287" t="s">
        <v>250</v>
      </c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</row>
    <row r="1472" ht="15.75" customHeight="1">
      <c r="B1472" s="289">
        <v>110900.0</v>
      </c>
      <c r="C1472" s="289" t="s">
        <v>2279</v>
      </c>
      <c r="D1472" s="289" t="s">
        <v>42</v>
      </c>
      <c r="E1472" s="289" t="s">
        <v>369</v>
      </c>
      <c r="F1472" s="289" t="b">
        <v>1</v>
      </c>
      <c r="G1472" s="287" t="b">
        <v>1</v>
      </c>
      <c r="H1472" s="287" t="s">
        <v>250</v>
      </c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</row>
    <row r="1473" ht="15.75" customHeight="1">
      <c r="B1473" s="289">
        <v>108577.0</v>
      </c>
      <c r="C1473" s="289" t="s">
        <v>2280</v>
      </c>
      <c r="D1473" s="289" t="s">
        <v>42</v>
      </c>
      <c r="E1473" s="289" t="s">
        <v>369</v>
      </c>
      <c r="F1473" s="289" t="b">
        <v>1</v>
      </c>
      <c r="G1473" s="287" t="b">
        <v>1</v>
      </c>
      <c r="H1473" s="287" t="s">
        <v>250</v>
      </c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</row>
    <row r="1474" ht="15.75" customHeight="1">
      <c r="B1474" s="289">
        <v>15506.0</v>
      </c>
      <c r="C1474" s="289" t="s">
        <v>2281</v>
      </c>
      <c r="D1474" s="289" t="s">
        <v>389</v>
      </c>
      <c r="E1474" s="289" t="s">
        <v>369</v>
      </c>
      <c r="F1474" s="289" t="b">
        <v>1</v>
      </c>
      <c r="G1474" s="287" t="b">
        <v>1</v>
      </c>
      <c r="H1474" s="287" t="s">
        <v>1251</v>
      </c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</row>
    <row r="1475" ht="15.75" customHeight="1">
      <c r="B1475" s="289">
        <v>15316.0</v>
      </c>
      <c r="C1475" s="289" t="s">
        <v>2282</v>
      </c>
      <c r="D1475" s="289" t="s">
        <v>42</v>
      </c>
      <c r="E1475" s="289" t="s">
        <v>369</v>
      </c>
      <c r="F1475" s="289" t="b">
        <v>1</v>
      </c>
      <c r="G1475" s="287" t="b">
        <v>1</v>
      </c>
      <c r="H1475" s="287" t="s">
        <v>250</v>
      </c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</row>
    <row r="1476" ht="15.75" customHeight="1">
      <c r="B1476" s="289">
        <v>32705.0</v>
      </c>
      <c r="C1476" s="289" t="s">
        <v>2283</v>
      </c>
      <c r="D1476" s="289" t="s">
        <v>42</v>
      </c>
      <c r="E1476" s="289" t="s">
        <v>369</v>
      </c>
      <c r="F1476" s="289" t="b">
        <v>1</v>
      </c>
      <c r="G1476" s="287" t="b">
        <v>1</v>
      </c>
      <c r="H1476" s="287" t="s">
        <v>250</v>
      </c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</row>
    <row r="1477" ht="15.75" customHeight="1">
      <c r="B1477" s="289">
        <v>15325.0</v>
      </c>
      <c r="C1477" s="289" t="s">
        <v>2284</v>
      </c>
      <c r="D1477" s="289" t="s">
        <v>42</v>
      </c>
      <c r="E1477" s="289" t="s">
        <v>369</v>
      </c>
      <c r="F1477" s="289" t="b">
        <v>1</v>
      </c>
      <c r="G1477" s="287" t="b">
        <v>1</v>
      </c>
      <c r="H1477" s="287" t="s">
        <v>2734</v>
      </c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</row>
    <row r="1478" ht="15.75" customHeight="1">
      <c r="B1478" s="289">
        <v>15425.0</v>
      </c>
      <c r="C1478" s="289" t="s">
        <v>2285</v>
      </c>
      <c r="D1478" s="289" t="s">
        <v>42</v>
      </c>
      <c r="E1478" s="289" t="s">
        <v>369</v>
      </c>
      <c r="F1478" s="289" t="b">
        <v>1</v>
      </c>
      <c r="G1478" s="287" t="b">
        <v>1</v>
      </c>
      <c r="H1478" s="287" t="s">
        <v>250</v>
      </c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</row>
    <row r="1479" ht="15.75" customHeight="1">
      <c r="B1479" s="289">
        <v>37612.0</v>
      </c>
      <c r="C1479" s="289" t="s">
        <v>2288</v>
      </c>
      <c r="D1479" s="289" t="s">
        <v>42</v>
      </c>
      <c r="E1479" s="289" t="s">
        <v>369</v>
      </c>
      <c r="F1479" s="289" t="b">
        <v>1</v>
      </c>
      <c r="G1479" s="287" t="b">
        <v>1</v>
      </c>
      <c r="H1479" s="287" t="s">
        <v>250</v>
      </c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</row>
    <row r="1480" ht="15.75" customHeight="1">
      <c r="B1480" s="289">
        <v>53697.0</v>
      </c>
      <c r="C1480" s="289" t="s">
        <v>2290</v>
      </c>
      <c r="D1480" s="289" t="s">
        <v>42</v>
      </c>
      <c r="E1480" s="289" t="s">
        <v>369</v>
      </c>
      <c r="F1480" s="289" t="b">
        <v>1</v>
      </c>
      <c r="G1480" s="287" t="b">
        <v>1</v>
      </c>
      <c r="H1480" s="287" t="s">
        <v>250</v>
      </c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</row>
    <row r="1481" ht="15.75" customHeight="1">
      <c r="B1481" s="289">
        <v>20895.0</v>
      </c>
      <c r="C1481" s="289" t="s">
        <v>2291</v>
      </c>
      <c r="D1481" s="289" t="s">
        <v>42</v>
      </c>
      <c r="E1481" s="289" t="s">
        <v>369</v>
      </c>
      <c r="F1481" s="289" t="b">
        <v>1</v>
      </c>
      <c r="G1481" s="287" t="b">
        <v>1</v>
      </c>
      <c r="H1481" s="287" t="s">
        <v>250</v>
      </c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</row>
    <row r="1482" ht="15.75" customHeight="1">
      <c r="B1482" s="289">
        <v>11843.0</v>
      </c>
      <c r="C1482" s="289" t="s">
        <v>2292</v>
      </c>
      <c r="D1482" s="289" t="s">
        <v>42</v>
      </c>
      <c r="E1482" s="289" t="s">
        <v>369</v>
      </c>
      <c r="F1482" s="289" t="b">
        <v>1</v>
      </c>
      <c r="G1482" s="287" t="b">
        <v>1</v>
      </c>
      <c r="H1482" s="287" t="s">
        <v>250</v>
      </c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</row>
    <row r="1483" ht="15.75" customHeight="1">
      <c r="B1483" s="289">
        <v>15572.0</v>
      </c>
      <c r="C1483" s="289" t="s">
        <v>2293</v>
      </c>
      <c r="D1483" s="289" t="s">
        <v>42</v>
      </c>
      <c r="E1483" s="289" t="s">
        <v>369</v>
      </c>
      <c r="F1483" s="289" t="b">
        <v>1</v>
      </c>
      <c r="G1483" s="287" t="b">
        <v>1</v>
      </c>
      <c r="H1483" s="287" t="s">
        <v>250</v>
      </c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</row>
    <row r="1484" ht="15.75" customHeight="1">
      <c r="B1484" s="289">
        <v>111708.0</v>
      </c>
      <c r="C1484" s="289" t="s">
        <v>2294</v>
      </c>
      <c r="D1484" s="289" t="s">
        <v>42</v>
      </c>
      <c r="E1484" s="289" t="s">
        <v>369</v>
      </c>
      <c r="F1484" s="289" t="b">
        <v>1</v>
      </c>
      <c r="G1484" s="287" t="b">
        <v>1</v>
      </c>
      <c r="H1484" s="287" t="s">
        <v>250</v>
      </c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</row>
    <row r="1485" ht="15.75" customHeight="1">
      <c r="B1485" s="289">
        <v>15605.0</v>
      </c>
      <c r="C1485" s="289" t="s">
        <v>2295</v>
      </c>
      <c r="D1485" s="289" t="s">
        <v>42</v>
      </c>
      <c r="E1485" s="289" t="s">
        <v>369</v>
      </c>
      <c r="F1485" s="289" t="b">
        <v>1</v>
      </c>
      <c r="G1485" s="287" t="b">
        <v>1</v>
      </c>
      <c r="H1485" s="287" t="s">
        <v>2296</v>
      </c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</row>
    <row r="1486" ht="15.75" customHeight="1">
      <c r="B1486" s="289">
        <v>15449.0</v>
      </c>
      <c r="C1486" s="289" t="s">
        <v>2297</v>
      </c>
      <c r="D1486" s="289" t="s">
        <v>42</v>
      </c>
      <c r="E1486" s="289" t="s">
        <v>369</v>
      </c>
      <c r="F1486" s="289" t="b">
        <v>1</v>
      </c>
      <c r="G1486" s="287" t="b">
        <v>1</v>
      </c>
      <c r="H1486" s="287" t="s">
        <v>250</v>
      </c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</row>
    <row r="1487" ht="15.75" customHeight="1">
      <c r="B1487" s="289">
        <v>102291.0</v>
      </c>
      <c r="C1487" s="289" t="s">
        <v>2298</v>
      </c>
      <c r="D1487" s="289" t="s">
        <v>42</v>
      </c>
      <c r="E1487" s="289" t="s">
        <v>369</v>
      </c>
      <c r="F1487" s="289" t="b">
        <v>1</v>
      </c>
      <c r="G1487" s="287" t="b">
        <v>1</v>
      </c>
      <c r="H1487" s="287" t="s">
        <v>250</v>
      </c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</row>
    <row r="1488" ht="15.75" customHeight="1">
      <c r="B1488" s="289">
        <v>102292.0</v>
      </c>
      <c r="C1488" s="289" t="s">
        <v>2299</v>
      </c>
      <c r="D1488" s="289" t="s">
        <v>42</v>
      </c>
      <c r="E1488" s="289" t="s">
        <v>369</v>
      </c>
      <c r="F1488" s="289" t="b">
        <v>1</v>
      </c>
      <c r="G1488" s="287" t="b">
        <v>1</v>
      </c>
      <c r="H1488" s="287" t="s">
        <v>250</v>
      </c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</row>
    <row r="1489" ht="15.75" customHeight="1">
      <c r="B1489" s="289">
        <v>15452.0</v>
      </c>
      <c r="C1489" s="289" t="s">
        <v>2300</v>
      </c>
      <c r="D1489" s="289" t="s">
        <v>42</v>
      </c>
      <c r="E1489" s="289" t="s">
        <v>369</v>
      </c>
      <c r="F1489" s="289" t="b">
        <v>1</v>
      </c>
      <c r="G1489" s="287" t="b">
        <v>1</v>
      </c>
      <c r="H1489" s="287" t="s">
        <v>250</v>
      </c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</row>
    <row r="1490" ht="15.75" customHeight="1">
      <c r="B1490" s="289">
        <v>15606.0</v>
      </c>
      <c r="C1490" s="289" t="s">
        <v>2301</v>
      </c>
      <c r="D1490" s="289" t="s">
        <v>42</v>
      </c>
      <c r="E1490" s="289" t="s">
        <v>369</v>
      </c>
      <c r="F1490" s="289" t="b">
        <v>1</v>
      </c>
      <c r="G1490" s="287" t="b">
        <v>1</v>
      </c>
      <c r="H1490" s="287" t="s">
        <v>250</v>
      </c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</row>
    <row r="1491" ht="15.75" customHeight="1">
      <c r="B1491" s="289">
        <v>15450.0</v>
      </c>
      <c r="C1491" s="289" t="s">
        <v>2302</v>
      </c>
      <c r="D1491" s="289" t="s">
        <v>42</v>
      </c>
      <c r="E1491" s="289" t="s">
        <v>369</v>
      </c>
      <c r="F1491" s="289" t="b">
        <v>1</v>
      </c>
      <c r="G1491" s="287" t="b">
        <v>1</v>
      </c>
      <c r="H1491" s="287" t="s">
        <v>250</v>
      </c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</row>
    <row r="1492" ht="15.75" customHeight="1">
      <c r="B1492" s="289">
        <v>106901.0</v>
      </c>
      <c r="C1492" s="289" t="s">
        <v>2303</v>
      </c>
      <c r="D1492" s="289" t="s">
        <v>389</v>
      </c>
      <c r="E1492" s="289" t="s">
        <v>369</v>
      </c>
      <c r="F1492" s="289" t="b">
        <v>1</v>
      </c>
      <c r="G1492" s="287" t="b">
        <v>1</v>
      </c>
      <c r="H1492" s="287" t="s">
        <v>250</v>
      </c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</row>
    <row r="1493" ht="15.75" customHeight="1">
      <c r="B1493" s="289">
        <v>38191.0</v>
      </c>
      <c r="C1493" s="289" t="s">
        <v>2304</v>
      </c>
      <c r="D1493" s="289" t="s">
        <v>42</v>
      </c>
      <c r="E1493" s="289" t="s">
        <v>369</v>
      </c>
      <c r="F1493" s="289" t="b">
        <v>1</v>
      </c>
      <c r="G1493" s="287" t="b">
        <v>1</v>
      </c>
      <c r="H1493" s="287" t="s">
        <v>250</v>
      </c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</row>
    <row r="1494" ht="15.75" customHeight="1">
      <c r="B1494" s="289">
        <v>15454.0</v>
      </c>
      <c r="C1494" s="289" t="s">
        <v>2305</v>
      </c>
      <c r="D1494" s="289" t="s">
        <v>42</v>
      </c>
      <c r="E1494" s="289" t="s">
        <v>369</v>
      </c>
      <c r="F1494" s="289" t="b">
        <v>1</v>
      </c>
      <c r="G1494" s="287" t="b">
        <v>1</v>
      </c>
      <c r="H1494" s="287" t="s">
        <v>250</v>
      </c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</row>
    <row r="1495" ht="15.75" customHeight="1">
      <c r="B1495" s="289">
        <v>15456.0</v>
      </c>
      <c r="C1495" s="289" t="s">
        <v>2306</v>
      </c>
      <c r="D1495" s="289" t="s">
        <v>42</v>
      </c>
      <c r="E1495" s="289" t="s">
        <v>369</v>
      </c>
      <c r="F1495" s="289" t="b">
        <v>1</v>
      </c>
      <c r="G1495" s="287" t="b">
        <v>1</v>
      </c>
      <c r="H1495" s="287" t="s">
        <v>250</v>
      </c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</row>
    <row r="1496" ht="15.75" customHeight="1">
      <c r="B1496" s="289">
        <v>15455.0</v>
      </c>
      <c r="C1496" s="289" t="s">
        <v>2307</v>
      </c>
      <c r="D1496" s="289" t="s">
        <v>42</v>
      </c>
      <c r="E1496" s="289" t="s">
        <v>369</v>
      </c>
      <c r="F1496" s="289" t="b">
        <v>1</v>
      </c>
      <c r="G1496" s="287" t="b">
        <v>1</v>
      </c>
      <c r="H1496" s="287" t="s">
        <v>250</v>
      </c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</row>
    <row r="1497" ht="15.75" customHeight="1">
      <c r="B1497" s="289">
        <v>15545.0</v>
      </c>
      <c r="C1497" s="289" t="s">
        <v>2308</v>
      </c>
      <c r="D1497" s="289" t="s">
        <v>42</v>
      </c>
      <c r="E1497" s="289" t="s">
        <v>369</v>
      </c>
      <c r="F1497" s="289" t="b">
        <v>1</v>
      </c>
      <c r="G1497" s="287" t="b">
        <v>1</v>
      </c>
      <c r="H1497" s="287" t="s">
        <v>250</v>
      </c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</row>
    <row r="1498" ht="15.75" customHeight="1">
      <c r="B1498" s="289">
        <v>111931.0</v>
      </c>
      <c r="C1498" s="289" t="s">
        <v>2309</v>
      </c>
      <c r="D1498" s="289" t="s">
        <v>42</v>
      </c>
      <c r="E1498" s="289" t="s">
        <v>369</v>
      </c>
      <c r="F1498" s="289" t="b">
        <v>1</v>
      </c>
      <c r="G1498" s="287" t="b">
        <v>1</v>
      </c>
      <c r="H1498" s="287" t="s">
        <v>250</v>
      </c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</row>
    <row r="1499" ht="15.75" customHeight="1">
      <c r="B1499" s="289">
        <v>15458.0</v>
      </c>
      <c r="C1499" s="289" t="s">
        <v>2310</v>
      </c>
      <c r="D1499" s="289" t="s">
        <v>42</v>
      </c>
      <c r="E1499" s="289" t="s">
        <v>369</v>
      </c>
      <c r="F1499" s="289" t="b">
        <v>1</v>
      </c>
      <c r="G1499" s="287" t="b">
        <v>1</v>
      </c>
      <c r="H1499" s="287" t="s">
        <v>250</v>
      </c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</row>
    <row r="1500" ht="15.75" customHeight="1">
      <c r="B1500" s="289">
        <v>24674.0</v>
      </c>
      <c r="C1500" s="289" t="s">
        <v>2311</v>
      </c>
      <c r="D1500" s="289" t="s">
        <v>42</v>
      </c>
      <c r="E1500" s="289" t="s">
        <v>369</v>
      </c>
      <c r="F1500" s="289" t="b">
        <v>1</v>
      </c>
      <c r="G1500" s="287" t="b">
        <v>1</v>
      </c>
      <c r="H1500" s="287" t="s">
        <v>250</v>
      </c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</row>
    <row r="1501" ht="15.75" customHeight="1">
      <c r="B1501" s="289">
        <v>15559.0</v>
      </c>
      <c r="C1501" s="289" t="s">
        <v>2312</v>
      </c>
      <c r="D1501" s="289" t="s">
        <v>42</v>
      </c>
      <c r="E1501" s="289" t="s">
        <v>369</v>
      </c>
      <c r="F1501" s="289" t="b">
        <v>1</v>
      </c>
      <c r="G1501" s="287" t="b">
        <v>1</v>
      </c>
      <c r="H1501" s="287" t="s">
        <v>250</v>
      </c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</row>
    <row r="1502" ht="15.75" customHeight="1">
      <c r="B1502" s="289">
        <v>110064.0</v>
      </c>
      <c r="C1502" s="289" t="s">
        <v>2313</v>
      </c>
      <c r="D1502" s="289" t="s">
        <v>42</v>
      </c>
      <c r="E1502" s="289" t="s">
        <v>369</v>
      </c>
      <c r="F1502" s="289" t="b">
        <v>1</v>
      </c>
      <c r="G1502" s="287" t="b">
        <v>1</v>
      </c>
      <c r="H1502" s="287" t="s">
        <v>250</v>
      </c>
      <c r="I1502" s="52"/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</row>
    <row r="1503" ht="15.75" customHeight="1">
      <c r="B1503" s="289">
        <v>15459.0</v>
      </c>
      <c r="C1503" s="289" t="s">
        <v>2314</v>
      </c>
      <c r="D1503" s="289" t="s">
        <v>42</v>
      </c>
      <c r="E1503" s="289" t="s">
        <v>369</v>
      </c>
      <c r="F1503" s="289" t="b">
        <v>1</v>
      </c>
      <c r="G1503" s="287" t="b">
        <v>1</v>
      </c>
      <c r="H1503" s="287" t="s">
        <v>250</v>
      </c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</row>
    <row r="1504" ht="15.75" customHeight="1">
      <c r="B1504" s="289">
        <v>110917.0</v>
      </c>
      <c r="C1504" s="289" t="s">
        <v>2315</v>
      </c>
      <c r="D1504" s="289" t="s">
        <v>42</v>
      </c>
      <c r="E1504" s="289" t="s">
        <v>369</v>
      </c>
      <c r="F1504" s="289" t="b">
        <v>1</v>
      </c>
      <c r="G1504" s="287" t="b">
        <v>1</v>
      </c>
      <c r="H1504" s="287" t="s">
        <v>250</v>
      </c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</row>
    <row r="1505" ht="15.75" customHeight="1">
      <c r="B1505" s="289">
        <v>110078.0</v>
      </c>
      <c r="C1505" s="289" t="s">
        <v>2316</v>
      </c>
      <c r="D1505" s="289" t="s">
        <v>972</v>
      </c>
      <c r="E1505" s="289" t="s">
        <v>369</v>
      </c>
      <c r="F1505" s="289" t="b">
        <v>1</v>
      </c>
      <c r="G1505" s="287" t="b">
        <v>1</v>
      </c>
      <c r="H1505" s="287" t="s">
        <v>250</v>
      </c>
      <c r="I1505" s="52"/>
      <c r="J1505" s="52"/>
      <c r="K1505" s="52"/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</row>
    <row r="1506" ht="15.75" customHeight="1">
      <c r="B1506" s="289">
        <v>15562.0</v>
      </c>
      <c r="C1506" s="289" t="s">
        <v>2317</v>
      </c>
      <c r="D1506" s="289" t="s">
        <v>42</v>
      </c>
      <c r="E1506" s="289" t="s">
        <v>369</v>
      </c>
      <c r="F1506" s="289" t="b">
        <v>1</v>
      </c>
      <c r="G1506" s="287" t="b">
        <v>1</v>
      </c>
      <c r="H1506" s="287" t="s">
        <v>250</v>
      </c>
      <c r="I1506" s="52"/>
      <c r="J1506" s="52"/>
      <c r="K1506" s="52"/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</row>
    <row r="1507" ht="15.75" customHeight="1">
      <c r="B1507" s="289">
        <v>15460.0</v>
      </c>
      <c r="C1507" s="289" t="s">
        <v>2318</v>
      </c>
      <c r="D1507" s="289" t="s">
        <v>42</v>
      </c>
      <c r="E1507" s="289" t="s">
        <v>369</v>
      </c>
      <c r="F1507" s="289" t="b">
        <v>1</v>
      </c>
      <c r="G1507" s="287" t="b">
        <v>1</v>
      </c>
      <c r="H1507" s="287" t="s">
        <v>250</v>
      </c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</row>
    <row r="1508" ht="15.75" customHeight="1">
      <c r="B1508" s="289">
        <v>109760.0</v>
      </c>
      <c r="C1508" s="289" t="s">
        <v>2319</v>
      </c>
      <c r="D1508" s="289" t="s">
        <v>2321</v>
      </c>
      <c r="E1508" s="289" t="s">
        <v>369</v>
      </c>
      <c r="F1508" s="289" t="b">
        <v>1</v>
      </c>
      <c r="G1508" s="287" t="b">
        <v>1</v>
      </c>
      <c r="H1508" s="287" t="s">
        <v>250</v>
      </c>
      <c r="I1508" s="52"/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</row>
    <row r="1509" ht="15.75" customHeight="1">
      <c r="B1509" s="289">
        <v>15589.0</v>
      </c>
      <c r="C1509" s="289" t="s">
        <v>2322</v>
      </c>
      <c r="D1509" s="289" t="s">
        <v>42</v>
      </c>
      <c r="E1509" s="289" t="s">
        <v>369</v>
      </c>
      <c r="F1509" s="289" t="b">
        <v>1</v>
      </c>
      <c r="G1509" s="287" t="b">
        <v>1</v>
      </c>
      <c r="H1509" s="287" t="s">
        <v>250</v>
      </c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</row>
    <row r="1510" ht="15.75" customHeight="1">
      <c r="B1510" s="289">
        <v>109753.0</v>
      </c>
      <c r="C1510" s="289" t="s">
        <v>2323</v>
      </c>
      <c r="D1510" s="289" t="s">
        <v>42</v>
      </c>
      <c r="E1510" s="289" t="s">
        <v>369</v>
      </c>
      <c r="F1510" s="289" t="b">
        <v>1</v>
      </c>
      <c r="G1510" s="287" t="b">
        <v>1</v>
      </c>
      <c r="H1510" s="287" t="s">
        <v>250</v>
      </c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</row>
    <row r="1511" ht="15.75" customHeight="1">
      <c r="B1511" s="289">
        <v>35189.0</v>
      </c>
      <c r="C1511" s="289" t="s">
        <v>2324</v>
      </c>
      <c r="D1511" s="289" t="s">
        <v>42</v>
      </c>
      <c r="E1511" s="289" t="s">
        <v>369</v>
      </c>
      <c r="F1511" s="289" t="b">
        <v>1</v>
      </c>
      <c r="G1511" s="287" t="b">
        <v>1</v>
      </c>
      <c r="H1511" s="287" t="s">
        <v>250</v>
      </c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</row>
    <row r="1512" ht="15.75" customHeight="1">
      <c r="B1512" s="289">
        <v>35188.0</v>
      </c>
      <c r="C1512" s="289" t="s">
        <v>2325</v>
      </c>
      <c r="D1512" s="289" t="s">
        <v>42</v>
      </c>
      <c r="E1512" s="289" t="s">
        <v>369</v>
      </c>
      <c r="F1512" s="289" t="b">
        <v>1</v>
      </c>
      <c r="G1512" s="287" t="b">
        <v>1</v>
      </c>
      <c r="H1512" s="287" t="s">
        <v>250</v>
      </c>
      <c r="I1512" s="52"/>
      <c r="J1512" s="52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</row>
    <row r="1513" ht="15.75" customHeight="1">
      <c r="B1513" s="289">
        <v>10013.0</v>
      </c>
      <c r="C1513" s="289" t="s">
        <v>2326</v>
      </c>
      <c r="D1513" s="289" t="s">
        <v>42</v>
      </c>
      <c r="E1513" s="289" t="s">
        <v>369</v>
      </c>
      <c r="F1513" s="289" t="b">
        <v>1</v>
      </c>
      <c r="G1513" s="287" t="b">
        <v>1</v>
      </c>
      <c r="H1513" s="287" t="s">
        <v>250</v>
      </c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</row>
    <row r="1514" ht="15.75" customHeight="1">
      <c r="B1514" s="289">
        <v>109754.0</v>
      </c>
      <c r="C1514" s="289" t="s">
        <v>2327</v>
      </c>
      <c r="D1514" s="289" t="s">
        <v>42</v>
      </c>
      <c r="E1514" s="289" t="s">
        <v>369</v>
      </c>
      <c r="F1514" s="289" t="b">
        <v>1</v>
      </c>
      <c r="G1514" s="287" t="b">
        <v>1</v>
      </c>
      <c r="H1514" s="287" t="s">
        <v>250</v>
      </c>
      <c r="I1514" s="52"/>
      <c r="J1514" s="52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</row>
    <row r="1515" ht="15.75" customHeight="1">
      <c r="B1515" s="289">
        <v>110076.0</v>
      </c>
      <c r="C1515" s="289" t="s">
        <v>2328</v>
      </c>
      <c r="D1515" s="289" t="s">
        <v>42</v>
      </c>
      <c r="E1515" s="289" t="s">
        <v>369</v>
      </c>
      <c r="F1515" s="289" t="b">
        <v>1</v>
      </c>
      <c r="G1515" s="287" t="b">
        <v>1</v>
      </c>
      <c r="H1515" s="287" t="s">
        <v>250</v>
      </c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</row>
    <row r="1516" ht="15.75" customHeight="1">
      <c r="B1516" s="289">
        <v>15462.0</v>
      </c>
      <c r="C1516" s="289" t="s">
        <v>2329</v>
      </c>
      <c r="D1516" s="289" t="s">
        <v>42</v>
      </c>
      <c r="E1516" s="289" t="s">
        <v>369</v>
      </c>
      <c r="F1516" s="289" t="b">
        <v>1</v>
      </c>
      <c r="G1516" s="287" t="b">
        <v>1</v>
      </c>
      <c r="H1516" s="287" t="s">
        <v>250</v>
      </c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</row>
    <row r="1517" ht="15.75" customHeight="1">
      <c r="B1517" s="289">
        <v>15619.0</v>
      </c>
      <c r="C1517" s="289" t="s">
        <v>2330</v>
      </c>
      <c r="D1517" s="289" t="s">
        <v>42</v>
      </c>
      <c r="E1517" s="289" t="s">
        <v>369</v>
      </c>
      <c r="F1517" s="289" t="b">
        <v>1</v>
      </c>
      <c r="G1517" s="287" t="b">
        <v>1</v>
      </c>
      <c r="H1517" s="287" t="s">
        <v>250</v>
      </c>
      <c r="I1517" s="52"/>
      <c r="J1517" s="52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</row>
    <row r="1518" ht="15.75" customHeight="1">
      <c r="B1518" s="289">
        <v>36433.0</v>
      </c>
      <c r="C1518" s="289" t="s">
        <v>2331</v>
      </c>
      <c r="D1518" s="289" t="s">
        <v>269</v>
      </c>
      <c r="E1518" s="289" t="s">
        <v>369</v>
      </c>
      <c r="F1518" s="289" t="b">
        <v>1</v>
      </c>
      <c r="G1518" s="287" t="b">
        <v>1</v>
      </c>
      <c r="H1518" s="287" t="s">
        <v>250</v>
      </c>
      <c r="I1518" s="52"/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</row>
    <row r="1519" ht="15.75" customHeight="1">
      <c r="B1519" s="289">
        <v>15464.0</v>
      </c>
      <c r="C1519" s="289" t="s">
        <v>2332</v>
      </c>
      <c r="D1519" s="289" t="s">
        <v>42</v>
      </c>
      <c r="E1519" s="289" t="s">
        <v>369</v>
      </c>
      <c r="F1519" s="289" t="b">
        <v>1</v>
      </c>
      <c r="G1519" s="287" t="b">
        <v>1</v>
      </c>
      <c r="H1519" s="287" t="s">
        <v>250</v>
      </c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</row>
    <row r="1520" ht="15.75" customHeight="1">
      <c r="B1520" s="289">
        <v>111089.0</v>
      </c>
      <c r="C1520" s="289" t="s">
        <v>2333</v>
      </c>
      <c r="D1520" s="289" t="s">
        <v>42</v>
      </c>
      <c r="E1520" s="289" t="s">
        <v>369</v>
      </c>
      <c r="F1520" s="289" t="b">
        <v>1</v>
      </c>
      <c r="G1520" s="287" t="b">
        <v>0</v>
      </c>
      <c r="H1520" s="287" t="s">
        <v>250</v>
      </c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</row>
    <row r="1521" ht="15.75" customHeight="1">
      <c r="B1521" s="289">
        <v>104559.0</v>
      </c>
      <c r="C1521" s="289" t="s">
        <v>2735</v>
      </c>
      <c r="D1521" s="289" t="s">
        <v>389</v>
      </c>
      <c r="E1521" s="289" t="s">
        <v>369</v>
      </c>
      <c r="F1521" s="289" t="b">
        <v>1</v>
      </c>
      <c r="G1521" s="287" t="b">
        <v>1</v>
      </c>
      <c r="H1521" s="287" t="s">
        <v>250</v>
      </c>
      <c r="I1521" s="52"/>
      <c r="J1521" s="52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</row>
    <row r="1522" ht="15.75" customHeight="1">
      <c r="B1522" s="289">
        <v>15547.0</v>
      </c>
      <c r="C1522" s="289" t="s">
        <v>2334</v>
      </c>
      <c r="D1522" s="289" t="s">
        <v>42</v>
      </c>
      <c r="E1522" s="289" t="s">
        <v>369</v>
      </c>
      <c r="F1522" s="289" t="b">
        <v>1</v>
      </c>
      <c r="G1522" s="287" t="b">
        <v>1</v>
      </c>
      <c r="H1522" s="287" t="s">
        <v>250</v>
      </c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</row>
    <row r="1523" ht="15.75" customHeight="1">
      <c r="B1523" s="289">
        <v>15508.0</v>
      </c>
      <c r="C1523" s="289" t="s">
        <v>2335</v>
      </c>
      <c r="D1523" s="289" t="s">
        <v>42</v>
      </c>
      <c r="E1523" s="289" t="s">
        <v>369</v>
      </c>
      <c r="F1523" s="289" t="b">
        <v>1</v>
      </c>
      <c r="G1523" s="287" t="b">
        <v>1</v>
      </c>
      <c r="H1523" s="287" t="s">
        <v>250</v>
      </c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</row>
    <row r="1524" ht="15.75" customHeight="1">
      <c r="B1524" s="289">
        <v>30479.0</v>
      </c>
      <c r="C1524" s="289" t="s">
        <v>2336</v>
      </c>
      <c r="D1524" s="289" t="s">
        <v>42</v>
      </c>
      <c r="E1524" s="289" t="s">
        <v>369</v>
      </c>
      <c r="F1524" s="289" t="b">
        <v>1</v>
      </c>
      <c r="G1524" s="287" t="b">
        <v>1</v>
      </c>
      <c r="H1524" s="287" t="s">
        <v>250</v>
      </c>
      <c r="I1524" s="52"/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</row>
    <row r="1525" ht="15.75" customHeight="1">
      <c r="B1525" s="289">
        <v>109766.0</v>
      </c>
      <c r="C1525" s="289" t="s">
        <v>2337</v>
      </c>
      <c r="D1525" s="289" t="s">
        <v>42</v>
      </c>
      <c r="E1525" s="289" t="s">
        <v>369</v>
      </c>
      <c r="F1525" s="289" t="b">
        <v>1</v>
      </c>
      <c r="G1525" s="287" t="b">
        <v>1</v>
      </c>
      <c r="H1525" s="287" t="s">
        <v>250</v>
      </c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</row>
    <row r="1526" ht="15.75" customHeight="1">
      <c r="B1526" s="289">
        <v>15466.0</v>
      </c>
      <c r="C1526" s="289" t="s">
        <v>2338</v>
      </c>
      <c r="D1526" s="289" t="s">
        <v>42</v>
      </c>
      <c r="E1526" s="289" t="s">
        <v>369</v>
      </c>
      <c r="F1526" s="289" t="b">
        <v>1</v>
      </c>
      <c r="G1526" s="287" t="b">
        <v>1</v>
      </c>
      <c r="H1526" s="287" t="s">
        <v>250</v>
      </c>
      <c r="I1526" s="52"/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</row>
    <row r="1527" ht="15.75" customHeight="1">
      <c r="B1527" s="289">
        <v>30639.0</v>
      </c>
      <c r="C1527" s="289" t="s">
        <v>2339</v>
      </c>
      <c r="D1527" s="289" t="s">
        <v>42</v>
      </c>
      <c r="E1527" s="289" t="s">
        <v>369</v>
      </c>
      <c r="F1527" s="289" t="b">
        <v>1</v>
      </c>
      <c r="G1527" s="287" t="b">
        <v>1</v>
      </c>
      <c r="H1527" s="287" t="s">
        <v>250</v>
      </c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</row>
    <row r="1528" ht="15.75" customHeight="1">
      <c r="B1528" s="289">
        <v>38392.0</v>
      </c>
      <c r="C1528" s="289" t="s">
        <v>2340</v>
      </c>
      <c r="D1528" s="289" t="s">
        <v>42</v>
      </c>
      <c r="E1528" s="289" t="s">
        <v>369</v>
      </c>
      <c r="F1528" s="289" t="b">
        <v>1</v>
      </c>
      <c r="G1528" s="287" t="b">
        <v>1</v>
      </c>
      <c r="H1528" s="287" t="s">
        <v>250</v>
      </c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</row>
    <row r="1529" ht="15.75" customHeight="1">
      <c r="B1529" s="289">
        <v>61703.0</v>
      </c>
      <c r="C1529" s="289" t="s">
        <v>2341</v>
      </c>
      <c r="D1529" s="289" t="s">
        <v>42</v>
      </c>
      <c r="E1529" s="289" t="s">
        <v>369</v>
      </c>
      <c r="F1529" s="289" t="b">
        <v>1</v>
      </c>
      <c r="G1529" s="287" t="b">
        <v>1</v>
      </c>
      <c r="H1529" s="287" t="s">
        <v>250</v>
      </c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</row>
    <row r="1530" ht="15.75" customHeight="1">
      <c r="B1530" s="289">
        <v>15426.0</v>
      </c>
      <c r="C1530" s="289" t="s">
        <v>2342</v>
      </c>
      <c r="D1530" s="289" t="s">
        <v>42</v>
      </c>
      <c r="E1530" s="289" t="s">
        <v>369</v>
      </c>
      <c r="F1530" s="289" t="b">
        <v>1</v>
      </c>
      <c r="G1530" s="287" t="b">
        <v>1</v>
      </c>
      <c r="H1530" s="287" t="s">
        <v>250</v>
      </c>
      <c r="I1530" s="52"/>
      <c r="J1530" s="52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</row>
    <row r="1531" ht="15.75" customHeight="1">
      <c r="B1531" s="289">
        <v>15463.0</v>
      </c>
      <c r="C1531" s="289" t="s">
        <v>2343</v>
      </c>
      <c r="D1531" s="289" t="s">
        <v>42</v>
      </c>
      <c r="E1531" s="289" t="s">
        <v>369</v>
      </c>
      <c r="F1531" s="289" t="b">
        <v>1</v>
      </c>
      <c r="G1531" s="287" t="b">
        <v>1</v>
      </c>
      <c r="H1531" s="287" t="s">
        <v>250</v>
      </c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</row>
    <row r="1532" ht="15.75" customHeight="1">
      <c r="B1532" s="289">
        <v>30025.0</v>
      </c>
      <c r="C1532" s="289" t="s">
        <v>2344</v>
      </c>
      <c r="D1532" s="289" t="s">
        <v>42</v>
      </c>
      <c r="E1532" s="289" t="s">
        <v>369</v>
      </c>
      <c r="F1532" s="289" t="b">
        <v>1</v>
      </c>
      <c r="G1532" s="287" t="b">
        <v>1</v>
      </c>
      <c r="H1532" s="287" t="s">
        <v>250</v>
      </c>
      <c r="I1532" s="52"/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</row>
    <row r="1533" ht="15.75" customHeight="1">
      <c r="B1533" s="289">
        <v>110907.0</v>
      </c>
      <c r="C1533" s="289" t="s">
        <v>2345</v>
      </c>
      <c r="D1533" s="289" t="s">
        <v>42</v>
      </c>
      <c r="E1533" s="289" t="s">
        <v>369</v>
      </c>
      <c r="F1533" s="289" t="b">
        <v>1</v>
      </c>
      <c r="G1533" s="287" t="b">
        <v>1</v>
      </c>
      <c r="H1533" s="287" t="s">
        <v>250</v>
      </c>
      <c r="I1533" s="52"/>
      <c r="J1533" s="52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</row>
    <row r="1534" ht="15.75" customHeight="1">
      <c r="B1534" s="289">
        <v>11853.0</v>
      </c>
      <c r="C1534" s="289" t="s">
        <v>2346</v>
      </c>
      <c r="D1534" s="289" t="s">
        <v>42</v>
      </c>
      <c r="E1534" s="289" t="s">
        <v>369</v>
      </c>
      <c r="F1534" s="289" t="b">
        <v>1</v>
      </c>
      <c r="G1534" s="287" t="b">
        <v>1</v>
      </c>
      <c r="H1534" s="287" t="s">
        <v>250</v>
      </c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</row>
    <row r="1535" ht="15.75" customHeight="1">
      <c r="B1535" s="289">
        <v>15471.0</v>
      </c>
      <c r="C1535" s="289" t="s">
        <v>2347</v>
      </c>
      <c r="D1535" s="289" t="s">
        <v>42</v>
      </c>
      <c r="E1535" s="289" t="s">
        <v>369</v>
      </c>
      <c r="F1535" s="289" t="b">
        <v>1</v>
      </c>
      <c r="G1535" s="287" t="b">
        <v>1</v>
      </c>
      <c r="H1535" s="287" t="s">
        <v>250</v>
      </c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</row>
    <row r="1536" ht="15.75" customHeight="1">
      <c r="B1536" s="289">
        <v>111049.0</v>
      </c>
      <c r="C1536" s="289" t="s">
        <v>2348</v>
      </c>
      <c r="D1536" s="289" t="s">
        <v>42</v>
      </c>
      <c r="E1536" s="289" t="s">
        <v>369</v>
      </c>
      <c r="F1536" s="289" t="b">
        <v>1</v>
      </c>
      <c r="G1536" s="287" t="b">
        <v>1</v>
      </c>
      <c r="H1536" s="287" t="s">
        <v>250</v>
      </c>
      <c r="I1536" s="52"/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</row>
    <row r="1537" ht="15.75" customHeight="1">
      <c r="B1537" s="289">
        <v>15475.0</v>
      </c>
      <c r="C1537" s="289" t="s">
        <v>2349</v>
      </c>
      <c r="D1537" s="289" t="s">
        <v>42</v>
      </c>
      <c r="E1537" s="289" t="s">
        <v>369</v>
      </c>
      <c r="F1537" s="289" t="b">
        <v>1</v>
      </c>
      <c r="G1537" s="287" t="b">
        <v>1</v>
      </c>
      <c r="H1537" s="287" t="s">
        <v>250</v>
      </c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</row>
    <row r="1538" ht="15.75" customHeight="1">
      <c r="B1538" s="289">
        <v>15608.0</v>
      </c>
      <c r="C1538" s="289" t="s">
        <v>2350</v>
      </c>
      <c r="D1538" s="289" t="s">
        <v>42</v>
      </c>
      <c r="E1538" s="289" t="s">
        <v>369</v>
      </c>
      <c r="F1538" s="289" t="b">
        <v>1</v>
      </c>
      <c r="G1538" s="287" t="b">
        <v>1</v>
      </c>
      <c r="H1538" s="287" t="s">
        <v>250</v>
      </c>
      <c r="I1538" s="52"/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</row>
    <row r="1539" ht="15.75" customHeight="1">
      <c r="B1539" s="289">
        <v>15498.0</v>
      </c>
      <c r="C1539" s="289" t="s">
        <v>2351</v>
      </c>
      <c r="D1539" s="289" t="s">
        <v>42</v>
      </c>
      <c r="E1539" s="289" t="s">
        <v>369</v>
      </c>
      <c r="F1539" s="289" t="b">
        <v>1</v>
      </c>
      <c r="G1539" s="287" t="b">
        <v>1</v>
      </c>
      <c r="H1539" s="287" t="s">
        <v>250</v>
      </c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</row>
    <row r="1540" ht="15.75" customHeight="1">
      <c r="B1540" s="289">
        <v>15473.0</v>
      </c>
      <c r="C1540" s="289" t="s">
        <v>2352</v>
      </c>
      <c r="D1540" s="289" t="s">
        <v>42</v>
      </c>
      <c r="E1540" s="289" t="s">
        <v>369</v>
      </c>
      <c r="F1540" s="289" t="b">
        <v>1</v>
      </c>
      <c r="G1540" s="287" t="b">
        <v>1</v>
      </c>
      <c r="H1540" s="287" t="s">
        <v>2353</v>
      </c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</row>
    <row r="1541" ht="15.75" customHeight="1">
      <c r="B1541" s="289">
        <v>15609.0</v>
      </c>
      <c r="C1541" s="289" t="s">
        <v>2354</v>
      </c>
      <c r="D1541" s="289" t="s">
        <v>42</v>
      </c>
      <c r="E1541" s="289" t="s">
        <v>369</v>
      </c>
      <c r="F1541" s="289" t="b">
        <v>1</v>
      </c>
      <c r="G1541" s="287" t="b">
        <v>1</v>
      </c>
      <c r="H1541" s="287" t="s">
        <v>250</v>
      </c>
      <c r="I1541" s="52"/>
      <c r="J1541" s="52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</row>
    <row r="1542" ht="15.75" customHeight="1">
      <c r="B1542" s="289">
        <v>15489.0</v>
      </c>
      <c r="C1542" s="289" t="s">
        <v>2355</v>
      </c>
      <c r="D1542" s="289" t="s">
        <v>42</v>
      </c>
      <c r="E1542" s="289" t="s">
        <v>369</v>
      </c>
      <c r="F1542" s="289" t="b">
        <v>1</v>
      </c>
      <c r="G1542" s="287" t="b">
        <v>1</v>
      </c>
      <c r="H1542" s="287" t="s">
        <v>250</v>
      </c>
      <c r="I1542" s="52"/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</row>
    <row r="1543" ht="15.75" customHeight="1">
      <c r="B1543" s="289">
        <v>15623.0</v>
      </c>
      <c r="C1543" s="289" t="s">
        <v>2356</v>
      </c>
      <c r="D1543" s="289" t="s">
        <v>42</v>
      </c>
      <c r="E1543" s="289" t="s">
        <v>369</v>
      </c>
      <c r="F1543" s="289" t="b">
        <v>1</v>
      </c>
      <c r="G1543" s="287" t="b">
        <v>1</v>
      </c>
      <c r="H1543" s="287" t="s">
        <v>250</v>
      </c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</row>
    <row r="1544" ht="15.75" customHeight="1">
      <c r="B1544" s="289">
        <v>19401.0</v>
      </c>
      <c r="C1544" s="289" t="s">
        <v>2357</v>
      </c>
      <c r="D1544" s="289" t="s">
        <v>42</v>
      </c>
      <c r="E1544" s="289" t="s">
        <v>369</v>
      </c>
      <c r="F1544" s="289" t="b">
        <v>1</v>
      </c>
      <c r="G1544" s="287" t="b">
        <v>1</v>
      </c>
      <c r="H1544" s="287" t="s">
        <v>2736</v>
      </c>
      <c r="I1544" s="52"/>
      <c r="J1544" s="52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</row>
    <row r="1545" ht="15.75" customHeight="1">
      <c r="B1545" s="289">
        <v>110068.0</v>
      </c>
      <c r="C1545" s="289" t="s">
        <v>2359</v>
      </c>
      <c r="D1545" s="289" t="s">
        <v>42</v>
      </c>
      <c r="E1545" s="289" t="s">
        <v>369</v>
      </c>
      <c r="F1545" s="289" t="b">
        <v>1</v>
      </c>
      <c r="G1545" s="287" t="b">
        <v>1</v>
      </c>
      <c r="H1545" s="287" t="s">
        <v>250</v>
      </c>
      <c r="I1545" s="52"/>
      <c r="J1545" s="52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</row>
    <row r="1546" ht="15.75" customHeight="1">
      <c r="B1546" s="289">
        <v>110908.0</v>
      </c>
      <c r="C1546" s="289" t="s">
        <v>2360</v>
      </c>
      <c r="D1546" s="289" t="s">
        <v>972</v>
      </c>
      <c r="E1546" s="289" t="s">
        <v>369</v>
      </c>
      <c r="F1546" s="289" t="b">
        <v>1</v>
      </c>
      <c r="G1546" s="287" t="b">
        <v>1</v>
      </c>
      <c r="H1546" s="287" t="s">
        <v>250</v>
      </c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</row>
    <row r="1547" ht="15.75" customHeight="1">
      <c r="B1547" s="289">
        <v>110915.0</v>
      </c>
      <c r="C1547" s="289" t="s">
        <v>2361</v>
      </c>
      <c r="D1547" s="289" t="s">
        <v>42</v>
      </c>
      <c r="E1547" s="289" t="s">
        <v>369</v>
      </c>
      <c r="F1547" s="289" t="b">
        <v>1</v>
      </c>
      <c r="G1547" s="287" t="b">
        <v>1</v>
      </c>
      <c r="H1547" s="287" t="s">
        <v>250</v>
      </c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</row>
    <row r="1548" ht="15.75" customHeight="1">
      <c r="B1548" s="289">
        <v>110916.0</v>
      </c>
      <c r="C1548" s="289" t="s">
        <v>2365</v>
      </c>
      <c r="D1548" s="289" t="s">
        <v>42</v>
      </c>
      <c r="E1548" s="289" t="s">
        <v>369</v>
      </c>
      <c r="F1548" s="289" t="b">
        <v>1</v>
      </c>
      <c r="G1548" s="287" t="b">
        <v>1</v>
      </c>
      <c r="H1548" s="287" t="s">
        <v>250</v>
      </c>
      <c r="I1548" s="52"/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</row>
    <row r="1549" ht="15.75" customHeight="1">
      <c r="B1549" s="289">
        <v>110919.0</v>
      </c>
      <c r="C1549" s="289" t="s">
        <v>2366</v>
      </c>
      <c r="D1549" s="289" t="s">
        <v>42</v>
      </c>
      <c r="E1549" s="289" t="s">
        <v>369</v>
      </c>
      <c r="F1549" s="289" t="b">
        <v>1</v>
      </c>
      <c r="G1549" s="287" t="b">
        <v>1</v>
      </c>
      <c r="H1549" s="287" t="s">
        <v>250</v>
      </c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</row>
    <row r="1550" ht="15.75" customHeight="1">
      <c r="B1550" s="289">
        <v>110911.0</v>
      </c>
      <c r="C1550" s="289" t="s">
        <v>2367</v>
      </c>
      <c r="D1550" s="289" t="s">
        <v>2364</v>
      </c>
      <c r="E1550" s="289" t="s">
        <v>369</v>
      </c>
      <c r="F1550" s="289" t="b">
        <v>1</v>
      </c>
      <c r="G1550" s="287" t="b">
        <v>1</v>
      </c>
      <c r="H1550" s="287" t="s">
        <v>250</v>
      </c>
      <c r="I1550" s="52"/>
      <c r="J1550" s="52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</row>
    <row r="1551" ht="15.75" customHeight="1">
      <c r="B1551" s="289">
        <v>111180.0</v>
      </c>
      <c r="C1551" s="289" t="s">
        <v>2369</v>
      </c>
      <c r="D1551" s="289" t="s">
        <v>972</v>
      </c>
      <c r="E1551" s="289" t="s">
        <v>369</v>
      </c>
      <c r="F1551" s="289" t="b">
        <v>1</v>
      </c>
      <c r="G1551" s="287" t="b">
        <v>1</v>
      </c>
      <c r="H1551" s="287" t="s">
        <v>250</v>
      </c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</row>
    <row r="1552" ht="15.75" customHeight="1">
      <c r="B1552" s="289">
        <v>110056.0</v>
      </c>
      <c r="C1552" s="289" t="s">
        <v>2370</v>
      </c>
      <c r="D1552" s="289" t="s">
        <v>42</v>
      </c>
      <c r="E1552" s="289" t="s">
        <v>369</v>
      </c>
      <c r="F1552" s="289" t="b">
        <v>1</v>
      </c>
      <c r="G1552" s="287" t="b">
        <v>1</v>
      </c>
      <c r="H1552" s="287" t="s">
        <v>250</v>
      </c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</row>
    <row r="1553" ht="15.75" customHeight="1">
      <c r="B1553" s="289">
        <v>110914.0</v>
      </c>
      <c r="C1553" s="289" t="s">
        <v>2371</v>
      </c>
      <c r="D1553" s="289" t="s">
        <v>2363</v>
      </c>
      <c r="E1553" s="289" t="s">
        <v>369</v>
      </c>
      <c r="F1553" s="289" t="b">
        <v>1</v>
      </c>
      <c r="G1553" s="287" t="b">
        <v>1</v>
      </c>
      <c r="H1553" s="287" t="s">
        <v>250</v>
      </c>
      <c r="I1553" s="52"/>
      <c r="J1553" s="52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</row>
    <row r="1554" ht="15.75" customHeight="1">
      <c r="B1554" s="289">
        <v>111046.0</v>
      </c>
      <c r="C1554" s="289" t="s">
        <v>2372</v>
      </c>
      <c r="D1554" s="289" t="s">
        <v>42</v>
      </c>
      <c r="E1554" s="289" t="s">
        <v>369</v>
      </c>
      <c r="F1554" s="289" t="b">
        <v>1</v>
      </c>
      <c r="G1554" s="287" t="b">
        <v>1</v>
      </c>
      <c r="H1554" s="287" t="s">
        <v>250</v>
      </c>
      <c r="I1554" s="52"/>
      <c r="J1554" s="52"/>
      <c r="K1554" s="52"/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</row>
    <row r="1555" ht="15.75" customHeight="1">
      <c r="B1555" s="289">
        <v>110069.0</v>
      </c>
      <c r="C1555" s="289" t="s">
        <v>2374</v>
      </c>
      <c r="D1555" s="289" t="s">
        <v>42</v>
      </c>
      <c r="E1555" s="289" t="s">
        <v>369</v>
      </c>
      <c r="F1555" s="289" t="b">
        <v>1</v>
      </c>
      <c r="G1555" s="287" t="b">
        <v>1</v>
      </c>
      <c r="H1555" s="287" t="s">
        <v>250</v>
      </c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</row>
    <row r="1556" ht="15.75" customHeight="1">
      <c r="B1556" s="289">
        <v>24459.0</v>
      </c>
      <c r="C1556" s="289" t="s">
        <v>2375</v>
      </c>
      <c r="D1556" s="289" t="s">
        <v>42</v>
      </c>
      <c r="E1556" s="289" t="s">
        <v>369</v>
      </c>
      <c r="F1556" s="289" t="b">
        <v>1</v>
      </c>
      <c r="G1556" s="287" t="b">
        <v>1</v>
      </c>
      <c r="H1556" s="287" t="s">
        <v>250</v>
      </c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</row>
    <row r="1557" ht="15.75" customHeight="1">
      <c r="B1557" s="289">
        <v>11741.0</v>
      </c>
      <c r="C1557" s="289" t="s">
        <v>2376</v>
      </c>
      <c r="D1557" s="289" t="s">
        <v>42</v>
      </c>
      <c r="E1557" s="289" t="s">
        <v>369</v>
      </c>
      <c r="F1557" s="289" t="b">
        <v>1</v>
      </c>
      <c r="G1557" s="287" t="b">
        <v>1</v>
      </c>
      <c r="H1557" s="287" t="s">
        <v>250</v>
      </c>
      <c r="I1557" s="52"/>
      <c r="J1557" s="52"/>
      <c r="K1557" s="52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</row>
    <row r="1558" ht="15.75" customHeight="1">
      <c r="B1558" s="289">
        <v>15585.0</v>
      </c>
      <c r="C1558" s="289" t="s">
        <v>2377</v>
      </c>
      <c r="D1558" s="289" t="s">
        <v>42</v>
      </c>
      <c r="E1558" s="289" t="s">
        <v>369</v>
      </c>
      <c r="F1558" s="289" t="b">
        <v>1</v>
      </c>
      <c r="G1558" s="287" t="b">
        <v>1</v>
      </c>
      <c r="H1558" s="287" t="s">
        <v>250</v>
      </c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</row>
    <row r="1559" ht="15.75" customHeight="1">
      <c r="B1559" s="289">
        <v>15551.0</v>
      </c>
      <c r="C1559" s="289" t="s">
        <v>2378</v>
      </c>
      <c r="D1559" s="289" t="s">
        <v>42</v>
      </c>
      <c r="E1559" s="289" t="s">
        <v>369</v>
      </c>
      <c r="F1559" s="289" t="b">
        <v>1</v>
      </c>
      <c r="G1559" s="287" t="b">
        <v>1</v>
      </c>
      <c r="H1559" s="287" t="s">
        <v>250</v>
      </c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</row>
    <row r="1560" ht="15.75" customHeight="1">
      <c r="B1560" s="289">
        <v>15556.0</v>
      </c>
      <c r="C1560" s="289" t="s">
        <v>2379</v>
      </c>
      <c r="D1560" s="289" t="s">
        <v>42</v>
      </c>
      <c r="E1560" s="289" t="s">
        <v>369</v>
      </c>
      <c r="F1560" s="289" t="b">
        <v>1</v>
      </c>
      <c r="G1560" s="287" t="b">
        <v>1</v>
      </c>
      <c r="H1560" s="287" t="s">
        <v>250</v>
      </c>
      <c r="I1560" s="52"/>
      <c r="J1560" s="52"/>
      <c r="K1560" s="52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</row>
    <row r="1561" ht="15.75" customHeight="1">
      <c r="B1561" s="289">
        <v>31638.0</v>
      </c>
      <c r="C1561" s="289" t="s">
        <v>2380</v>
      </c>
      <c r="D1561" s="289" t="s">
        <v>42</v>
      </c>
      <c r="E1561" s="289" t="s">
        <v>369</v>
      </c>
      <c r="F1561" s="289" t="b">
        <v>1</v>
      </c>
      <c r="G1561" s="287" t="b">
        <v>1</v>
      </c>
      <c r="H1561" s="287" t="s">
        <v>2737</v>
      </c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</row>
    <row r="1562" ht="15.75" customHeight="1">
      <c r="B1562" s="289">
        <v>110060.0</v>
      </c>
      <c r="C1562" s="289" t="s">
        <v>2382</v>
      </c>
      <c r="D1562" s="289" t="s">
        <v>42</v>
      </c>
      <c r="E1562" s="289" t="s">
        <v>369</v>
      </c>
      <c r="F1562" s="289" t="b">
        <v>1</v>
      </c>
      <c r="G1562" s="287" t="b">
        <v>1</v>
      </c>
      <c r="H1562" s="287" t="s">
        <v>250</v>
      </c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</row>
    <row r="1563" ht="15.75" customHeight="1">
      <c r="B1563" s="289">
        <v>15624.0</v>
      </c>
      <c r="C1563" s="289" t="s">
        <v>2383</v>
      </c>
      <c r="D1563" s="289" t="s">
        <v>42</v>
      </c>
      <c r="E1563" s="289" t="s">
        <v>369</v>
      </c>
      <c r="F1563" s="289" t="b">
        <v>1</v>
      </c>
      <c r="G1563" s="287" t="b">
        <v>1</v>
      </c>
      <c r="H1563" s="287" t="s">
        <v>250</v>
      </c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</row>
    <row r="1564" ht="15.75" customHeight="1">
      <c r="B1564" s="289">
        <v>46179.0</v>
      </c>
      <c r="C1564" s="289" t="s">
        <v>2385</v>
      </c>
      <c r="D1564" s="289" t="s">
        <v>42</v>
      </c>
      <c r="E1564" s="289" t="s">
        <v>369</v>
      </c>
      <c r="F1564" s="289" t="b">
        <v>1</v>
      </c>
      <c r="G1564" s="287" t="b">
        <v>1</v>
      </c>
      <c r="H1564" s="287" t="s">
        <v>250</v>
      </c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</row>
    <row r="1565" ht="15.75" customHeight="1">
      <c r="B1565" s="289">
        <v>15496.0</v>
      </c>
      <c r="C1565" s="289" t="s">
        <v>2386</v>
      </c>
      <c r="D1565" s="289" t="s">
        <v>42</v>
      </c>
      <c r="E1565" s="289" t="s">
        <v>369</v>
      </c>
      <c r="F1565" s="289" t="b">
        <v>1</v>
      </c>
      <c r="G1565" s="287" t="b">
        <v>1</v>
      </c>
      <c r="H1565" s="287" t="s">
        <v>250</v>
      </c>
      <c r="I1565" s="52"/>
      <c r="J1565" s="52"/>
      <c r="K1565" s="52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</row>
    <row r="1566" ht="15.75" customHeight="1">
      <c r="B1566" s="289">
        <v>111864.0</v>
      </c>
      <c r="C1566" s="289" t="s">
        <v>2387</v>
      </c>
      <c r="D1566" s="289" t="s">
        <v>42</v>
      </c>
      <c r="E1566" s="289" t="s">
        <v>369</v>
      </c>
      <c r="F1566" s="289" t="b">
        <v>1</v>
      </c>
      <c r="G1566" s="287" t="b">
        <v>1</v>
      </c>
      <c r="H1566" s="287" t="s">
        <v>250</v>
      </c>
      <c r="I1566" s="52"/>
      <c r="J1566" s="52"/>
      <c r="K1566" s="52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</row>
    <row r="1567" ht="15.75" customHeight="1">
      <c r="B1567" s="289">
        <v>15497.0</v>
      </c>
      <c r="C1567" s="289" t="s">
        <v>2388</v>
      </c>
      <c r="D1567" s="289" t="s">
        <v>42</v>
      </c>
      <c r="E1567" s="289" t="s">
        <v>369</v>
      </c>
      <c r="F1567" s="289" t="b">
        <v>1</v>
      </c>
      <c r="G1567" s="287" t="b">
        <v>1</v>
      </c>
      <c r="H1567" s="287" t="s">
        <v>250</v>
      </c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</row>
    <row r="1568" ht="15.75" customHeight="1">
      <c r="B1568" s="289">
        <v>23714.0</v>
      </c>
      <c r="C1568" s="289" t="s">
        <v>2389</v>
      </c>
      <c r="D1568" s="289" t="s">
        <v>42</v>
      </c>
      <c r="E1568" s="289" t="s">
        <v>369</v>
      </c>
      <c r="F1568" s="289" t="b">
        <v>1</v>
      </c>
      <c r="G1568" s="287" t="b">
        <v>1</v>
      </c>
      <c r="H1568" s="287" t="s">
        <v>250</v>
      </c>
      <c r="I1568" s="52"/>
      <c r="J1568" s="52"/>
      <c r="K1568" s="52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</row>
    <row r="1569" ht="15.75" customHeight="1">
      <c r="B1569" s="289">
        <v>110088.0</v>
      </c>
      <c r="C1569" s="289" t="s">
        <v>2390</v>
      </c>
      <c r="D1569" s="289" t="s">
        <v>42</v>
      </c>
      <c r="E1569" s="289" t="s">
        <v>369</v>
      </c>
      <c r="F1569" s="289" t="b">
        <v>1</v>
      </c>
      <c r="G1569" s="287" t="b">
        <v>1</v>
      </c>
      <c r="H1569" s="287" t="s">
        <v>250</v>
      </c>
      <c r="I1569" s="52"/>
      <c r="J1569" s="52"/>
      <c r="K1569" s="52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</row>
    <row r="1570" ht="15.75" customHeight="1">
      <c r="B1570" s="289">
        <v>109763.0</v>
      </c>
      <c r="C1570" s="289" t="s">
        <v>2391</v>
      </c>
      <c r="D1570" s="289" t="s">
        <v>42</v>
      </c>
      <c r="E1570" s="289" t="s">
        <v>369</v>
      </c>
      <c r="F1570" s="289" t="b">
        <v>1</v>
      </c>
      <c r="G1570" s="287" t="b">
        <v>1</v>
      </c>
      <c r="H1570" s="287" t="s">
        <v>250</v>
      </c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</row>
    <row r="1571" ht="15.75" customHeight="1">
      <c r="B1571" s="289">
        <v>110913.0</v>
      </c>
      <c r="C1571" s="289" t="s">
        <v>2392</v>
      </c>
      <c r="D1571" s="289" t="s">
        <v>389</v>
      </c>
      <c r="E1571" s="289" t="s">
        <v>369</v>
      </c>
      <c r="F1571" s="289" t="b">
        <v>1</v>
      </c>
      <c r="G1571" s="287" t="b">
        <v>1</v>
      </c>
      <c r="H1571" s="287" t="s">
        <v>250</v>
      </c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</row>
    <row r="1572" ht="15.75" customHeight="1">
      <c r="B1572" s="289">
        <v>112615.0</v>
      </c>
      <c r="C1572" s="289" t="s">
        <v>2393</v>
      </c>
      <c r="D1572" s="289" t="s">
        <v>42</v>
      </c>
      <c r="E1572" s="289" t="s">
        <v>369</v>
      </c>
      <c r="F1572" s="289" t="b">
        <v>1</v>
      </c>
      <c r="G1572" s="287" t="b">
        <v>1</v>
      </c>
      <c r="H1572" s="287" t="s">
        <v>250</v>
      </c>
      <c r="I1572" s="52"/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</row>
    <row r="1573" ht="15.75" customHeight="1">
      <c r="B1573" s="289">
        <v>111047.0</v>
      </c>
      <c r="C1573" s="289" t="s">
        <v>2394</v>
      </c>
      <c r="D1573" s="289" t="s">
        <v>42</v>
      </c>
      <c r="E1573" s="289" t="s">
        <v>369</v>
      </c>
      <c r="F1573" s="289" t="b">
        <v>1</v>
      </c>
      <c r="G1573" s="287" t="b">
        <v>1</v>
      </c>
      <c r="H1573" s="287" t="s">
        <v>250</v>
      </c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</row>
    <row r="1574" ht="15.75" customHeight="1">
      <c r="B1574" s="289">
        <v>15501.0</v>
      </c>
      <c r="C1574" s="289" t="s">
        <v>2395</v>
      </c>
      <c r="D1574" s="289" t="s">
        <v>42</v>
      </c>
      <c r="E1574" s="289" t="s">
        <v>369</v>
      </c>
      <c r="F1574" s="289" t="b">
        <v>1</v>
      </c>
      <c r="G1574" s="287" t="b">
        <v>1</v>
      </c>
      <c r="H1574" s="287" t="s">
        <v>250</v>
      </c>
      <c r="I1574" s="52"/>
      <c r="J1574" s="52"/>
      <c r="K1574" s="52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</row>
    <row r="1575" ht="15.75" customHeight="1">
      <c r="B1575" s="289">
        <v>15504.0</v>
      </c>
      <c r="C1575" s="289" t="s">
        <v>2396</v>
      </c>
      <c r="D1575" s="289" t="s">
        <v>42</v>
      </c>
      <c r="E1575" s="289" t="s">
        <v>369</v>
      </c>
      <c r="F1575" s="289" t="b">
        <v>1</v>
      </c>
      <c r="G1575" s="287" t="b">
        <v>1</v>
      </c>
      <c r="H1575" s="287" t="s">
        <v>250</v>
      </c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</row>
    <row r="1576" ht="15.75" customHeight="1">
      <c r="B1576" s="289">
        <v>15502.0</v>
      </c>
      <c r="C1576" s="289" t="s">
        <v>2397</v>
      </c>
      <c r="D1576" s="289" t="s">
        <v>42</v>
      </c>
      <c r="E1576" s="289" t="s">
        <v>369</v>
      </c>
      <c r="F1576" s="289" t="b">
        <v>1</v>
      </c>
      <c r="G1576" s="287" t="b">
        <v>1</v>
      </c>
      <c r="H1576" s="287" t="s">
        <v>250</v>
      </c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</row>
    <row r="1577" ht="15.75" customHeight="1">
      <c r="B1577" s="289">
        <v>15577.0</v>
      </c>
      <c r="C1577" s="289" t="s">
        <v>2398</v>
      </c>
      <c r="D1577" s="289" t="s">
        <v>42</v>
      </c>
      <c r="E1577" s="289" t="s">
        <v>369</v>
      </c>
      <c r="F1577" s="289" t="b">
        <v>1</v>
      </c>
      <c r="G1577" s="287" t="b">
        <v>1</v>
      </c>
      <c r="H1577" s="287" t="s">
        <v>250</v>
      </c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</row>
    <row r="1578" ht="15.75" customHeight="1">
      <c r="B1578" s="289">
        <v>33604.0</v>
      </c>
      <c r="C1578" s="289" t="s">
        <v>2399</v>
      </c>
      <c r="D1578" s="289" t="s">
        <v>42</v>
      </c>
      <c r="E1578" s="289" t="s">
        <v>369</v>
      </c>
      <c r="F1578" s="289" t="b">
        <v>1</v>
      </c>
      <c r="G1578" s="287" t="b">
        <v>1</v>
      </c>
      <c r="H1578" s="287" t="s">
        <v>250</v>
      </c>
      <c r="I1578" s="52"/>
      <c r="J1578" s="52"/>
      <c r="K1578" s="52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</row>
    <row r="1579" ht="15.75" customHeight="1">
      <c r="B1579" s="289">
        <v>110075.0</v>
      </c>
      <c r="C1579" s="289" t="s">
        <v>2400</v>
      </c>
      <c r="D1579" s="289" t="s">
        <v>42</v>
      </c>
      <c r="E1579" s="289" t="s">
        <v>369</v>
      </c>
      <c r="F1579" s="289" t="b">
        <v>1</v>
      </c>
      <c r="G1579" s="287" t="b">
        <v>1</v>
      </c>
      <c r="H1579" s="287" t="s">
        <v>250</v>
      </c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</row>
    <row r="1580" ht="15.75" customHeight="1">
      <c r="B1580" s="289">
        <v>109751.0</v>
      </c>
      <c r="C1580" s="289" t="s">
        <v>2401</v>
      </c>
      <c r="D1580" s="289" t="s">
        <v>42</v>
      </c>
      <c r="E1580" s="289" t="s">
        <v>369</v>
      </c>
      <c r="F1580" s="289" t="b">
        <v>1</v>
      </c>
      <c r="G1580" s="287" t="b">
        <v>1</v>
      </c>
      <c r="H1580" s="287" t="s">
        <v>250</v>
      </c>
      <c r="I1580" s="52"/>
      <c r="J1580" s="52"/>
      <c r="K1580" s="52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</row>
    <row r="1581" ht="15.75" customHeight="1">
      <c r="B1581" s="289">
        <v>15513.0</v>
      </c>
      <c r="C1581" s="289" t="s">
        <v>2402</v>
      </c>
      <c r="D1581" s="289" t="s">
        <v>42</v>
      </c>
      <c r="E1581" s="289" t="s">
        <v>369</v>
      </c>
      <c r="F1581" s="289" t="b">
        <v>1</v>
      </c>
      <c r="G1581" s="287" t="b">
        <v>1</v>
      </c>
      <c r="H1581" s="287" t="s">
        <v>250</v>
      </c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</row>
    <row r="1582" ht="15.75" customHeight="1">
      <c r="B1582" s="289">
        <v>15510.0</v>
      </c>
      <c r="C1582" s="289" t="s">
        <v>2403</v>
      </c>
      <c r="D1582" s="289" t="s">
        <v>42</v>
      </c>
      <c r="E1582" s="289" t="s">
        <v>369</v>
      </c>
      <c r="F1582" s="289" t="b">
        <v>1</v>
      </c>
      <c r="G1582" s="287" t="b">
        <v>1</v>
      </c>
      <c r="H1582" s="287" t="s">
        <v>250</v>
      </c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</row>
    <row r="1583" ht="15.75" customHeight="1">
      <c r="B1583" s="289">
        <v>11856.0</v>
      </c>
      <c r="C1583" s="289" t="s">
        <v>2404</v>
      </c>
      <c r="D1583" s="289" t="s">
        <v>42</v>
      </c>
      <c r="E1583" s="289" t="s">
        <v>369</v>
      </c>
      <c r="F1583" s="289" t="b">
        <v>1</v>
      </c>
      <c r="G1583" s="287" t="b">
        <v>1</v>
      </c>
      <c r="H1583" s="287" t="s">
        <v>250</v>
      </c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</row>
    <row r="1584" ht="15.75" customHeight="1">
      <c r="B1584" s="289">
        <v>15507.0</v>
      </c>
      <c r="C1584" s="289" t="s">
        <v>2405</v>
      </c>
      <c r="D1584" s="289" t="s">
        <v>42</v>
      </c>
      <c r="E1584" s="289" t="s">
        <v>369</v>
      </c>
      <c r="F1584" s="289" t="b">
        <v>1</v>
      </c>
      <c r="G1584" s="287" t="b">
        <v>1</v>
      </c>
      <c r="H1584" s="287" t="s">
        <v>250</v>
      </c>
      <c r="I1584" s="52"/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</row>
    <row r="1585" ht="15.75" customHeight="1">
      <c r="B1585" s="289">
        <v>15516.0</v>
      </c>
      <c r="C1585" s="289" t="s">
        <v>2406</v>
      </c>
      <c r="D1585" s="289" t="s">
        <v>42</v>
      </c>
      <c r="E1585" s="289" t="s">
        <v>369</v>
      </c>
      <c r="F1585" s="289" t="b">
        <v>1</v>
      </c>
      <c r="G1585" s="287" t="b">
        <v>1</v>
      </c>
      <c r="H1585" s="287" t="s">
        <v>250</v>
      </c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</row>
    <row r="1586" ht="15.75" customHeight="1">
      <c r="B1586" s="289">
        <v>15469.0</v>
      </c>
      <c r="C1586" s="289" t="s">
        <v>2407</v>
      </c>
      <c r="D1586" s="289" t="s">
        <v>42</v>
      </c>
      <c r="E1586" s="289" t="s">
        <v>369</v>
      </c>
      <c r="F1586" s="289" t="b">
        <v>1</v>
      </c>
      <c r="G1586" s="287" t="b">
        <v>1</v>
      </c>
      <c r="H1586" s="287" t="s">
        <v>250</v>
      </c>
      <c r="I1586" s="52"/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</row>
    <row r="1587" ht="15.75" customHeight="1">
      <c r="B1587" s="289">
        <v>110065.0</v>
      </c>
      <c r="C1587" s="289" t="s">
        <v>2408</v>
      </c>
      <c r="D1587" s="289" t="s">
        <v>42</v>
      </c>
      <c r="E1587" s="289" t="s">
        <v>369</v>
      </c>
      <c r="F1587" s="289" t="b">
        <v>1</v>
      </c>
      <c r="G1587" s="287" t="b">
        <v>1</v>
      </c>
      <c r="H1587" s="287" t="s">
        <v>250</v>
      </c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</row>
    <row r="1588" ht="15.75" customHeight="1">
      <c r="B1588" s="289">
        <v>15518.0</v>
      </c>
      <c r="C1588" s="289" t="s">
        <v>2409</v>
      </c>
      <c r="D1588" s="289" t="s">
        <v>42</v>
      </c>
      <c r="E1588" s="289" t="s">
        <v>369</v>
      </c>
      <c r="F1588" s="289" t="b">
        <v>1</v>
      </c>
      <c r="G1588" s="287" t="b">
        <v>1</v>
      </c>
      <c r="H1588" s="287" t="s">
        <v>250</v>
      </c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</row>
    <row r="1589" ht="15.75" customHeight="1">
      <c r="B1589" s="289">
        <v>110054.0</v>
      </c>
      <c r="C1589" s="289" t="s">
        <v>2410</v>
      </c>
      <c r="D1589" s="289" t="s">
        <v>42</v>
      </c>
      <c r="E1589" s="289" t="s">
        <v>369</v>
      </c>
      <c r="F1589" s="289" t="b">
        <v>1</v>
      </c>
      <c r="G1589" s="287" t="b">
        <v>1</v>
      </c>
      <c r="H1589" s="287" t="s">
        <v>250</v>
      </c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</row>
    <row r="1590" ht="15.75" customHeight="1">
      <c r="B1590" s="289">
        <v>24185.0</v>
      </c>
      <c r="C1590" s="289" t="s">
        <v>2411</v>
      </c>
      <c r="D1590" s="289" t="s">
        <v>42</v>
      </c>
      <c r="E1590" s="289" t="s">
        <v>369</v>
      </c>
      <c r="F1590" s="289" t="b">
        <v>1</v>
      </c>
      <c r="G1590" s="287" t="b">
        <v>1</v>
      </c>
      <c r="H1590" s="287" t="s">
        <v>250</v>
      </c>
      <c r="I1590" s="52"/>
      <c r="J1590" s="52"/>
      <c r="K1590" s="52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</row>
    <row r="1591" ht="15.75" customHeight="1">
      <c r="B1591" s="289">
        <v>148489.0</v>
      </c>
      <c r="C1591" s="289" t="s">
        <v>724</v>
      </c>
      <c r="D1591" s="289" t="s">
        <v>42</v>
      </c>
      <c r="E1591" s="289" t="s">
        <v>369</v>
      </c>
      <c r="F1591" s="289" t="b">
        <v>1</v>
      </c>
      <c r="G1591" s="287" t="b">
        <v>1</v>
      </c>
      <c r="H1591" s="287" t="s">
        <v>250</v>
      </c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</row>
    <row r="1592" ht="15.75" customHeight="1">
      <c r="B1592" s="289">
        <v>106885.0</v>
      </c>
      <c r="C1592" s="289" t="s">
        <v>2412</v>
      </c>
      <c r="D1592" s="289" t="s">
        <v>389</v>
      </c>
      <c r="E1592" s="289" t="s">
        <v>369</v>
      </c>
      <c r="F1592" s="289" t="b">
        <v>1</v>
      </c>
      <c r="G1592" s="287" t="b">
        <v>1</v>
      </c>
      <c r="H1592" s="287" t="s">
        <v>250</v>
      </c>
      <c r="I1592" s="52"/>
      <c r="J1592" s="52"/>
      <c r="K1592" s="52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</row>
    <row r="1593" ht="15.75" customHeight="1">
      <c r="B1593" s="289">
        <v>61705.0</v>
      </c>
      <c r="C1593" s="289" t="s">
        <v>2413</v>
      </c>
      <c r="D1593" s="289" t="s">
        <v>42</v>
      </c>
      <c r="E1593" s="289" t="s">
        <v>369</v>
      </c>
      <c r="F1593" s="289" t="b">
        <v>1</v>
      </c>
      <c r="G1593" s="287" t="b">
        <v>1</v>
      </c>
      <c r="H1593" s="287" t="s">
        <v>2414</v>
      </c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</row>
    <row r="1594" ht="15.75" customHeight="1">
      <c r="B1594" s="289">
        <v>15522.0</v>
      </c>
      <c r="C1594" s="289" t="s">
        <v>2415</v>
      </c>
      <c r="D1594" s="289" t="s">
        <v>42</v>
      </c>
      <c r="E1594" s="289" t="s">
        <v>369</v>
      </c>
      <c r="F1594" s="289" t="b">
        <v>1</v>
      </c>
      <c r="G1594" s="287" t="b">
        <v>1</v>
      </c>
      <c r="H1594" s="287" t="s">
        <v>250</v>
      </c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</row>
    <row r="1595" ht="15.75" customHeight="1">
      <c r="B1595" s="289">
        <v>110066.0</v>
      </c>
      <c r="C1595" s="289" t="s">
        <v>2416</v>
      </c>
      <c r="D1595" s="289" t="s">
        <v>42</v>
      </c>
      <c r="E1595" s="289" t="s">
        <v>369</v>
      </c>
      <c r="F1595" s="289" t="b">
        <v>1</v>
      </c>
      <c r="G1595" s="287" t="b">
        <v>1</v>
      </c>
      <c r="H1595" s="287" t="s">
        <v>250</v>
      </c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</row>
    <row r="1596" ht="15.75" customHeight="1">
      <c r="B1596" s="289">
        <v>18613.0</v>
      </c>
      <c r="C1596" s="289" t="s">
        <v>2417</v>
      </c>
      <c r="D1596" s="289" t="s">
        <v>42</v>
      </c>
      <c r="E1596" s="289" t="s">
        <v>369</v>
      </c>
      <c r="F1596" s="289" t="b">
        <v>1</v>
      </c>
      <c r="G1596" s="287" t="b">
        <v>1</v>
      </c>
      <c r="H1596" s="287" t="s">
        <v>250</v>
      </c>
      <c r="I1596" s="52"/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</row>
    <row r="1597" ht="15.75" customHeight="1">
      <c r="B1597" s="289">
        <v>15525.0</v>
      </c>
      <c r="C1597" s="289" t="s">
        <v>2419</v>
      </c>
      <c r="D1597" s="289" t="s">
        <v>42</v>
      </c>
      <c r="E1597" s="289" t="s">
        <v>369</v>
      </c>
      <c r="F1597" s="289" t="b">
        <v>1</v>
      </c>
      <c r="G1597" s="287" t="b">
        <v>1</v>
      </c>
      <c r="H1597" s="287" t="s">
        <v>250</v>
      </c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</row>
    <row r="1598" ht="15.75" customHeight="1">
      <c r="B1598" s="289">
        <v>15145.0</v>
      </c>
      <c r="C1598" s="289" t="s">
        <v>2420</v>
      </c>
      <c r="D1598" s="289" t="s">
        <v>42</v>
      </c>
      <c r="E1598" s="289" t="s">
        <v>369</v>
      </c>
      <c r="F1598" s="289" t="b">
        <v>1</v>
      </c>
      <c r="G1598" s="287" t="b">
        <v>1</v>
      </c>
      <c r="H1598" s="287" t="s">
        <v>250</v>
      </c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</row>
    <row r="1599" ht="15.75" customHeight="1">
      <c r="B1599" s="289">
        <v>110912.0</v>
      </c>
      <c r="C1599" s="289" t="s">
        <v>2421</v>
      </c>
      <c r="D1599" s="289" t="s">
        <v>42</v>
      </c>
      <c r="E1599" s="289" t="s">
        <v>369</v>
      </c>
      <c r="F1599" s="289" t="b">
        <v>1</v>
      </c>
      <c r="G1599" s="287" t="b">
        <v>1</v>
      </c>
      <c r="H1599" s="287" t="s">
        <v>250</v>
      </c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</row>
    <row r="1600" ht="15.75" customHeight="1">
      <c r="B1600" s="289">
        <v>110903.0</v>
      </c>
      <c r="C1600" s="289" t="s">
        <v>2423</v>
      </c>
      <c r="D1600" s="289" t="s">
        <v>42</v>
      </c>
      <c r="E1600" s="289" t="s">
        <v>369</v>
      </c>
      <c r="F1600" s="289" t="b">
        <v>1</v>
      </c>
      <c r="G1600" s="287" t="b">
        <v>1</v>
      </c>
      <c r="H1600" s="287" t="s">
        <v>250</v>
      </c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</row>
    <row r="1601" ht="15.75" customHeight="1">
      <c r="B1601" s="289">
        <v>148485.0</v>
      </c>
      <c r="C1601" s="289" t="s">
        <v>2424</v>
      </c>
      <c r="D1601" s="289" t="s">
        <v>289</v>
      </c>
      <c r="E1601" s="289" t="s">
        <v>369</v>
      </c>
      <c r="F1601" s="289" t="b">
        <v>1</v>
      </c>
      <c r="G1601" s="287" t="b">
        <v>1</v>
      </c>
      <c r="H1601" s="287" t="s">
        <v>250</v>
      </c>
      <c r="I1601" s="52"/>
      <c r="J1601" s="52"/>
      <c r="K1601" s="52"/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</row>
    <row r="1602" ht="15.75" customHeight="1">
      <c r="B1602" s="289">
        <v>15528.0</v>
      </c>
      <c r="C1602" s="289" t="s">
        <v>2425</v>
      </c>
      <c r="D1602" s="289" t="s">
        <v>42</v>
      </c>
      <c r="E1602" s="289" t="s">
        <v>369</v>
      </c>
      <c r="F1602" s="289" t="b">
        <v>1</v>
      </c>
      <c r="G1602" s="287" t="b">
        <v>1</v>
      </c>
      <c r="H1602" s="287" t="s">
        <v>250</v>
      </c>
      <c r="I1602" s="52"/>
      <c r="J1602" s="52"/>
      <c r="K1602" s="52"/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</row>
    <row r="1603" ht="15.75" customHeight="1">
      <c r="B1603" s="289">
        <v>110072.0</v>
      </c>
      <c r="C1603" s="289" t="s">
        <v>2426</v>
      </c>
      <c r="D1603" s="289" t="s">
        <v>42</v>
      </c>
      <c r="E1603" s="289" t="s">
        <v>369</v>
      </c>
      <c r="F1603" s="289" t="b">
        <v>1</v>
      </c>
      <c r="G1603" s="287" t="b">
        <v>1</v>
      </c>
      <c r="H1603" s="287" t="s">
        <v>250</v>
      </c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</row>
    <row r="1604" ht="15.75" customHeight="1">
      <c r="B1604" s="289">
        <v>15530.0</v>
      </c>
      <c r="C1604" s="289" t="s">
        <v>2427</v>
      </c>
      <c r="D1604" s="289" t="s">
        <v>349</v>
      </c>
      <c r="E1604" s="289" t="s">
        <v>369</v>
      </c>
      <c r="F1604" s="289" t="b">
        <v>1</v>
      </c>
      <c r="G1604" s="287" t="b">
        <v>1</v>
      </c>
      <c r="H1604" s="287" t="s">
        <v>250</v>
      </c>
      <c r="I1604" s="52"/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</row>
    <row r="1605" ht="15.75" customHeight="1">
      <c r="B1605" s="289">
        <v>11729.0</v>
      </c>
      <c r="C1605" s="289" t="s">
        <v>2428</v>
      </c>
      <c r="D1605" s="289" t="s">
        <v>42</v>
      </c>
      <c r="E1605" s="289" t="s">
        <v>369</v>
      </c>
      <c r="F1605" s="289" t="b">
        <v>1</v>
      </c>
      <c r="G1605" s="287" t="b">
        <v>1</v>
      </c>
      <c r="H1605" s="287" t="s">
        <v>1251</v>
      </c>
      <c r="I1605" s="52"/>
      <c r="J1605" s="52"/>
      <c r="K1605" s="52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</row>
    <row r="1606" ht="15.75" customHeight="1">
      <c r="B1606" s="289">
        <v>15531.0</v>
      </c>
      <c r="C1606" s="289" t="s">
        <v>2429</v>
      </c>
      <c r="D1606" s="289" t="s">
        <v>42</v>
      </c>
      <c r="E1606" s="289" t="s">
        <v>369</v>
      </c>
      <c r="F1606" s="289" t="b">
        <v>1</v>
      </c>
      <c r="G1606" s="287" t="b">
        <v>1</v>
      </c>
      <c r="H1606" s="287" t="s">
        <v>250</v>
      </c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</row>
    <row r="1607" ht="15.75" customHeight="1">
      <c r="B1607" s="289">
        <v>15571.0</v>
      </c>
      <c r="C1607" s="289" t="s">
        <v>2430</v>
      </c>
      <c r="D1607" s="289" t="s">
        <v>42</v>
      </c>
      <c r="E1607" s="289" t="s">
        <v>369</v>
      </c>
      <c r="F1607" s="289" t="b">
        <v>1</v>
      </c>
      <c r="G1607" s="287" t="b">
        <v>1</v>
      </c>
      <c r="H1607" s="287" t="s">
        <v>250</v>
      </c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</row>
    <row r="1608" ht="15.75" customHeight="1">
      <c r="B1608" s="289">
        <v>109755.0</v>
      </c>
      <c r="C1608" s="289" t="s">
        <v>2431</v>
      </c>
      <c r="D1608" s="289" t="s">
        <v>42</v>
      </c>
      <c r="E1608" s="289" t="s">
        <v>369</v>
      </c>
      <c r="F1608" s="289" t="b">
        <v>1</v>
      </c>
      <c r="G1608" s="287" t="b">
        <v>1</v>
      </c>
      <c r="H1608" s="287" t="s">
        <v>250</v>
      </c>
      <c r="I1608" s="52"/>
      <c r="J1608" s="52"/>
      <c r="K1608" s="52"/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</row>
    <row r="1609" ht="15.75" customHeight="1">
      <c r="B1609" s="289">
        <v>15575.0</v>
      </c>
      <c r="C1609" s="289" t="s">
        <v>2432</v>
      </c>
      <c r="D1609" s="289" t="s">
        <v>42</v>
      </c>
      <c r="E1609" s="289" t="s">
        <v>369</v>
      </c>
      <c r="F1609" s="289" t="b">
        <v>1</v>
      </c>
      <c r="G1609" s="287" t="b">
        <v>1</v>
      </c>
      <c r="H1609" s="287" t="s">
        <v>250</v>
      </c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</row>
    <row r="1610" ht="15.75" customHeight="1">
      <c r="B1610" s="289">
        <v>15537.0</v>
      </c>
      <c r="C1610" s="289" t="s">
        <v>2433</v>
      </c>
      <c r="D1610" s="289" t="s">
        <v>42</v>
      </c>
      <c r="E1610" s="289" t="s">
        <v>369</v>
      </c>
      <c r="F1610" s="289" t="b">
        <v>1</v>
      </c>
      <c r="G1610" s="287" t="b">
        <v>1</v>
      </c>
      <c r="H1610" s="287" t="s">
        <v>2434</v>
      </c>
      <c r="I1610" s="52"/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</row>
    <row r="1611" ht="15.75" customHeight="1">
      <c r="B1611" s="289">
        <v>15534.0</v>
      </c>
      <c r="C1611" s="289" t="s">
        <v>2435</v>
      </c>
      <c r="D1611" s="289" t="s">
        <v>42</v>
      </c>
      <c r="E1611" s="289" t="s">
        <v>369</v>
      </c>
      <c r="F1611" s="289" t="b">
        <v>1</v>
      </c>
      <c r="G1611" s="287" t="b">
        <v>1</v>
      </c>
      <c r="H1611" s="287" t="s">
        <v>250</v>
      </c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</row>
    <row r="1612" ht="15.75" customHeight="1">
      <c r="B1612" s="289">
        <v>109765.0</v>
      </c>
      <c r="C1612" s="289" t="s">
        <v>2436</v>
      </c>
      <c r="D1612" s="289" t="s">
        <v>42</v>
      </c>
      <c r="E1612" s="289" t="s">
        <v>369</v>
      </c>
      <c r="F1612" s="289" t="b">
        <v>1</v>
      </c>
      <c r="G1612" s="287" t="b">
        <v>1</v>
      </c>
      <c r="H1612" s="287" t="s">
        <v>250</v>
      </c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</row>
    <row r="1613" ht="15.75" customHeight="1">
      <c r="B1613" s="289">
        <v>110073.0</v>
      </c>
      <c r="C1613" s="289" t="s">
        <v>2738</v>
      </c>
      <c r="D1613" s="289" t="s">
        <v>42</v>
      </c>
      <c r="E1613" s="289" t="s">
        <v>369</v>
      </c>
      <c r="F1613" s="289" t="b">
        <v>1</v>
      </c>
      <c r="G1613" s="287" t="b">
        <v>1</v>
      </c>
      <c r="H1613" s="287" t="s">
        <v>250</v>
      </c>
      <c r="I1613" s="52"/>
      <c r="J1613" s="52"/>
      <c r="K1613" s="52"/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</row>
    <row r="1614" ht="15.75" customHeight="1">
      <c r="B1614" s="289">
        <v>105771.0</v>
      </c>
      <c r="C1614" s="289" t="s">
        <v>2739</v>
      </c>
      <c r="D1614" s="289" t="s">
        <v>42</v>
      </c>
      <c r="E1614" s="289" t="s">
        <v>369</v>
      </c>
      <c r="F1614" s="289" t="b">
        <v>1</v>
      </c>
      <c r="G1614" s="287" t="b">
        <v>1</v>
      </c>
      <c r="H1614" s="287" t="s">
        <v>250</v>
      </c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</row>
    <row r="1615" ht="15.75" customHeight="1">
      <c r="B1615" s="289">
        <v>35223.0</v>
      </c>
      <c r="C1615" s="289" t="s">
        <v>2439</v>
      </c>
      <c r="D1615" s="289" t="s">
        <v>42</v>
      </c>
      <c r="E1615" s="289" t="s">
        <v>369</v>
      </c>
      <c r="F1615" s="289" t="b">
        <v>1</v>
      </c>
      <c r="G1615" s="287" t="b">
        <v>1</v>
      </c>
      <c r="H1615" s="287" t="s">
        <v>250</v>
      </c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</row>
    <row r="1616" ht="15.75" customHeight="1">
      <c r="B1616" s="289">
        <v>15568.0</v>
      </c>
      <c r="C1616" s="289" t="s">
        <v>2440</v>
      </c>
      <c r="D1616" s="289" t="s">
        <v>42</v>
      </c>
      <c r="E1616" s="289" t="s">
        <v>369</v>
      </c>
      <c r="F1616" s="289" t="b">
        <v>1</v>
      </c>
      <c r="G1616" s="287" t="b">
        <v>1</v>
      </c>
      <c r="H1616" s="287" t="s">
        <v>250</v>
      </c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</row>
    <row r="1617" ht="15.75" customHeight="1">
      <c r="B1617" s="289">
        <v>102794.0</v>
      </c>
      <c r="C1617" s="289" t="s">
        <v>2740</v>
      </c>
      <c r="D1617" s="289" t="s">
        <v>42</v>
      </c>
      <c r="E1617" s="289" t="s">
        <v>369</v>
      </c>
      <c r="F1617" s="289" t="b">
        <v>1</v>
      </c>
      <c r="G1617" s="287" t="b">
        <v>1</v>
      </c>
      <c r="H1617" s="287" t="s">
        <v>250</v>
      </c>
      <c r="I1617" s="52"/>
      <c r="J1617" s="52"/>
      <c r="K1617" s="52"/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</row>
    <row r="1618" ht="15.75" customHeight="1">
      <c r="B1618" s="289">
        <v>15539.0</v>
      </c>
      <c r="C1618" s="289" t="s">
        <v>2442</v>
      </c>
      <c r="D1618" s="289" t="s">
        <v>42</v>
      </c>
      <c r="E1618" s="289" t="s">
        <v>369</v>
      </c>
      <c r="F1618" s="289" t="b">
        <v>1</v>
      </c>
      <c r="G1618" s="287" t="b">
        <v>1</v>
      </c>
      <c r="H1618" s="287" t="s">
        <v>250</v>
      </c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</row>
    <row r="1619" ht="15.75" customHeight="1">
      <c r="B1619" s="289">
        <v>110101.0</v>
      </c>
      <c r="C1619" s="289" t="s">
        <v>2443</v>
      </c>
      <c r="D1619" s="289" t="s">
        <v>972</v>
      </c>
      <c r="E1619" s="289" t="s">
        <v>369</v>
      </c>
      <c r="F1619" s="289" t="b">
        <v>1</v>
      </c>
      <c r="G1619" s="287" t="b">
        <v>1</v>
      </c>
      <c r="H1619" s="287" t="s">
        <v>250</v>
      </c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</row>
    <row r="1620" ht="15.75" customHeight="1">
      <c r="B1620" s="289">
        <v>15542.0</v>
      </c>
      <c r="C1620" s="289" t="s">
        <v>2444</v>
      </c>
      <c r="D1620" s="289" t="s">
        <v>42</v>
      </c>
      <c r="E1620" s="289" t="s">
        <v>369</v>
      </c>
      <c r="F1620" s="289" t="b">
        <v>1</v>
      </c>
      <c r="G1620" s="287" t="b">
        <v>1</v>
      </c>
      <c r="H1620" s="287" t="s">
        <v>250</v>
      </c>
      <c r="I1620" s="52"/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</row>
    <row r="1621" ht="15.75" customHeight="1">
      <c r="B1621" s="289">
        <v>24182.0</v>
      </c>
      <c r="C1621" s="289" t="s">
        <v>2446</v>
      </c>
      <c r="D1621" s="289" t="s">
        <v>42</v>
      </c>
      <c r="E1621" s="289" t="s">
        <v>369</v>
      </c>
      <c r="F1621" s="289" t="b">
        <v>1</v>
      </c>
      <c r="G1621" s="287" t="b">
        <v>1</v>
      </c>
      <c r="H1621" s="287" t="s">
        <v>2741</v>
      </c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</row>
    <row r="1622" ht="15.75" customHeight="1">
      <c r="B1622" s="289">
        <v>15429.0</v>
      </c>
      <c r="C1622" s="289" t="s">
        <v>2448</v>
      </c>
      <c r="D1622" s="289" t="s">
        <v>42</v>
      </c>
      <c r="E1622" s="289" t="s">
        <v>369</v>
      </c>
      <c r="F1622" s="289" t="b">
        <v>1</v>
      </c>
      <c r="G1622" s="287" t="b">
        <v>1</v>
      </c>
      <c r="H1622" s="287" t="s">
        <v>250</v>
      </c>
      <c r="I1622" s="52"/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</row>
    <row r="1623" ht="15.75" customHeight="1">
      <c r="B1623" s="289">
        <v>111119.0</v>
      </c>
      <c r="C1623" s="289" t="s">
        <v>2449</v>
      </c>
      <c r="D1623" s="289" t="s">
        <v>42</v>
      </c>
      <c r="E1623" s="289" t="s">
        <v>369</v>
      </c>
      <c r="F1623" s="289" t="b">
        <v>1</v>
      </c>
      <c r="G1623" s="287" t="b">
        <v>1</v>
      </c>
      <c r="H1623" s="287" t="s">
        <v>250</v>
      </c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</row>
    <row r="1624" ht="15.75" customHeight="1">
      <c r="B1624" s="289">
        <v>15543.0</v>
      </c>
      <c r="C1624" s="289" t="s">
        <v>2451</v>
      </c>
      <c r="D1624" s="289" t="s">
        <v>42</v>
      </c>
      <c r="E1624" s="289" t="s">
        <v>369</v>
      </c>
      <c r="F1624" s="289" t="b">
        <v>1</v>
      </c>
      <c r="G1624" s="287" t="b">
        <v>1</v>
      </c>
      <c r="H1624" s="287" t="s">
        <v>250</v>
      </c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</row>
    <row r="1625" ht="15.75" customHeight="1">
      <c r="B1625" s="289">
        <v>15438.0</v>
      </c>
      <c r="C1625" s="289" t="s">
        <v>2452</v>
      </c>
      <c r="D1625" s="289" t="s">
        <v>42</v>
      </c>
      <c r="E1625" s="289" t="s">
        <v>369</v>
      </c>
      <c r="F1625" s="289" t="b">
        <v>1</v>
      </c>
      <c r="G1625" s="287" t="b">
        <v>1</v>
      </c>
      <c r="H1625" s="287" t="s">
        <v>250</v>
      </c>
      <c r="I1625" s="52"/>
      <c r="J1625" s="52"/>
      <c r="K1625" s="52"/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</row>
    <row r="1626" ht="15.75" customHeight="1">
      <c r="B1626" s="289">
        <v>15431.0</v>
      </c>
      <c r="C1626" s="289" t="s">
        <v>2453</v>
      </c>
      <c r="D1626" s="289" t="s">
        <v>42</v>
      </c>
      <c r="E1626" s="289" t="s">
        <v>369</v>
      </c>
      <c r="F1626" s="289" t="b">
        <v>1</v>
      </c>
      <c r="G1626" s="287" t="b">
        <v>1</v>
      </c>
      <c r="H1626" s="287" t="s">
        <v>250</v>
      </c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</row>
    <row r="1627" ht="15.75" customHeight="1">
      <c r="B1627" s="289">
        <v>111175.0</v>
      </c>
      <c r="C1627" s="289" t="s">
        <v>2454</v>
      </c>
      <c r="D1627" s="289" t="s">
        <v>972</v>
      </c>
      <c r="E1627" s="289" t="s">
        <v>369</v>
      </c>
      <c r="F1627" s="289" t="b">
        <v>1</v>
      </c>
      <c r="G1627" s="287" t="b">
        <v>1</v>
      </c>
      <c r="H1627" s="287" t="s">
        <v>250</v>
      </c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</row>
    <row r="1628" ht="15.75" customHeight="1">
      <c r="B1628" s="289">
        <v>30024.0</v>
      </c>
      <c r="C1628" s="289" t="s">
        <v>2455</v>
      </c>
      <c r="D1628" s="289" t="s">
        <v>389</v>
      </c>
      <c r="E1628" s="289" t="s">
        <v>369</v>
      </c>
      <c r="F1628" s="289" t="b">
        <v>1</v>
      </c>
      <c r="G1628" s="287" t="b">
        <v>1</v>
      </c>
      <c r="H1628" s="287" t="s">
        <v>2456</v>
      </c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</row>
    <row r="1629" ht="15.75" customHeight="1">
      <c r="B1629" s="289">
        <v>15433.0</v>
      </c>
      <c r="C1629" s="289" t="s">
        <v>2457</v>
      </c>
      <c r="D1629" s="289" t="s">
        <v>42</v>
      </c>
      <c r="E1629" s="289" t="s">
        <v>369</v>
      </c>
      <c r="F1629" s="289" t="b">
        <v>1</v>
      </c>
      <c r="G1629" s="287" t="b">
        <v>1</v>
      </c>
      <c r="H1629" s="287" t="s">
        <v>250</v>
      </c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</row>
    <row r="1630" ht="15.75" customHeight="1">
      <c r="B1630" s="289">
        <v>15478.0</v>
      </c>
      <c r="C1630" s="289" t="s">
        <v>2458</v>
      </c>
      <c r="D1630" s="289" t="s">
        <v>42</v>
      </c>
      <c r="E1630" s="289" t="s">
        <v>369</v>
      </c>
      <c r="F1630" s="289" t="b">
        <v>1</v>
      </c>
      <c r="G1630" s="287" t="b">
        <v>1</v>
      </c>
      <c r="H1630" s="287" t="s">
        <v>250</v>
      </c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</row>
    <row r="1631" ht="15.75" customHeight="1">
      <c r="B1631" s="289">
        <v>15434.0</v>
      </c>
      <c r="C1631" s="289" t="s">
        <v>2459</v>
      </c>
      <c r="D1631" s="289" t="s">
        <v>42</v>
      </c>
      <c r="E1631" s="289" t="s">
        <v>369</v>
      </c>
      <c r="F1631" s="289" t="b">
        <v>1</v>
      </c>
      <c r="G1631" s="287" t="b">
        <v>1</v>
      </c>
      <c r="H1631" s="287" t="s">
        <v>250</v>
      </c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</row>
    <row r="1632" ht="15.75" customHeight="1">
      <c r="B1632" s="289">
        <v>15436.0</v>
      </c>
      <c r="C1632" s="289" t="s">
        <v>2460</v>
      </c>
      <c r="D1632" s="289" t="s">
        <v>42</v>
      </c>
      <c r="E1632" s="289" t="s">
        <v>369</v>
      </c>
      <c r="F1632" s="289" t="b">
        <v>1</v>
      </c>
      <c r="G1632" s="287" t="b">
        <v>1</v>
      </c>
      <c r="H1632" s="287" t="s">
        <v>250</v>
      </c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</row>
    <row r="1633" ht="15.75" customHeight="1">
      <c r="B1633" s="289">
        <v>15447.0</v>
      </c>
      <c r="C1633" s="289" t="s">
        <v>2461</v>
      </c>
      <c r="D1633" s="289" t="s">
        <v>42</v>
      </c>
      <c r="E1633" s="289" t="s">
        <v>369</v>
      </c>
      <c r="F1633" s="289" t="b">
        <v>1</v>
      </c>
      <c r="G1633" s="287" t="b">
        <v>1</v>
      </c>
      <c r="H1633" s="287" t="s">
        <v>250</v>
      </c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</row>
    <row r="1634" ht="15.75" customHeight="1">
      <c r="B1634" s="289">
        <v>15500.0</v>
      </c>
      <c r="C1634" s="289" t="s">
        <v>2462</v>
      </c>
      <c r="D1634" s="289" t="s">
        <v>42</v>
      </c>
      <c r="E1634" s="289" t="s">
        <v>369</v>
      </c>
      <c r="F1634" s="289" t="b">
        <v>1</v>
      </c>
      <c r="G1634" s="287" t="b">
        <v>1</v>
      </c>
      <c r="H1634" s="287" t="s">
        <v>250</v>
      </c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</row>
    <row r="1635" ht="15.75" customHeight="1">
      <c r="B1635" s="289">
        <v>111808.0</v>
      </c>
      <c r="C1635" s="289" t="s">
        <v>2463</v>
      </c>
      <c r="D1635" s="289" t="s">
        <v>972</v>
      </c>
      <c r="E1635" s="289" t="s">
        <v>369</v>
      </c>
      <c r="F1635" s="289" t="b">
        <v>1</v>
      </c>
      <c r="G1635" s="287" t="b">
        <v>1</v>
      </c>
      <c r="H1635" s="287" t="s">
        <v>250</v>
      </c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</row>
    <row r="1636" ht="15.75" customHeight="1">
      <c r="B1636" s="289">
        <v>11838.0</v>
      </c>
      <c r="C1636" s="289" t="s">
        <v>2464</v>
      </c>
      <c r="D1636" s="289" t="s">
        <v>42</v>
      </c>
      <c r="E1636" s="289" t="s">
        <v>369</v>
      </c>
      <c r="F1636" s="289" t="b">
        <v>1</v>
      </c>
      <c r="G1636" s="287" t="b">
        <v>1</v>
      </c>
      <c r="H1636" s="287" t="s">
        <v>250</v>
      </c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</row>
    <row r="1637" ht="15.75" customHeight="1">
      <c r="B1637" s="289">
        <v>15427.0</v>
      </c>
      <c r="C1637" s="289" t="s">
        <v>2465</v>
      </c>
      <c r="D1637" s="289" t="s">
        <v>42</v>
      </c>
      <c r="E1637" s="289" t="s">
        <v>369</v>
      </c>
      <c r="F1637" s="289" t="b">
        <v>1</v>
      </c>
      <c r="G1637" s="287" t="b">
        <v>1</v>
      </c>
      <c r="H1637" s="287" t="s">
        <v>250</v>
      </c>
      <c r="I1637" s="52"/>
      <c r="J1637" s="52"/>
      <c r="K1637" s="52"/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</row>
    <row r="1638" ht="15.75" customHeight="1">
      <c r="B1638" s="289">
        <v>15444.0</v>
      </c>
      <c r="C1638" s="289" t="s">
        <v>2466</v>
      </c>
      <c r="D1638" s="289" t="s">
        <v>42</v>
      </c>
      <c r="E1638" s="289" t="s">
        <v>369</v>
      </c>
      <c r="F1638" s="289" t="b">
        <v>1</v>
      </c>
      <c r="G1638" s="287" t="b">
        <v>1</v>
      </c>
      <c r="H1638" s="287" t="s">
        <v>250</v>
      </c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</row>
    <row r="1639" ht="15.75" customHeight="1">
      <c r="B1639" s="289">
        <v>11842.0</v>
      </c>
      <c r="C1639" s="289" t="s">
        <v>2467</v>
      </c>
      <c r="D1639" s="289" t="s">
        <v>42</v>
      </c>
      <c r="E1639" s="289" t="s">
        <v>369</v>
      </c>
      <c r="F1639" s="289" t="b">
        <v>1</v>
      </c>
      <c r="G1639" s="287" t="b">
        <v>1</v>
      </c>
      <c r="H1639" s="287" t="s">
        <v>250</v>
      </c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</row>
    <row r="1640" ht="15.75" customHeight="1">
      <c r="B1640" s="289">
        <v>15442.0</v>
      </c>
      <c r="C1640" s="289" t="s">
        <v>2468</v>
      </c>
      <c r="D1640" s="289" t="s">
        <v>42</v>
      </c>
      <c r="E1640" s="289" t="s">
        <v>369</v>
      </c>
      <c r="F1640" s="289" t="b">
        <v>1</v>
      </c>
      <c r="G1640" s="287" t="b">
        <v>1</v>
      </c>
      <c r="H1640" s="287" t="s">
        <v>250</v>
      </c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</row>
    <row r="1641" ht="15.75" customHeight="1">
      <c r="B1641" s="289">
        <v>15446.0</v>
      </c>
      <c r="C1641" s="289" t="s">
        <v>2469</v>
      </c>
      <c r="D1641" s="289" t="s">
        <v>42</v>
      </c>
      <c r="E1641" s="289" t="s">
        <v>369</v>
      </c>
      <c r="F1641" s="289" t="b">
        <v>1</v>
      </c>
      <c r="G1641" s="287" t="b">
        <v>1</v>
      </c>
      <c r="H1641" s="287" t="s">
        <v>250</v>
      </c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</row>
    <row r="1642" ht="15.75" customHeight="1">
      <c r="B1642" s="289">
        <v>15540.0</v>
      </c>
      <c r="C1642" s="289" t="s">
        <v>2470</v>
      </c>
      <c r="D1642" s="289" t="s">
        <v>42</v>
      </c>
      <c r="E1642" s="289" t="s">
        <v>369</v>
      </c>
      <c r="F1642" s="289" t="b">
        <v>1</v>
      </c>
      <c r="G1642" s="287" t="b">
        <v>1</v>
      </c>
      <c r="H1642" s="287" t="s">
        <v>250</v>
      </c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</row>
    <row r="1643" ht="15.75" customHeight="1">
      <c r="B1643" s="289">
        <v>148644.0</v>
      </c>
      <c r="C1643" s="289" t="s">
        <v>2742</v>
      </c>
      <c r="D1643" s="289" t="s">
        <v>289</v>
      </c>
      <c r="E1643" s="289" t="s">
        <v>518</v>
      </c>
      <c r="F1643" s="289" t="b">
        <v>1</v>
      </c>
      <c r="G1643" s="287" t="b">
        <v>0</v>
      </c>
      <c r="H1643" s="287" t="s">
        <v>2743</v>
      </c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</row>
    <row r="1644" ht="15.75" customHeight="1">
      <c r="B1644" s="289">
        <v>24431.0</v>
      </c>
      <c r="C1644" s="289" t="s">
        <v>2474</v>
      </c>
      <c r="D1644" s="289" t="s">
        <v>2744</v>
      </c>
      <c r="E1644" s="289" t="s">
        <v>249</v>
      </c>
      <c r="F1644" s="289" t="b">
        <v>1</v>
      </c>
      <c r="G1644" s="287" t="b">
        <v>1</v>
      </c>
      <c r="H1644" s="287" t="s">
        <v>250</v>
      </c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</row>
    <row r="1645" ht="15.75" customHeight="1">
      <c r="B1645" s="289">
        <v>14831.0</v>
      </c>
      <c r="C1645" s="289" t="s">
        <v>2476</v>
      </c>
      <c r="D1645" s="289" t="s">
        <v>42</v>
      </c>
      <c r="E1645" s="289" t="s">
        <v>518</v>
      </c>
      <c r="F1645" s="289" t="b">
        <v>1</v>
      </c>
      <c r="G1645" s="287" t="b">
        <v>1</v>
      </c>
      <c r="H1645" s="287" t="s">
        <v>250</v>
      </c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</row>
    <row r="1646" ht="15.75" customHeight="1">
      <c r="B1646" s="289">
        <v>106604.0</v>
      </c>
      <c r="C1646" s="289" t="s">
        <v>2745</v>
      </c>
      <c r="D1646" s="289" t="s">
        <v>42</v>
      </c>
      <c r="E1646" s="289" t="s">
        <v>249</v>
      </c>
      <c r="F1646" s="289" t="b">
        <v>1</v>
      </c>
      <c r="G1646" s="287" t="b">
        <v>1</v>
      </c>
      <c r="H1646" s="287" t="s">
        <v>250</v>
      </c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</row>
    <row r="1647" ht="15.75" customHeight="1">
      <c r="B1647" s="289">
        <v>20880.0</v>
      </c>
      <c r="C1647" s="289" t="s">
        <v>2485</v>
      </c>
      <c r="D1647" s="289" t="s">
        <v>42</v>
      </c>
      <c r="E1647" s="289" t="s">
        <v>518</v>
      </c>
      <c r="F1647" s="289" t="b">
        <v>1</v>
      </c>
      <c r="G1647" s="287" t="b">
        <v>1</v>
      </c>
      <c r="H1647" s="287" t="s">
        <v>250</v>
      </c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</row>
    <row r="1648" ht="15.75" customHeight="1">
      <c r="B1648" s="289">
        <v>101990.0</v>
      </c>
      <c r="C1648" s="289" t="s">
        <v>2486</v>
      </c>
      <c r="D1648" s="289" t="s">
        <v>2038</v>
      </c>
      <c r="E1648" s="289" t="s">
        <v>518</v>
      </c>
      <c r="F1648" s="289" t="b">
        <v>1</v>
      </c>
      <c r="G1648" s="287" t="b">
        <v>1</v>
      </c>
      <c r="H1648" s="287" t="s">
        <v>250</v>
      </c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</row>
    <row r="1649" ht="15.75" customHeight="1">
      <c r="B1649" s="289">
        <v>101991.0</v>
      </c>
      <c r="C1649" s="289" t="s">
        <v>2746</v>
      </c>
      <c r="D1649" s="289" t="s">
        <v>2747</v>
      </c>
      <c r="E1649" s="289" t="s">
        <v>518</v>
      </c>
      <c r="F1649" s="289" t="b">
        <v>1</v>
      </c>
      <c r="G1649" s="287" t="b">
        <v>0</v>
      </c>
      <c r="H1649" s="287" t="s">
        <v>250</v>
      </c>
      <c r="I1649" s="52"/>
      <c r="J1649" s="52"/>
      <c r="K1649" s="52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</row>
    <row r="1650" ht="15.75" customHeight="1">
      <c r="B1650" s="289">
        <v>145537.0</v>
      </c>
      <c r="C1650" s="289" t="s">
        <v>2489</v>
      </c>
      <c r="D1650" s="289" t="s">
        <v>2491</v>
      </c>
      <c r="E1650" s="289" t="s">
        <v>369</v>
      </c>
      <c r="F1650" s="289" t="b">
        <v>1</v>
      </c>
      <c r="G1650" s="287" t="b">
        <v>1</v>
      </c>
      <c r="H1650" s="287" t="s">
        <v>250</v>
      </c>
      <c r="I1650" s="52"/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</row>
    <row r="1651" ht="15.75" customHeight="1">
      <c r="B1651" s="289">
        <v>145538.0</v>
      </c>
      <c r="C1651" s="289" t="s">
        <v>2492</v>
      </c>
      <c r="D1651" s="289" t="s">
        <v>2748</v>
      </c>
      <c r="E1651" s="289" t="s">
        <v>369</v>
      </c>
      <c r="F1651" s="289" t="b">
        <v>1</v>
      </c>
      <c r="G1651" s="287" t="b">
        <v>1</v>
      </c>
      <c r="H1651" s="287" t="s">
        <v>250</v>
      </c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</row>
    <row r="1652" ht="15.75" customHeight="1">
      <c r="B1652" s="289">
        <v>51247.0</v>
      </c>
      <c r="C1652" s="289" t="s">
        <v>2498</v>
      </c>
      <c r="D1652" s="289" t="s">
        <v>2749</v>
      </c>
      <c r="E1652" s="289" t="s">
        <v>518</v>
      </c>
      <c r="F1652" s="289" t="b">
        <v>1</v>
      </c>
      <c r="G1652" s="287" t="b">
        <v>1</v>
      </c>
      <c r="H1652" s="287" t="s">
        <v>2501</v>
      </c>
      <c r="I1652" s="52"/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</row>
    <row r="1653" ht="15.75" customHeight="1">
      <c r="B1653" s="289">
        <v>10275.0</v>
      </c>
      <c r="C1653" s="289" t="s">
        <v>2503</v>
      </c>
      <c r="D1653" s="289" t="s">
        <v>42</v>
      </c>
      <c r="E1653" s="289" t="s">
        <v>518</v>
      </c>
      <c r="F1653" s="289" t="b">
        <v>1</v>
      </c>
      <c r="G1653" s="287" t="b">
        <v>1</v>
      </c>
      <c r="H1653" s="287" t="s">
        <v>250</v>
      </c>
      <c r="I1653" s="52"/>
      <c r="J1653" s="52"/>
      <c r="K1653" s="52"/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</row>
    <row r="1654" ht="15.75" customHeight="1">
      <c r="B1654" s="289">
        <v>10217.0</v>
      </c>
      <c r="C1654" s="289" t="s">
        <v>2505</v>
      </c>
      <c r="D1654" s="289" t="s">
        <v>2750</v>
      </c>
      <c r="E1654" s="289" t="s">
        <v>518</v>
      </c>
      <c r="F1654" s="289" t="b">
        <v>1</v>
      </c>
      <c r="G1654" s="287" t="b">
        <v>1</v>
      </c>
      <c r="H1654" s="287" t="s">
        <v>250</v>
      </c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</row>
    <row r="1655" ht="15.75" customHeight="1">
      <c r="B1655" s="289">
        <v>142741.0</v>
      </c>
      <c r="C1655" s="289" t="s">
        <v>2507</v>
      </c>
      <c r="D1655" s="289" t="s">
        <v>1925</v>
      </c>
      <c r="E1655" s="289" t="s">
        <v>518</v>
      </c>
      <c r="F1655" s="289" t="b">
        <v>1</v>
      </c>
      <c r="G1655" s="287" t="b">
        <v>1</v>
      </c>
      <c r="H1655" s="287" t="s">
        <v>2510</v>
      </c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</row>
    <row r="1656" ht="15.75" customHeight="1">
      <c r="B1656" s="289">
        <v>42304.0</v>
      </c>
      <c r="C1656" s="289" t="s">
        <v>1846</v>
      </c>
      <c r="D1656" s="289" t="s">
        <v>65</v>
      </c>
      <c r="E1656" s="289" t="s">
        <v>369</v>
      </c>
      <c r="F1656" s="289" t="b">
        <v>1</v>
      </c>
      <c r="G1656" s="287" t="b">
        <v>1</v>
      </c>
      <c r="H1656" s="287" t="s">
        <v>250</v>
      </c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</row>
    <row r="1657" ht="15.75" customHeight="1">
      <c r="B1657" s="289">
        <v>142536.0</v>
      </c>
      <c r="C1657" s="289" t="s">
        <v>2513</v>
      </c>
      <c r="D1657" s="289" t="s">
        <v>42</v>
      </c>
      <c r="E1657" s="289" t="s">
        <v>369</v>
      </c>
      <c r="F1657" s="289" t="b">
        <v>1</v>
      </c>
      <c r="G1657" s="287" t="b">
        <v>1</v>
      </c>
      <c r="H1657" s="287" t="s">
        <v>250</v>
      </c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</row>
    <row r="1658" ht="15.75" customHeight="1">
      <c r="B1658" s="289">
        <v>42445.0</v>
      </c>
      <c r="C1658" s="289" t="s">
        <v>2515</v>
      </c>
      <c r="D1658" s="289" t="s">
        <v>972</v>
      </c>
      <c r="E1658" s="289" t="s">
        <v>369</v>
      </c>
      <c r="F1658" s="289" t="b">
        <v>1</v>
      </c>
      <c r="G1658" s="287" t="b">
        <v>1</v>
      </c>
      <c r="H1658" s="287" t="s">
        <v>250</v>
      </c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</row>
    <row r="1659" ht="15.75" customHeight="1">
      <c r="B1659" s="289">
        <v>107428.0</v>
      </c>
      <c r="C1659" s="289" t="s">
        <v>2518</v>
      </c>
      <c r="D1659" s="289" t="s">
        <v>972</v>
      </c>
      <c r="E1659" s="289" t="s">
        <v>518</v>
      </c>
      <c r="F1659" s="289" t="b">
        <v>1</v>
      </c>
      <c r="G1659" s="287" t="b">
        <v>1</v>
      </c>
      <c r="H1659" s="287" t="s">
        <v>250</v>
      </c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</row>
  </sheetData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2023-08-10T13:21:27Z</dcterms:created>
  <dc:creator>kurt timmermans</dc:creator>
</cp:coreProperties>
</file>